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drawings/drawing4.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tables/table9.xml" ContentType="application/vnd.openxmlformats-officedocument.spreadsheetml.table+xml"/>
  <Override PartName="/xl/charts/chart7.xml" ContentType="application/vnd.openxmlformats-officedocument.drawingml.chart+xml"/>
  <Override PartName="/xl/charts/chart8.xml" ContentType="application/vnd.openxmlformats-officedocument.drawingml.chart+xml"/>
  <Override PartName="/xl/tables/table10.xml" ContentType="application/vnd.openxmlformats-officedocument.spreadsheetml.table+xml"/>
  <Override PartName="/xl/drawings/drawing6.xml" ContentType="application/vnd.openxmlformats-officedocument.drawing+xml"/>
  <Override PartName="/xl/charts/chart9.xml" ContentType="application/vnd.openxmlformats-officedocument.drawingml.chart+xml"/>
  <Override PartName="/xl/drawings/drawing7.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8.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9.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qatareducation-my.sharepoint.com/personal/a_faris1404_education_qa/Documents/Desktop/"/>
    </mc:Choice>
  </mc:AlternateContent>
  <xr:revisionPtr revIDLastSave="0" documentId="8_{E803EEC7-C0F8-4173-962D-CF608121CAB4}" xr6:coauthVersionLast="47" xr6:coauthVersionMax="47" xr10:uidLastSave="{00000000-0000-0000-0000-000000000000}"/>
  <bookViews>
    <workbookView xWindow="-108" yWindow="-108" windowWidth="23256" windowHeight="12456" firstSheet="20" activeTab="23" xr2:uid="{00000000-000D-0000-FFFF-FFFF00000000}"/>
  </bookViews>
  <sheets>
    <sheet name="README" sheetId="1" r:id="rId1"/>
    <sheet name="Student_Master" sheetId="2" r:id="rId2"/>
    <sheet name="Baseline_Entry" sheetId="3" r:id="rId3"/>
    <sheet name="Admissions_2024_2025" sheetId="4" r:id="rId4"/>
    <sheet name="Long_Panel" sheetId="5" r:id="rId5"/>
    <sheet name="Student_Growth" sheetId="6" r:id="rId6"/>
    <sheet name="Cognitive_Profile" sheetId="7" r:id="rId7"/>
    <sheet name="Participation_By_Student" sheetId="8" r:id="rId8"/>
    <sheet name="University_Exit" sheetId="9" r:id="rId9"/>
    <sheet name="External_Schoolwide" sheetId="10" r:id="rId10"/>
    <sheet name="Cohort_Growth" sheetId="11" r:id="rId11"/>
    <sheet name="Cohort_Trajectories" sheetId="12" r:id="rId12"/>
    <sheet name="Subject_Growth" sheetId="13" r:id="rId13"/>
    <sheet name="Movement_Equity" sheetId="14" r:id="rId14"/>
    <sheet name="Teacher_Curriculum" sheetId="15" r:id="rId15"/>
    <sheet name="Engagement_Indicators" sheetId="16" r:id="rId16"/>
    <sheet name="Student_Profile" sheetId="17" r:id="rId17"/>
    <sheet name="Dashboard_Executive" sheetId="18" r:id="rId18"/>
    <sheet name="Sources" sheetId="19" r:id="rId19"/>
    <sheet name="Data_Quality_Checks" sheetId="20" r:id="rId20"/>
    <sheet name="CAT4_2022_2023" sheetId="21" r:id="rId21"/>
    <sheet name="CAT4_Current_Master" sheetId="22" r:id="rId22"/>
    <sheet name="CAT4_2021_2022" sheetId="23" r:id="rId23"/>
    <sheet name="Cognia_Evidence_Page" sheetId="24" r:id="rId24"/>
  </sheets>
  <definedNames>
    <definedName name="QID_List">Student_Master!$B$2:$B$232</definedName>
    <definedName name="Student_Name_List">Student_Master!$C$2:$C$232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24" l="1"/>
  <c r="B31" i="24"/>
  <c r="C30" i="24"/>
  <c r="B30" i="24"/>
  <c r="C29" i="24"/>
  <c r="B29" i="24"/>
  <c r="C28" i="24"/>
  <c r="B28" i="24"/>
  <c r="C27" i="24"/>
  <c r="B27" i="24"/>
  <c r="C22" i="24"/>
  <c r="B22" i="24"/>
  <c r="C21" i="24"/>
  <c r="B21" i="24"/>
  <c r="C20" i="24"/>
  <c r="B20" i="24"/>
  <c r="C19" i="24"/>
  <c r="B19" i="24"/>
  <c r="C18" i="24"/>
  <c r="B18" i="24"/>
  <c r="H16" i="24"/>
  <c r="J14" i="24"/>
  <c r="I14" i="24"/>
  <c r="F14" i="24"/>
  <c r="E14" i="24"/>
  <c r="D14" i="24"/>
  <c r="C14" i="24"/>
  <c r="B14" i="24"/>
  <c r="J13" i="24"/>
  <c r="I13" i="24"/>
  <c r="F13" i="24"/>
  <c r="E13" i="24"/>
  <c r="D13" i="24"/>
  <c r="C13" i="24"/>
  <c r="B13" i="24"/>
  <c r="J12" i="24"/>
  <c r="I12" i="24"/>
  <c r="F12" i="24"/>
  <c r="E12" i="24"/>
  <c r="D12" i="24"/>
  <c r="C12" i="24"/>
  <c r="B12" i="24"/>
  <c r="J11" i="24"/>
  <c r="I11" i="24"/>
  <c r="F11" i="24"/>
  <c r="E11" i="24"/>
  <c r="D11" i="24"/>
  <c r="C11" i="24"/>
  <c r="B11" i="24"/>
  <c r="D7" i="24"/>
  <c r="A7" i="24"/>
  <c r="G5" i="24"/>
  <c r="D5" i="24"/>
  <c r="A5" i="24"/>
  <c r="B8" i="20"/>
  <c r="B2" i="20"/>
  <c r="AN6" i="18"/>
  <c r="AM6" i="18"/>
  <c r="AL6" i="18"/>
  <c r="A6" i="18"/>
  <c r="AN5" i="18"/>
  <c r="AM5" i="18"/>
  <c r="AL5" i="18"/>
  <c r="AI5" i="18"/>
  <c r="AH5" i="18"/>
  <c r="AG5" i="18"/>
  <c r="AN4" i="18"/>
  <c r="AM4" i="18"/>
  <c r="AL4" i="18"/>
  <c r="AI4" i="18"/>
  <c r="AH4" i="18"/>
  <c r="AG4" i="18"/>
  <c r="AN3" i="18"/>
  <c r="AM3" i="18"/>
  <c r="AL3" i="18"/>
  <c r="AI3" i="18"/>
  <c r="AH3" i="18"/>
  <c r="AG3" i="18"/>
  <c r="AN2" i="18"/>
  <c r="AM2" i="18"/>
  <c r="AL2" i="18"/>
  <c r="AI2" i="18"/>
  <c r="AH2" i="18"/>
  <c r="AG2" i="18"/>
  <c r="F2" i="17"/>
  <c r="L232" i="9"/>
  <c r="L231" i="9"/>
  <c r="AF231" i="6" s="1"/>
  <c r="L230" i="9"/>
  <c r="AF230" i="6" s="1"/>
  <c r="L229" i="9"/>
  <c r="L228" i="9"/>
  <c r="L227" i="9"/>
  <c r="L226" i="9"/>
  <c r="L225" i="9"/>
  <c r="L224" i="9"/>
  <c r="L223" i="9"/>
  <c r="L222" i="9"/>
  <c r="AF222" i="6" s="1"/>
  <c r="L221" i="9"/>
  <c r="L220" i="9"/>
  <c r="L219" i="9"/>
  <c r="L218" i="9"/>
  <c r="L217" i="9"/>
  <c r="L216" i="9"/>
  <c r="L215" i="9"/>
  <c r="AF215" i="6" s="1"/>
  <c r="L214" i="9"/>
  <c r="AF214" i="6" s="1"/>
  <c r="L213" i="9"/>
  <c r="L212" i="9"/>
  <c r="L211" i="9"/>
  <c r="L210" i="9"/>
  <c r="L209" i="9"/>
  <c r="L208" i="9"/>
  <c r="L207" i="9"/>
  <c r="AF207" i="6" s="1"/>
  <c r="L206" i="9"/>
  <c r="AF206" i="6" s="1"/>
  <c r="L205" i="9"/>
  <c r="L204" i="9"/>
  <c r="L203" i="9"/>
  <c r="L202" i="9"/>
  <c r="L201" i="9"/>
  <c r="L200" i="9"/>
  <c r="L199" i="9"/>
  <c r="AF199" i="6" s="1"/>
  <c r="L198" i="9"/>
  <c r="AF198" i="6" s="1"/>
  <c r="L197" i="9"/>
  <c r="L196" i="9"/>
  <c r="L195" i="9"/>
  <c r="L194" i="9"/>
  <c r="L193" i="9"/>
  <c r="L192" i="9"/>
  <c r="L191" i="9"/>
  <c r="L190" i="9"/>
  <c r="AF190" i="6" s="1"/>
  <c r="L189" i="9"/>
  <c r="L188" i="9"/>
  <c r="L187" i="9"/>
  <c r="L186" i="9"/>
  <c r="L185" i="9"/>
  <c r="L184" i="9"/>
  <c r="L183" i="9"/>
  <c r="AF183" i="6" s="1"/>
  <c r="L182" i="9"/>
  <c r="AF182" i="6" s="1"/>
  <c r="L181" i="9"/>
  <c r="L180" i="9"/>
  <c r="L179" i="9"/>
  <c r="L178" i="9"/>
  <c r="L177" i="9"/>
  <c r="L176" i="9"/>
  <c r="L175" i="9"/>
  <c r="AF175" i="6" s="1"/>
  <c r="L174" i="9"/>
  <c r="AF174" i="6" s="1"/>
  <c r="L173" i="9"/>
  <c r="L172" i="9"/>
  <c r="L171" i="9"/>
  <c r="L170" i="9"/>
  <c r="L169" i="9"/>
  <c r="L168" i="9"/>
  <c r="L167" i="9"/>
  <c r="AF167" i="6" s="1"/>
  <c r="L166" i="9"/>
  <c r="AF166" i="6" s="1"/>
  <c r="L165" i="9"/>
  <c r="L164" i="9"/>
  <c r="L163" i="9"/>
  <c r="L162" i="9"/>
  <c r="L161" i="9"/>
  <c r="L160" i="9"/>
  <c r="L159" i="9"/>
  <c r="L158" i="9"/>
  <c r="AF158" i="6" s="1"/>
  <c r="L157" i="9"/>
  <c r="L156" i="9"/>
  <c r="L155" i="9"/>
  <c r="L154" i="9"/>
  <c r="L153" i="9"/>
  <c r="L152" i="9"/>
  <c r="L151" i="9"/>
  <c r="AF151" i="6" s="1"/>
  <c r="L150" i="9"/>
  <c r="AF150" i="6" s="1"/>
  <c r="L149" i="9"/>
  <c r="L148" i="9"/>
  <c r="L147" i="9"/>
  <c r="L146" i="9"/>
  <c r="L145" i="9"/>
  <c r="L144" i="9"/>
  <c r="L143" i="9"/>
  <c r="AF143" i="6" s="1"/>
  <c r="L142" i="9"/>
  <c r="AF142" i="6" s="1"/>
  <c r="L141" i="9"/>
  <c r="L140" i="9"/>
  <c r="L139" i="9"/>
  <c r="L138" i="9"/>
  <c r="L137" i="9"/>
  <c r="L136" i="9"/>
  <c r="L135" i="9"/>
  <c r="AF135" i="6" s="1"/>
  <c r="L134" i="9"/>
  <c r="AF134" i="6" s="1"/>
  <c r="L133" i="9"/>
  <c r="L132" i="9"/>
  <c r="L131" i="9"/>
  <c r="L130" i="9"/>
  <c r="L129" i="9"/>
  <c r="L128" i="9"/>
  <c r="L127" i="9"/>
  <c r="L126" i="9"/>
  <c r="AF126" i="6" s="1"/>
  <c r="L125" i="9"/>
  <c r="L124" i="9"/>
  <c r="L123" i="9"/>
  <c r="L122" i="9"/>
  <c r="L121" i="9"/>
  <c r="L120" i="9"/>
  <c r="L119" i="9"/>
  <c r="AF119" i="6" s="1"/>
  <c r="L118" i="9"/>
  <c r="AF118" i="6" s="1"/>
  <c r="L117" i="9"/>
  <c r="L116" i="9"/>
  <c r="L115" i="9"/>
  <c r="L114" i="9"/>
  <c r="L113" i="9"/>
  <c r="L112" i="9"/>
  <c r="L111" i="9"/>
  <c r="AF111" i="6" s="1"/>
  <c r="L110" i="9"/>
  <c r="AF110" i="6" s="1"/>
  <c r="L109" i="9"/>
  <c r="L108" i="9"/>
  <c r="L107" i="9"/>
  <c r="L106" i="9"/>
  <c r="L105" i="9"/>
  <c r="L104" i="9"/>
  <c r="L103" i="9"/>
  <c r="AF103" i="6" s="1"/>
  <c r="L102" i="9"/>
  <c r="AF102" i="6" s="1"/>
  <c r="L101" i="9"/>
  <c r="L100" i="9"/>
  <c r="L99" i="9"/>
  <c r="L98" i="9"/>
  <c r="L97" i="9"/>
  <c r="L96" i="9"/>
  <c r="L95" i="9"/>
  <c r="L94" i="9"/>
  <c r="AF94" i="6" s="1"/>
  <c r="L93" i="9"/>
  <c r="L92" i="9"/>
  <c r="L91" i="9"/>
  <c r="L90" i="9"/>
  <c r="L89" i="9"/>
  <c r="L88" i="9"/>
  <c r="L87" i="9"/>
  <c r="AF87" i="6" s="1"/>
  <c r="L86" i="9"/>
  <c r="AF86" i="6" s="1"/>
  <c r="L85" i="9"/>
  <c r="L84" i="9"/>
  <c r="L83" i="9"/>
  <c r="L82" i="9"/>
  <c r="L81" i="9"/>
  <c r="L80" i="9"/>
  <c r="L79" i="9"/>
  <c r="AF79" i="6" s="1"/>
  <c r="L78" i="9"/>
  <c r="AF78" i="6" s="1"/>
  <c r="L77" i="9"/>
  <c r="L76" i="9"/>
  <c r="L75" i="9"/>
  <c r="L74" i="9"/>
  <c r="L73" i="9"/>
  <c r="L72" i="9"/>
  <c r="L71" i="9"/>
  <c r="AF71" i="6" s="1"/>
  <c r="L70" i="9"/>
  <c r="AF70" i="6" s="1"/>
  <c r="L69" i="9"/>
  <c r="L68" i="9"/>
  <c r="L67" i="9"/>
  <c r="L66" i="9"/>
  <c r="L65" i="9"/>
  <c r="L64" i="9"/>
  <c r="L63" i="9"/>
  <c r="L62" i="9"/>
  <c r="AF62" i="6" s="1"/>
  <c r="L61" i="9"/>
  <c r="L60" i="9"/>
  <c r="L59" i="9"/>
  <c r="L58" i="9"/>
  <c r="L57" i="9"/>
  <c r="L56" i="9"/>
  <c r="L55" i="9"/>
  <c r="AF55" i="6" s="1"/>
  <c r="L54" i="9"/>
  <c r="AF54" i="6" s="1"/>
  <c r="L53" i="9"/>
  <c r="L52" i="9"/>
  <c r="L51" i="9"/>
  <c r="L50" i="9"/>
  <c r="L49" i="9"/>
  <c r="L48" i="9"/>
  <c r="L47" i="9"/>
  <c r="AF47" i="6" s="1"/>
  <c r="L46" i="9"/>
  <c r="AF46" i="6" s="1"/>
  <c r="L45" i="9"/>
  <c r="L44" i="9"/>
  <c r="L43" i="9"/>
  <c r="L42" i="9"/>
  <c r="L41" i="9"/>
  <c r="L40" i="9"/>
  <c r="L39" i="9"/>
  <c r="AF39" i="6" s="1"/>
  <c r="L38" i="9"/>
  <c r="AF38" i="6" s="1"/>
  <c r="L37" i="9"/>
  <c r="L36" i="9"/>
  <c r="L35" i="9"/>
  <c r="L34" i="9"/>
  <c r="L33" i="9"/>
  <c r="L32" i="9"/>
  <c r="L31" i="9"/>
  <c r="AF31" i="6" s="1"/>
  <c r="L30" i="9"/>
  <c r="AF30" i="6" s="1"/>
  <c r="L29" i="9"/>
  <c r="L28" i="9"/>
  <c r="L27" i="9"/>
  <c r="L26" i="9"/>
  <c r="L25" i="9"/>
  <c r="L24" i="9"/>
  <c r="L23" i="9"/>
  <c r="AF23" i="6" s="1"/>
  <c r="L22" i="9"/>
  <c r="AF22" i="6" s="1"/>
  <c r="L21" i="9"/>
  <c r="L20" i="9"/>
  <c r="L19" i="9"/>
  <c r="L18" i="9"/>
  <c r="L17" i="9"/>
  <c r="L16" i="9"/>
  <c r="L15" i="9"/>
  <c r="AF15" i="6" s="1"/>
  <c r="L14" i="9"/>
  <c r="AF14" i="6" s="1"/>
  <c r="L13" i="9"/>
  <c r="L12" i="9"/>
  <c r="L11" i="9"/>
  <c r="L10" i="9"/>
  <c r="L9" i="9"/>
  <c r="L8" i="9"/>
  <c r="L7" i="9"/>
  <c r="AF7" i="6" s="1"/>
  <c r="L6" i="9"/>
  <c r="AF6" i="6" s="1"/>
  <c r="L5" i="9"/>
  <c r="L4" i="9"/>
  <c r="L3" i="9"/>
  <c r="L2" i="9"/>
  <c r="U232" i="7"/>
  <c r="S232" i="7"/>
  <c r="P232" i="7"/>
  <c r="M232" i="7"/>
  <c r="J232" i="7"/>
  <c r="H232" i="7"/>
  <c r="E232" i="7"/>
  <c r="U231" i="7"/>
  <c r="S231" i="7"/>
  <c r="P231" i="7"/>
  <c r="M231" i="7"/>
  <c r="J231" i="7"/>
  <c r="H231" i="7"/>
  <c r="E231" i="7"/>
  <c r="U230" i="7"/>
  <c r="S230" i="7"/>
  <c r="P230" i="7"/>
  <c r="M230" i="7"/>
  <c r="J230" i="7"/>
  <c r="H230" i="7"/>
  <c r="E230" i="7"/>
  <c r="U229" i="7"/>
  <c r="S229" i="7"/>
  <c r="P229" i="7"/>
  <c r="M229" i="7"/>
  <c r="J229" i="7"/>
  <c r="H229" i="7"/>
  <c r="E229" i="7"/>
  <c r="AK229" i="6" s="1"/>
  <c r="U228" i="7"/>
  <c r="S228" i="7"/>
  <c r="P228" i="7"/>
  <c r="M228" i="7"/>
  <c r="J228" i="7"/>
  <c r="H228" i="7"/>
  <c r="E228" i="7"/>
  <c r="AK228" i="6" s="1"/>
  <c r="U227" i="7"/>
  <c r="S227" i="7"/>
  <c r="P227" i="7"/>
  <c r="M227" i="7"/>
  <c r="J227" i="7"/>
  <c r="H227" i="7"/>
  <c r="E227" i="7"/>
  <c r="U226" i="7"/>
  <c r="S226" i="7"/>
  <c r="P226" i="7"/>
  <c r="M226" i="7"/>
  <c r="J226" i="7"/>
  <c r="H226" i="7"/>
  <c r="E226" i="7"/>
  <c r="U225" i="7"/>
  <c r="S225" i="7"/>
  <c r="P225" i="7"/>
  <c r="M225" i="7"/>
  <c r="J225" i="7"/>
  <c r="H225" i="7"/>
  <c r="E225" i="7"/>
  <c r="U224" i="7"/>
  <c r="S224" i="7"/>
  <c r="P224" i="7"/>
  <c r="M224" i="7"/>
  <c r="J224" i="7"/>
  <c r="H224" i="7"/>
  <c r="E224" i="7"/>
  <c r="U223" i="7"/>
  <c r="S223" i="7"/>
  <c r="P223" i="7"/>
  <c r="M223" i="7"/>
  <c r="J223" i="7"/>
  <c r="H223" i="7"/>
  <c r="E223" i="7"/>
  <c r="U222" i="7"/>
  <c r="S222" i="7"/>
  <c r="P222" i="7"/>
  <c r="M222" i="7"/>
  <c r="J222" i="7"/>
  <c r="H222" i="7"/>
  <c r="E222" i="7"/>
  <c r="U221" i="7"/>
  <c r="S221" i="7"/>
  <c r="P221" i="7"/>
  <c r="M221" i="7"/>
  <c r="J221" i="7"/>
  <c r="H221" i="7"/>
  <c r="E221" i="7"/>
  <c r="AK221" i="6" s="1"/>
  <c r="U220" i="7"/>
  <c r="S220" i="7"/>
  <c r="P220" i="7"/>
  <c r="M220" i="7"/>
  <c r="J220" i="7"/>
  <c r="H220" i="7"/>
  <c r="E220" i="7"/>
  <c r="AK220" i="6" s="1"/>
  <c r="U219" i="7"/>
  <c r="S219" i="7"/>
  <c r="P219" i="7"/>
  <c r="M219" i="7"/>
  <c r="J219" i="7"/>
  <c r="H219" i="7"/>
  <c r="E219" i="7"/>
  <c r="U218" i="7"/>
  <c r="S218" i="7"/>
  <c r="P218" i="7"/>
  <c r="M218" i="7"/>
  <c r="J218" i="7"/>
  <c r="H218" i="7"/>
  <c r="E218" i="7"/>
  <c r="U217" i="7"/>
  <c r="S217" i="7"/>
  <c r="P217" i="7"/>
  <c r="M217" i="7"/>
  <c r="J217" i="7"/>
  <c r="H217" i="7"/>
  <c r="E217" i="7"/>
  <c r="U216" i="7"/>
  <c r="S216" i="7"/>
  <c r="P216" i="7"/>
  <c r="M216" i="7"/>
  <c r="J216" i="7"/>
  <c r="H216" i="7"/>
  <c r="E216" i="7"/>
  <c r="U215" i="7"/>
  <c r="S215" i="7"/>
  <c r="P215" i="7"/>
  <c r="M215" i="7"/>
  <c r="J215" i="7"/>
  <c r="H215" i="7"/>
  <c r="E215" i="7"/>
  <c r="U214" i="7"/>
  <c r="S214" i="7"/>
  <c r="P214" i="7"/>
  <c r="M214" i="7"/>
  <c r="J214" i="7"/>
  <c r="H214" i="7"/>
  <c r="E214" i="7"/>
  <c r="U213" i="7"/>
  <c r="S213" i="7"/>
  <c r="P213" i="7"/>
  <c r="M213" i="7"/>
  <c r="J213" i="7"/>
  <c r="H213" i="7"/>
  <c r="E213" i="7"/>
  <c r="AK213" i="6" s="1"/>
  <c r="U212" i="7"/>
  <c r="S212" i="7"/>
  <c r="P212" i="7"/>
  <c r="M212" i="7"/>
  <c r="J212" i="7"/>
  <c r="H212" i="7"/>
  <c r="E212" i="7"/>
  <c r="AK212" i="6" s="1"/>
  <c r="U211" i="7"/>
  <c r="S211" i="7"/>
  <c r="P211" i="7"/>
  <c r="M211" i="7"/>
  <c r="J211" i="7"/>
  <c r="H211" i="7"/>
  <c r="E211" i="7"/>
  <c r="U210" i="7"/>
  <c r="S210" i="7"/>
  <c r="P210" i="7"/>
  <c r="M210" i="7"/>
  <c r="J210" i="7"/>
  <c r="H210" i="7"/>
  <c r="E210" i="7"/>
  <c r="U209" i="7"/>
  <c r="S209" i="7"/>
  <c r="P209" i="7"/>
  <c r="M209" i="7"/>
  <c r="J209" i="7"/>
  <c r="H209" i="7"/>
  <c r="E209" i="7"/>
  <c r="U208" i="7"/>
  <c r="S208" i="7"/>
  <c r="P208" i="7"/>
  <c r="M208" i="7"/>
  <c r="J208" i="7"/>
  <c r="H208" i="7"/>
  <c r="E208" i="7"/>
  <c r="U207" i="7"/>
  <c r="S207" i="7"/>
  <c r="P207" i="7"/>
  <c r="M207" i="7"/>
  <c r="J207" i="7"/>
  <c r="H207" i="7"/>
  <c r="E207" i="7"/>
  <c r="U206" i="7"/>
  <c r="S206" i="7"/>
  <c r="P206" i="7"/>
  <c r="M206" i="7"/>
  <c r="J206" i="7"/>
  <c r="H206" i="7"/>
  <c r="E206" i="7"/>
  <c r="U205" i="7"/>
  <c r="S205" i="7"/>
  <c r="P205" i="7"/>
  <c r="M205" i="7"/>
  <c r="J205" i="7"/>
  <c r="H205" i="7"/>
  <c r="E205" i="7"/>
  <c r="AK205" i="6" s="1"/>
  <c r="U204" i="7"/>
  <c r="S204" i="7"/>
  <c r="P204" i="7"/>
  <c r="M204" i="7"/>
  <c r="J204" i="7"/>
  <c r="H204" i="7"/>
  <c r="E204" i="7"/>
  <c r="AK204" i="6" s="1"/>
  <c r="U203" i="7"/>
  <c r="S203" i="7"/>
  <c r="P203" i="7"/>
  <c r="M203" i="7"/>
  <c r="J203" i="7"/>
  <c r="H203" i="7"/>
  <c r="E203" i="7"/>
  <c r="U202" i="7"/>
  <c r="S202" i="7"/>
  <c r="P202" i="7"/>
  <c r="M202" i="7"/>
  <c r="J202" i="7"/>
  <c r="H202" i="7"/>
  <c r="E202" i="7"/>
  <c r="U201" i="7"/>
  <c r="S201" i="7"/>
  <c r="P201" i="7"/>
  <c r="M201" i="7"/>
  <c r="J201" i="7"/>
  <c r="H201" i="7"/>
  <c r="E201" i="7"/>
  <c r="U200" i="7"/>
  <c r="S200" i="7"/>
  <c r="P200" i="7"/>
  <c r="M200" i="7"/>
  <c r="J200" i="7"/>
  <c r="H200" i="7"/>
  <c r="E200" i="7"/>
  <c r="U199" i="7"/>
  <c r="S199" i="7"/>
  <c r="P199" i="7"/>
  <c r="M199" i="7"/>
  <c r="J199" i="7"/>
  <c r="H199" i="7"/>
  <c r="E199" i="7"/>
  <c r="U198" i="7"/>
  <c r="S198" i="7"/>
  <c r="P198" i="7"/>
  <c r="M198" i="7"/>
  <c r="J198" i="7"/>
  <c r="H198" i="7"/>
  <c r="E198" i="7"/>
  <c r="U197" i="7"/>
  <c r="S197" i="7"/>
  <c r="P197" i="7"/>
  <c r="M197" i="7"/>
  <c r="J197" i="7"/>
  <c r="H197" i="7"/>
  <c r="E197" i="7"/>
  <c r="AK197" i="6" s="1"/>
  <c r="U196" i="7"/>
  <c r="S196" i="7"/>
  <c r="P196" i="7"/>
  <c r="M196" i="7"/>
  <c r="J196" i="7"/>
  <c r="H196" i="7"/>
  <c r="E196" i="7"/>
  <c r="AK196" i="6" s="1"/>
  <c r="U195" i="7"/>
  <c r="S195" i="7"/>
  <c r="P195" i="7"/>
  <c r="M195" i="7"/>
  <c r="J195" i="7"/>
  <c r="H195" i="7"/>
  <c r="E195" i="7"/>
  <c r="U194" i="7"/>
  <c r="S194" i="7"/>
  <c r="P194" i="7"/>
  <c r="M194" i="7"/>
  <c r="J194" i="7"/>
  <c r="H194" i="7"/>
  <c r="E194" i="7"/>
  <c r="U193" i="7"/>
  <c r="S193" i="7"/>
  <c r="P193" i="7"/>
  <c r="M193" i="7"/>
  <c r="J193" i="7"/>
  <c r="H193" i="7"/>
  <c r="E193" i="7"/>
  <c r="U192" i="7"/>
  <c r="S192" i="7"/>
  <c r="P192" i="7"/>
  <c r="M192" i="7"/>
  <c r="J192" i="7"/>
  <c r="H192" i="7"/>
  <c r="E192" i="7"/>
  <c r="U191" i="7"/>
  <c r="S191" i="7"/>
  <c r="P191" i="7"/>
  <c r="M191" i="7"/>
  <c r="J191" i="7"/>
  <c r="H191" i="7"/>
  <c r="E191" i="7"/>
  <c r="U190" i="7"/>
  <c r="S190" i="7"/>
  <c r="P190" i="7"/>
  <c r="M190" i="7"/>
  <c r="J190" i="7"/>
  <c r="H190" i="7"/>
  <c r="E190" i="7"/>
  <c r="U189" i="7"/>
  <c r="S189" i="7"/>
  <c r="P189" i="7"/>
  <c r="M189" i="7"/>
  <c r="J189" i="7"/>
  <c r="H189" i="7"/>
  <c r="E189" i="7"/>
  <c r="AK189" i="6" s="1"/>
  <c r="U188" i="7"/>
  <c r="S188" i="7"/>
  <c r="P188" i="7"/>
  <c r="M188" i="7"/>
  <c r="J188" i="7"/>
  <c r="H188" i="7"/>
  <c r="E188" i="7"/>
  <c r="AK188" i="6" s="1"/>
  <c r="U187" i="7"/>
  <c r="S187" i="7"/>
  <c r="P187" i="7"/>
  <c r="M187" i="7"/>
  <c r="J187" i="7"/>
  <c r="H187" i="7"/>
  <c r="E187" i="7"/>
  <c r="U186" i="7"/>
  <c r="S186" i="7"/>
  <c r="P186" i="7"/>
  <c r="M186" i="7"/>
  <c r="J186" i="7"/>
  <c r="H186" i="7"/>
  <c r="E186" i="7"/>
  <c r="U185" i="7"/>
  <c r="S185" i="7"/>
  <c r="P185" i="7"/>
  <c r="M185" i="7"/>
  <c r="J185" i="7"/>
  <c r="H185" i="7"/>
  <c r="E185" i="7"/>
  <c r="U184" i="7"/>
  <c r="S184" i="7"/>
  <c r="P184" i="7"/>
  <c r="M184" i="7"/>
  <c r="J184" i="7"/>
  <c r="H184" i="7"/>
  <c r="E184" i="7"/>
  <c r="U183" i="7"/>
  <c r="S183" i="7"/>
  <c r="P183" i="7"/>
  <c r="M183" i="7"/>
  <c r="J183" i="7"/>
  <c r="H183" i="7"/>
  <c r="E183" i="7"/>
  <c r="U182" i="7"/>
  <c r="S182" i="7"/>
  <c r="P182" i="7"/>
  <c r="M182" i="7"/>
  <c r="J182" i="7"/>
  <c r="H182" i="7"/>
  <c r="E182" i="7"/>
  <c r="U181" i="7"/>
  <c r="S181" i="7"/>
  <c r="P181" i="7"/>
  <c r="M181" i="7"/>
  <c r="J181" i="7"/>
  <c r="H181" i="7"/>
  <c r="E181" i="7"/>
  <c r="AK181" i="6" s="1"/>
  <c r="U180" i="7"/>
  <c r="S180" i="7"/>
  <c r="P180" i="7"/>
  <c r="M180" i="7"/>
  <c r="J180" i="7"/>
  <c r="H180" i="7"/>
  <c r="E180" i="7"/>
  <c r="AK180" i="6" s="1"/>
  <c r="U179" i="7"/>
  <c r="S179" i="7"/>
  <c r="P179" i="7"/>
  <c r="M179" i="7"/>
  <c r="J179" i="7"/>
  <c r="H179" i="7"/>
  <c r="E179" i="7"/>
  <c r="U178" i="7"/>
  <c r="S178" i="7"/>
  <c r="P178" i="7"/>
  <c r="M178" i="7"/>
  <c r="J178" i="7"/>
  <c r="H178" i="7"/>
  <c r="E178" i="7"/>
  <c r="U177" i="7"/>
  <c r="S177" i="7"/>
  <c r="P177" i="7"/>
  <c r="M177" i="7"/>
  <c r="J177" i="7"/>
  <c r="H177" i="7"/>
  <c r="E177" i="7"/>
  <c r="U176" i="7"/>
  <c r="S176" i="7"/>
  <c r="P176" i="7"/>
  <c r="M176" i="7"/>
  <c r="J176" i="7"/>
  <c r="H176" i="7"/>
  <c r="E176" i="7"/>
  <c r="U175" i="7"/>
  <c r="S175" i="7"/>
  <c r="P175" i="7"/>
  <c r="M175" i="7"/>
  <c r="J175" i="7"/>
  <c r="H175" i="7"/>
  <c r="E175" i="7"/>
  <c r="U174" i="7"/>
  <c r="S174" i="7"/>
  <c r="P174" i="7"/>
  <c r="M174" i="7"/>
  <c r="J174" i="7"/>
  <c r="H174" i="7"/>
  <c r="E174" i="7"/>
  <c r="U173" i="7"/>
  <c r="S173" i="7"/>
  <c r="P173" i="7"/>
  <c r="M173" i="7"/>
  <c r="J173" i="7"/>
  <c r="H173" i="7"/>
  <c r="E173" i="7"/>
  <c r="AK173" i="6" s="1"/>
  <c r="U172" i="7"/>
  <c r="S172" i="7"/>
  <c r="P172" i="7"/>
  <c r="M172" i="7"/>
  <c r="J172" i="7"/>
  <c r="H172" i="7"/>
  <c r="E172" i="7"/>
  <c r="AK172" i="6" s="1"/>
  <c r="U171" i="7"/>
  <c r="S171" i="7"/>
  <c r="P171" i="7"/>
  <c r="M171" i="7"/>
  <c r="J171" i="7"/>
  <c r="H171" i="7"/>
  <c r="E171" i="7"/>
  <c r="U170" i="7"/>
  <c r="S170" i="7"/>
  <c r="P170" i="7"/>
  <c r="M170" i="7"/>
  <c r="J170" i="7"/>
  <c r="H170" i="7"/>
  <c r="E170" i="7"/>
  <c r="U169" i="7"/>
  <c r="S169" i="7"/>
  <c r="P169" i="7"/>
  <c r="M169" i="7"/>
  <c r="J169" i="7"/>
  <c r="H169" i="7"/>
  <c r="E169" i="7"/>
  <c r="U168" i="7"/>
  <c r="S168" i="7"/>
  <c r="P168" i="7"/>
  <c r="M168" i="7"/>
  <c r="J168" i="7"/>
  <c r="H168" i="7"/>
  <c r="E168" i="7"/>
  <c r="U167" i="7"/>
  <c r="S167" i="7"/>
  <c r="P167" i="7"/>
  <c r="M167" i="7"/>
  <c r="J167" i="7"/>
  <c r="H167" i="7"/>
  <c r="E167" i="7"/>
  <c r="U166" i="7"/>
  <c r="S166" i="7"/>
  <c r="P166" i="7"/>
  <c r="M166" i="7"/>
  <c r="J166" i="7"/>
  <c r="H166" i="7"/>
  <c r="E166" i="7"/>
  <c r="U165" i="7"/>
  <c r="S165" i="7"/>
  <c r="P165" i="7"/>
  <c r="M165" i="7"/>
  <c r="J165" i="7"/>
  <c r="H165" i="7"/>
  <c r="E165" i="7"/>
  <c r="AK165" i="6" s="1"/>
  <c r="U164" i="7"/>
  <c r="S164" i="7"/>
  <c r="P164" i="7"/>
  <c r="M164" i="7"/>
  <c r="J164" i="7"/>
  <c r="H164" i="7"/>
  <c r="E164" i="7"/>
  <c r="AK164" i="6" s="1"/>
  <c r="U163" i="7"/>
  <c r="S163" i="7"/>
  <c r="P163" i="7"/>
  <c r="M163" i="7"/>
  <c r="J163" i="7"/>
  <c r="H163" i="7"/>
  <c r="E163" i="7"/>
  <c r="U162" i="7"/>
  <c r="S162" i="7"/>
  <c r="P162" i="7"/>
  <c r="M162" i="7"/>
  <c r="J162" i="7"/>
  <c r="H162" i="7"/>
  <c r="E162" i="7"/>
  <c r="U161" i="7"/>
  <c r="S161" i="7"/>
  <c r="P161" i="7"/>
  <c r="M161" i="7"/>
  <c r="J161" i="7"/>
  <c r="H161" i="7"/>
  <c r="E161" i="7"/>
  <c r="U160" i="7"/>
  <c r="S160" i="7"/>
  <c r="P160" i="7"/>
  <c r="M160" i="7"/>
  <c r="J160" i="7"/>
  <c r="H160" i="7"/>
  <c r="E160" i="7"/>
  <c r="U159" i="7"/>
  <c r="S159" i="7"/>
  <c r="P159" i="7"/>
  <c r="M159" i="7"/>
  <c r="J159" i="7"/>
  <c r="H159" i="7"/>
  <c r="E159" i="7"/>
  <c r="U158" i="7"/>
  <c r="S158" i="7"/>
  <c r="P158" i="7"/>
  <c r="M158" i="7"/>
  <c r="J158" i="7"/>
  <c r="H158" i="7"/>
  <c r="E158" i="7"/>
  <c r="U157" i="7"/>
  <c r="S157" i="7"/>
  <c r="P157" i="7"/>
  <c r="M157" i="7"/>
  <c r="J157" i="7"/>
  <c r="H157" i="7"/>
  <c r="E157" i="7"/>
  <c r="AK157" i="6" s="1"/>
  <c r="U156" i="7"/>
  <c r="S156" i="7"/>
  <c r="P156" i="7"/>
  <c r="M156" i="7"/>
  <c r="J156" i="7"/>
  <c r="H156" i="7"/>
  <c r="E156" i="7"/>
  <c r="AK156" i="6" s="1"/>
  <c r="U155" i="7"/>
  <c r="S155" i="7"/>
  <c r="P155" i="7"/>
  <c r="M155" i="7"/>
  <c r="J155" i="7"/>
  <c r="H155" i="7"/>
  <c r="E155" i="7"/>
  <c r="U154" i="7"/>
  <c r="S154" i="7"/>
  <c r="P154" i="7"/>
  <c r="M154" i="7"/>
  <c r="J154" i="7"/>
  <c r="H154" i="7"/>
  <c r="E154" i="7"/>
  <c r="U153" i="7"/>
  <c r="S153" i="7"/>
  <c r="P153" i="7"/>
  <c r="M153" i="7"/>
  <c r="J153" i="7"/>
  <c r="H153" i="7"/>
  <c r="E153" i="7"/>
  <c r="U152" i="7"/>
  <c r="S152" i="7"/>
  <c r="P152" i="7"/>
  <c r="M152" i="7"/>
  <c r="J152" i="7"/>
  <c r="H152" i="7"/>
  <c r="E152" i="7"/>
  <c r="U151" i="7"/>
  <c r="S151" i="7"/>
  <c r="P151" i="7"/>
  <c r="M151" i="7"/>
  <c r="J151" i="7"/>
  <c r="H151" i="7"/>
  <c r="E151" i="7"/>
  <c r="U150" i="7"/>
  <c r="S150" i="7"/>
  <c r="P150" i="7"/>
  <c r="M150" i="7"/>
  <c r="J150" i="7"/>
  <c r="H150" i="7"/>
  <c r="E150" i="7"/>
  <c r="U149" i="7"/>
  <c r="S149" i="7"/>
  <c r="P149" i="7"/>
  <c r="M149" i="7"/>
  <c r="J149" i="7"/>
  <c r="H149" i="7"/>
  <c r="E149" i="7"/>
  <c r="AK149" i="6" s="1"/>
  <c r="U148" i="7"/>
  <c r="S148" i="7"/>
  <c r="P148" i="7"/>
  <c r="M148" i="7"/>
  <c r="J148" i="7"/>
  <c r="H148" i="7"/>
  <c r="E148" i="7"/>
  <c r="AK148" i="6" s="1"/>
  <c r="U147" i="7"/>
  <c r="S147" i="7"/>
  <c r="P147" i="7"/>
  <c r="M147" i="7"/>
  <c r="J147" i="7"/>
  <c r="H147" i="7"/>
  <c r="E147" i="7"/>
  <c r="U146" i="7"/>
  <c r="S146" i="7"/>
  <c r="P146" i="7"/>
  <c r="M146" i="7"/>
  <c r="J146" i="7"/>
  <c r="H146" i="7"/>
  <c r="E146" i="7"/>
  <c r="U145" i="7"/>
  <c r="S145" i="7"/>
  <c r="P145" i="7"/>
  <c r="M145" i="7"/>
  <c r="J145" i="7"/>
  <c r="H145" i="7"/>
  <c r="E145" i="7"/>
  <c r="U144" i="7"/>
  <c r="S144" i="7"/>
  <c r="P144" i="7"/>
  <c r="M144" i="7"/>
  <c r="J144" i="7"/>
  <c r="H144" i="7"/>
  <c r="E144" i="7"/>
  <c r="U143" i="7"/>
  <c r="S143" i="7"/>
  <c r="P143" i="7"/>
  <c r="M143" i="7"/>
  <c r="J143" i="7"/>
  <c r="H143" i="7"/>
  <c r="E143" i="7"/>
  <c r="U142" i="7"/>
  <c r="S142" i="7"/>
  <c r="P142" i="7"/>
  <c r="M142" i="7"/>
  <c r="J142" i="7"/>
  <c r="H142" i="7"/>
  <c r="E142" i="7"/>
  <c r="U141" i="7"/>
  <c r="S141" i="7"/>
  <c r="P141" i="7"/>
  <c r="M141" i="7"/>
  <c r="J141" i="7"/>
  <c r="H141" i="7"/>
  <c r="E141" i="7"/>
  <c r="AK141" i="6" s="1"/>
  <c r="U140" i="7"/>
  <c r="S140" i="7"/>
  <c r="P140" i="7"/>
  <c r="M140" i="7"/>
  <c r="J140" i="7"/>
  <c r="H140" i="7"/>
  <c r="E140" i="7"/>
  <c r="AK140" i="6" s="1"/>
  <c r="U139" i="7"/>
  <c r="S139" i="7"/>
  <c r="P139" i="7"/>
  <c r="M139" i="7"/>
  <c r="J139" i="7"/>
  <c r="H139" i="7"/>
  <c r="E139" i="7"/>
  <c r="U138" i="7"/>
  <c r="S138" i="7"/>
  <c r="P138" i="7"/>
  <c r="M138" i="7"/>
  <c r="J138" i="7"/>
  <c r="H138" i="7"/>
  <c r="E138" i="7"/>
  <c r="U137" i="7"/>
  <c r="S137" i="7"/>
  <c r="P137" i="7"/>
  <c r="M137" i="7"/>
  <c r="J137" i="7"/>
  <c r="H137" i="7"/>
  <c r="E137" i="7"/>
  <c r="U136" i="7"/>
  <c r="S136" i="7"/>
  <c r="P136" i="7"/>
  <c r="M136" i="7"/>
  <c r="J136" i="7"/>
  <c r="H136" i="7"/>
  <c r="E136" i="7"/>
  <c r="U135" i="7"/>
  <c r="S135" i="7"/>
  <c r="P135" i="7"/>
  <c r="M135" i="7"/>
  <c r="J135" i="7"/>
  <c r="H135" i="7"/>
  <c r="E135" i="7"/>
  <c r="U134" i="7"/>
  <c r="S134" i="7"/>
  <c r="P134" i="7"/>
  <c r="M134" i="7"/>
  <c r="J134" i="7"/>
  <c r="H134" i="7"/>
  <c r="E134" i="7"/>
  <c r="U133" i="7"/>
  <c r="S133" i="7"/>
  <c r="P133" i="7"/>
  <c r="M133" i="7"/>
  <c r="J133" i="7"/>
  <c r="H133" i="7"/>
  <c r="E133" i="7"/>
  <c r="AK133" i="6" s="1"/>
  <c r="U132" i="7"/>
  <c r="S132" i="7"/>
  <c r="P132" i="7"/>
  <c r="M132" i="7"/>
  <c r="J132" i="7"/>
  <c r="H132" i="7"/>
  <c r="E132" i="7"/>
  <c r="AK132" i="6" s="1"/>
  <c r="U131" i="7"/>
  <c r="S131" i="7"/>
  <c r="P131" i="7"/>
  <c r="M131" i="7"/>
  <c r="J131" i="7"/>
  <c r="H131" i="7"/>
  <c r="E131" i="7"/>
  <c r="U130" i="7"/>
  <c r="S130" i="7"/>
  <c r="P130" i="7"/>
  <c r="M130" i="7"/>
  <c r="J130" i="7"/>
  <c r="H130" i="7"/>
  <c r="E130" i="7"/>
  <c r="U129" i="7"/>
  <c r="S129" i="7"/>
  <c r="P129" i="7"/>
  <c r="M129" i="7"/>
  <c r="J129" i="7"/>
  <c r="H129" i="7"/>
  <c r="E129" i="7"/>
  <c r="U128" i="7"/>
  <c r="S128" i="7"/>
  <c r="P128" i="7"/>
  <c r="M128" i="7"/>
  <c r="J128" i="7"/>
  <c r="H128" i="7"/>
  <c r="E128" i="7"/>
  <c r="U127" i="7"/>
  <c r="S127" i="7"/>
  <c r="P127" i="7"/>
  <c r="M127" i="7"/>
  <c r="J127" i="7"/>
  <c r="H127" i="7"/>
  <c r="E127" i="7"/>
  <c r="U126" i="7"/>
  <c r="S126" i="7"/>
  <c r="P126" i="7"/>
  <c r="M126" i="7"/>
  <c r="J126" i="7"/>
  <c r="H126" i="7"/>
  <c r="E126" i="7"/>
  <c r="U125" i="7"/>
  <c r="S125" i="7"/>
  <c r="P125" i="7"/>
  <c r="M125" i="7"/>
  <c r="J125" i="7"/>
  <c r="H125" i="7"/>
  <c r="E125" i="7"/>
  <c r="AK125" i="6" s="1"/>
  <c r="U124" i="7"/>
  <c r="S124" i="7"/>
  <c r="P124" i="7"/>
  <c r="M124" i="7"/>
  <c r="J124" i="7"/>
  <c r="H124" i="7"/>
  <c r="E124" i="7"/>
  <c r="AK124" i="6" s="1"/>
  <c r="U123" i="7"/>
  <c r="S123" i="7"/>
  <c r="P123" i="7"/>
  <c r="M123" i="7"/>
  <c r="J123" i="7"/>
  <c r="H123" i="7"/>
  <c r="E123" i="7"/>
  <c r="U122" i="7"/>
  <c r="S122" i="7"/>
  <c r="P122" i="7"/>
  <c r="M122" i="7"/>
  <c r="J122" i="7"/>
  <c r="H122" i="7"/>
  <c r="E122" i="7"/>
  <c r="U121" i="7"/>
  <c r="S121" i="7"/>
  <c r="P121" i="7"/>
  <c r="M121" i="7"/>
  <c r="J121" i="7"/>
  <c r="H121" i="7"/>
  <c r="E121" i="7"/>
  <c r="U120" i="7"/>
  <c r="S120" i="7"/>
  <c r="P120" i="7"/>
  <c r="M120" i="7"/>
  <c r="J120" i="7"/>
  <c r="H120" i="7"/>
  <c r="E120" i="7"/>
  <c r="U119" i="7"/>
  <c r="S119" i="7"/>
  <c r="P119" i="7"/>
  <c r="M119" i="7"/>
  <c r="J119" i="7"/>
  <c r="H119" i="7"/>
  <c r="E119" i="7"/>
  <c r="U118" i="7"/>
  <c r="S118" i="7"/>
  <c r="P118" i="7"/>
  <c r="M118" i="7"/>
  <c r="J118" i="7"/>
  <c r="H118" i="7"/>
  <c r="E118" i="7"/>
  <c r="U117" i="7"/>
  <c r="S117" i="7"/>
  <c r="P117" i="7"/>
  <c r="M117" i="7"/>
  <c r="J117" i="7"/>
  <c r="H117" i="7"/>
  <c r="E117" i="7"/>
  <c r="AK117" i="6" s="1"/>
  <c r="U116" i="7"/>
  <c r="S116" i="7"/>
  <c r="P116" i="7"/>
  <c r="M116" i="7"/>
  <c r="J116" i="7"/>
  <c r="H116" i="7"/>
  <c r="E116" i="7"/>
  <c r="AK116" i="6" s="1"/>
  <c r="U115" i="7"/>
  <c r="S115" i="7"/>
  <c r="P115" i="7"/>
  <c r="M115" i="7"/>
  <c r="J115" i="7"/>
  <c r="H115" i="7"/>
  <c r="E115" i="7"/>
  <c r="U114" i="7"/>
  <c r="S114" i="7"/>
  <c r="P114" i="7"/>
  <c r="M114" i="7"/>
  <c r="J114" i="7"/>
  <c r="H114" i="7"/>
  <c r="E114" i="7"/>
  <c r="U113" i="7"/>
  <c r="S113" i="7"/>
  <c r="P113" i="7"/>
  <c r="M113" i="7"/>
  <c r="J113" i="7"/>
  <c r="H113" i="7"/>
  <c r="E113" i="7"/>
  <c r="U112" i="7"/>
  <c r="S112" i="7"/>
  <c r="P112" i="7"/>
  <c r="M112" i="7"/>
  <c r="J112" i="7"/>
  <c r="H112" i="7"/>
  <c r="E112" i="7"/>
  <c r="U111" i="7"/>
  <c r="S111" i="7"/>
  <c r="P111" i="7"/>
  <c r="M111" i="7"/>
  <c r="J111" i="7"/>
  <c r="H111" i="7"/>
  <c r="E111" i="7"/>
  <c r="U110" i="7"/>
  <c r="S110" i="7"/>
  <c r="P110" i="7"/>
  <c r="M110" i="7"/>
  <c r="J110" i="7"/>
  <c r="H110" i="7"/>
  <c r="E110" i="7"/>
  <c r="U109" i="7"/>
  <c r="S109" i="7"/>
  <c r="P109" i="7"/>
  <c r="M109" i="7"/>
  <c r="J109" i="7"/>
  <c r="H109" i="7"/>
  <c r="E109" i="7"/>
  <c r="AK109" i="6" s="1"/>
  <c r="U108" i="7"/>
  <c r="S108" i="7"/>
  <c r="P108" i="7"/>
  <c r="M108" i="7"/>
  <c r="J108" i="7"/>
  <c r="H108" i="7"/>
  <c r="E108" i="7"/>
  <c r="AK108" i="6" s="1"/>
  <c r="U107" i="7"/>
  <c r="S107" i="7"/>
  <c r="P107" i="7"/>
  <c r="M107" i="7"/>
  <c r="J107" i="7"/>
  <c r="H107" i="7"/>
  <c r="E107" i="7"/>
  <c r="U106" i="7"/>
  <c r="S106" i="7"/>
  <c r="P106" i="7"/>
  <c r="M106" i="7"/>
  <c r="J106" i="7"/>
  <c r="H106" i="7"/>
  <c r="E106" i="7"/>
  <c r="U105" i="7"/>
  <c r="S105" i="7"/>
  <c r="P105" i="7"/>
  <c r="M105" i="7"/>
  <c r="J105" i="7"/>
  <c r="H105" i="7"/>
  <c r="E105" i="7"/>
  <c r="U104" i="7"/>
  <c r="S104" i="7"/>
  <c r="P104" i="7"/>
  <c r="M104" i="7"/>
  <c r="J104" i="7"/>
  <c r="H104" i="7"/>
  <c r="E104" i="7"/>
  <c r="U103" i="7"/>
  <c r="S103" i="7"/>
  <c r="P103" i="7"/>
  <c r="M103" i="7"/>
  <c r="J103" i="7"/>
  <c r="H103" i="7"/>
  <c r="E103" i="7"/>
  <c r="U102" i="7"/>
  <c r="S102" i="7"/>
  <c r="P102" i="7"/>
  <c r="M102" i="7"/>
  <c r="J102" i="7"/>
  <c r="H102" i="7"/>
  <c r="E102" i="7"/>
  <c r="U101" i="7"/>
  <c r="S101" i="7"/>
  <c r="P101" i="7"/>
  <c r="M101" i="7"/>
  <c r="J101" i="7"/>
  <c r="H101" i="7"/>
  <c r="E101" i="7"/>
  <c r="AK101" i="6" s="1"/>
  <c r="U100" i="7"/>
  <c r="S100" i="7"/>
  <c r="P100" i="7"/>
  <c r="M100" i="7"/>
  <c r="J100" i="7"/>
  <c r="H100" i="7"/>
  <c r="E100" i="7"/>
  <c r="AK100" i="6" s="1"/>
  <c r="U99" i="7"/>
  <c r="S99" i="7"/>
  <c r="P99" i="7"/>
  <c r="M99" i="7"/>
  <c r="J99" i="7"/>
  <c r="H99" i="7"/>
  <c r="E99" i="7"/>
  <c r="U98" i="7"/>
  <c r="S98" i="7"/>
  <c r="P98" i="7"/>
  <c r="M98" i="7"/>
  <c r="J98" i="7"/>
  <c r="H98" i="7"/>
  <c r="E98" i="7"/>
  <c r="U97" i="7"/>
  <c r="S97" i="7"/>
  <c r="P97" i="7"/>
  <c r="M97" i="7"/>
  <c r="J97" i="7"/>
  <c r="H97" i="7"/>
  <c r="E97" i="7"/>
  <c r="U96" i="7"/>
  <c r="S96" i="7"/>
  <c r="P96" i="7"/>
  <c r="M96" i="7"/>
  <c r="J96" i="7"/>
  <c r="H96" i="7"/>
  <c r="E96" i="7"/>
  <c r="U95" i="7"/>
  <c r="S95" i="7"/>
  <c r="P95" i="7"/>
  <c r="M95" i="7"/>
  <c r="J95" i="7"/>
  <c r="H95" i="7"/>
  <c r="E95" i="7"/>
  <c r="U94" i="7"/>
  <c r="S94" i="7"/>
  <c r="P94" i="7"/>
  <c r="M94" i="7"/>
  <c r="J94" i="7"/>
  <c r="H94" i="7"/>
  <c r="E94" i="7"/>
  <c r="U93" i="7"/>
  <c r="S93" i="7"/>
  <c r="P93" i="7"/>
  <c r="M93" i="7"/>
  <c r="J93" i="7"/>
  <c r="H93" i="7"/>
  <c r="E93" i="7"/>
  <c r="AK93" i="6" s="1"/>
  <c r="U92" i="7"/>
  <c r="S92" i="7"/>
  <c r="P92" i="7"/>
  <c r="M92" i="7"/>
  <c r="J92" i="7"/>
  <c r="H92" i="7"/>
  <c r="E92" i="7"/>
  <c r="AK92" i="6" s="1"/>
  <c r="U91" i="7"/>
  <c r="S91" i="7"/>
  <c r="P91" i="7"/>
  <c r="M91" i="7"/>
  <c r="J91" i="7"/>
  <c r="H91" i="7"/>
  <c r="E91" i="7"/>
  <c r="U90" i="7"/>
  <c r="S90" i="7"/>
  <c r="P90" i="7"/>
  <c r="M90" i="7"/>
  <c r="J90" i="7"/>
  <c r="H90" i="7"/>
  <c r="E90" i="7"/>
  <c r="U89" i="7"/>
  <c r="S89" i="7"/>
  <c r="P89" i="7"/>
  <c r="M89" i="7"/>
  <c r="J89" i="7"/>
  <c r="H89" i="7"/>
  <c r="E89" i="7"/>
  <c r="U88" i="7"/>
  <c r="S88" i="7"/>
  <c r="P88" i="7"/>
  <c r="M88" i="7"/>
  <c r="J88" i="7"/>
  <c r="H88" i="7"/>
  <c r="E88" i="7"/>
  <c r="U87" i="7"/>
  <c r="S87" i="7"/>
  <c r="P87" i="7"/>
  <c r="M87" i="7"/>
  <c r="J87" i="7"/>
  <c r="H87" i="7"/>
  <c r="E87" i="7"/>
  <c r="U86" i="7"/>
  <c r="S86" i="7"/>
  <c r="P86" i="7"/>
  <c r="M86" i="7"/>
  <c r="J86" i="7"/>
  <c r="H86" i="7"/>
  <c r="E86" i="7"/>
  <c r="U85" i="7"/>
  <c r="S85" i="7"/>
  <c r="P85" i="7"/>
  <c r="M85" i="7"/>
  <c r="J85" i="7"/>
  <c r="H85" i="7"/>
  <c r="E85" i="7"/>
  <c r="AK85" i="6" s="1"/>
  <c r="U84" i="7"/>
  <c r="S84" i="7"/>
  <c r="P84" i="7"/>
  <c r="M84" i="7"/>
  <c r="J84" i="7"/>
  <c r="H84" i="7"/>
  <c r="E84" i="7"/>
  <c r="AK84" i="6" s="1"/>
  <c r="U83" i="7"/>
  <c r="S83" i="7"/>
  <c r="P83" i="7"/>
  <c r="M83" i="7"/>
  <c r="J83" i="7"/>
  <c r="H83" i="7"/>
  <c r="E83" i="7"/>
  <c r="U82" i="7"/>
  <c r="S82" i="7"/>
  <c r="P82" i="7"/>
  <c r="M82" i="7"/>
  <c r="J82" i="7"/>
  <c r="H82" i="7"/>
  <c r="E82" i="7"/>
  <c r="U81" i="7"/>
  <c r="S81" i="7"/>
  <c r="P81" i="7"/>
  <c r="M81" i="7"/>
  <c r="J81" i="7"/>
  <c r="H81" i="7"/>
  <c r="E81" i="7"/>
  <c r="U80" i="7"/>
  <c r="S80" i="7"/>
  <c r="P80" i="7"/>
  <c r="M80" i="7"/>
  <c r="J80" i="7"/>
  <c r="H80" i="7"/>
  <c r="E80" i="7"/>
  <c r="U79" i="7"/>
  <c r="S79" i="7"/>
  <c r="P79" i="7"/>
  <c r="M79" i="7"/>
  <c r="J79" i="7"/>
  <c r="H79" i="7"/>
  <c r="E79" i="7"/>
  <c r="U78" i="7"/>
  <c r="S78" i="7"/>
  <c r="P78" i="7"/>
  <c r="M78" i="7"/>
  <c r="J78" i="7"/>
  <c r="H78" i="7"/>
  <c r="E78" i="7"/>
  <c r="U77" i="7"/>
  <c r="S77" i="7"/>
  <c r="P77" i="7"/>
  <c r="M77" i="7"/>
  <c r="J77" i="7"/>
  <c r="H77" i="7"/>
  <c r="E77" i="7"/>
  <c r="AK77" i="6" s="1"/>
  <c r="U76" i="7"/>
  <c r="S76" i="7"/>
  <c r="P76" i="7"/>
  <c r="M76" i="7"/>
  <c r="J76" i="7"/>
  <c r="H76" i="7"/>
  <c r="E76" i="7"/>
  <c r="AK76" i="6" s="1"/>
  <c r="U75" i="7"/>
  <c r="S75" i="7"/>
  <c r="P75" i="7"/>
  <c r="M75" i="7"/>
  <c r="J75" i="7"/>
  <c r="H75" i="7"/>
  <c r="E75" i="7"/>
  <c r="U74" i="7"/>
  <c r="S74" i="7"/>
  <c r="P74" i="7"/>
  <c r="M74" i="7"/>
  <c r="J74" i="7"/>
  <c r="H74" i="7"/>
  <c r="E74" i="7"/>
  <c r="U73" i="7"/>
  <c r="S73" i="7"/>
  <c r="P73" i="7"/>
  <c r="M73" i="7"/>
  <c r="J73" i="7"/>
  <c r="H73" i="7"/>
  <c r="E73" i="7"/>
  <c r="U72" i="7"/>
  <c r="S72" i="7"/>
  <c r="P72" i="7"/>
  <c r="M72" i="7"/>
  <c r="J72" i="7"/>
  <c r="H72" i="7"/>
  <c r="E72" i="7"/>
  <c r="U71" i="7"/>
  <c r="S71" i="7"/>
  <c r="P71" i="7"/>
  <c r="M71" i="7"/>
  <c r="J71" i="7"/>
  <c r="H71" i="7"/>
  <c r="E71" i="7"/>
  <c r="U70" i="7"/>
  <c r="S70" i="7"/>
  <c r="P70" i="7"/>
  <c r="M70" i="7"/>
  <c r="J70" i="7"/>
  <c r="H70" i="7"/>
  <c r="E70" i="7"/>
  <c r="U69" i="7"/>
  <c r="S69" i="7"/>
  <c r="P69" i="7"/>
  <c r="M69" i="7"/>
  <c r="J69" i="7"/>
  <c r="H69" i="7"/>
  <c r="E69" i="7"/>
  <c r="AK69" i="6" s="1"/>
  <c r="U68" i="7"/>
  <c r="S68" i="7"/>
  <c r="P68" i="7"/>
  <c r="M68" i="7"/>
  <c r="J68" i="7"/>
  <c r="H68" i="7"/>
  <c r="E68" i="7"/>
  <c r="AK68" i="6" s="1"/>
  <c r="U67" i="7"/>
  <c r="S67" i="7"/>
  <c r="P67" i="7"/>
  <c r="M67" i="7"/>
  <c r="J67" i="7"/>
  <c r="H67" i="7"/>
  <c r="E67" i="7"/>
  <c r="U66" i="7"/>
  <c r="S66" i="7"/>
  <c r="P66" i="7"/>
  <c r="M66" i="7"/>
  <c r="J66" i="7"/>
  <c r="H66" i="7"/>
  <c r="E66" i="7"/>
  <c r="U65" i="7"/>
  <c r="S65" i="7"/>
  <c r="P65" i="7"/>
  <c r="M65" i="7"/>
  <c r="J65" i="7"/>
  <c r="H65" i="7"/>
  <c r="E65" i="7"/>
  <c r="U64" i="7"/>
  <c r="S64" i="7"/>
  <c r="P64" i="7"/>
  <c r="M64" i="7"/>
  <c r="J64" i="7"/>
  <c r="H64" i="7"/>
  <c r="E64" i="7"/>
  <c r="U63" i="7"/>
  <c r="S63" i="7"/>
  <c r="P63" i="7"/>
  <c r="M63" i="7"/>
  <c r="J63" i="7"/>
  <c r="H63" i="7"/>
  <c r="E63" i="7"/>
  <c r="U62" i="7"/>
  <c r="S62" i="7"/>
  <c r="P62" i="7"/>
  <c r="M62" i="7"/>
  <c r="J62" i="7"/>
  <c r="H62" i="7"/>
  <c r="E62" i="7"/>
  <c r="U61" i="7"/>
  <c r="S61" i="7"/>
  <c r="P61" i="7"/>
  <c r="M61" i="7"/>
  <c r="J61" i="7"/>
  <c r="H61" i="7"/>
  <c r="E61" i="7"/>
  <c r="AK61" i="6" s="1"/>
  <c r="U60" i="7"/>
  <c r="S60" i="7"/>
  <c r="P60" i="7"/>
  <c r="M60" i="7"/>
  <c r="J60" i="7"/>
  <c r="H60" i="7"/>
  <c r="E60" i="7"/>
  <c r="AK60" i="6" s="1"/>
  <c r="U59" i="7"/>
  <c r="S59" i="7"/>
  <c r="P59" i="7"/>
  <c r="M59" i="7"/>
  <c r="J59" i="7"/>
  <c r="H59" i="7"/>
  <c r="E59" i="7"/>
  <c r="U58" i="7"/>
  <c r="S58" i="7"/>
  <c r="P58" i="7"/>
  <c r="M58" i="7"/>
  <c r="J58" i="7"/>
  <c r="H58" i="7"/>
  <c r="E58" i="7"/>
  <c r="U57" i="7"/>
  <c r="S57" i="7"/>
  <c r="P57" i="7"/>
  <c r="M57" i="7"/>
  <c r="J57" i="7"/>
  <c r="H57" i="7"/>
  <c r="E57" i="7"/>
  <c r="U56" i="7"/>
  <c r="S56" i="7"/>
  <c r="P56" i="7"/>
  <c r="M56" i="7"/>
  <c r="J56" i="7"/>
  <c r="H56" i="7"/>
  <c r="E56" i="7"/>
  <c r="AK56" i="6" s="1"/>
  <c r="U55" i="7"/>
  <c r="S55" i="7"/>
  <c r="P55" i="7"/>
  <c r="M55" i="7"/>
  <c r="J55" i="7"/>
  <c r="H55" i="7"/>
  <c r="E55" i="7"/>
  <c r="U54" i="7"/>
  <c r="S54" i="7"/>
  <c r="P54" i="7"/>
  <c r="M54" i="7"/>
  <c r="J54" i="7"/>
  <c r="H54" i="7"/>
  <c r="E54" i="7"/>
  <c r="AK54" i="6" s="1"/>
  <c r="U53" i="7"/>
  <c r="S53" i="7"/>
  <c r="P53" i="7"/>
  <c r="M53" i="7"/>
  <c r="J53" i="7"/>
  <c r="H53" i="7"/>
  <c r="E53" i="7"/>
  <c r="AK53" i="6" s="1"/>
  <c r="U52" i="7"/>
  <c r="S52" i="7"/>
  <c r="P52" i="7"/>
  <c r="M52" i="7"/>
  <c r="J52" i="7"/>
  <c r="H52" i="7"/>
  <c r="E52" i="7"/>
  <c r="AK52" i="6" s="1"/>
  <c r="U51" i="7"/>
  <c r="S51" i="7"/>
  <c r="P51" i="7"/>
  <c r="M51" i="7"/>
  <c r="J51" i="7"/>
  <c r="H51" i="7"/>
  <c r="E51" i="7"/>
  <c r="U50" i="7"/>
  <c r="S50" i="7"/>
  <c r="P50" i="7"/>
  <c r="M50" i="7"/>
  <c r="J50" i="7"/>
  <c r="H50" i="7"/>
  <c r="E50" i="7"/>
  <c r="U49" i="7"/>
  <c r="S49" i="7"/>
  <c r="P49" i="7"/>
  <c r="M49" i="7"/>
  <c r="J49" i="7"/>
  <c r="H49" i="7"/>
  <c r="E49" i="7"/>
  <c r="U48" i="7"/>
  <c r="S48" i="7"/>
  <c r="P48" i="7"/>
  <c r="M48" i="7"/>
  <c r="J48" i="7"/>
  <c r="H48" i="7"/>
  <c r="E48" i="7"/>
  <c r="U47" i="7"/>
  <c r="S47" i="7"/>
  <c r="P47" i="7"/>
  <c r="M47" i="7"/>
  <c r="J47" i="7"/>
  <c r="H47" i="7"/>
  <c r="E47" i="7"/>
  <c r="U46" i="7"/>
  <c r="S46" i="7"/>
  <c r="P46" i="7"/>
  <c r="M46" i="7"/>
  <c r="J46" i="7"/>
  <c r="H46" i="7"/>
  <c r="E46" i="7"/>
  <c r="U45" i="7"/>
  <c r="S45" i="7"/>
  <c r="P45" i="7"/>
  <c r="M45" i="7"/>
  <c r="J45" i="7"/>
  <c r="H45" i="7"/>
  <c r="E45" i="7"/>
  <c r="AK45" i="6" s="1"/>
  <c r="U44" i="7"/>
  <c r="S44" i="7"/>
  <c r="P44" i="7"/>
  <c r="M44" i="7"/>
  <c r="J44" i="7"/>
  <c r="H44" i="7"/>
  <c r="E44" i="7"/>
  <c r="AK44" i="6" s="1"/>
  <c r="U43" i="7"/>
  <c r="S43" i="7"/>
  <c r="P43" i="7"/>
  <c r="M43" i="7"/>
  <c r="J43" i="7"/>
  <c r="H43" i="7"/>
  <c r="E43" i="7"/>
  <c r="U42" i="7"/>
  <c r="S42" i="7"/>
  <c r="P42" i="7"/>
  <c r="M42" i="7"/>
  <c r="J42" i="7"/>
  <c r="H42" i="7"/>
  <c r="E42" i="7"/>
  <c r="U41" i="7"/>
  <c r="S41" i="7"/>
  <c r="P41" i="7"/>
  <c r="M41" i="7"/>
  <c r="J41" i="7"/>
  <c r="H41" i="7"/>
  <c r="E41" i="7"/>
  <c r="U40" i="7"/>
  <c r="S40" i="7"/>
  <c r="P40" i="7"/>
  <c r="M40" i="7"/>
  <c r="J40" i="7"/>
  <c r="H40" i="7"/>
  <c r="E40" i="7"/>
  <c r="U39" i="7"/>
  <c r="S39" i="7"/>
  <c r="P39" i="7"/>
  <c r="M39" i="7"/>
  <c r="J39" i="7"/>
  <c r="H39" i="7"/>
  <c r="E39" i="7"/>
  <c r="U38" i="7"/>
  <c r="S38" i="7"/>
  <c r="P38" i="7"/>
  <c r="M38" i="7"/>
  <c r="J38" i="7"/>
  <c r="H38" i="7"/>
  <c r="E38" i="7"/>
  <c r="AK38" i="6" s="1"/>
  <c r="U37" i="7"/>
  <c r="S37" i="7"/>
  <c r="P37" i="7"/>
  <c r="M37" i="7"/>
  <c r="J37" i="7"/>
  <c r="H37" i="7"/>
  <c r="E37" i="7"/>
  <c r="AK37" i="6" s="1"/>
  <c r="U36" i="7"/>
  <c r="S36" i="7"/>
  <c r="P36" i="7"/>
  <c r="M36" i="7"/>
  <c r="J36" i="7"/>
  <c r="H36" i="7"/>
  <c r="E36" i="7"/>
  <c r="AK36" i="6" s="1"/>
  <c r="U35" i="7"/>
  <c r="S35" i="7"/>
  <c r="P35" i="7"/>
  <c r="M35" i="7"/>
  <c r="J35" i="7"/>
  <c r="H35" i="7"/>
  <c r="E35" i="7"/>
  <c r="U34" i="7"/>
  <c r="S34" i="7"/>
  <c r="P34" i="7"/>
  <c r="M34" i="7"/>
  <c r="J34" i="7"/>
  <c r="H34" i="7"/>
  <c r="E34" i="7"/>
  <c r="U33" i="7"/>
  <c r="S33" i="7"/>
  <c r="P33" i="7"/>
  <c r="M33" i="7"/>
  <c r="J33" i="7"/>
  <c r="H33" i="7"/>
  <c r="E33" i="7"/>
  <c r="U32" i="7"/>
  <c r="S32" i="7"/>
  <c r="P32" i="7"/>
  <c r="M32" i="7"/>
  <c r="J32" i="7"/>
  <c r="H32" i="7"/>
  <c r="E32" i="7"/>
  <c r="U31" i="7"/>
  <c r="S31" i="7"/>
  <c r="P31" i="7"/>
  <c r="M31" i="7"/>
  <c r="J31" i="7"/>
  <c r="H31" i="7"/>
  <c r="E31" i="7"/>
  <c r="U30" i="7"/>
  <c r="S30" i="7"/>
  <c r="P30" i="7"/>
  <c r="M30" i="7"/>
  <c r="J30" i="7"/>
  <c r="H30" i="7"/>
  <c r="E30" i="7"/>
  <c r="AK30" i="6" s="1"/>
  <c r="U29" i="7"/>
  <c r="S29" i="7"/>
  <c r="P29" i="7"/>
  <c r="M29" i="7"/>
  <c r="J29" i="7"/>
  <c r="H29" i="7"/>
  <c r="E29" i="7"/>
  <c r="AK29" i="6" s="1"/>
  <c r="U28" i="7"/>
  <c r="S28" i="7"/>
  <c r="P28" i="7"/>
  <c r="M28" i="7"/>
  <c r="J28" i="7"/>
  <c r="H28" i="7"/>
  <c r="E28" i="7"/>
  <c r="AK28" i="6" s="1"/>
  <c r="U27" i="7"/>
  <c r="S27" i="7"/>
  <c r="P27" i="7"/>
  <c r="M27" i="7"/>
  <c r="J27" i="7"/>
  <c r="H27" i="7"/>
  <c r="E27" i="7"/>
  <c r="U26" i="7"/>
  <c r="S26" i="7"/>
  <c r="P26" i="7"/>
  <c r="M26" i="7"/>
  <c r="J26" i="7"/>
  <c r="H26" i="7"/>
  <c r="E26" i="7"/>
  <c r="U25" i="7"/>
  <c r="S25" i="7"/>
  <c r="P25" i="7"/>
  <c r="M25" i="7"/>
  <c r="J25" i="7"/>
  <c r="H25" i="7"/>
  <c r="E25" i="7"/>
  <c r="U24" i="7"/>
  <c r="S24" i="7"/>
  <c r="P24" i="7"/>
  <c r="M24" i="7"/>
  <c r="J24" i="7"/>
  <c r="H24" i="7"/>
  <c r="E24" i="7"/>
  <c r="U23" i="7"/>
  <c r="S23" i="7"/>
  <c r="P23" i="7"/>
  <c r="M23" i="7"/>
  <c r="J23" i="7"/>
  <c r="H23" i="7"/>
  <c r="E23" i="7"/>
  <c r="U22" i="7"/>
  <c r="S22" i="7"/>
  <c r="P22" i="7"/>
  <c r="M22" i="7"/>
  <c r="J22" i="7"/>
  <c r="H22" i="7"/>
  <c r="E22" i="7"/>
  <c r="AK22" i="6" s="1"/>
  <c r="U21" i="7"/>
  <c r="S21" i="7"/>
  <c r="P21" i="7"/>
  <c r="M21" i="7"/>
  <c r="J21" i="7"/>
  <c r="H21" i="7"/>
  <c r="E21" i="7"/>
  <c r="AK21" i="6" s="1"/>
  <c r="U20" i="7"/>
  <c r="S20" i="7"/>
  <c r="P20" i="7"/>
  <c r="M20" i="7"/>
  <c r="J20" i="7"/>
  <c r="H20" i="7"/>
  <c r="E20" i="7"/>
  <c r="U19" i="7"/>
  <c r="S19" i="7"/>
  <c r="P19" i="7"/>
  <c r="M19" i="7"/>
  <c r="J19" i="7"/>
  <c r="H19" i="7"/>
  <c r="E19" i="7"/>
  <c r="AK19" i="6" s="1"/>
  <c r="U18" i="7"/>
  <c r="S18" i="7"/>
  <c r="P18" i="7"/>
  <c r="M18" i="7"/>
  <c r="J18" i="7"/>
  <c r="H18" i="7"/>
  <c r="E18" i="7"/>
  <c r="U17" i="7"/>
  <c r="S17" i="7"/>
  <c r="P17" i="7"/>
  <c r="M17" i="7"/>
  <c r="J17" i="7"/>
  <c r="H17" i="7"/>
  <c r="E17" i="7"/>
  <c r="U16" i="7"/>
  <c r="S16" i="7"/>
  <c r="P16" i="7"/>
  <c r="M16" i="7"/>
  <c r="J16" i="7"/>
  <c r="H16" i="7"/>
  <c r="E16" i="7"/>
  <c r="U15" i="7"/>
  <c r="S15" i="7"/>
  <c r="P15" i="7"/>
  <c r="M15" i="7"/>
  <c r="J15" i="7"/>
  <c r="H15" i="7"/>
  <c r="E15" i="7"/>
  <c r="U14" i="7"/>
  <c r="S14" i="7"/>
  <c r="P14" i="7"/>
  <c r="M14" i="7"/>
  <c r="J14" i="7"/>
  <c r="H14" i="7"/>
  <c r="E14" i="7"/>
  <c r="AK14" i="6" s="1"/>
  <c r="U13" i="7"/>
  <c r="S13" i="7"/>
  <c r="P13" i="7"/>
  <c r="M13" i="7"/>
  <c r="J13" i="7"/>
  <c r="H13" i="7"/>
  <c r="E13" i="7"/>
  <c r="AK13" i="6" s="1"/>
  <c r="U12" i="7"/>
  <c r="S12" i="7"/>
  <c r="P12" i="7"/>
  <c r="M12" i="7"/>
  <c r="J12" i="7"/>
  <c r="H12" i="7"/>
  <c r="E12" i="7"/>
  <c r="AK12" i="6" s="1"/>
  <c r="U11" i="7"/>
  <c r="S11" i="7"/>
  <c r="P11" i="7"/>
  <c r="M11" i="7"/>
  <c r="J11" i="7"/>
  <c r="H11" i="7"/>
  <c r="E11" i="7"/>
  <c r="AK11" i="6" s="1"/>
  <c r="U10" i="7"/>
  <c r="S10" i="7"/>
  <c r="P10" i="7"/>
  <c r="M10" i="7"/>
  <c r="J10" i="7"/>
  <c r="H10" i="7"/>
  <c r="E10" i="7"/>
  <c r="U9" i="7"/>
  <c r="S9" i="7"/>
  <c r="P9" i="7"/>
  <c r="M9" i="7"/>
  <c r="J9" i="7"/>
  <c r="H9" i="7"/>
  <c r="E9" i="7"/>
  <c r="U8" i="7"/>
  <c r="S8" i="7"/>
  <c r="P8" i="7"/>
  <c r="M8" i="7"/>
  <c r="J8" i="7"/>
  <c r="H8" i="7"/>
  <c r="E8" i="7"/>
  <c r="U7" i="7"/>
  <c r="S7" i="7"/>
  <c r="P7" i="7"/>
  <c r="M7" i="7"/>
  <c r="J7" i="7"/>
  <c r="H7" i="7"/>
  <c r="E7" i="7"/>
  <c r="U6" i="7"/>
  <c r="S6" i="7"/>
  <c r="P6" i="7"/>
  <c r="M6" i="7"/>
  <c r="J6" i="7"/>
  <c r="H6" i="7"/>
  <c r="E6" i="7"/>
  <c r="AK6" i="6" s="1"/>
  <c r="U5" i="7"/>
  <c r="S5" i="7"/>
  <c r="P5" i="7"/>
  <c r="M5" i="7"/>
  <c r="J5" i="7"/>
  <c r="H5" i="7"/>
  <c r="E5" i="7"/>
  <c r="AK5" i="6" s="1"/>
  <c r="U4" i="7"/>
  <c r="S4" i="7"/>
  <c r="P4" i="7"/>
  <c r="M4" i="7"/>
  <c r="J4" i="7"/>
  <c r="H4" i="7"/>
  <c r="E4" i="7"/>
  <c r="U3" i="7"/>
  <c r="S3" i="7"/>
  <c r="P3" i="7"/>
  <c r="M3" i="7"/>
  <c r="J3" i="7"/>
  <c r="H3" i="7"/>
  <c r="E3" i="7"/>
  <c r="AK3" i="6" s="1"/>
  <c r="U2" i="7"/>
  <c r="S2" i="7"/>
  <c r="P2" i="7"/>
  <c r="M2" i="7"/>
  <c r="J2" i="7"/>
  <c r="H2" i="7"/>
  <c r="E2" i="7"/>
  <c r="AP232" i="6"/>
  <c r="AO232" i="6"/>
  <c r="AN232" i="6"/>
  <c r="AM232" i="6"/>
  <c r="AK232" i="6"/>
  <c r="AI232" i="6"/>
  <c r="AH232" i="6"/>
  <c r="AG232" i="6"/>
  <c r="AF232" i="6"/>
  <c r="AE232" i="6"/>
  <c r="AD232" i="6"/>
  <c r="AP231" i="6"/>
  <c r="AO231" i="6"/>
  <c r="AN231" i="6"/>
  <c r="AM231" i="6"/>
  <c r="AK231" i="6"/>
  <c r="AI231" i="6"/>
  <c r="AH231" i="6"/>
  <c r="AG231" i="6"/>
  <c r="AE231" i="6"/>
  <c r="AD231" i="6"/>
  <c r="AP230" i="6"/>
  <c r="AO230" i="6"/>
  <c r="AN230" i="6"/>
  <c r="AM230" i="6"/>
  <c r="AK230" i="6"/>
  <c r="AI230" i="6"/>
  <c r="AH230" i="6"/>
  <c r="AG230" i="6"/>
  <c r="AE230" i="6"/>
  <c r="AD230" i="6"/>
  <c r="AP229" i="6"/>
  <c r="AO229" i="6"/>
  <c r="AN229" i="6"/>
  <c r="AM229" i="6"/>
  <c r="AI229" i="6"/>
  <c r="AH229" i="6"/>
  <c r="AG229" i="6"/>
  <c r="AF229" i="6"/>
  <c r="AE229" i="6"/>
  <c r="AD229" i="6"/>
  <c r="AP228" i="6"/>
  <c r="AO228" i="6"/>
  <c r="AN228" i="6"/>
  <c r="AM228" i="6"/>
  <c r="AI228" i="6"/>
  <c r="AH228" i="6"/>
  <c r="AG228" i="6"/>
  <c r="AF228" i="6"/>
  <c r="AE228" i="6"/>
  <c r="AD228" i="6"/>
  <c r="AP227" i="6"/>
  <c r="AO227" i="6"/>
  <c r="AN227" i="6"/>
  <c r="AM227" i="6"/>
  <c r="AK227" i="6"/>
  <c r="AI227" i="6"/>
  <c r="AH227" i="6"/>
  <c r="AG227" i="6"/>
  <c r="AF227" i="6"/>
  <c r="AE227" i="6"/>
  <c r="AD227" i="6"/>
  <c r="AP226" i="6"/>
  <c r="AO226" i="6"/>
  <c r="AN226" i="6"/>
  <c r="AM226" i="6"/>
  <c r="AK226" i="6"/>
  <c r="AI226" i="6"/>
  <c r="AH226" i="6"/>
  <c r="AG226" i="6"/>
  <c r="AF226" i="6"/>
  <c r="AE226" i="6"/>
  <c r="AD226" i="6"/>
  <c r="AP225" i="6"/>
  <c r="AO225" i="6"/>
  <c r="AN225" i="6"/>
  <c r="AM225" i="6"/>
  <c r="AK225" i="6"/>
  <c r="AI225" i="6"/>
  <c r="AH225" i="6"/>
  <c r="AG225" i="6"/>
  <c r="AF225" i="6"/>
  <c r="AE225" i="6"/>
  <c r="AD225" i="6"/>
  <c r="AP224" i="6"/>
  <c r="AO224" i="6"/>
  <c r="AN224" i="6"/>
  <c r="AM224" i="6"/>
  <c r="AK224" i="6"/>
  <c r="AI224" i="6"/>
  <c r="AH224" i="6"/>
  <c r="AG224" i="6"/>
  <c r="AF224" i="6"/>
  <c r="AE224" i="6"/>
  <c r="AD224" i="6"/>
  <c r="AP223" i="6"/>
  <c r="AO223" i="6"/>
  <c r="AN223" i="6"/>
  <c r="AM223" i="6"/>
  <c r="AK223" i="6"/>
  <c r="AI223" i="6"/>
  <c r="AH223" i="6"/>
  <c r="AG223" i="6"/>
  <c r="AF223" i="6"/>
  <c r="AE223" i="6"/>
  <c r="AD223" i="6"/>
  <c r="AP222" i="6"/>
  <c r="AO222" i="6"/>
  <c r="AN222" i="6"/>
  <c r="AM222" i="6"/>
  <c r="AK222" i="6"/>
  <c r="AI222" i="6"/>
  <c r="AH222" i="6"/>
  <c r="AG222" i="6"/>
  <c r="AE222" i="6"/>
  <c r="AD222" i="6"/>
  <c r="AP221" i="6"/>
  <c r="AO221" i="6"/>
  <c r="AN221" i="6"/>
  <c r="AM221" i="6"/>
  <c r="AI221" i="6"/>
  <c r="AH221" i="6"/>
  <c r="AG221" i="6"/>
  <c r="AF221" i="6"/>
  <c r="AE221" i="6"/>
  <c r="AD221" i="6"/>
  <c r="AP220" i="6"/>
  <c r="AO220" i="6"/>
  <c r="AN220" i="6"/>
  <c r="AM220" i="6"/>
  <c r="AI220" i="6"/>
  <c r="AH220" i="6"/>
  <c r="AG220" i="6"/>
  <c r="AF220" i="6"/>
  <c r="AE220" i="6"/>
  <c r="AD220" i="6"/>
  <c r="AP219" i="6"/>
  <c r="AO219" i="6"/>
  <c r="AN219" i="6"/>
  <c r="AM219" i="6"/>
  <c r="AK219" i="6"/>
  <c r="AI219" i="6"/>
  <c r="AH219" i="6"/>
  <c r="AG219" i="6"/>
  <c r="AF219" i="6"/>
  <c r="AE219" i="6"/>
  <c r="AD219" i="6"/>
  <c r="AP218" i="6"/>
  <c r="AO218" i="6"/>
  <c r="AN218" i="6"/>
  <c r="AM218" i="6"/>
  <c r="AK218" i="6"/>
  <c r="AI218" i="6"/>
  <c r="AH218" i="6"/>
  <c r="AG218" i="6"/>
  <c r="AF218" i="6"/>
  <c r="AE218" i="6"/>
  <c r="AD218" i="6"/>
  <c r="AP217" i="6"/>
  <c r="AO217" i="6"/>
  <c r="AN217" i="6"/>
  <c r="AM217" i="6"/>
  <c r="AK217" i="6"/>
  <c r="AI217" i="6"/>
  <c r="AH217" i="6"/>
  <c r="AG217" i="6"/>
  <c r="AF217" i="6"/>
  <c r="AE217" i="6"/>
  <c r="AD217" i="6"/>
  <c r="AP216" i="6"/>
  <c r="AO216" i="6"/>
  <c r="AN216" i="6"/>
  <c r="AM216" i="6"/>
  <c r="AK216" i="6"/>
  <c r="AI216" i="6"/>
  <c r="AH216" i="6"/>
  <c r="AG216" i="6"/>
  <c r="AF216" i="6"/>
  <c r="AE216" i="6"/>
  <c r="AD216" i="6"/>
  <c r="AP215" i="6"/>
  <c r="AO215" i="6"/>
  <c r="AN215" i="6"/>
  <c r="AM215" i="6"/>
  <c r="AK215" i="6"/>
  <c r="AI215" i="6"/>
  <c r="AH215" i="6"/>
  <c r="AG215" i="6"/>
  <c r="AE215" i="6"/>
  <c r="AD215" i="6"/>
  <c r="AP214" i="6"/>
  <c r="AO214" i="6"/>
  <c r="AN214" i="6"/>
  <c r="AM214" i="6"/>
  <c r="AK214" i="6"/>
  <c r="AI214" i="6"/>
  <c r="AH214" i="6"/>
  <c r="AG214" i="6"/>
  <c r="AE214" i="6"/>
  <c r="AD214" i="6"/>
  <c r="AP213" i="6"/>
  <c r="AO213" i="6"/>
  <c r="AN213" i="6"/>
  <c r="AM213" i="6"/>
  <c r="AI213" i="6"/>
  <c r="AH213" i="6"/>
  <c r="AG213" i="6"/>
  <c r="AF213" i="6"/>
  <c r="AE213" i="6"/>
  <c r="AD213" i="6"/>
  <c r="AP212" i="6"/>
  <c r="AO212" i="6"/>
  <c r="AN212" i="6"/>
  <c r="AM212" i="6"/>
  <c r="AI212" i="6"/>
  <c r="AH212" i="6"/>
  <c r="AG212" i="6"/>
  <c r="AF212" i="6"/>
  <c r="AE212" i="6"/>
  <c r="AD212" i="6"/>
  <c r="AP211" i="6"/>
  <c r="AO211" i="6"/>
  <c r="AN211" i="6"/>
  <c r="AM211" i="6"/>
  <c r="AK211" i="6"/>
  <c r="AI211" i="6"/>
  <c r="AH211" i="6"/>
  <c r="AG211" i="6"/>
  <c r="AF211" i="6"/>
  <c r="AE211" i="6"/>
  <c r="AD211" i="6"/>
  <c r="AP210" i="6"/>
  <c r="AO210" i="6"/>
  <c r="AN210" i="6"/>
  <c r="AM210" i="6"/>
  <c r="AK210" i="6"/>
  <c r="AI210" i="6"/>
  <c r="AH210" i="6"/>
  <c r="AG210" i="6"/>
  <c r="AF210" i="6"/>
  <c r="AE210" i="6"/>
  <c r="AD210" i="6"/>
  <c r="AP209" i="6"/>
  <c r="AO209" i="6"/>
  <c r="AN209" i="6"/>
  <c r="AM209" i="6"/>
  <c r="AK209" i="6"/>
  <c r="AI209" i="6"/>
  <c r="AH209" i="6"/>
  <c r="AG209" i="6"/>
  <c r="AF209" i="6"/>
  <c r="AE209" i="6"/>
  <c r="AD209" i="6"/>
  <c r="AP208" i="6"/>
  <c r="AO208" i="6"/>
  <c r="AN208" i="6"/>
  <c r="AM208" i="6"/>
  <c r="AK208" i="6"/>
  <c r="AI208" i="6"/>
  <c r="AH208" i="6"/>
  <c r="AG208" i="6"/>
  <c r="AF208" i="6"/>
  <c r="AE208" i="6"/>
  <c r="AD208" i="6"/>
  <c r="AP207" i="6"/>
  <c r="AO207" i="6"/>
  <c r="AN207" i="6"/>
  <c r="AM207" i="6"/>
  <c r="AK207" i="6"/>
  <c r="AI207" i="6"/>
  <c r="AH207" i="6"/>
  <c r="AG207" i="6"/>
  <c r="AE207" i="6"/>
  <c r="AD207" i="6"/>
  <c r="AP206" i="6"/>
  <c r="AO206" i="6"/>
  <c r="AN206" i="6"/>
  <c r="AM206" i="6"/>
  <c r="AK206" i="6"/>
  <c r="AI206" i="6"/>
  <c r="AH206" i="6"/>
  <c r="AG206" i="6"/>
  <c r="AE206" i="6"/>
  <c r="AD206" i="6"/>
  <c r="AP205" i="6"/>
  <c r="AO205" i="6"/>
  <c r="AN205" i="6"/>
  <c r="AM205" i="6"/>
  <c r="AI205" i="6"/>
  <c r="AH205" i="6"/>
  <c r="AG205" i="6"/>
  <c r="AF205" i="6"/>
  <c r="AE205" i="6"/>
  <c r="AD205" i="6"/>
  <c r="AP204" i="6"/>
  <c r="AO204" i="6"/>
  <c r="AN204" i="6"/>
  <c r="AM204" i="6"/>
  <c r="AI204" i="6"/>
  <c r="AH204" i="6"/>
  <c r="AG204" i="6"/>
  <c r="AF204" i="6"/>
  <c r="AE204" i="6"/>
  <c r="AD204" i="6"/>
  <c r="AP203" i="6"/>
  <c r="AO203" i="6"/>
  <c r="AN203" i="6"/>
  <c r="AM203" i="6"/>
  <c r="AK203" i="6"/>
  <c r="AI203" i="6"/>
  <c r="AH203" i="6"/>
  <c r="AG203" i="6"/>
  <c r="AF203" i="6"/>
  <c r="AE203" i="6"/>
  <c r="AD203" i="6"/>
  <c r="AP202" i="6"/>
  <c r="AO202" i="6"/>
  <c r="AN202" i="6"/>
  <c r="AM202" i="6"/>
  <c r="AK202" i="6"/>
  <c r="AI202" i="6"/>
  <c r="AH202" i="6"/>
  <c r="AG202" i="6"/>
  <c r="AF202" i="6"/>
  <c r="AE202" i="6"/>
  <c r="AD202" i="6"/>
  <c r="AP201" i="6"/>
  <c r="AO201" i="6"/>
  <c r="AN201" i="6"/>
  <c r="AM201" i="6"/>
  <c r="AK201" i="6"/>
  <c r="AI201" i="6"/>
  <c r="AH201" i="6"/>
  <c r="AG201" i="6"/>
  <c r="AF201" i="6"/>
  <c r="AE201" i="6"/>
  <c r="AD201" i="6"/>
  <c r="AP200" i="6"/>
  <c r="AO200" i="6"/>
  <c r="AN200" i="6"/>
  <c r="AM200" i="6"/>
  <c r="AK200" i="6"/>
  <c r="AI200" i="6"/>
  <c r="AH200" i="6"/>
  <c r="AG200" i="6"/>
  <c r="AF200" i="6"/>
  <c r="AE200" i="6"/>
  <c r="AD200" i="6"/>
  <c r="AP199" i="6"/>
  <c r="AO199" i="6"/>
  <c r="AN199" i="6"/>
  <c r="AM199" i="6"/>
  <c r="AK199" i="6"/>
  <c r="AI199" i="6"/>
  <c r="AH199" i="6"/>
  <c r="AG199" i="6"/>
  <c r="AE199" i="6"/>
  <c r="AD199" i="6"/>
  <c r="AP198" i="6"/>
  <c r="AO198" i="6"/>
  <c r="AN198" i="6"/>
  <c r="AM198" i="6"/>
  <c r="AK198" i="6"/>
  <c r="AI198" i="6"/>
  <c r="AH198" i="6"/>
  <c r="AG198" i="6"/>
  <c r="AE198" i="6"/>
  <c r="AD198" i="6"/>
  <c r="AP197" i="6"/>
  <c r="AO197" i="6"/>
  <c r="AN197" i="6"/>
  <c r="AM197" i="6"/>
  <c r="AI197" i="6"/>
  <c r="AH197" i="6"/>
  <c r="AG197" i="6"/>
  <c r="AF197" i="6"/>
  <c r="AE197" i="6"/>
  <c r="AD197" i="6"/>
  <c r="AP196" i="6"/>
  <c r="AO196" i="6"/>
  <c r="AN196" i="6"/>
  <c r="AM196" i="6"/>
  <c r="AI196" i="6"/>
  <c r="AH196" i="6"/>
  <c r="AG196" i="6"/>
  <c r="AF196" i="6"/>
  <c r="AE196" i="6"/>
  <c r="AD196" i="6"/>
  <c r="AP195" i="6"/>
  <c r="AO195" i="6"/>
  <c r="AN195" i="6"/>
  <c r="AM195" i="6"/>
  <c r="AK195" i="6"/>
  <c r="AI195" i="6"/>
  <c r="AH195" i="6"/>
  <c r="AG195" i="6"/>
  <c r="AF195" i="6"/>
  <c r="AE195" i="6"/>
  <c r="AD195" i="6"/>
  <c r="AP194" i="6"/>
  <c r="AO194" i="6"/>
  <c r="AN194" i="6"/>
  <c r="AM194" i="6"/>
  <c r="AK194" i="6"/>
  <c r="AI194" i="6"/>
  <c r="AH194" i="6"/>
  <c r="AG194" i="6"/>
  <c r="AF194" i="6"/>
  <c r="AE194" i="6"/>
  <c r="AD194" i="6"/>
  <c r="AP193" i="6"/>
  <c r="AO193" i="6"/>
  <c r="AN193" i="6"/>
  <c r="AM193" i="6"/>
  <c r="AK193" i="6"/>
  <c r="AI193" i="6"/>
  <c r="AH193" i="6"/>
  <c r="AG193" i="6"/>
  <c r="AF193" i="6"/>
  <c r="AE193" i="6"/>
  <c r="AD193" i="6"/>
  <c r="AP192" i="6"/>
  <c r="AO192" i="6"/>
  <c r="AN192" i="6"/>
  <c r="AM192" i="6"/>
  <c r="AK192" i="6"/>
  <c r="AI192" i="6"/>
  <c r="AH192" i="6"/>
  <c r="AG192" i="6"/>
  <c r="AF192" i="6"/>
  <c r="AE192" i="6"/>
  <c r="AD192" i="6"/>
  <c r="AP191" i="6"/>
  <c r="AO191" i="6"/>
  <c r="AN191" i="6"/>
  <c r="AM191" i="6"/>
  <c r="AK191" i="6"/>
  <c r="AI191" i="6"/>
  <c r="AH191" i="6"/>
  <c r="AG191" i="6"/>
  <c r="AF191" i="6"/>
  <c r="AE191" i="6"/>
  <c r="AD191" i="6"/>
  <c r="AP190" i="6"/>
  <c r="AO190" i="6"/>
  <c r="AN190" i="6"/>
  <c r="AM190" i="6"/>
  <c r="AK190" i="6"/>
  <c r="AI190" i="6"/>
  <c r="AH190" i="6"/>
  <c r="AG190" i="6"/>
  <c r="AE190" i="6"/>
  <c r="AD190" i="6"/>
  <c r="AP189" i="6"/>
  <c r="AO189" i="6"/>
  <c r="AN189" i="6"/>
  <c r="AM189" i="6"/>
  <c r="AI189" i="6"/>
  <c r="AH189" i="6"/>
  <c r="AG189" i="6"/>
  <c r="AF189" i="6"/>
  <c r="AE189" i="6"/>
  <c r="AD189" i="6"/>
  <c r="AP188" i="6"/>
  <c r="AO188" i="6"/>
  <c r="AN188" i="6"/>
  <c r="AM188" i="6"/>
  <c r="AI188" i="6"/>
  <c r="AH188" i="6"/>
  <c r="AG188" i="6"/>
  <c r="AF188" i="6"/>
  <c r="AE188" i="6"/>
  <c r="AD188" i="6"/>
  <c r="AP187" i="6"/>
  <c r="AO187" i="6"/>
  <c r="AN187" i="6"/>
  <c r="AM187" i="6"/>
  <c r="AK187" i="6"/>
  <c r="AI187" i="6"/>
  <c r="AH187" i="6"/>
  <c r="AG187" i="6"/>
  <c r="AF187" i="6"/>
  <c r="AE187" i="6"/>
  <c r="AD187" i="6"/>
  <c r="AP186" i="6"/>
  <c r="AO186" i="6"/>
  <c r="AN186" i="6"/>
  <c r="AM186" i="6"/>
  <c r="AK186" i="6"/>
  <c r="AI186" i="6"/>
  <c r="AH186" i="6"/>
  <c r="AG186" i="6"/>
  <c r="AF186" i="6"/>
  <c r="AE186" i="6"/>
  <c r="AD186" i="6"/>
  <c r="AP185" i="6"/>
  <c r="AO185" i="6"/>
  <c r="AN185" i="6"/>
  <c r="AM185" i="6"/>
  <c r="AK185" i="6"/>
  <c r="AI185" i="6"/>
  <c r="AH185" i="6"/>
  <c r="AG185" i="6"/>
  <c r="AF185" i="6"/>
  <c r="AE185" i="6"/>
  <c r="AD185" i="6"/>
  <c r="AP184" i="6"/>
  <c r="AO184" i="6"/>
  <c r="AN184" i="6"/>
  <c r="AM184" i="6"/>
  <c r="AK184" i="6"/>
  <c r="AI184" i="6"/>
  <c r="AH184" i="6"/>
  <c r="AG184" i="6"/>
  <c r="AF184" i="6"/>
  <c r="AE184" i="6"/>
  <c r="AD184" i="6"/>
  <c r="AP183" i="6"/>
  <c r="AO183" i="6"/>
  <c r="AN183" i="6"/>
  <c r="AM183" i="6"/>
  <c r="AK183" i="6"/>
  <c r="AI183" i="6"/>
  <c r="AH183" i="6"/>
  <c r="AG183" i="6"/>
  <c r="AE183" i="6"/>
  <c r="AD183" i="6"/>
  <c r="AP182" i="6"/>
  <c r="AO182" i="6"/>
  <c r="AN182" i="6"/>
  <c r="AM182" i="6"/>
  <c r="AK182" i="6"/>
  <c r="AI182" i="6"/>
  <c r="AH182" i="6"/>
  <c r="AG182" i="6"/>
  <c r="AE182" i="6"/>
  <c r="AD182" i="6"/>
  <c r="AP181" i="6"/>
  <c r="AO181" i="6"/>
  <c r="AN181" i="6"/>
  <c r="AM181" i="6"/>
  <c r="AI181" i="6"/>
  <c r="AH181" i="6"/>
  <c r="AG181" i="6"/>
  <c r="AF181" i="6"/>
  <c r="AE181" i="6"/>
  <c r="AD181" i="6"/>
  <c r="AP180" i="6"/>
  <c r="AO180" i="6"/>
  <c r="AN180" i="6"/>
  <c r="AM180" i="6"/>
  <c r="AI180" i="6"/>
  <c r="AH180" i="6"/>
  <c r="AG180" i="6"/>
  <c r="AF180" i="6"/>
  <c r="AE180" i="6"/>
  <c r="AD180" i="6"/>
  <c r="AP179" i="6"/>
  <c r="AO179" i="6"/>
  <c r="AN179" i="6"/>
  <c r="AM179" i="6"/>
  <c r="AK179" i="6"/>
  <c r="AI179" i="6"/>
  <c r="AH179" i="6"/>
  <c r="AG179" i="6"/>
  <c r="AF179" i="6"/>
  <c r="AE179" i="6"/>
  <c r="AD179" i="6"/>
  <c r="AP178" i="6"/>
  <c r="AO178" i="6"/>
  <c r="AN178" i="6"/>
  <c r="AM178" i="6"/>
  <c r="AK178" i="6"/>
  <c r="AI178" i="6"/>
  <c r="AH178" i="6"/>
  <c r="AG178" i="6"/>
  <c r="AF178" i="6"/>
  <c r="AE178" i="6"/>
  <c r="AD178" i="6"/>
  <c r="AP177" i="6"/>
  <c r="AO177" i="6"/>
  <c r="AN177" i="6"/>
  <c r="AM177" i="6"/>
  <c r="AK177" i="6"/>
  <c r="AI177" i="6"/>
  <c r="AH177" i="6"/>
  <c r="AG177" i="6"/>
  <c r="AF177" i="6"/>
  <c r="AE177" i="6"/>
  <c r="AD177" i="6"/>
  <c r="AP176" i="6"/>
  <c r="AO176" i="6"/>
  <c r="AN176" i="6"/>
  <c r="AM176" i="6"/>
  <c r="AK176" i="6"/>
  <c r="AI176" i="6"/>
  <c r="AH176" i="6"/>
  <c r="AG176" i="6"/>
  <c r="AF176" i="6"/>
  <c r="AE176" i="6"/>
  <c r="AD176" i="6"/>
  <c r="AP175" i="6"/>
  <c r="AO175" i="6"/>
  <c r="AN175" i="6"/>
  <c r="AM175" i="6"/>
  <c r="AK175" i="6"/>
  <c r="AI175" i="6"/>
  <c r="AH175" i="6"/>
  <c r="AG175" i="6"/>
  <c r="AE175" i="6"/>
  <c r="AD175" i="6"/>
  <c r="AP174" i="6"/>
  <c r="AO174" i="6"/>
  <c r="AN174" i="6"/>
  <c r="AM174" i="6"/>
  <c r="AK174" i="6"/>
  <c r="AI174" i="6"/>
  <c r="AH174" i="6"/>
  <c r="AG174" i="6"/>
  <c r="AE174" i="6"/>
  <c r="AD174" i="6"/>
  <c r="AP173" i="6"/>
  <c r="AO173" i="6"/>
  <c r="AN173" i="6"/>
  <c r="AM173" i="6"/>
  <c r="AI173" i="6"/>
  <c r="AH173" i="6"/>
  <c r="AG173" i="6"/>
  <c r="AF173" i="6"/>
  <c r="AE173" i="6"/>
  <c r="AD173" i="6"/>
  <c r="AP172" i="6"/>
  <c r="AO172" i="6"/>
  <c r="AN172" i="6"/>
  <c r="AM172" i="6"/>
  <c r="AI172" i="6"/>
  <c r="AH172" i="6"/>
  <c r="AG172" i="6"/>
  <c r="AF172" i="6"/>
  <c r="AE172" i="6"/>
  <c r="AD172" i="6"/>
  <c r="AP171" i="6"/>
  <c r="AO171" i="6"/>
  <c r="AN171" i="6"/>
  <c r="AM171" i="6"/>
  <c r="AK171" i="6"/>
  <c r="AI171" i="6"/>
  <c r="AH171" i="6"/>
  <c r="AG171" i="6"/>
  <c r="AF171" i="6"/>
  <c r="AE171" i="6"/>
  <c r="AD171" i="6"/>
  <c r="AP170" i="6"/>
  <c r="AO170" i="6"/>
  <c r="AN170" i="6"/>
  <c r="AM170" i="6"/>
  <c r="AK170" i="6"/>
  <c r="AI170" i="6"/>
  <c r="AH170" i="6"/>
  <c r="AG170" i="6"/>
  <c r="AF170" i="6"/>
  <c r="AE170" i="6"/>
  <c r="AD170" i="6"/>
  <c r="AP169" i="6"/>
  <c r="AO169" i="6"/>
  <c r="AN169" i="6"/>
  <c r="AM169" i="6"/>
  <c r="AK169" i="6"/>
  <c r="AI169" i="6"/>
  <c r="AH169" i="6"/>
  <c r="AG169" i="6"/>
  <c r="AF169" i="6"/>
  <c r="AE169" i="6"/>
  <c r="AD169" i="6"/>
  <c r="AP168" i="6"/>
  <c r="AO168" i="6"/>
  <c r="AN168" i="6"/>
  <c r="AM168" i="6"/>
  <c r="AK168" i="6"/>
  <c r="AI168" i="6"/>
  <c r="AH168" i="6"/>
  <c r="AG168" i="6"/>
  <c r="AF168" i="6"/>
  <c r="AE168" i="6"/>
  <c r="AD168" i="6"/>
  <c r="AP167" i="6"/>
  <c r="AO167" i="6"/>
  <c r="AN167" i="6"/>
  <c r="AM167" i="6"/>
  <c r="AK167" i="6"/>
  <c r="AI167" i="6"/>
  <c r="AH167" i="6"/>
  <c r="AG167" i="6"/>
  <c r="AE167" i="6"/>
  <c r="AD167" i="6"/>
  <c r="AP166" i="6"/>
  <c r="AO166" i="6"/>
  <c r="AN166" i="6"/>
  <c r="AM166" i="6"/>
  <c r="AK166" i="6"/>
  <c r="AI166" i="6"/>
  <c r="AH166" i="6"/>
  <c r="AG166" i="6"/>
  <c r="AE166" i="6"/>
  <c r="AD166" i="6"/>
  <c r="AP165" i="6"/>
  <c r="AO165" i="6"/>
  <c r="AN165" i="6"/>
  <c r="AM165" i="6"/>
  <c r="AI165" i="6"/>
  <c r="AH165" i="6"/>
  <c r="AG165" i="6"/>
  <c r="AF165" i="6"/>
  <c r="AE165" i="6"/>
  <c r="AD165" i="6"/>
  <c r="AP164" i="6"/>
  <c r="AO164" i="6"/>
  <c r="AN164" i="6"/>
  <c r="AM164" i="6"/>
  <c r="AI164" i="6"/>
  <c r="AH164" i="6"/>
  <c r="AG164" i="6"/>
  <c r="AF164" i="6"/>
  <c r="AE164" i="6"/>
  <c r="AD164" i="6"/>
  <c r="AP163" i="6"/>
  <c r="AO163" i="6"/>
  <c r="AN163" i="6"/>
  <c r="AM163" i="6"/>
  <c r="AK163" i="6"/>
  <c r="AI163" i="6"/>
  <c r="AH163" i="6"/>
  <c r="AG163" i="6"/>
  <c r="AF163" i="6"/>
  <c r="AE163" i="6"/>
  <c r="AD163" i="6"/>
  <c r="AP162" i="6"/>
  <c r="AO162" i="6"/>
  <c r="AN162" i="6"/>
  <c r="AM162" i="6"/>
  <c r="AK162" i="6"/>
  <c r="AI162" i="6"/>
  <c r="AH162" i="6"/>
  <c r="AG162" i="6"/>
  <c r="AF162" i="6"/>
  <c r="AE162" i="6"/>
  <c r="AD162" i="6"/>
  <c r="AP161" i="6"/>
  <c r="AO161" i="6"/>
  <c r="AN161" i="6"/>
  <c r="AM161" i="6"/>
  <c r="AK161" i="6"/>
  <c r="AI161" i="6"/>
  <c r="AH161" i="6"/>
  <c r="AG161" i="6"/>
  <c r="AF161" i="6"/>
  <c r="AE161" i="6"/>
  <c r="AD161" i="6"/>
  <c r="AP160" i="6"/>
  <c r="AO160" i="6"/>
  <c r="AN160" i="6"/>
  <c r="AM160" i="6"/>
  <c r="AK160" i="6"/>
  <c r="AI160" i="6"/>
  <c r="AH160" i="6"/>
  <c r="AG160" i="6"/>
  <c r="AF160" i="6"/>
  <c r="AE160" i="6"/>
  <c r="AD160" i="6"/>
  <c r="AP159" i="6"/>
  <c r="AO159" i="6"/>
  <c r="AN159" i="6"/>
  <c r="AM159" i="6"/>
  <c r="AK159" i="6"/>
  <c r="AI159" i="6"/>
  <c r="AH159" i="6"/>
  <c r="AG159" i="6"/>
  <c r="AF159" i="6"/>
  <c r="AE159" i="6"/>
  <c r="AD159" i="6"/>
  <c r="AP158" i="6"/>
  <c r="AO158" i="6"/>
  <c r="AN158" i="6"/>
  <c r="AM158" i="6"/>
  <c r="AK158" i="6"/>
  <c r="AI158" i="6"/>
  <c r="AH158" i="6"/>
  <c r="AG158" i="6"/>
  <c r="AE158" i="6"/>
  <c r="AD158" i="6"/>
  <c r="AP157" i="6"/>
  <c r="AO157" i="6"/>
  <c r="AN157" i="6"/>
  <c r="AM157" i="6"/>
  <c r="AI157" i="6"/>
  <c r="AH157" i="6"/>
  <c r="AG157" i="6"/>
  <c r="AF157" i="6"/>
  <c r="AE157" i="6"/>
  <c r="AD157" i="6"/>
  <c r="AP156" i="6"/>
  <c r="AO156" i="6"/>
  <c r="AN156" i="6"/>
  <c r="AM156" i="6"/>
  <c r="AI156" i="6"/>
  <c r="AH156" i="6"/>
  <c r="AG156" i="6"/>
  <c r="AF156" i="6"/>
  <c r="AE156" i="6"/>
  <c r="AD156" i="6"/>
  <c r="AP155" i="6"/>
  <c r="AO155" i="6"/>
  <c r="AN155" i="6"/>
  <c r="AM155" i="6"/>
  <c r="AK155" i="6"/>
  <c r="AI155" i="6"/>
  <c r="AH155" i="6"/>
  <c r="AG155" i="6"/>
  <c r="AF155" i="6"/>
  <c r="AE155" i="6"/>
  <c r="AD155" i="6"/>
  <c r="AP154" i="6"/>
  <c r="AO154" i="6"/>
  <c r="AN154" i="6"/>
  <c r="AM154" i="6"/>
  <c r="AK154" i="6"/>
  <c r="AI154" i="6"/>
  <c r="AH154" i="6"/>
  <c r="AG154" i="6"/>
  <c r="AF154" i="6"/>
  <c r="AE154" i="6"/>
  <c r="AD154" i="6"/>
  <c r="AP153" i="6"/>
  <c r="AO153" i="6"/>
  <c r="AN153" i="6"/>
  <c r="AM153" i="6"/>
  <c r="AK153" i="6"/>
  <c r="AI153" i="6"/>
  <c r="AH153" i="6"/>
  <c r="AG153" i="6"/>
  <c r="AF153" i="6"/>
  <c r="AE153" i="6"/>
  <c r="AD153" i="6"/>
  <c r="AP152" i="6"/>
  <c r="AO152" i="6"/>
  <c r="AN152" i="6"/>
  <c r="AM152" i="6"/>
  <c r="AK152" i="6"/>
  <c r="AI152" i="6"/>
  <c r="AH152" i="6"/>
  <c r="AG152" i="6"/>
  <c r="AF152" i="6"/>
  <c r="AE152" i="6"/>
  <c r="AD152" i="6"/>
  <c r="AP151" i="6"/>
  <c r="AO151" i="6"/>
  <c r="AN151" i="6"/>
  <c r="AM151" i="6"/>
  <c r="AK151" i="6"/>
  <c r="AI151" i="6"/>
  <c r="AH151" i="6"/>
  <c r="AG151" i="6"/>
  <c r="AE151" i="6"/>
  <c r="AD151" i="6"/>
  <c r="AP150" i="6"/>
  <c r="AO150" i="6"/>
  <c r="AN150" i="6"/>
  <c r="AM150" i="6"/>
  <c r="AK150" i="6"/>
  <c r="AI150" i="6"/>
  <c r="AH150" i="6"/>
  <c r="AG150" i="6"/>
  <c r="AE150" i="6"/>
  <c r="AD150" i="6"/>
  <c r="AP149" i="6"/>
  <c r="AO149" i="6"/>
  <c r="AN149" i="6"/>
  <c r="AM149" i="6"/>
  <c r="AI149" i="6"/>
  <c r="AH149" i="6"/>
  <c r="AG149" i="6"/>
  <c r="AF149" i="6"/>
  <c r="AE149" i="6"/>
  <c r="AD149" i="6"/>
  <c r="AP148" i="6"/>
  <c r="AO148" i="6"/>
  <c r="AN148" i="6"/>
  <c r="AM148" i="6"/>
  <c r="AI148" i="6"/>
  <c r="AH148" i="6"/>
  <c r="AG148" i="6"/>
  <c r="AF148" i="6"/>
  <c r="AE148" i="6"/>
  <c r="AD148" i="6"/>
  <c r="AP147" i="6"/>
  <c r="AO147" i="6"/>
  <c r="AN147" i="6"/>
  <c r="AM147" i="6"/>
  <c r="AK147" i="6"/>
  <c r="AI147" i="6"/>
  <c r="AH147" i="6"/>
  <c r="AG147" i="6"/>
  <c r="AF147" i="6"/>
  <c r="AE147" i="6"/>
  <c r="AD147" i="6"/>
  <c r="AP146" i="6"/>
  <c r="AO146" i="6"/>
  <c r="AN146" i="6"/>
  <c r="AM146" i="6"/>
  <c r="AK146" i="6"/>
  <c r="AI146" i="6"/>
  <c r="AH146" i="6"/>
  <c r="AG146" i="6"/>
  <c r="AF146" i="6"/>
  <c r="AE146" i="6"/>
  <c r="AD146" i="6"/>
  <c r="AP145" i="6"/>
  <c r="AO145" i="6"/>
  <c r="AN145" i="6"/>
  <c r="AM145" i="6"/>
  <c r="AK145" i="6"/>
  <c r="AI145" i="6"/>
  <c r="AH145" i="6"/>
  <c r="AG145" i="6"/>
  <c r="AF145" i="6"/>
  <c r="AE145" i="6"/>
  <c r="AD145" i="6"/>
  <c r="AP144" i="6"/>
  <c r="AO144" i="6"/>
  <c r="AN144" i="6"/>
  <c r="AM144" i="6"/>
  <c r="AK144" i="6"/>
  <c r="AI144" i="6"/>
  <c r="AH144" i="6"/>
  <c r="AG144" i="6"/>
  <c r="AF144" i="6"/>
  <c r="AE144" i="6"/>
  <c r="AD144" i="6"/>
  <c r="AP143" i="6"/>
  <c r="AO143" i="6"/>
  <c r="AN143" i="6"/>
  <c r="AM143" i="6"/>
  <c r="AK143" i="6"/>
  <c r="AI143" i="6"/>
  <c r="AH143" i="6"/>
  <c r="AG143" i="6"/>
  <c r="AE143" i="6"/>
  <c r="AD143" i="6"/>
  <c r="AP142" i="6"/>
  <c r="AO142" i="6"/>
  <c r="AN142" i="6"/>
  <c r="AM142" i="6"/>
  <c r="AK142" i="6"/>
  <c r="AI142" i="6"/>
  <c r="AH142" i="6"/>
  <c r="AG142" i="6"/>
  <c r="AE142" i="6"/>
  <c r="AD142" i="6"/>
  <c r="AP141" i="6"/>
  <c r="AO141" i="6"/>
  <c r="AN141" i="6"/>
  <c r="AM141" i="6"/>
  <c r="AI141" i="6"/>
  <c r="AH141" i="6"/>
  <c r="AG141" i="6"/>
  <c r="AF141" i="6"/>
  <c r="AE141" i="6"/>
  <c r="AD141" i="6"/>
  <c r="AP140" i="6"/>
  <c r="AO140" i="6"/>
  <c r="AN140" i="6"/>
  <c r="AM140" i="6"/>
  <c r="AI140" i="6"/>
  <c r="AH140" i="6"/>
  <c r="AG140" i="6"/>
  <c r="AF140" i="6"/>
  <c r="AE140" i="6"/>
  <c r="AD140" i="6"/>
  <c r="AP139" i="6"/>
  <c r="AO139" i="6"/>
  <c r="AN139" i="6"/>
  <c r="AM139" i="6"/>
  <c r="AK139" i="6"/>
  <c r="AI139" i="6"/>
  <c r="AH139" i="6"/>
  <c r="AG139" i="6"/>
  <c r="AF139" i="6"/>
  <c r="AE139" i="6"/>
  <c r="AD139" i="6"/>
  <c r="AP138" i="6"/>
  <c r="AO138" i="6"/>
  <c r="AN138" i="6"/>
  <c r="AM138" i="6"/>
  <c r="AK138" i="6"/>
  <c r="AI138" i="6"/>
  <c r="AH138" i="6"/>
  <c r="AG138" i="6"/>
  <c r="AF138" i="6"/>
  <c r="AE138" i="6"/>
  <c r="AD138" i="6"/>
  <c r="AP137" i="6"/>
  <c r="AO137" i="6"/>
  <c r="AN137" i="6"/>
  <c r="AM137" i="6"/>
  <c r="AK137" i="6"/>
  <c r="AI137" i="6"/>
  <c r="AH137" i="6"/>
  <c r="AG137" i="6"/>
  <c r="AF137" i="6"/>
  <c r="AE137" i="6"/>
  <c r="AD137" i="6"/>
  <c r="AP136" i="6"/>
  <c r="AO136" i="6"/>
  <c r="AN136" i="6"/>
  <c r="AM136" i="6"/>
  <c r="AK136" i="6"/>
  <c r="AI136" i="6"/>
  <c r="AH136" i="6"/>
  <c r="AG136" i="6"/>
  <c r="AF136" i="6"/>
  <c r="AE136" i="6"/>
  <c r="AD136" i="6"/>
  <c r="AP135" i="6"/>
  <c r="AO135" i="6"/>
  <c r="AN135" i="6"/>
  <c r="AM135" i="6"/>
  <c r="AK135" i="6"/>
  <c r="AI135" i="6"/>
  <c r="AH135" i="6"/>
  <c r="AG135" i="6"/>
  <c r="AE135" i="6"/>
  <c r="AD135" i="6"/>
  <c r="AP134" i="6"/>
  <c r="AO134" i="6"/>
  <c r="AN134" i="6"/>
  <c r="AM134" i="6"/>
  <c r="AK134" i="6"/>
  <c r="AI134" i="6"/>
  <c r="AH134" i="6"/>
  <c r="AG134" i="6"/>
  <c r="AE134" i="6"/>
  <c r="AD134" i="6"/>
  <c r="AP133" i="6"/>
  <c r="AO133" i="6"/>
  <c r="AN133" i="6"/>
  <c r="AM133" i="6"/>
  <c r="AI133" i="6"/>
  <c r="AH133" i="6"/>
  <c r="AG133" i="6"/>
  <c r="AF133" i="6"/>
  <c r="AE133" i="6"/>
  <c r="AD133" i="6"/>
  <c r="AP132" i="6"/>
  <c r="AO132" i="6"/>
  <c r="AN132" i="6"/>
  <c r="AM132" i="6"/>
  <c r="AI132" i="6"/>
  <c r="AH132" i="6"/>
  <c r="AG132" i="6"/>
  <c r="AF132" i="6"/>
  <c r="AE132" i="6"/>
  <c r="AD132" i="6"/>
  <c r="AP131" i="6"/>
  <c r="AO131" i="6"/>
  <c r="AN131" i="6"/>
  <c r="AM131" i="6"/>
  <c r="AK131" i="6"/>
  <c r="AI131" i="6"/>
  <c r="AH131" i="6"/>
  <c r="AG131" i="6"/>
  <c r="AF131" i="6"/>
  <c r="AE131" i="6"/>
  <c r="AD131" i="6"/>
  <c r="AP130" i="6"/>
  <c r="AO130" i="6"/>
  <c r="AN130" i="6"/>
  <c r="AM130" i="6"/>
  <c r="AK130" i="6"/>
  <c r="AI130" i="6"/>
  <c r="AH130" i="6"/>
  <c r="AG130" i="6"/>
  <c r="AF130" i="6"/>
  <c r="AE130" i="6"/>
  <c r="AD130" i="6"/>
  <c r="AP129" i="6"/>
  <c r="AO129" i="6"/>
  <c r="AN129" i="6"/>
  <c r="AM129" i="6"/>
  <c r="AK129" i="6"/>
  <c r="AI129" i="6"/>
  <c r="AH129" i="6"/>
  <c r="AG129" i="6"/>
  <c r="AF129" i="6"/>
  <c r="AE129" i="6"/>
  <c r="AD129" i="6"/>
  <c r="AP128" i="6"/>
  <c r="AO128" i="6"/>
  <c r="AN128" i="6"/>
  <c r="AM128" i="6"/>
  <c r="AK128" i="6"/>
  <c r="AI128" i="6"/>
  <c r="AH128" i="6"/>
  <c r="AG128" i="6"/>
  <c r="AF128" i="6"/>
  <c r="AE128" i="6"/>
  <c r="AD128" i="6"/>
  <c r="AP127" i="6"/>
  <c r="AO127" i="6"/>
  <c r="AN127" i="6"/>
  <c r="AM127" i="6"/>
  <c r="AK127" i="6"/>
  <c r="AI127" i="6"/>
  <c r="AH127" i="6"/>
  <c r="AG127" i="6"/>
  <c r="AF127" i="6"/>
  <c r="AE127" i="6"/>
  <c r="AD127" i="6"/>
  <c r="AP126" i="6"/>
  <c r="AO126" i="6"/>
  <c r="AN126" i="6"/>
  <c r="AM126" i="6"/>
  <c r="AK126" i="6"/>
  <c r="AI126" i="6"/>
  <c r="AH126" i="6"/>
  <c r="AG126" i="6"/>
  <c r="AE126" i="6"/>
  <c r="AD126" i="6"/>
  <c r="AP125" i="6"/>
  <c r="AO125" i="6"/>
  <c r="AN125" i="6"/>
  <c r="AM125" i="6"/>
  <c r="AI125" i="6"/>
  <c r="AH125" i="6"/>
  <c r="AG125" i="6"/>
  <c r="AF125" i="6"/>
  <c r="AE125" i="6"/>
  <c r="AD125" i="6"/>
  <c r="AP124" i="6"/>
  <c r="AO124" i="6"/>
  <c r="AN124" i="6"/>
  <c r="AM124" i="6"/>
  <c r="AI124" i="6"/>
  <c r="AH124" i="6"/>
  <c r="AG124" i="6"/>
  <c r="AF124" i="6"/>
  <c r="AE124" i="6"/>
  <c r="AD124" i="6"/>
  <c r="AP123" i="6"/>
  <c r="AO123" i="6"/>
  <c r="AN123" i="6"/>
  <c r="AM123" i="6"/>
  <c r="AK123" i="6"/>
  <c r="AI123" i="6"/>
  <c r="AH123" i="6"/>
  <c r="AG123" i="6"/>
  <c r="AF123" i="6"/>
  <c r="AE123" i="6"/>
  <c r="AD123" i="6"/>
  <c r="AP122" i="6"/>
  <c r="AO122" i="6"/>
  <c r="AN122" i="6"/>
  <c r="AM122" i="6"/>
  <c r="AK122" i="6"/>
  <c r="AI122" i="6"/>
  <c r="AH122" i="6"/>
  <c r="AG122" i="6"/>
  <c r="AF122" i="6"/>
  <c r="AE122" i="6"/>
  <c r="AD122" i="6"/>
  <c r="AP121" i="6"/>
  <c r="AO121" i="6"/>
  <c r="AN121" i="6"/>
  <c r="AM121" i="6"/>
  <c r="AK121" i="6"/>
  <c r="AI121" i="6"/>
  <c r="AH121" i="6"/>
  <c r="AG121" i="6"/>
  <c r="AF121" i="6"/>
  <c r="AE121" i="6"/>
  <c r="AD121" i="6"/>
  <c r="AP120" i="6"/>
  <c r="AO120" i="6"/>
  <c r="AN120" i="6"/>
  <c r="AM120" i="6"/>
  <c r="AK120" i="6"/>
  <c r="AI120" i="6"/>
  <c r="AH120" i="6"/>
  <c r="AG120" i="6"/>
  <c r="AF120" i="6"/>
  <c r="AE120" i="6"/>
  <c r="AD120" i="6"/>
  <c r="AP119" i="6"/>
  <c r="AO119" i="6"/>
  <c r="AN119" i="6"/>
  <c r="AM119" i="6"/>
  <c r="AK119" i="6"/>
  <c r="AI119" i="6"/>
  <c r="AH119" i="6"/>
  <c r="AG119" i="6"/>
  <c r="AE119" i="6"/>
  <c r="AD119" i="6"/>
  <c r="AP118" i="6"/>
  <c r="AO118" i="6"/>
  <c r="AN118" i="6"/>
  <c r="AM118" i="6"/>
  <c r="AK118" i="6"/>
  <c r="AI118" i="6"/>
  <c r="AH118" i="6"/>
  <c r="AG118" i="6"/>
  <c r="AE118" i="6"/>
  <c r="AD118" i="6"/>
  <c r="AP117" i="6"/>
  <c r="AO117" i="6"/>
  <c r="AN117" i="6"/>
  <c r="AM117" i="6"/>
  <c r="AI117" i="6"/>
  <c r="AH117" i="6"/>
  <c r="AG117" i="6"/>
  <c r="AF117" i="6"/>
  <c r="AE117" i="6"/>
  <c r="AD117" i="6"/>
  <c r="AP116" i="6"/>
  <c r="AO116" i="6"/>
  <c r="AN116" i="6"/>
  <c r="AM116" i="6"/>
  <c r="AI116" i="6"/>
  <c r="AH116" i="6"/>
  <c r="AG116" i="6"/>
  <c r="AF116" i="6"/>
  <c r="AE116" i="6"/>
  <c r="AD116" i="6"/>
  <c r="AP115" i="6"/>
  <c r="AO115" i="6"/>
  <c r="AN115" i="6"/>
  <c r="AM115" i="6"/>
  <c r="AK115" i="6"/>
  <c r="AI115" i="6"/>
  <c r="AH115" i="6"/>
  <c r="AG115" i="6"/>
  <c r="AF115" i="6"/>
  <c r="AE115" i="6"/>
  <c r="AD115" i="6"/>
  <c r="AP114" i="6"/>
  <c r="AO114" i="6"/>
  <c r="AN114" i="6"/>
  <c r="AM114" i="6"/>
  <c r="AK114" i="6"/>
  <c r="AI114" i="6"/>
  <c r="AH114" i="6"/>
  <c r="AG114" i="6"/>
  <c r="AF114" i="6"/>
  <c r="AE114" i="6"/>
  <c r="AD114" i="6"/>
  <c r="AP113" i="6"/>
  <c r="AO113" i="6"/>
  <c r="AN113" i="6"/>
  <c r="AM113" i="6"/>
  <c r="AK113" i="6"/>
  <c r="AI113" i="6"/>
  <c r="AH113" i="6"/>
  <c r="AG113" i="6"/>
  <c r="AF113" i="6"/>
  <c r="AE113" i="6"/>
  <c r="AD113" i="6"/>
  <c r="AP112" i="6"/>
  <c r="AO112" i="6"/>
  <c r="AN112" i="6"/>
  <c r="AM112" i="6"/>
  <c r="AK112" i="6"/>
  <c r="AI112" i="6"/>
  <c r="AH112" i="6"/>
  <c r="AG112" i="6"/>
  <c r="AF112" i="6"/>
  <c r="AE112" i="6"/>
  <c r="AD112" i="6"/>
  <c r="AP111" i="6"/>
  <c r="AO111" i="6"/>
  <c r="AN111" i="6"/>
  <c r="AM111" i="6"/>
  <c r="AK111" i="6"/>
  <c r="AI111" i="6"/>
  <c r="AH111" i="6"/>
  <c r="AG111" i="6"/>
  <c r="AE111" i="6"/>
  <c r="AD111" i="6"/>
  <c r="AP110" i="6"/>
  <c r="AO110" i="6"/>
  <c r="AN110" i="6"/>
  <c r="AM110" i="6"/>
  <c r="AK110" i="6"/>
  <c r="AI110" i="6"/>
  <c r="AH110" i="6"/>
  <c r="AG110" i="6"/>
  <c r="AE110" i="6"/>
  <c r="AD110" i="6"/>
  <c r="AP109" i="6"/>
  <c r="AO109" i="6"/>
  <c r="AN109" i="6"/>
  <c r="AM109" i="6"/>
  <c r="AI109" i="6"/>
  <c r="AH109" i="6"/>
  <c r="AG109" i="6"/>
  <c r="AF109" i="6"/>
  <c r="AE109" i="6"/>
  <c r="AD109" i="6"/>
  <c r="AP108" i="6"/>
  <c r="AO108" i="6"/>
  <c r="AN108" i="6"/>
  <c r="AM108" i="6"/>
  <c r="AI108" i="6"/>
  <c r="AH108" i="6"/>
  <c r="AG108" i="6"/>
  <c r="AF108" i="6"/>
  <c r="AE108" i="6"/>
  <c r="AD108" i="6"/>
  <c r="AP107" i="6"/>
  <c r="AO107" i="6"/>
  <c r="AN107" i="6"/>
  <c r="AM107" i="6"/>
  <c r="AK107" i="6"/>
  <c r="AI107" i="6"/>
  <c r="AH107" i="6"/>
  <c r="AG107" i="6"/>
  <c r="AF107" i="6"/>
  <c r="AE107" i="6"/>
  <c r="AD107" i="6"/>
  <c r="AP106" i="6"/>
  <c r="AO106" i="6"/>
  <c r="AN106" i="6"/>
  <c r="AM106" i="6"/>
  <c r="AK106" i="6"/>
  <c r="AI106" i="6"/>
  <c r="AH106" i="6"/>
  <c r="AG106" i="6"/>
  <c r="AF106" i="6"/>
  <c r="AE106" i="6"/>
  <c r="AD106" i="6"/>
  <c r="AP105" i="6"/>
  <c r="AO105" i="6"/>
  <c r="AN105" i="6"/>
  <c r="AM105" i="6"/>
  <c r="AK105" i="6"/>
  <c r="AI105" i="6"/>
  <c r="AH105" i="6"/>
  <c r="AG105" i="6"/>
  <c r="AF105" i="6"/>
  <c r="AE105" i="6"/>
  <c r="AD105" i="6"/>
  <c r="AP104" i="6"/>
  <c r="AO104" i="6"/>
  <c r="AN104" i="6"/>
  <c r="AM104" i="6"/>
  <c r="AK104" i="6"/>
  <c r="AI104" i="6"/>
  <c r="AH104" i="6"/>
  <c r="AG104" i="6"/>
  <c r="AF104" i="6"/>
  <c r="AE104" i="6"/>
  <c r="AD104" i="6"/>
  <c r="AP103" i="6"/>
  <c r="AO103" i="6"/>
  <c r="AN103" i="6"/>
  <c r="AM103" i="6"/>
  <c r="AK103" i="6"/>
  <c r="AI103" i="6"/>
  <c r="AH103" i="6"/>
  <c r="AG103" i="6"/>
  <c r="AE103" i="6"/>
  <c r="AD103" i="6"/>
  <c r="AP102" i="6"/>
  <c r="AO102" i="6"/>
  <c r="AN102" i="6"/>
  <c r="AM102" i="6"/>
  <c r="AK102" i="6"/>
  <c r="AI102" i="6"/>
  <c r="AH102" i="6"/>
  <c r="AG102" i="6"/>
  <c r="AE102" i="6"/>
  <c r="AD102" i="6"/>
  <c r="AP101" i="6"/>
  <c r="AO101" i="6"/>
  <c r="AN101" i="6"/>
  <c r="AM101" i="6"/>
  <c r="AI101" i="6"/>
  <c r="AH101" i="6"/>
  <c r="AG101" i="6"/>
  <c r="AF101" i="6"/>
  <c r="AE101" i="6"/>
  <c r="AD101" i="6"/>
  <c r="AP100" i="6"/>
  <c r="AO100" i="6"/>
  <c r="AN100" i="6"/>
  <c r="AM100" i="6"/>
  <c r="AI100" i="6"/>
  <c r="AH100" i="6"/>
  <c r="AG100" i="6"/>
  <c r="AF100" i="6"/>
  <c r="AE100" i="6"/>
  <c r="AD100" i="6"/>
  <c r="AP99" i="6"/>
  <c r="AO99" i="6"/>
  <c r="AN99" i="6"/>
  <c r="AM99" i="6"/>
  <c r="AK99" i="6"/>
  <c r="AI99" i="6"/>
  <c r="AH99" i="6"/>
  <c r="AG99" i="6"/>
  <c r="AF99" i="6"/>
  <c r="AE99" i="6"/>
  <c r="AD99" i="6"/>
  <c r="AP98" i="6"/>
  <c r="AO98" i="6"/>
  <c r="AN98" i="6"/>
  <c r="AM98" i="6"/>
  <c r="AK98" i="6"/>
  <c r="AI98" i="6"/>
  <c r="AH98" i="6"/>
  <c r="AG98" i="6"/>
  <c r="AF98" i="6"/>
  <c r="AE98" i="6"/>
  <c r="AD98" i="6"/>
  <c r="AP97" i="6"/>
  <c r="AO97" i="6"/>
  <c r="AN97" i="6"/>
  <c r="AM97" i="6"/>
  <c r="AK97" i="6"/>
  <c r="AI97" i="6"/>
  <c r="AH97" i="6"/>
  <c r="AG97" i="6"/>
  <c r="AF97" i="6"/>
  <c r="AE97" i="6"/>
  <c r="AD97" i="6"/>
  <c r="AP96" i="6"/>
  <c r="AO96" i="6"/>
  <c r="AN96" i="6"/>
  <c r="AM96" i="6"/>
  <c r="AK96" i="6"/>
  <c r="AI96" i="6"/>
  <c r="AH96" i="6"/>
  <c r="AG96" i="6"/>
  <c r="AF96" i="6"/>
  <c r="AE96" i="6"/>
  <c r="AD96" i="6"/>
  <c r="AP95" i="6"/>
  <c r="AO95" i="6"/>
  <c r="AN95" i="6"/>
  <c r="AM95" i="6"/>
  <c r="AK95" i="6"/>
  <c r="AI95" i="6"/>
  <c r="AH95" i="6"/>
  <c r="AG95" i="6"/>
  <c r="AF95" i="6"/>
  <c r="AE95" i="6"/>
  <c r="AD95" i="6"/>
  <c r="AP94" i="6"/>
  <c r="AO94" i="6"/>
  <c r="AN94" i="6"/>
  <c r="AM94" i="6"/>
  <c r="AK94" i="6"/>
  <c r="AI94" i="6"/>
  <c r="AH94" i="6"/>
  <c r="AG94" i="6"/>
  <c r="AE94" i="6"/>
  <c r="AD94" i="6"/>
  <c r="AP93" i="6"/>
  <c r="AO93" i="6"/>
  <c r="AN93" i="6"/>
  <c r="AM93" i="6"/>
  <c r="AI93" i="6"/>
  <c r="AH93" i="6"/>
  <c r="AG93" i="6"/>
  <c r="AF93" i="6"/>
  <c r="AE93" i="6"/>
  <c r="AD93" i="6"/>
  <c r="AP92" i="6"/>
  <c r="AO92" i="6"/>
  <c r="AN92" i="6"/>
  <c r="AM92" i="6"/>
  <c r="AI92" i="6"/>
  <c r="AH92" i="6"/>
  <c r="AG92" i="6"/>
  <c r="AF92" i="6"/>
  <c r="AE92" i="6"/>
  <c r="AD92" i="6"/>
  <c r="AP91" i="6"/>
  <c r="AO91" i="6"/>
  <c r="AN91" i="6"/>
  <c r="AM91" i="6"/>
  <c r="AK91" i="6"/>
  <c r="AI91" i="6"/>
  <c r="AH91" i="6"/>
  <c r="AG91" i="6"/>
  <c r="AF91" i="6"/>
  <c r="AE91" i="6"/>
  <c r="AD91" i="6"/>
  <c r="AP90" i="6"/>
  <c r="AO90" i="6"/>
  <c r="AN90" i="6"/>
  <c r="AM90" i="6"/>
  <c r="AK90" i="6"/>
  <c r="AI90" i="6"/>
  <c r="AH90" i="6"/>
  <c r="AG90" i="6"/>
  <c r="AF90" i="6"/>
  <c r="AE90" i="6"/>
  <c r="AD90" i="6"/>
  <c r="AP89" i="6"/>
  <c r="AO89" i="6"/>
  <c r="AN89" i="6"/>
  <c r="AM89" i="6"/>
  <c r="AK89" i="6"/>
  <c r="AI89" i="6"/>
  <c r="AH89" i="6"/>
  <c r="AG89" i="6"/>
  <c r="AF89" i="6"/>
  <c r="AE89" i="6"/>
  <c r="AD89" i="6"/>
  <c r="AP88" i="6"/>
  <c r="AO88" i="6"/>
  <c r="AN88" i="6"/>
  <c r="AM88" i="6"/>
  <c r="AK88" i="6"/>
  <c r="AI88" i="6"/>
  <c r="AH88" i="6"/>
  <c r="AG88" i="6"/>
  <c r="AF88" i="6"/>
  <c r="AE88" i="6"/>
  <c r="AD88" i="6"/>
  <c r="AP87" i="6"/>
  <c r="AO87" i="6"/>
  <c r="AN87" i="6"/>
  <c r="AM87" i="6"/>
  <c r="AK87" i="6"/>
  <c r="AI87" i="6"/>
  <c r="AH87" i="6"/>
  <c r="AG87" i="6"/>
  <c r="AE87" i="6"/>
  <c r="AD87" i="6"/>
  <c r="AP86" i="6"/>
  <c r="AO86" i="6"/>
  <c r="AN86" i="6"/>
  <c r="AM86" i="6"/>
  <c r="AK86" i="6"/>
  <c r="AI86" i="6"/>
  <c r="AH86" i="6"/>
  <c r="AG86" i="6"/>
  <c r="AE86" i="6"/>
  <c r="AD86" i="6"/>
  <c r="AP85" i="6"/>
  <c r="AO85" i="6"/>
  <c r="AN85" i="6"/>
  <c r="AM85" i="6"/>
  <c r="AI85" i="6"/>
  <c r="AH85" i="6"/>
  <c r="AG85" i="6"/>
  <c r="AF85" i="6"/>
  <c r="AE85" i="6"/>
  <c r="AD85" i="6"/>
  <c r="AP84" i="6"/>
  <c r="AO84" i="6"/>
  <c r="AN84" i="6"/>
  <c r="AM84" i="6"/>
  <c r="AI84" i="6"/>
  <c r="AH84" i="6"/>
  <c r="AG84" i="6"/>
  <c r="AF84" i="6"/>
  <c r="AE84" i="6"/>
  <c r="AD84" i="6"/>
  <c r="AP83" i="6"/>
  <c r="AO83" i="6"/>
  <c r="AN83" i="6"/>
  <c r="AM83" i="6"/>
  <c r="AK83" i="6"/>
  <c r="AI83" i="6"/>
  <c r="AH83" i="6"/>
  <c r="AG83" i="6"/>
  <c r="AF83" i="6"/>
  <c r="AE83" i="6"/>
  <c r="AD83" i="6"/>
  <c r="AP82" i="6"/>
  <c r="AO82" i="6"/>
  <c r="AN82" i="6"/>
  <c r="AM82" i="6"/>
  <c r="AK82" i="6"/>
  <c r="AI82" i="6"/>
  <c r="AH82" i="6"/>
  <c r="AG82" i="6"/>
  <c r="AF82" i="6"/>
  <c r="AE82" i="6"/>
  <c r="AD82" i="6"/>
  <c r="AP81" i="6"/>
  <c r="AO81" i="6"/>
  <c r="AN81" i="6"/>
  <c r="AM81" i="6"/>
  <c r="AK81" i="6"/>
  <c r="AI81" i="6"/>
  <c r="AH81" i="6"/>
  <c r="AG81" i="6"/>
  <c r="AF81" i="6"/>
  <c r="AE81" i="6"/>
  <c r="AD81" i="6"/>
  <c r="AP80" i="6"/>
  <c r="AO80" i="6"/>
  <c r="AN80" i="6"/>
  <c r="AM80" i="6"/>
  <c r="AK80" i="6"/>
  <c r="AI80" i="6"/>
  <c r="AH80" i="6"/>
  <c r="AG80" i="6"/>
  <c r="AF80" i="6"/>
  <c r="AE80" i="6"/>
  <c r="AD80" i="6"/>
  <c r="AP79" i="6"/>
  <c r="AO79" i="6"/>
  <c r="AN79" i="6"/>
  <c r="AM79" i="6"/>
  <c r="AK79" i="6"/>
  <c r="AI79" i="6"/>
  <c r="AH79" i="6"/>
  <c r="AG79" i="6"/>
  <c r="AE79" i="6"/>
  <c r="AD79" i="6"/>
  <c r="AP78" i="6"/>
  <c r="AO78" i="6"/>
  <c r="AN78" i="6"/>
  <c r="AM78" i="6"/>
  <c r="AK78" i="6"/>
  <c r="AI78" i="6"/>
  <c r="AH78" i="6"/>
  <c r="AG78" i="6"/>
  <c r="AE78" i="6"/>
  <c r="AD78" i="6"/>
  <c r="AP77" i="6"/>
  <c r="AO77" i="6"/>
  <c r="AN77" i="6"/>
  <c r="AM77" i="6"/>
  <c r="AI77" i="6"/>
  <c r="AH77" i="6"/>
  <c r="AG77" i="6"/>
  <c r="AF77" i="6"/>
  <c r="AE77" i="6"/>
  <c r="AD77" i="6"/>
  <c r="AP76" i="6"/>
  <c r="AO76" i="6"/>
  <c r="AN76" i="6"/>
  <c r="AM76" i="6"/>
  <c r="AI76" i="6"/>
  <c r="AH76" i="6"/>
  <c r="AG76" i="6"/>
  <c r="AF76" i="6"/>
  <c r="AE76" i="6"/>
  <c r="AD76" i="6"/>
  <c r="AP75" i="6"/>
  <c r="AO75" i="6"/>
  <c r="AN75" i="6"/>
  <c r="AM75" i="6"/>
  <c r="AK75" i="6"/>
  <c r="AI75" i="6"/>
  <c r="AH75" i="6"/>
  <c r="AG75" i="6"/>
  <c r="AF75" i="6"/>
  <c r="AE75" i="6"/>
  <c r="AD75" i="6"/>
  <c r="AP74" i="6"/>
  <c r="AO74" i="6"/>
  <c r="AN74" i="6"/>
  <c r="AM74" i="6"/>
  <c r="AK74" i="6"/>
  <c r="AI74" i="6"/>
  <c r="AH74" i="6"/>
  <c r="AG74" i="6"/>
  <c r="AF74" i="6"/>
  <c r="AE74" i="6"/>
  <c r="AD74" i="6"/>
  <c r="AP73" i="6"/>
  <c r="AO73" i="6"/>
  <c r="AN73" i="6"/>
  <c r="AM73" i="6"/>
  <c r="AK73" i="6"/>
  <c r="AI73" i="6"/>
  <c r="AH73" i="6"/>
  <c r="AG73" i="6"/>
  <c r="AF73" i="6"/>
  <c r="AE73" i="6"/>
  <c r="AD73" i="6"/>
  <c r="AP72" i="6"/>
  <c r="AO72" i="6"/>
  <c r="AN72" i="6"/>
  <c r="AM72" i="6"/>
  <c r="AK72" i="6"/>
  <c r="AI72" i="6"/>
  <c r="AH72" i="6"/>
  <c r="AG72" i="6"/>
  <c r="AF72" i="6"/>
  <c r="AE72" i="6"/>
  <c r="AD72" i="6"/>
  <c r="AP71" i="6"/>
  <c r="AO71" i="6"/>
  <c r="AN71" i="6"/>
  <c r="AM71" i="6"/>
  <c r="AK71" i="6"/>
  <c r="AI71" i="6"/>
  <c r="AH71" i="6"/>
  <c r="AG71" i="6"/>
  <c r="AE71" i="6"/>
  <c r="AD71" i="6"/>
  <c r="AP70" i="6"/>
  <c r="AO70" i="6"/>
  <c r="AN70" i="6"/>
  <c r="AM70" i="6"/>
  <c r="AK70" i="6"/>
  <c r="AI70" i="6"/>
  <c r="AH70" i="6"/>
  <c r="AG70" i="6"/>
  <c r="AE70" i="6"/>
  <c r="AD70" i="6"/>
  <c r="AP69" i="6"/>
  <c r="AO69" i="6"/>
  <c r="AN69" i="6"/>
  <c r="AM69" i="6"/>
  <c r="AI69" i="6"/>
  <c r="AH69" i="6"/>
  <c r="AG69" i="6"/>
  <c r="AF69" i="6"/>
  <c r="AE69" i="6"/>
  <c r="AD69" i="6"/>
  <c r="AP68" i="6"/>
  <c r="AO68" i="6"/>
  <c r="AN68" i="6"/>
  <c r="AM68" i="6"/>
  <c r="AI68" i="6"/>
  <c r="AH68" i="6"/>
  <c r="AG68" i="6"/>
  <c r="AF68" i="6"/>
  <c r="AE68" i="6"/>
  <c r="AD68" i="6"/>
  <c r="AP67" i="6"/>
  <c r="AO67" i="6"/>
  <c r="AN67" i="6"/>
  <c r="AM67" i="6"/>
  <c r="AK67" i="6"/>
  <c r="AI67" i="6"/>
  <c r="AH67" i="6"/>
  <c r="AG67" i="6"/>
  <c r="AF67" i="6"/>
  <c r="AE67" i="6"/>
  <c r="AD67" i="6"/>
  <c r="AP66" i="6"/>
  <c r="AO66" i="6"/>
  <c r="AN66" i="6"/>
  <c r="AM66" i="6"/>
  <c r="AK66" i="6"/>
  <c r="AI66" i="6"/>
  <c r="AH66" i="6"/>
  <c r="AG66" i="6"/>
  <c r="AF66" i="6"/>
  <c r="AE66" i="6"/>
  <c r="AD66" i="6"/>
  <c r="AP65" i="6"/>
  <c r="AO65" i="6"/>
  <c r="AN65" i="6"/>
  <c r="AM65" i="6"/>
  <c r="AK65" i="6"/>
  <c r="AI65" i="6"/>
  <c r="AH65" i="6"/>
  <c r="AG65" i="6"/>
  <c r="AF65" i="6"/>
  <c r="AE65" i="6"/>
  <c r="AD65" i="6"/>
  <c r="AP64" i="6"/>
  <c r="AO64" i="6"/>
  <c r="AN64" i="6"/>
  <c r="AM64" i="6"/>
  <c r="AK64" i="6"/>
  <c r="AI64" i="6"/>
  <c r="AH64" i="6"/>
  <c r="AG64" i="6"/>
  <c r="AF64" i="6"/>
  <c r="AE64" i="6"/>
  <c r="AD64" i="6"/>
  <c r="AP63" i="6"/>
  <c r="AO63" i="6"/>
  <c r="AN63" i="6"/>
  <c r="AM63" i="6"/>
  <c r="AK63" i="6"/>
  <c r="AI63" i="6"/>
  <c r="AH63" i="6"/>
  <c r="AG63" i="6"/>
  <c r="AF63" i="6"/>
  <c r="AE63" i="6"/>
  <c r="AD63" i="6"/>
  <c r="AP62" i="6"/>
  <c r="AO62" i="6"/>
  <c r="AN62" i="6"/>
  <c r="AM62" i="6"/>
  <c r="AK62" i="6"/>
  <c r="AI62" i="6"/>
  <c r="AH62" i="6"/>
  <c r="AG62" i="6"/>
  <c r="AE62" i="6"/>
  <c r="AD62" i="6"/>
  <c r="AP61" i="6"/>
  <c r="AO61" i="6"/>
  <c r="AN61" i="6"/>
  <c r="AM61" i="6"/>
  <c r="AI61" i="6"/>
  <c r="AH61" i="6"/>
  <c r="AG61" i="6"/>
  <c r="AF61" i="6"/>
  <c r="AE61" i="6"/>
  <c r="AD61" i="6"/>
  <c r="AP60" i="6"/>
  <c r="AO60" i="6"/>
  <c r="AN60" i="6"/>
  <c r="AM60" i="6"/>
  <c r="AI60" i="6"/>
  <c r="AH60" i="6"/>
  <c r="AG60" i="6"/>
  <c r="AF60" i="6"/>
  <c r="AE60" i="6"/>
  <c r="AD60" i="6"/>
  <c r="AP59" i="6"/>
  <c r="AO59" i="6"/>
  <c r="AN59" i="6"/>
  <c r="AM59" i="6"/>
  <c r="AK59" i="6"/>
  <c r="AI59" i="6"/>
  <c r="AH59" i="6"/>
  <c r="AG59" i="6"/>
  <c r="AF59" i="6"/>
  <c r="AE59" i="6"/>
  <c r="AD59" i="6"/>
  <c r="AP58" i="6"/>
  <c r="AO58" i="6"/>
  <c r="AN58" i="6"/>
  <c r="AM58" i="6"/>
  <c r="AK58" i="6"/>
  <c r="AI58" i="6"/>
  <c r="AH58" i="6"/>
  <c r="AG58" i="6"/>
  <c r="AF58" i="6"/>
  <c r="AE58" i="6"/>
  <c r="AD58" i="6"/>
  <c r="AP57" i="6"/>
  <c r="AO57" i="6"/>
  <c r="AN57" i="6"/>
  <c r="AM57" i="6"/>
  <c r="AK57" i="6"/>
  <c r="AI57" i="6"/>
  <c r="AH57" i="6"/>
  <c r="AG57" i="6"/>
  <c r="AF57" i="6"/>
  <c r="AE57" i="6"/>
  <c r="AD57" i="6"/>
  <c r="AP56" i="6"/>
  <c r="AO56" i="6"/>
  <c r="AN56" i="6"/>
  <c r="AM56" i="6"/>
  <c r="AI56" i="6"/>
  <c r="AH56" i="6"/>
  <c r="AG56" i="6"/>
  <c r="AF56" i="6"/>
  <c r="AE56" i="6"/>
  <c r="AD56" i="6"/>
  <c r="AP55" i="6"/>
  <c r="AO55" i="6"/>
  <c r="AN55" i="6"/>
  <c r="AM55" i="6"/>
  <c r="AK55" i="6"/>
  <c r="AI55" i="6"/>
  <c r="AH55" i="6"/>
  <c r="AG55" i="6"/>
  <c r="AE55" i="6"/>
  <c r="AD55" i="6"/>
  <c r="AP54" i="6"/>
  <c r="AO54" i="6"/>
  <c r="AN54" i="6"/>
  <c r="AM54" i="6"/>
  <c r="AI54" i="6"/>
  <c r="AH54" i="6"/>
  <c r="AG54" i="6"/>
  <c r="AE54" i="6"/>
  <c r="AD54" i="6"/>
  <c r="AP53" i="6"/>
  <c r="AO53" i="6"/>
  <c r="AN53" i="6"/>
  <c r="AM53" i="6"/>
  <c r="AI53" i="6"/>
  <c r="AH53" i="6"/>
  <c r="AG53" i="6"/>
  <c r="AF53" i="6"/>
  <c r="AE53" i="6"/>
  <c r="AD53" i="6"/>
  <c r="AP52" i="6"/>
  <c r="AO52" i="6"/>
  <c r="AN52" i="6"/>
  <c r="AM52" i="6"/>
  <c r="AI52" i="6"/>
  <c r="AH52" i="6"/>
  <c r="AG52" i="6"/>
  <c r="AF52" i="6"/>
  <c r="AE52" i="6"/>
  <c r="AD52" i="6"/>
  <c r="AP51" i="6"/>
  <c r="AO51" i="6"/>
  <c r="AN51" i="6"/>
  <c r="AM51" i="6"/>
  <c r="AK51" i="6"/>
  <c r="AI51" i="6"/>
  <c r="AH51" i="6"/>
  <c r="AG51" i="6"/>
  <c r="AF51" i="6"/>
  <c r="AE51" i="6"/>
  <c r="AD51" i="6"/>
  <c r="AP50" i="6"/>
  <c r="AO50" i="6"/>
  <c r="AN50" i="6"/>
  <c r="AM50" i="6"/>
  <c r="AK50" i="6"/>
  <c r="AI50" i="6"/>
  <c r="AH50" i="6"/>
  <c r="AG50" i="6"/>
  <c r="AF50" i="6"/>
  <c r="AE50" i="6"/>
  <c r="AD50" i="6"/>
  <c r="AP49" i="6"/>
  <c r="AO49" i="6"/>
  <c r="AN49" i="6"/>
  <c r="AM49" i="6"/>
  <c r="AK49" i="6"/>
  <c r="AI49" i="6"/>
  <c r="AH49" i="6"/>
  <c r="AG49" i="6"/>
  <c r="AF49" i="6"/>
  <c r="AE49" i="6"/>
  <c r="AD49" i="6"/>
  <c r="AP48" i="6"/>
  <c r="AO48" i="6"/>
  <c r="AN48" i="6"/>
  <c r="AM48" i="6"/>
  <c r="AK48" i="6"/>
  <c r="AI48" i="6"/>
  <c r="AH48" i="6"/>
  <c r="AG48" i="6"/>
  <c r="AF48" i="6"/>
  <c r="AE48" i="6"/>
  <c r="AD48" i="6"/>
  <c r="AP47" i="6"/>
  <c r="AO47" i="6"/>
  <c r="AN47" i="6"/>
  <c r="AM47" i="6"/>
  <c r="AK47" i="6"/>
  <c r="AI47" i="6"/>
  <c r="AH47" i="6"/>
  <c r="AG47" i="6"/>
  <c r="AE47" i="6"/>
  <c r="AD47" i="6"/>
  <c r="AP46" i="6"/>
  <c r="AO46" i="6"/>
  <c r="AN46" i="6"/>
  <c r="AM46" i="6"/>
  <c r="AK46" i="6"/>
  <c r="AI46" i="6"/>
  <c r="AH46" i="6"/>
  <c r="AG46" i="6"/>
  <c r="AE46" i="6"/>
  <c r="AD46" i="6"/>
  <c r="AP45" i="6"/>
  <c r="AO45" i="6"/>
  <c r="AN45" i="6"/>
  <c r="AM45" i="6"/>
  <c r="AI45" i="6"/>
  <c r="AH45" i="6"/>
  <c r="AG45" i="6"/>
  <c r="AF45" i="6"/>
  <c r="AE45" i="6"/>
  <c r="AD45" i="6"/>
  <c r="AP44" i="6"/>
  <c r="AO44" i="6"/>
  <c r="AN44" i="6"/>
  <c r="AM44" i="6"/>
  <c r="AI44" i="6"/>
  <c r="AH44" i="6"/>
  <c r="AG44" i="6"/>
  <c r="AF44" i="6"/>
  <c r="AE44" i="6"/>
  <c r="AD44" i="6"/>
  <c r="AP43" i="6"/>
  <c r="AO43" i="6"/>
  <c r="AN43" i="6"/>
  <c r="AM43" i="6"/>
  <c r="AK43" i="6"/>
  <c r="AI43" i="6"/>
  <c r="AH43" i="6"/>
  <c r="AG43" i="6"/>
  <c r="AF43" i="6"/>
  <c r="AE43" i="6"/>
  <c r="AD43" i="6"/>
  <c r="AP42" i="6"/>
  <c r="AO42" i="6"/>
  <c r="AN42" i="6"/>
  <c r="AM42" i="6"/>
  <c r="AK42" i="6"/>
  <c r="AI42" i="6"/>
  <c r="AH42" i="6"/>
  <c r="AG42" i="6"/>
  <c r="AF42" i="6"/>
  <c r="AE42" i="6"/>
  <c r="AD42" i="6"/>
  <c r="AP41" i="6"/>
  <c r="AO41" i="6"/>
  <c r="AN41" i="6"/>
  <c r="AM41" i="6"/>
  <c r="AK41" i="6"/>
  <c r="AI41" i="6"/>
  <c r="AH41" i="6"/>
  <c r="AG41" i="6"/>
  <c r="AF41" i="6"/>
  <c r="AE41" i="6"/>
  <c r="AD41" i="6"/>
  <c r="AP40" i="6"/>
  <c r="AO40" i="6"/>
  <c r="AN40" i="6"/>
  <c r="AM40" i="6"/>
  <c r="AK40" i="6"/>
  <c r="AI40" i="6"/>
  <c r="AH40" i="6"/>
  <c r="AG40" i="6"/>
  <c r="AF40" i="6"/>
  <c r="AE40" i="6"/>
  <c r="AD40" i="6"/>
  <c r="AP39" i="6"/>
  <c r="AO39" i="6"/>
  <c r="AN39" i="6"/>
  <c r="AM39" i="6"/>
  <c r="AK39" i="6"/>
  <c r="AI39" i="6"/>
  <c r="AH39" i="6"/>
  <c r="AG39" i="6"/>
  <c r="AE39" i="6"/>
  <c r="AD39" i="6"/>
  <c r="AP38" i="6"/>
  <c r="AO38" i="6"/>
  <c r="AN38" i="6"/>
  <c r="AM38" i="6"/>
  <c r="AI38" i="6"/>
  <c r="AH38" i="6"/>
  <c r="AG38" i="6"/>
  <c r="AE38" i="6"/>
  <c r="AD38" i="6"/>
  <c r="AP37" i="6"/>
  <c r="AO37" i="6"/>
  <c r="AN37" i="6"/>
  <c r="AM37" i="6"/>
  <c r="AI37" i="6"/>
  <c r="AH37" i="6"/>
  <c r="AG37" i="6"/>
  <c r="AF37" i="6"/>
  <c r="AE37" i="6"/>
  <c r="AD37" i="6"/>
  <c r="AP36" i="6"/>
  <c r="AO36" i="6"/>
  <c r="AN36" i="6"/>
  <c r="AM36" i="6"/>
  <c r="AI36" i="6"/>
  <c r="AH36" i="6"/>
  <c r="AG36" i="6"/>
  <c r="AF36" i="6"/>
  <c r="AE36" i="6"/>
  <c r="AD36" i="6"/>
  <c r="AP35" i="6"/>
  <c r="AO35" i="6"/>
  <c r="AN35" i="6"/>
  <c r="AM35" i="6"/>
  <c r="AK35" i="6"/>
  <c r="AI35" i="6"/>
  <c r="AH35" i="6"/>
  <c r="AG35" i="6"/>
  <c r="AF35" i="6"/>
  <c r="AE35" i="6"/>
  <c r="AD35" i="6"/>
  <c r="AP34" i="6"/>
  <c r="AO34" i="6"/>
  <c r="AN34" i="6"/>
  <c r="AM34" i="6"/>
  <c r="AK34" i="6"/>
  <c r="AI34" i="6"/>
  <c r="AH34" i="6"/>
  <c r="AG34" i="6"/>
  <c r="AF34" i="6"/>
  <c r="AE34" i="6"/>
  <c r="AD34" i="6"/>
  <c r="AP33" i="6"/>
  <c r="AO33" i="6"/>
  <c r="AN33" i="6"/>
  <c r="AM33" i="6"/>
  <c r="AK33" i="6"/>
  <c r="AI33" i="6"/>
  <c r="AH33" i="6"/>
  <c r="AG33" i="6"/>
  <c r="AF33" i="6"/>
  <c r="AE33" i="6"/>
  <c r="AD33" i="6"/>
  <c r="AP32" i="6"/>
  <c r="AO32" i="6"/>
  <c r="AN32" i="6"/>
  <c r="AM32" i="6"/>
  <c r="AK32" i="6"/>
  <c r="AI32" i="6"/>
  <c r="AH32" i="6"/>
  <c r="AG32" i="6"/>
  <c r="AF32" i="6"/>
  <c r="AE32" i="6"/>
  <c r="AD32" i="6"/>
  <c r="AP31" i="6"/>
  <c r="AO31" i="6"/>
  <c r="AN31" i="6"/>
  <c r="AM31" i="6"/>
  <c r="AK31" i="6"/>
  <c r="AI31" i="6"/>
  <c r="AH31" i="6"/>
  <c r="AG31" i="6"/>
  <c r="AE31" i="6"/>
  <c r="AD31" i="6"/>
  <c r="AP30" i="6"/>
  <c r="AO30" i="6"/>
  <c r="AN30" i="6"/>
  <c r="AM30" i="6"/>
  <c r="AI30" i="6"/>
  <c r="AH30" i="6"/>
  <c r="AG30" i="6"/>
  <c r="AE30" i="6"/>
  <c r="AD30" i="6"/>
  <c r="AP29" i="6"/>
  <c r="AO29" i="6"/>
  <c r="AN29" i="6"/>
  <c r="AM29" i="6"/>
  <c r="AI29" i="6"/>
  <c r="AH29" i="6"/>
  <c r="AG29" i="6"/>
  <c r="AF29" i="6"/>
  <c r="AE29" i="6"/>
  <c r="AD29" i="6"/>
  <c r="AP28" i="6"/>
  <c r="AO28" i="6"/>
  <c r="AN28" i="6"/>
  <c r="AM28" i="6"/>
  <c r="AI28" i="6"/>
  <c r="AH28" i="6"/>
  <c r="AG28" i="6"/>
  <c r="AF28" i="6"/>
  <c r="AE28" i="6"/>
  <c r="AD28" i="6"/>
  <c r="AP27" i="6"/>
  <c r="AO27" i="6"/>
  <c r="AN27" i="6"/>
  <c r="AM27" i="6"/>
  <c r="AK27" i="6"/>
  <c r="AI27" i="6"/>
  <c r="AH27" i="6"/>
  <c r="AG27" i="6"/>
  <c r="AF27" i="6"/>
  <c r="AE27" i="6"/>
  <c r="AD27" i="6"/>
  <c r="AP26" i="6"/>
  <c r="AO26" i="6"/>
  <c r="AN26" i="6"/>
  <c r="AM26" i="6"/>
  <c r="AK26" i="6"/>
  <c r="AI26" i="6"/>
  <c r="AH26" i="6"/>
  <c r="AG26" i="6"/>
  <c r="AF26" i="6"/>
  <c r="AE26" i="6"/>
  <c r="AD26" i="6"/>
  <c r="AP25" i="6"/>
  <c r="AO25" i="6"/>
  <c r="AN25" i="6"/>
  <c r="AM25" i="6"/>
  <c r="AK25" i="6"/>
  <c r="AI25" i="6"/>
  <c r="AH25" i="6"/>
  <c r="AG25" i="6"/>
  <c r="AF25" i="6"/>
  <c r="AE25" i="6"/>
  <c r="AD25" i="6"/>
  <c r="AP24" i="6"/>
  <c r="AO24" i="6"/>
  <c r="AN24" i="6"/>
  <c r="AM24" i="6"/>
  <c r="AK24" i="6"/>
  <c r="AI24" i="6"/>
  <c r="AH24" i="6"/>
  <c r="AG24" i="6"/>
  <c r="AF24" i="6"/>
  <c r="AE24" i="6"/>
  <c r="AD24" i="6"/>
  <c r="AP23" i="6"/>
  <c r="AO23" i="6"/>
  <c r="AN23" i="6"/>
  <c r="AM23" i="6"/>
  <c r="AK23" i="6"/>
  <c r="AI23" i="6"/>
  <c r="AH23" i="6"/>
  <c r="AG23" i="6"/>
  <c r="AE23" i="6"/>
  <c r="AD23" i="6"/>
  <c r="AP22" i="6"/>
  <c r="AO22" i="6"/>
  <c r="AN22" i="6"/>
  <c r="AM22" i="6"/>
  <c r="AI22" i="6"/>
  <c r="AH22" i="6"/>
  <c r="AG22" i="6"/>
  <c r="AE22" i="6"/>
  <c r="AD22" i="6"/>
  <c r="AP21" i="6"/>
  <c r="AO21" i="6"/>
  <c r="AN21" i="6"/>
  <c r="AM21" i="6"/>
  <c r="AI21" i="6"/>
  <c r="AH21" i="6"/>
  <c r="AG21" i="6"/>
  <c r="AF21" i="6"/>
  <c r="AE21" i="6"/>
  <c r="AD21" i="6"/>
  <c r="AP20" i="6"/>
  <c r="AO20" i="6"/>
  <c r="AN20" i="6"/>
  <c r="AM20" i="6"/>
  <c r="AK20" i="6"/>
  <c r="AI20" i="6"/>
  <c r="AH20" i="6"/>
  <c r="AG20" i="6"/>
  <c r="AF20" i="6"/>
  <c r="AE20" i="6"/>
  <c r="AD20" i="6"/>
  <c r="AP19" i="6"/>
  <c r="AO19" i="6"/>
  <c r="AN19" i="6"/>
  <c r="AM19" i="6"/>
  <c r="AI19" i="6"/>
  <c r="AH19" i="6"/>
  <c r="AG19" i="6"/>
  <c r="AF19" i="6"/>
  <c r="AE19" i="6"/>
  <c r="AD19" i="6"/>
  <c r="AP18" i="6"/>
  <c r="AO18" i="6"/>
  <c r="AN18" i="6"/>
  <c r="AM18" i="6"/>
  <c r="AK18" i="6"/>
  <c r="AI18" i="6"/>
  <c r="AH18" i="6"/>
  <c r="AG18" i="6"/>
  <c r="AF18" i="6"/>
  <c r="AE18" i="6"/>
  <c r="AD18" i="6"/>
  <c r="AP17" i="6"/>
  <c r="AO17" i="6"/>
  <c r="AN17" i="6"/>
  <c r="AM17" i="6"/>
  <c r="AK17" i="6"/>
  <c r="AI17" i="6"/>
  <c r="AH17" i="6"/>
  <c r="AG17" i="6"/>
  <c r="AF17" i="6"/>
  <c r="AE17" i="6"/>
  <c r="AD17" i="6"/>
  <c r="AP16" i="6"/>
  <c r="AO16" i="6"/>
  <c r="AN16" i="6"/>
  <c r="AM16" i="6"/>
  <c r="AK16" i="6"/>
  <c r="AI16" i="6"/>
  <c r="AH16" i="6"/>
  <c r="AG16" i="6"/>
  <c r="AF16" i="6"/>
  <c r="AE16" i="6"/>
  <c r="AD16" i="6"/>
  <c r="AP15" i="6"/>
  <c r="AO15" i="6"/>
  <c r="AN15" i="6"/>
  <c r="AM15" i="6"/>
  <c r="AK15" i="6"/>
  <c r="AI15" i="6"/>
  <c r="AH15" i="6"/>
  <c r="AG15" i="6"/>
  <c r="AE15" i="6"/>
  <c r="AD15" i="6"/>
  <c r="AP14" i="6"/>
  <c r="AO14" i="6"/>
  <c r="AN14" i="6"/>
  <c r="AM14" i="6"/>
  <c r="AI14" i="6"/>
  <c r="AH14" i="6"/>
  <c r="AG14" i="6"/>
  <c r="AE14" i="6"/>
  <c r="AD14" i="6"/>
  <c r="AP13" i="6"/>
  <c r="AO13" i="6"/>
  <c r="AN13" i="6"/>
  <c r="AM13" i="6"/>
  <c r="AI13" i="6"/>
  <c r="AH13" i="6"/>
  <c r="AG13" i="6"/>
  <c r="AF13" i="6"/>
  <c r="AE13" i="6"/>
  <c r="AD13" i="6"/>
  <c r="AP12" i="6"/>
  <c r="AO12" i="6"/>
  <c r="AN12" i="6"/>
  <c r="AM12" i="6"/>
  <c r="AI12" i="6"/>
  <c r="AH12" i="6"/>
  <c r="AG12" i="6"/>
  <c r="AF12" i="6"/>
  <c r="AE12" i="6"/>
  <c r="AD12" i="6"/>
  <c r="AP11" i="6"/>
  <c r="AO11" i="6"/>
  <c r="AN11" i="6"/>
  <c r="AM11" i="6"/>
  <c r="AI11" i="6"/>
  <c r="AH11" i="6"/>
  <c r="AG11" i="6"/>
  <c r="AF11" i="6"/>
  <c r="AE11" i="6"/>
  <c r="AD11" i="6"/>
  <c r="AP10" i="6"/>
  <c r="AO10" i="6"/>
  <c r="AN10" i="6"/>
  <c r="AM10" i="6"/>
  <c r="AK10" i="6"/>
  <c r="AI10" i="6"/>
  <c r="AH10" i="6"/>
  <c r="AG10" i="6"/>
  <c r="AF10" i="6"/>
  <c r="AE10" i="6"/>
  <c r="AD10" i="6"/>
  <c r="AP9" i="6"/>
  <c r="AO9" i="6"/>
  <c r="AN9" i="6"/>
  <c r="AM9" i="6"/>
  <c r="AK9" i="6"/>
  <c r="AI9" i="6"/>
  <c r="AH9" i="6"/>
  <c r="AG9" i="6"/>
  <c r="AF9" i="6"/>
  <c r="AE9" i="6"/>
  <c r="AD9" i="6"/>
  <c r="AP8" i="6"/>
  <c r="AO8" i="6"/>
  <c r="AN8" i="6"/>
  <c r="AM8" i="6"/>
  <c r="AK8" i="6"/>
  <c r="AI8" i="6"/>
  <c r="AH8" i="6"/>
  <c r="AG8" i="6"/>
  <c r="AF8" i="6"/>
  <c r="AE8" i="6"/>
  <c r="AD8" i="6"/>
  <c r="AP7" i="6"/>
  <c r="AO7" i="6"/>
  <c r="AN7" i="6"/>
  <c r="AM7" i="6"/>
  <c r="AK7" i="6"/>
  <c r="AI7" i="6"/>
  <c r="AH7" i="6"/>
  <c r="AG7" i="6"/>
  <c r="AE7" i="6"/>
  <c r="AD7" i="6"/>
  <c r="AP6" i="6"/>
  <c r="AO6" i="6"/>
  <c r="AN6" i="6"/>
  <c r="AM6" i="6"/>
  <c r="AI6" i="6"/>
  <c r="AH6" i="6"/>
  <c r="AG6" i="6"/>
  <c r="AE6" i="6"/>
  <c r="AD6" i="6"/>
  <c r="AP5" i="6"/>
  <c r="AO5" i="6"/>
  <c r="AN5" i="6"/>
  <c r="AM5" i="6"/>
  <c r="AI5" i="6"/>
  <c r="AH5" i="6"/>
  <c r="AG5" i="6"/>
  <c r="AF5" i="6"/>
  <c r="AE5" i="6"/>
  <c r="AD5" i="6"/>
  <c r="AP4" i="6"/>
  <c r="AO4" i="6"/>
  <c r="AN4" i="6"/>
  <c r="AM4" i="6"/>
  <c r="AK4" i="6"/>
  <c r="AI4" i="6"/>
  <c r="AH4" i="6"/>
  <c r="AG4" i="6"/>
  <c r="AF4" i="6"/>
  <c r="AE4" i="6"/>
  <c r="AD4" i="6"/>
  <c r="AP3" i="6"/>
  <c r="AO3" i="6"/>
  <c r="AN3" i="6"/>
  <c r="AM3" i="6"/>
  <c r="AI3" i="6"/>
  <c r="AH3" i="6"/>
  <c r="AG3" i="6"/>
  <c r="AF3" i="6"/>
  <c r="AE3" i="6"/>
  <c r="AD3" i="6"/>
  <c r="AP2" i="6"/>
  <c r="AO2" i="6"/>
  <c r="AN2" i="6"/>
  <c r="AM2" i="6"/>
  <c r="AK2" i="6"/>
  <c r="AI2" i="6"/>
  <c r="AH2" i="6"/>
  <c r="AG2" i="6"/>
  <c r="AF2" i="6"/>
  <c r="AE2" i="6"/>
  <c r="AD2" i="6"/>
  <c r="U232" i="4"/>
  <c r="T232" i="4"/>
  <c r="S232" i="4"/>
  <c r="R232" i="4"/>
  <c r="R232" i="3" s="1"/>
  <c r="I232" i="7" s="1"/>
  <c r="K232" i="7" s="1"/>
  <c r="Q232" i="4"/>
  <c r="M232" i="4"/>
  <c r="K232" i="4"/>
  <c r="U231" i="4"/>
  <c r="U231" i="3" s="1"/>
  <c r="R231" i="7" s="1"/>
  <c r="T231" i="7" s="1"/>
  <c r="T231" i="4"/>
  <c r="S231" i="4"/>
  <c r="R231" i="4"/>
  <c r="Q231" i="4"/>
  <c r="Q231" i="3" s="1"/>
  <c r="G231" i="7" s="1"/>
  <c r="M231" i="4"/>
  <c r="K231" i="4"/>
  <c r="U230" i="4"/>
  <c r="T230" i="4"/>
  <c r="T230" i="3" s="1"/>
  <c r="O230" i="7" s="1"/>
  <c r="Q230" i="7" s="1"/>
  <c r="S230" i="4"/>
  <c r="R230" i="4"/>
  <c r="Q230" i="4"/>
  <c r="M230" i="4"/>
  <c r="K230" i="4"/>
  <c r="U229" i="4"/>
  <c r="T229" i="4"/>
  <c r="S229" i="4"/>
  <c r="S229" i="3" s="1"/>
  <c r="L229" i="7" s="1"/>
  <c r="N229" i="7" s="1"/>
  <c r="R229" i="4"/>
  <c r="Q229" i="4"/>
  <c r="M229" i="4"/>
  <c r="K229" i="4"/>
  <c r="U228" i="4"/>
  <c r="U228" i="3" s="1"/>
  <c r="R228" i="7" s="1"/>
  <c r="T228" i="7" s="1"/>
  <c r="T228" i="4"/>
  <c r="S228" i="4"/>
  <c r="R228" i="4"/>
  <c r="R228" i="3" s="1"/>
  <c r="I228" i="7" s="1"/>
  <c r="K228" i="7" s="1"/>
  <c r="Q228" i="4"/>
  <c r="M228" i="4"/>
  <c r="K228" i="4"/>
  <c r="U227" i="4"/>
  <c r="U227" i="3" s="1"/>
  <c r="R227" i="7" s="1"/>
  <c r="T227" i="7" s="1"/>
  <c r="T227" i="4"/>
  <c r="T227" i="3" s="1"/>
  <c r="O227" i="7" s="1"/>
  <c r="Q227" i="7" s="1"/>
  <c r="S227" i="4"/>
  <c r="R227" i="4"/>
  <c r="Q227" i="4"/>
  <c r="M227" i="4"/>
  <c r="K227" i="4"/>
  <c r="U226" i="4"/>
  <c r="T226" i="4"/>
  <c r="T226" i="3" s="1"/>
  <c r="O226" i="7" s="1"/>
  <c r="Q226" i="7" s="1"/>
  <c r="S226" i="4"/>
  <c r="S226" i="3" s="1"/>
  <c r="L226" i="7" s="1"/>
  <c r="N226" i="7" s="1"/>
  <c r="R226" i="4"/>
  <c r="Q226" i="4"/>
  <c r="M226" i="4"/>
  <c r="K226" i="4"/>
  <c r="U225" i="4"/>
  <c r="T225" i="4"/>
  <c r="S225" i="4"/>
  <c r="S225" i="3" s="1"/>
  <c r="L225" i="7" s="1"/>
  <c r="N225" i="7" s="1"/>
  <c r="R225" i="4"/>
  <c r="Q225" i="4"/>
  <c r="M225" i="4"/>
  <c r="K225" i="4"/>
  <c r="U224" i="4"/>
  <c r="T224" i="4"/>
  <c r="S224" i="4"/>
  <c r="R224" i="4"/>
  <c r="R224" i="3" s="1"/>
  <c r="I224" i="7" s="1"/>
  <c r="K224" i="7" s="1"/>
  <c r="Q224" i="4"/>
  <c r="Q224" i="3" s="1"/>
  <c r="G224" i="7" s="1"/>
  <c r="M224" i="4"/>
  <c r="K224" i="4"/>
  <c r="U223" i="4"/>
  <c r="U223" i="3" s="1"/>
  <c r="R223" i="7" s="1"/>
  <c r="T223" i="7" s="1"/>
  <c r="T223" i="4"/>
  <c r="S223" i="4"/>
  <c r="R223" i="4"/>
  <c r="Q223" i="4"/>
  <c r="Q223" i="3" s="1"/>
  <c r="G223" i="7" s="1"/>
  <c r="M223" i="4"/>
  <c r="K223" i="4"/>
  <c r="U222" i="4"/>
  <c r="T222" i="4"/>
  <c r="T222" i="3" s="1"/>
  <c r="O222" i="7" s="1"/>
  <c r="Q222" i="7" s="1"/>
  <c r="S222" i="4"/>
  <c r="R222" i="4"/>
  <c r="Q222" i="4"/>
  <c r="M222" i="4"/>
  <c r="K222" i="4"/>
  <c r="U221" i="4"/>
  <c r="T221" i="4"/>
  <c r="S221" i="4"/>
  <c r="S221" i="3" s="1"/>
  <c r="L221" i="7" s="1"/>
  <c r="N221" i="7" s="1"/>
  <c r="R221" i="4"/>
  <c r="Q221" i="4"/>
  <c r="M221" i="4"/>
  <c r="K221" i="4"/>
  <c r="U220" i="4"/>
  <c r="U220" i="3" s="1"/>
  <c r="R220" i="7" s="1"/>
  <c r="T220" i="7" s="1"/>
  <c r="T220" i="4"/>
  <c r="S220" i="4"/>
  <c r="R220" i="4"/>
  <c r="R220" i="3" s="1"/>
  <c r="I220" i="7" s="1"/>
  <c r="K220" i="7" s="1"/>
  <c r="Q220" i="4"/>
  <c r="M220" i="4"/>
  <c r="K220" i="4"/>
  <c r="U219" i="4"/>
  <c r="U219" i="3" s="1"/>
  <c r="R219" i="7" s="1"/>
  <c r="T219" i="7" s="1"/>
  <c r="T219" i="4"/>
  <c r="T219" i="3" s="1"/>
  <c r="O219" i="7" s="1"/>
  <c r="Q219" i="7" s="1"/>
  <c r="S219" i="4"/>
  <c r="R219" i="4"/>
  <c r="Q219" i="4"/>
  <c r="Q219" i="3" s="1"/>
  <c r="G219" i="7" s="1"/>
  <c r="M219" i="4"/>
  <c r="K219" i="4"/>
  <c r="U218" i="4"/>
  <c r="T218" i="4"/>
  <c r="T218" i="3" s="1"/>
  <c r="O218" i="7" s="1"/>
  <c r="Q218" i="7" s="1"/>
  <c r="S218" i="4"/>
  <c r="S218" i="3" s="1"/>
  <c r="L218" i="7" s="1"/>
  <c r="N218" i="7" s="1"/>
  <c r="R218" i="4"/>
  <c r="Q218" i="4"/>
  <c r="M218" i="4"/>
  <c r="K218" i="4"/>
  <c r="U217" i="4"/>
  <c r="T217" i="4"/>
  <c r="S217" i="4"/>
  <c r="S217" i="3" s="1"/>
  <c r="L217" i="7" s="1"/>
  <c r="N217" i="7" s="1"/>
  <c r="R217" i="4"/>
  <c r="Q217" i="4"/>
  <c r="M217" i="4"/>
  <c r="K217" i="4"/>
  <c r="U216" i="4"/>
  <c r="T216" i="4"/>
  <c r="S216" i="4"/>
  <c r="R216" i="4"/>
  <c r="R216" i="3" s="1"/>
  <c r="I216" i="7" s="1"/>
  <c r="K216" i="7" s="1"/>
  <c r="Q216" i="4"/>
  <c r="Q216" i="3" s="1"/>
  <c r="G216" i="7" s="1"/>
  <c r="M216" i="4"/>
  <c r="K216" i="4"/>
  <c r="U215" i="4"/>
  <c r="T215" i="4"/>
  <c r="S215" i="4"/>
  <c r="R215" i="4"/>
  <c r="Q215" i="4"/>
  <c r="Q215" i="3" s="1"/>
  <c r="G215" i="7" s="1"/>
  <c r="M215" i="4"/>
  <c r="K215" i="4"/>
  <c r="U214" i="4"/>
  <c r="T214" i="4"/>
  <c r="T214" i="3" s="1"/>
  <c r="O214" i="7" s="1"/>
  <c r="Q214" i="7" s="1"/>
  <c r="S214" i="4"/>
  <c r="R214" i="4"/>
  <c r="Q214" i="4"/>
  <c r="M214" i="4"/>
  <c r="K214" i="4"/>
  <c r="U213" i="4"/>
  <c r="T213" i="4"/>
  <c r="S213" i="4"/>
  <c r="S213" i="3" s="1"/>
  <c r="L213" i="7" s="1"/>
  <c r="N213" i="7" s="1"/>
  <c r="R213" i="4"/>
  <c r="Q213" i="4"/>
  <c r="M213" i="4"/>
  <c r="K213" i="4"/>
  <c r="U212" i="4"/>
  <c r="U212" i="3" s="1"/>
  <c r="R212" i="7" s="1"/>
  <c r="T212" i="7" s="1"/>
  <c r="T212" i="4"/>
  <c r="S212" i="4"/>
  <c r="R212" i="4"/>
  <c r="R212" i="3" s="1"/>
  <c r="I212" i="7" s="1"/>
  <c r="K212" i="7" s="1"/>
  <c r="Q212" i="4"/>
  <c r="M212" i="4"/>
  <c r="K212" i="4"/>
  <c r="U211" i="4"/>
  <c r="U211" i="3" s="1"/>
  <c r="R211" i="7" s="1"/>
  <c r="T211" i="7" s="1"/>
  <c r="T211" i="4"/>
  <c r="S211" i="4"/>
  <c r="R211" i="4"/>
  <c r="Q211" i="4"/>
  <c r="Q211" i="3" s="1"/>
  <c r="G211" i="7" s="1"/>
  <c r="M211" i="4"/>
  <c r="K211" i="4"/>
  <c r="U210" i="4"/>
  <c r="T210" i="4"/>
  <c r="T210" i="3" s="1"/>
  <c r="O210" i="7" s="1"/>
  <c r="Q210" i="7" s="1"/>
  <c r="S210" i="4"/>
  <c r="R210" i="4"/>
  <c r="Q210" i="4"/>
  <c r="M210" i="4"/>
  <c r="K210" i="4"/>
  <c r="U209" i="4"/>
  <c r="T209" i="4"/>
  <c r="S209" i="4"/>
  <c r="S209" i="3" s="1"/>
  <c r="L209" i="7" s="1"/>
  <c r="N209" i="7" s="1"/>
  <c r="R209" i="4"/>
  <c r="R209" i="3" s="1"/>
  <c r="I209" i="7" s="1"/>
  <c r="K209" i="7" s="1"/>
  <c r="Q209" i="4"/>
  <c r="M209" i="4"/>
  <c r="K209" i="4"/>
  <c r="U208" i="4"/>
  <c r="T208" i="4"/>
  <c r="S208" i="4"/>
  <c r="R208" i="4"/>
  <c r="R208" i="3" s="1"/>
  <c r="I208" i="7" s="1"/>
  <c r="K208" i="7" s="1"/>
  <c r="Q208" i="4"/>
  <c r="Q208" i="3" s="1"/>
  <c r="G208" i="7" s="1"/>
  <c r="M208" i="4"/>
  <c r="K208" i="4"/>
  <c r="U207" i="4"/>
  <c r="U207" i="3" s="1"/>
  <c r="R207" i="7" s="1"/>
  <c r="T207" i="7" s="1"/>
  <c r="T207" i="4"/>
  <c r="S207" i="4"/>
  <c r="R207" i="4"/>
  <c r="Q207" i="4"/>
  <c r="Q207" i="3" s="1"/>
  <c r="G207" i="7" s="1"/>
  <c r="M207" i="4"/>
  <c r="K207" i="4"/>
  <c r="U206" i="4"/>
  <c r="T206" i="4"/>
  <c r="T206" i="3" s="1"/>
  <c r="O206" i="7" s="1"/>
  <c r="Q206" i="7" s="1"/>
  <c r="S206" i="4"/>
  <c r="S206" i="3" s="1"/>
  <c r="L206" i="7" s="1"/>
  <c r="N206" i="7" s="1"/>
  <c r="R206" i="4"/>
  <c r="Q206" i="4"/>
  <c r="M206" i="4"/>
  <c r="K206" i="4"/>
  <c r="U205" i="4"/>
  <c r="U205" i="3" s="1"/>
  <c r="R205" i="7" s="1"/>
  <c r="T205" i="7" s="1"/>
  <c r="T205" i="4"/>
  <c r="T205" i="3" s="1"/>
  <c r="O205" i="7" s="1"/>
  <c r="Q205" i="7" s="1"/>
  <c r="S205" i="4"/>
  <c r="S205" i="3" s="1"/>
  <c r="L205" i="7" s="1"/>
  <c r="N205" i="7" s="1"/>
  <c r="R205" i="4"/>
  <c r="Q205" i="4"/>
  <c r="M205" i="4"/>
  <c r="K205" i="4"/>
  <c r="U204" i="4"/>
  <c r="U204" i="3" s="1"/>
  <c r="R204" i="7" s="1"/>
  <c r="T204" i="7" s="1"/>
  <c r="T204" i="4"/>
  <c r="T204" i="3" s="1"/>
  <c r="O204" i="7" s="1"/>
  <c r="Q204" i="7" s="1"/>
  <c r="S204" i="4"/>
  <c r="R204" i="4"/>
  <c r="R204" i="3" s="1"/>
  <c r="I204" i="7" s="1"/>
  <c r="K204" i="7" s="1"/>
  <c r="Q204" i="4"/>
  <c r="M204" i="4"/>
  <c r="K204" i="4"/>
  <c r="U203" i="4"/>
  <c r="U203" i="3" s="1"/>
  <c r="R203" i="7" s="1"/>
  <c r="T203" i="7" s="1"/>
  <c r="T203" i="4"/>
  <c r="S203" i="4"/>
  <c r="S203" i="3" s="1"/>
  <c r="L203" i="7" s="1"/>
  <c r="N203" i="7" s="1"/>
  <c r="R203" i="4"/>
  <c r="Q203" i="4"/>
  <c r="Q203" i="3" s="1"/>
  <c r="G203" i="7" s="1"/>
  <c r="M203" i="4"/>
  <c r="K203" i="4"/>
  <c r="U202" i="4"/>
  <c r="T202" i="4"/>
  <c r="T202" i="3" s="1"/>
  <c r="O202" i="7" s="1"/>
  <c r="Q202" i="7" s="1"/>
  <c r="S202" i="4"/>
  <c r="R202" i="4"/>
  <c r="Q202" i="4"/>
  <c r="M202" i="4"/>
  <c r="K202" i="4"/>
  <c r="U201" i="4"/>
  <c r="T201" i="4"/>
  <c r="S201" i="4"/>
  <c r="S201" i="3" s="1"/>
  <c r="L201" i="7" s="1"/>
  <c r="N201" i="7" s="1"/>
  <c r="R201" i="4"/>
  <c r="R201" i="3" s="1"/>
  <c r="I201" i="7" s="1"/>
  <c r="K201" i="7" s="1"/>
  <c r="Q201" i="4"/>
  <c r="Q201" i="3" s="1"/>
  <c r="G201" i="7" s="1"/>
  <c r="M201" i="4"/>
  <c r="K201" i="4"/>
  <c r="U200" i="4"/>
  <c r="T200" i="4"/>
  <c r="T200" i="3" s="1"/>
  <c r="O200" i="7" s="1"/>
  <c r="S200" i="4"/>
  <c r="R200" i="4"/>
  <c r="R200" i="3" s="1"/>
  <c r="I200" i="7" s="1"/>
  <c r="K200" i="7" s="1"/>
  <c r="Q200" i="4"/>
  <c r="Q200" i="3" s="1"/>
  <c r="G200" i="7" s="1"/>
  <c r="M200" i="4"/>
  <c r="K200" i="4"/>
  <c r="U199" i="4"/>
  <c r="U199" i="3" s="1"/>
  <c r="R199" i="7" s="1"/>
  <c r="T199" i="7" s="1"/>
  <c r="T199" i="4"/>
  <c r="S199" i="4"/>
  <c r="R199" i="4"/>
  <c r="Q199" i="4"/>
  <c r="Q199" i="3" s="1"/>
  <c r="G199" i="7" s="1"/>
  <c r="M199" i="4"/>
  <c r="K199" i="4"/>
  <c r="U198" i="4"/>
  <c r="U198" i="3" s="1"/>
  <c r="R198" i="7" s="1"/>
  <c r="T198" i="7" s="1"/>
  <c r="T198" i="4"/>
  <c r="T198" i="3" s="1"/>
  <c r="O198" i="7" s="1"/>
  <c r="Q198" i="7" s="1"/>
  <c r="S198" i="4"/>
  <c r="R198" i="4"/>
  <c r="Q198" i="4"/>
  <c r="M198" i="4"/>
  <c r="K198" i="4"/>
  <c r="U197" i="4"/>
  <c r="U197" i="3" s="1"/>
  <c r="R197" i="7" s="1"/>
  <c r="T197" i="7" s="1"/>
  <c r="T197" i="4"/>
  <c r="S197" i="4"/>
  <c r="S197" i="3" s="1"/>
  <c r="L197" i="7" s="1"/>
  <c r="N197" i="7" s="1"/>
  <c r="R197" i="4"/>
  <c r="Q197" i="4"/>
  <c r="M197" i="4"/>
  <c r="K197" i="4"/>
  <c r="U196" i="4"/>
  <c r="U196" i="3" s="1"/>
  <c r="R196" i="7" s="1"/>
  <c r="T196" i="7" s="1"/>
  <c r="T196" i="4"/>
  <c r="T196" i="3" s="1"/>
  <c r="O196" i="7" s="1"/>
  <c r="Q196" i="7" s="1"/>
  <c r="S196" i="4"/>
  <c r="S196" i="3" s="1"/>
  <c r="L196" i="7" s="1"/>
  <c r="N196" i="7" s="1"/>
  <c r="R196" i="4"/>
  <c r="R196" i="3" s="1"/>
  <c r="I196" i="7" s="1"/>
  <c r="K196" i="7" s="1"/>
  <c r="Q196" i="4"/>
  <c r="M196" i="4"/>
  <c r="K196" i="4"/>
  <c r="U195" i="4"/>
  <c r="T195" i="4"/>
  <c r="S195" i="4"/>
  <c r="R195" i="4"/>
  <c r="R195" i="3" s="1"/>
  <c r="I195" i="7" s="1"/>
  <c r="K195" i="7" s="1"/>
  <c r="Q195" i="4"/>
  <c r="Q195" i="3" s="1"/>
  <c r="G195" i="7" s="1"/>
  <c r="M195" i="4"/>
  <c r="K195" i="4"/>
  <c r="U194" i="4"/>
  <c r="U194" i="3" s="1"/>
  <c r="R194" i="7" s="1"/>
  <c r="T194" i="4"/>
  <c r="T194" i="3" s="1"/>
  <c r="O194" i="7" s="1"/>
  <c r="Q194" i="7" s="1"/>
  <c r="S194" i="4"/>
  <c r="S194" i="3" s="1"/>
  <c r="L194" i="7" s="1"/>
  <c r="N194" i="7" s="1"/>
  <c r="R194" i="4"/>
  <c r="R194" i="3" s="1"/>
  <c r="I194" i="7" s="1"/>
  <c r="K194" i="7" s="1"/>
  <c r="Q194" i="4"/>
  <c r="M194" i="4"/>
  <c r="K194" i="4"/>
  <c r="U193" i="4"/>
  <c r="T193" i="4"/>
  <c r="T193" i="3" s="1"/>
  <c r="O193" i="7" s="1"/>
  <c r="S193" i="4"/>
  <c r="S193" i="3" s="1"/>
  <c r="L193" i="7" s="1"/>
  <c r="N193" i="7" s="1"/>
  <c r="R193" i="4"/>
  <c r="Q193" i="4"/>
  <c r="Q193" i="3" s="1"/>
  <c r="G193" i="7" s="1"/>
  <c r="M193" i="4"/>
  <c r="K193" i="4"/>
  <c r="U192" i="4"/>
  <c r="T192" i="4"/>
  <c r="S192" i="4"/>
  <c r="R192" i="4"/>
  <c r="R192" i="3" s="1"/>
  <c r="I192" i="7" s="1"/>
  <c r="K192" i="7" s="1"/>
  <c r="Q192" i="4"/>
  <c r="Q192" i="3" s="1"/>
  <c r="G192" i="7" s="1"/>
  <c r="M192" i="4"/>
  <c r="K192" i="4"/>
  <c r="U191" i="4"/>
  <c r="U191" i="3" s="1"/>
  <c r="R191" i="7" s="1"/>
  <c r="T191" i="7" s="1"/>
  <c r="T191" i="4"/>
  <c r="S191" i="4"/>
  <c r="R191" i="4"/>
  <c r="Q191" i="4"/>
  <c r="Q191" i="3" s="1"/>
  <c r="G191" i="7" s="1"/>
  <c r="M191" i="4"/>
  <c r="K191" i="4"/>
  <c r="U190" i="4"/>
  <c r="T190" i="4"/>
  <c r="T190" i="3" s="1"/>
  <c r="O190" i="7" s="1"/>
  <c r="Q190" i="7" s="1"/>
  <c r="S190" i="4"/>
  <c r="R190" i="4"/>
  <c r="Q190" i="4"/>
  <c r="M190" i="4"/>
  <c r="K190" i="4"/>
  <c r="U189" i="4"/>
  <c r="U189" i="3" s="1"/>
  <c r="R189" i="7" s="1"/>
  <c r="T189" i="7" s="1"/>
  <c r="T189" i="4"/>
  <c r="S189" i="4"/>
  <c r="S189" i="3" s="1"/>
  <c r="L189" i="7" s="1"/>
  <c r="N189" i="7" s="1"/>
  <c r="R189" i="4"/>
  <c r="Q189" i="4"/>
  <c r="Q189" i="3" s="1"/>
  <c r="G189" i="7" s="1"/>
  <c r="M189" i="4"/>
  <c r="K189" i="4"/>
  <c r="U188" i="4"/>
  <c r="U188" i="3" s="1"/>
  <c r="R188" i="7" s="1"/>
  <c r="T188" i="7" s="1"/>
  <c r="T188" i="4"/>
  <c r="T188" i="3" s="1"/>
  <c r="O188" i="7" s="1"/>
  <c r="Q188" i="7" s="1"/>
  <c r="S188" i="4"/>
  <c r="R188" i="4"/>
  <c r="Q188" i="4"/>
  <c r="M188" i="4"/>
  <c r="K188" i="4"/>
  <c r="U187" i="4"/>
  <c r="U187" i="3" s="1"/>
  <c r="R187" i="7" s="1"/>
  <c r="T187" i="7" s="1"/>
  <c r="T187" i="4"/>
  <c r="T187" i="3" s="1"/>
  <c r="O187" i="7" s="1"/>
  <c r="Q187" i="7" s="1"/>
  <c r="S187" i="4"/>
  <c r="S187" i="3" s="1"/>
  <c r="L187" i="7" s="1"/>
  <c r="N187" i="7" s="1"/>
  <c r="R187" i="4"/>
  <c r="Q187" i="4"/>
  <c r="Q187" i="3" s="1"/>
  <c r="G187" i="7" s="1"/>
  <c r="M187" i="4"/>
  <c r="K187" i="4"/>
  <c r="U186" i="4"/>
  <c r="T186" i="4"/>
  <c r="T186" i="3" s="1"/>
  <c r="O186" i="7" s="1"/>
  <c r="Q186" i="7" s="1"/>
  <c r="S186" i="4"/>
  <c r="S186" i="3" s="1"/>
  <c r="L186" i="7" s="1"/>
  <c r="N186" i="7" s="1"/>
  <c r="R186" i="4"/>
  <c r="R186" i="3" s="1"/>
  <c r="I186" i="7" s="1"/>
  <c r="K186" i="7" s="1"/>
  <c r="Q186" i="4"/>
  <c r="M186" i="4"/>
  <c r="K186" i="4"/>
  <c r="U185" i="4"/>
  <c r="T185" i="4"/>
  <c r="S185" i="4"/>
  <c r="S185" i="3" s="1"/>
  <c r="L185" i="7" s="1"/>
  <c r="N185" i="7" s="1"/>
  <c r="R185" i="4"/>
  <c r="R185" i="3" s="1"/>
  <c r="I185" i="7" s="1"/>
  <c r="K185" i="7" s="1"/>
  <c r="Q185" i="4"/>
  <c r="Q185" i="3" s="1"/>
  <c r="G185" i="7" s="1"/>
  <c r="M185" i="4"/>
  <c r="K185" i="4"/>
  <c r="U184" i="4"/>
  <c r="U184" i="3" s="1"/>
  <c r="R184" i="7" s="1"/>
  <c r="T184" i="7" s="1"/>
  <c r="T184" i="4"/>
  <c r="S184" i="4"/>
  <c r="R184" i="4"/>
  <c r="R184" i="3" s="1"/>
  <c r="I184" i="7" s="1"/>
  <c r="K184" i="7" s="1"/>
  <c r="Q184" i="4"/>
  <c r="Q184" i="3" s="1"/>
  <c r="G184" i="7" s="1"/>
  <c r="M184" i="4"/>
  <c r="K184" i="4"/>
  <c r="U183" i="4"/>
  <c r="U183" i="3" s="1"/>
  <c r="R183" i="7" s="1"/>
  <c r="T183" i="7" s="1"/>
  <c r="T183" i="4"/>
  <c r="S183" i="4"/>
  <c r="R183" i="4"/>
  <c r="R183" i="3" s="1"/>
  <c r="I183" i="7" s="1"/>
  <c r="K183" i="7" s="1"/>
  <c r="Q183" i="4"/>
  <c r="Q183" i="3" s="1"/>
  <c r="G183" i="7" s="1"/>
  <c r="M183" i="4"/>
  <c r="K183" i="4"/>
  <c r="U182" i="4"/>
  <c r="T182" i="4"/>
  <c r="T182" i="3" s="1"/>
  <c r="O182" i="7" s="1"/>
  <c r="Q182" i="7" s="1"/>
  <c r="S182" i="4"/>
  <c r="R182" i="4"/>
  <c r="Q182" i="4"/>
  <c r="Q182" i="3" s="1"/>
  <c r="G182" i="7" s="1"/>
  <c r="M182" i="4"/>
  <c r="K182" i="4"/>
  <c r="U181" i="4"/>
  <c r="U181" i="3" s="1"/>
  <c r="R181" i="7" s="1"/>
  <c r="T181" i="7" s="1"/>
  <c r="T181" i="4"/>
  <c r="T181" i="3" s="1"/>
  <c r="O181" i="7" s="1"/>
  <c r="Q181" i="7" s="1"/>
  <c r="S181" i="4"/>
  <c r="S181" i="3" s="1"/>
  <c r="L181" i="7" s="1"/>
  <c r="N181" i="7" s="1"/>
  <c r="R181" i="4"/>
  <c r="Q181" i="4"/>
  <c r="M181" i="4"/>
  <c r="K181" i="4"/>
  <c r="U180" i="4"/>
  <c r="T180" i="4"/>
  <c r="T180" i="3" s="1"/>
  <c r="O180" i="7" s="1"/>
  <c r="Q180" i="7" s="1"/>
  <c r="S180" i="4"/>
  <c r="S180" i="3" s="1"/>
  <c r="L180" i="7" s="1"/>
  <c r="N180" i="7" s="1"/>
  <c r="R180" i="4"/>
  <c r="Q180" i="4"/>
  <c r="M180" i="4"/>
  <c r="K180" i="4"/>
  <c r="U179" i="4"/>
  <c r="U179" i="3" s="1"/>
  <c r="R179" i="7" s="1"/>
  <c r="T179" i="7" s="1"/>
  <c r="T179" i="4"/>
  <c r="T179" i="3" s="1"/>
  <c r="O179" i="7" s="1"/>
  <c r="Q179" i="7" s="1"/>
  <c r="S179" i="4"/>
  <c r="S179" i="3" s="1"/>
  <c r="L179" i="7" s="1"/>
  <c r="N179" i="7" s="1"/>
  <c r="R179" i="4"/>
  <c r="R179" i="3" s="1"/>
  <c r="I179" i="7" s="1"/>
  <c r="K179" i="7" s="1"/>
  <c r="Q179" i="4"/>
  <c r="Q179" i="3" s="1"/>
  <c r="G179" i="7" s="1"/>
  <c r="M179" i="4"/>
  <c r="K179" i="4"/>
  <c r="U178" i="4"/>
  <c r="T178" i="4"/>
  <c r="T178" i="3" s="1"/>
  <c r="O178" i="7" s="1"/>
  <c r="Q178" i="7" s="1"/>
  <c r="S178" i="4"/>
  <c r="R178" i="4"/>
  <c r="R178" i="3" s="1"/>
  <c r="I178" i="7" s="1"/>
  <c r="K178" i="7" s="1"/>
  <c r="Q178" i="4"/>
  <c r="Q178" i="3" s="1"/>
  <c r="G178" i="7" s="1"/>
  <c r="M178" i="4"/>
  <c r="K178" i="4"/>
  <c r="U177" i="4"/>
  <c r="U177" i="3" s="1"/>
  <c r="R177" i="7" s="1"/>
  <c r="T177" i="4"/>
  <c r="S177" i="4"/>
  <c r="R177" i="4"/>
  <c r="R177" i="3" s="1"/>
  <c r="I177" i="7" s="1"/>
  <c r="K177" i="7" s="1"/>
  <c r="Q177" i="4"/>
  <c r="Q177" i="3" s="1"/>
  <c r="G177" i="7" s="1"/>
  <c r="M177" i="4"/>
  <c r="K177" i="4"/>
  <c r="U176" i="4"/>
  <c r="T176" i="4"/>
  <c r="T176" i="3" s="1"/>
  <c r="O176" i="7" s="1"/>
  <c r="S176" i="4"/>
  <c r="R176" i="4"/>
  <c r="R176" i="3" s="1"/>
  <c r="I176" i="7" s="1"/>
  <c r="K176" i="7" s="1"/>
  <c r="Q176" i="4"/>
  <c r="M176" i="4"/>
  <c r="K176" i="4"/>
  <c r="U175" i="4"/>
  <c r="T175" i="4"/>
  <c r="T175" i="3" s="1"/>
  <c r="O175" i="7" s="1"/>
  <c r="Q175" i="7" s="1"/>
  <c r="S175" i="4"/>
  <c r="R175" i="4"/>
  <c r="Q175" i="4"/>
  <c r="Q175" i="3" s="1"/>
  <c r="G175" i="7" s="1"/>
  <c r="M175" i="4"/>
  <c r="K175" i="4"/>
  <c r="U174" i="4"/>
  <c r="U174" i="3" s="1"/>
  <c r="R174" i="7" s="1"/>
  <c r="T174" i="7" s="1"/>
  <c r="T174" i="4"/>
  <c r="T174" i="3" s="1"/>
  <c r="O174" i="7" s="1"/>
  <c r="Q174" i="7" s="1"/>
  <c r="S174" i="4"/>
  <c r="S174" i="3" s="1"/>
  <c r="L174" i="7" s="1"/>
  <c r="N174" i="7" s="1"/>
  <c r="R174" i="4"/>
  <c r="Q174" i="4"/>
  <c r="M174" i="4"/>
  <c r="K174" i="4"/>
  <c r="U173" i="4"/>
  <c r="U173" i="3" s="1"/>
  <c r="R173" i="7" s="1"/>
  <c r="T173" i="7" s="1"/>
  <c r="T173" i="4"/>
  <c r="S173" i="4"/>
  <c r="S173" i="3" s="1"/>
  <c r="L173" i="7" s="1"/>
  <c r="N173" i="7" s="1"/>
  <c r="R173" i="4"/>
  <c r="R173" i="3" s="1"/>
  <c r="I173" i="7" s="1"/>
  <c r="K173" i="7" s="1"/>
  <c r="Q173" i="4"/>
  <c r="Q173" i="3" s="1"/>
  <c r="G173" i="7" s="1"/>
  <c r="M173" i="4"/>
  <c r="K173" i="4"/>
  <c r="U172" i="4"/>
  <c r="U172" i="3" s="1"/>
  <c r="R172" i="7" s="1"/>
  <c r="T172" i="7" s="1"/>
  <c r="T172" i="4"/>
  <c r="S172" i="4"/>
  <c r="S172" i="3" s="1"/>
  <c r="L172" i="7" s="1"/>
  <c r="N172" i="7" s="1"/>
  <c r="R172" i="4"/>
  <c r="R172" i="3" s="1"/>
  <c r="I172" i="7" s="1"/>
  <c r="K172" i="7" s="1"/>
  <c r="Q172" i="4"/>
  <c r="Q172" i="3" s="1"/>
  <c r="G172" i="7" s="1"/>
  <c r="M172" i="4"/>
  <c r="K172" i="4"/>
  <c r="U171" i="4"/>
  <c r="U171" i="3" s="1"/>
  <c r="R171" i="7" s="1"/>
  <c r="T171" i="7" s="1"/>
  <c r="T171" i="4"/>
  <c r="T171" i="3" s="1"/>
  <c r="O171" i="7" s="1"/>
  <c r="Q171" i="7" s="1"/>
  <c r="S171" i="4"/>
  <c r="S171" i="3" s="1"/>
  <c r="L171" i="7" s="1"/>
  <c r="N171" i="7" s="1"/>
  <c r="R171" i="4"/>
  <c r="R171" i="3" s="1"/>
  <c r="I171" i="7" s="1"/>
  <c r="K171" i="7" s="1"/>
  <c r="Q171" i="4"/>
  <c r="Q171" i="3" s="1"/>
  <c r="G171" i="7" s="1"/>
  <c r="M171" i="4"/>
  <c r="K171" i="4"/>
  <c r="U170" i="4"/>
  <c r="T170" i="4"/>
  <c r="T170" i="3" s="1"/>
  <c r="O170" i="7" s="1"/>
  <c r="Q170" i="7" s="1"/>
  <c r="S170" i="4"/>
  <c r="S170" i="3" s="1"/>
  <c r="L170" i="7" s="1"/>
  <c r="N170" i="7" s="1"/>
  <c r="R170" i="4"/>
  <c r="R170" i="3" s="1"/>
  <c r="I170" i="7" s="1"/>
  <c r="K170" i="7" s="1"/>
  <c r="Q170" i="4"/>
  <c r="Q170" i="3" s="1"/>
  <c r="G170" i="7" s="1"/>
  <c r="M170" i="4"/>
  <c r="K170" i="4"/>
  <c r="U169" i="4"/>
  <c r="T169" i="4"/>
  <c r="S169" i="4"/>
  <c r="S169" i="3" s="1"/>
  <c r="L169" i="7" s="1"/>
  <c r="N169" i="7" s="1"/>
  <c r="R169" i="4"/>
  <c r="Q169" i="4"/>
  <c r="Q169" i="3" s="1"/>
  <c r="G169" i="7" s="1"/>
  <c r="M169" i="4"/>
  <c r="K169" i="4"/>
  <c r="U168" i="4"/>
  <c r="T168" i="4"/>
  <c r="S168" i="4"/>
  <c r="R168" i="4"/>
  <c r="R168" i="3" s="1"/>
  <c r="I168" i="7" s="1"/>
  <c r="K168" i="7" s="1"/>
  <c r="Q168" i="4"/>
  <c r="Q168" i="3" s="1"/>
  <c r="G168" i="7" s="1"/>
  <c r="M168" i="4"/>
  <c r="K168" i="4"/>
  <c r="U167" i="4"/>
  <c r="U167" i="3" s="1"/>
  <c r="R167" i="7" s="1"/>
  <c r="T167" i="7" s="1"/>
  <c r="T167" i="4"/>
  <c r="S167" i="4"/>
  <c r="S167" i="3" s="1"/>
  <c r="L167" i="7" s="1"/>
  <c r="R167" i="4"/>
  <c r="Q167" i="4"/>
  <c r="Q167" i="3" s="1"/>
  <c r="G167" i="7" s="1"/>
  <c r="M167" i="4"/>
  <c r="K167" i="4"/>
  <c r="U166" i="4"/>
  <c r="U166" i="3" s="1"/>
  <c r="R166" i="7" s="1"/>
  <c r="T166" i="7" s="1"/>
  <c r="T166" i="4"/>
  <c r="T166" i="3" s="1"/>
  <c r="O166" i="7" s="1"/>
  <c r="Q166" i="7" s="1"/>
  <c r="S166" i="4"/>
  <c r="R166" i="4"/>
  <c r="Q166" i="4"/>
  <c r="M166" i="4"/>
  <c r="K166" i="4"/>
  <c r="U165" i="4"/>
  <c r="U165" i="3" s="1"/>
  <c r="R165" i="7" s="1"/>
  <c r="T165" i="7" s="1"/>
  <c r="T165" i="4"/>
  <c r="T165" i="3" s="1"/>
  <c r="O165" i="7" s="1"/>
  <c r="Q165" i="7" s="1"/>
  <c r="S165" i="4"/>
  <c r="S165" i="3" s="1"/>
  <c r="L165" i="7" s="1"/>
  <c r="N165" i="7" s="1"/>
  <c r="R165" i="4"/>
  <c r="Q165" i="4"/>
  <c r="M165" i="4"/>
  <c r="K165" i="4"/>
  <c r="U164" i="4"/>
  <c r="T164" i="4"/>
  <c r="T164" i="3" s="1"/>
  <c r="O164" i="7" s="1"/>
  <c r="Q164" i="7" s="1"/>
  <c r="S164" i="4"/>
  <c r="S164" i="3" s="1"/>
  <c r="L164" i="7" s="1"/>
  <c r="N164" i="7" s="1"/>
  <c r="R164" i="4"/>
  <c r="R164" i="3" s="1"/>
  <c r="I164" i="7" s="1"/>
  <c r="K164" i="7" s="1"/>
  <c r="Q164" i="4"/>
  <c r="M164" i="4"/>
  <c r="K164" i="4"/>
  <c r="U163" i="4"/>
  <c r="U163" i="3" s="1"/>
  <c r="R163" i="7" s="1"/>
  <c r="T163" i="7" s="1"/>
  <c r="T163" i="4"/>
  <c r="T163" i="3" s="1"/>
  <c r="O163" i="7" s="1"/>
  <c r="Q163" i="7" s="1"/>
  <c r="S163" i="4"/>
  <c r="S163" i="3" s="1"/>
  <c r="L163" i="7" s="1"/>
  <c r="N163" i="7" s="1"/>
  <c r="R163" i="4"/>
  <c r="R163" i="3" s="1"/>
  <c r="I163" i="7" s="1"/>
  <c r="K163" i="7" s="1"/>
  <c r="Q163" i="4"/>
  <c r="Q163" i="3" s="1"/>
  <c r="G163" i="7" s="1"/>
  <c r="M163" i="4"/>
  <c r="K163" i="4"/>
  <c r="U162" i="4"/>
  <c r="T162" i="4"/>
  <c r="T162" i="3" s="1"/>
  <c r="O162" i="7" s="1"/>
  <c r="Q162" i="7" s="1"/>
  <c r="S162" i="4"/>
  <c r="S162" i="3" s="1"/>
  <c r="L162" i="7" s="1"/>
  <c r="N162" i="7" s="1"/>
  <c r="R162" i="4"/>
  <c r="R162" i="3" s="1"/>
  <c r="I162" i="7" s="1"/>
  <c r="K162" i="7" s="1"/>
  <c r="Q162" i="4"/>
  <c r="Q162" i="3" s="1"/>
  <c r="G162" i="7" s="1"/>
  <c r="M162" i="4"/>
  <c r="K162" i="4"/>
  <c r="U161" i="4"/>
  <c r="T161" i="4"/>
  <c r="S161" i="4"/>
  <c r="R161" i="4"/>
  <c r="Q161" i="4"/>
  <c r="Q161" i="3" s="1"/>
  <c r="G161" i="7" s="1"/>
  <c r="M161" i="4"/>
  <c r="K161" i="4"/>
  <c r="U160" i="4"/>
  <c r="T160" i="4"/>
  <c r="S160" i="4"/>
  <c r="R160" i="4"/>
  <c r="Q160" i="4"/>
  <c r="Q160" i="3" s="1"/>
  <c r="G160" i="7" s="1"/>
  <c r="M160" i="4"/>
  <c r="K160" i="4"/>
  <c r="U159" i="4"/>
  <c r="U159" i="3" s="1"/>
  <c r="R159" i="7" s="1"/>
  <c r="T159" i="7" s="1"/>
  <c r="T159" i="4"/>
  <c r="S159" i="4"/>
  <c r="R159" i="4"/>
  <c r="Q159" i="4"/>
  <c r="M159" i="4"/>
  <c r="K159" i="4"/>
  <c r="U158" i="4"/>
  <c r="U158" i="3" s="1"/>
  <c r="R158" i="7" s="1"/>
  <c r="T158" i="7" s="1"/>
  <c r="T158" i="4"/>
  <c r="T158" i="3" s="1"/>
  <c r="O158" i="7" s="1"/>
  <c r="Q158" i="7" s="1"/>
  <c r="S158" i="4"/>
  <c r="R158" i="4"/>
  <c r="Q158" i="4"/>
  <c r="M158" i="4"/>
  <c r="K158" i="4"/>
  <c r="U157" i="4"/>
  <c r="U157" i="3" s="1"/>
  <c r="R157" i="7" s="1"/>
  <c r="T157" i="7" s="1"/>
  <c r="T157" i="4"/>
  <c r="T157" i="3" s="1"/>
  <c r="O157" i="7" s="1"/>
  <c r="Q157" i="7" s="1"/>
  <c r="S157" i="4"/>
  <c r="S157" i="3" s="1"/>
  <c r="L157" i="7" s="1"/>
  <c r="N157" i="7" s="1"/>
  <c r="R157" i="4"/>
  <c r="Q157" i="4"/>
  <c r="M157" i="4"/>
  <c r="K157" i="4"/>
  <c r="U156" i="4"/>
  <c r="U156" i="3" s="1"/>
  <c r="R156" i="7" s="1"/>
  <c r="T156" i="7" s="1"/>
  <c r="T156" i="4"/>
  <c r="T156" i="3" s="1"/>
  <c r="O156" i="7" s="1"/>
  <c r="Q156" i="7" s="1"/>
  <c r="S156" i="4"/>
  <c r="S156" i="3" s="1"/>
  <c r="L156" i="7" s="1"/>
  <c r="N156" i="7" s="1"/>
  <c r="R156" i="4"/>
  <c r="R156" i="3" s="1"/>
  <c r="I156" i="7" s="1"/>
  <c r="K156" i="7" s="1"/>
  <c r="Q156" i="4"/>
  <c r="M156" i="4"/>
  <c r="K156" i="4"/>
  <c r="U155" i="4"/>
  <c r="U155" i="3" s="1"/>
  <c r="R155" i="7" s="1"/>
  <c r="T155" i="7" s="1"/>
  <c r="T155" i="4"/>
  <c r="T155" i="3" s="1"/>
  <c r="O155" i="7" s="1"/>
  <c r="Q155" i="7" s="1"/>
  <c r="S155" i="4"/>
  <c r="S155" i="3" s="1"/>
  <c r="L155" i="7" s="1"/>
  <c r="N155" i="7" s="1"/>
  <c r="R155" i="4"/>
  <c r="R155" i="3" s="1"/>
  <c r="I155" i="7" s="1"/>
  <c r="K155" i="7" s="1"/>
  <c r="Q155" i="4"/>
  <c r="Q155" i="3" s="1"/>
  <c r="G155" i="7" s="1"/>
  <c r="M155" i="4"/>
  <c r="K155" i="4"/>
  <c r="U154" i="4"/>
  <c r="T154" i="4"/>
  <c r="T154" i="3" s="1"/>
  <c r="O154" i="7" s="1"/>
  <c r="Q154" i="7" s="1"/>
  <c r="S154" i="4"/>
  <c r="S154" i="3" s="1"/>
  <c r="L154" i="7" s="1"/>
  <c r="N154" i="7" s="1"/>
  <c r="R154" i="4"/>
  <c r="R154" i="3" s="1"/>
  <c r="I154" i="7" s="1"/>
  <c r="K154" i="7" s="1"/>
  <c r="Q154" i="4"/>
  <c r="Q154" i="3" s="1"/>
  <c r="G154" i="7" s="1"/>
  <c r="M154" i="4"/>
  <c r="K154" i="4"/>
  <c r="U153" i="4"/>
  <c r="T153" i="4"/>
  <c r="S153" i="4"/>
  <c r="S153" i="3" s="1"/>
  <c r="L153" i="7" s="1"/>
  <c r="N153" i="7" s="1"/>
  <c r="R153" i="4"/>
  <c r="Q153" i="4"/>
  <c r="Q153" i="3" s="1"/>
  <c r="G153" i="7" s="1"/>
  <c r="M153" i="4"/>
  <c r="K153" i="4"/>
  <c r="U152" i="4"/>
  <c r="T152" i="4"/>
  <c r="T152" i="3" s="1"/>
  <c r="O152" i="7" s="1"/>
  <c r="S152" i="4"/>
  <c r="R152" i="4"/>
  <c r="R152" i="3" s="1"/>
  <c r="I152" i="7" s="1"/>
  <c r="K152" i="7" s="1"/>
  <c r="Q152" i="4"/>
  <c r="Q152" i="3" s="1"/>
  <c r="G152" i="7" s="1"/>
  <c r="M152" i="4"/>
  <c r="K152" i="4"/>
  <c r="U151" i="4"/>
  <c r="U151" i="3" s="1"/>
  <c r="R151" i="7" s="1"/>
  <c r="T151" i="7" s="1"/>
  <c r="T151" i="4"/>
  <c r="S151" i="4"/>
  <c r="R151" i="4"/>
  <c r="Q151" i="4"/>
  <c r="Q151" i="3" s="1"/>
  <c r="G151" i="7" s="1"/>
  <c r="M151" i="4"/>
  <c r="K151" i="4"/>
  <c r="U150" i="4"/>
  <c r="U150" i="3" s="1"/>
  <c r="R150" i="7" s="1"/>
  <c r="T150" i="7" s="1"/>
  <c r="T150" i="4"/>
  <c r="T150" i="3" s="1"/>
  <c r="O150" i="7" s="1"/>
  <c r="Q150" i="7" s="1"/>
  <c r="S150" i="4"/>
  <c r="R150" i="4"/>
  <c r="Q150" i="4"/>
  <c r="M150" i="4"/>
  <c r="K150" i="4"/>
  <c r="U149" i="4"/>
  <c r="U149" i="3" s="1"/>
  <c r="R149" i="7" s="1"/>
  <c r="T149" i="7" s="1"/>
  <c r="T149" i="4"/>
  <c r="T149" i="3" s="1"/>
  <c r="O149" i="7" s="1"/>
  <c r="Q149" i="7" s="1"/>
  <c r="S149" i="4"/>
  <c r="S149" i="3" s="1"/>
  <c r="L149" i="7" s="1"/>
  <c r="N149" i="7" s="1"/>
  <c r="R149" i="4"/>
  <c r="Q149" i="4"/>
  <c r="M149" i="4"/>
  <c r="K149" i="4"/>
  <c r="U148" i="4"/>
  <c r="U148" i="3" s="1"/>
  <c r="R148" i="7" s="1"/>
  <c r="T148" i="7" s="1"/>
  <c r="T148" i="4"/>
  <c r="T148" i="3" s="1"/>
  <c r="O148" i="7" s="1"/>
  <c r="Q148" i="7" s="1"/>
  <c r="S148" i="4"/>
  <c r="S148" i="3" s="1"/>
  <c r="L148" i="7" s="1"/>
  <c r="N148" i="7" s="1"/>
  <c r="R148" i="4"/>
  <c r="R148" i="3" s="1"/>
  <c r="I148" i="7" s="1"/>
  <c r="K148" i="7" s="1"/>
  <c r="Q148" i="4"/>
  <c r="M148" i="4"/>
  <c r="K148" i="4"/>
  <c r="U147" i="4"/>
  <c r="U147" i="3" s="1"/>
  <c r="R147" i="7" s="1"/>
  <c r="T147" i="7" s="1"/>
  <c r="T147" i="4"/>
  <c r="T147" i="3" s="1"/>
  <c r="O147" i="7" s="1"/>
  <c r="Q147" i="7" s="1"/>
  <c r="S147" i="4"/>
  <c r="S147" i="3" s="1"/>
  <c r="L147" i="7" s="1"/>
  <c r="N147" i="7" s="1"/>
  <c r="R147" i="4"/>
  <c r="R147" i="3" s="1"/>
  <c r="I147" i="7" s="1"/>
  <c r="K147" i="7" s="1"/>
  <c r="Q147" i="4"/>
  <c r="Q147" i="3" s="1"/>
  <c r="G147" i="7" s="1"/>
  <c r="M147" i="4"/>
  <c r="K147" i="4"/>
  <c r="U146" i="4"/>
  <c r="T146" i="4"/>
  <c r="T146" i="3" s="1"/>
  <c r="O146" i="7" s="1"/>
  <c r="Q146" i="7" s="1"/>
  <c r="S146" i="4"/>
  <c r="S146" i="3" s="1"/>
  <c r="L146" i="7" s="1"/>
  <c r="N146" i="7" s="1"/>
  <c r="R146" i="4"/>
  <c r="R146" i="3" s="1"/>
  <c r="I146" i="7" s="1"/>
  <c r="K146" i="7" s="1"/>
  <c r="Q146" i="4"/>
  <c r="Q146" i="3" s="1"/>
  <c r="G146" i="7" s="1"/>
  <c r="M146" i="4"/>
  <c r="K146" i="4"/>
  <c r="U145" i="4"/>
  <c r="T145" i="4"/>
  <c r="S145" i="4"/>
  <c r="R145" i="4"/>
  <c r="Q145" i="4"/>
  <c r="Q145" i="3" s="1"/>
  <c r="G145" i="7" s="1"/>
  <c r="M145" i="4"/>
  <c r="K145" i="4"/>
  <c r="U144" i="4"/>
  <c r="T144" i="4"/>
  <c r="S144" i="4"/>
  <c r="R144" i="4"/>
  <c r="Q144" i="4"/>
  <c r="Q144" i="3" s="1"/>
  <c r="G144" i="7" s="1"/>
  <c r="M144" i="4"/>
  <c r="K144" i="4"/>
  <c r="U143" i="4"/>
  <c r="U143" i="3" s="1"/>
  <c r="R143" i="7" s="1"/>
  <c r="T143" i="7" s="1"/>
  <c r="T143" i="4"/>
  <c r="S143" i="4"/>
  <c r="R143" i="4"/>
  <c r="Q143" i="4"/>
  <c r="Q143" i="3" s="1"/>
  <c r="G143" i="7" s="1"/>
  <c r="M143" i="4"/>
  <c r="K143" i="4"/>
  <c r="U142" i="4"/>
  <c r="U142" i="3" s="1"/>
  <c r="R142" i="7" s="1"/>
  <c r="T142" i="7" s="1"/>
  <c r="T142" i="4"/>
  <c r="S142" i="4"/>
  <c r="R142" i="4"/>
  <c r="Q142" i="4"/>
  <c r="Q142" i="3" s="1"/>
  <c r="G142" i="7" s="1"/>
  <c r="M142" i="4"/>
  <c r="K142" i="4"/>
  <c r="U141" i="4"/>
  <c r="U141" i="3" s="1"/>
  <c r="R141" i="7" s="1"/>
  <c r="T141" i="7" s="1"/>
  <c r="T141" i="4"/>
  <c r="T141" i="3" s="1"/>
  <c r="O141" i="7" s="1"/>
  <c r="Q141" i="7" s="1"/>
  <c r="S141" i="4"/>
  <c r="S141" i="3" s="1"/>
  <c r="L141" i="7" s="1"/>
  <c r="N141" i="7" s="1"/>
  <c r="R141" i="4"/>
  <c r="Q141" i="4"/>
  <c r="M141" i="4"/>
  <c r="K141" i="4"/>
  <c r="U140" i="4"/>
  <c r="U140" i="3" s="1"/>
  <c r="R140" i="7" s="1"/>
  <c r="T140" i="7" s="1"/>
  <c r="T140" i="4"/>
  <c r="T140" i="3" s="1"/>
  <c r="O140" i="7" s="1"/>
  <c r="Q140" i="7" s="1"/>
  <c r="S140" i="4"/>
  <c r="S140" i="3" s="1"/>
  <c r="L140" i="7" s="1"/>
  <c r="N140" i="7" s="1"/>
  <c r="R140" i="4"/>
  <c r="R140" i="3" s="1"/>
  <c r="I140" i="7" s="1"/>
  <c r="K140" i="7" s="1"/>
  <c r="Q140" i="4"/>
  <c r="M140" i="4"/>
  <c r="K140" i="4"/>
  <c r="U139" i="4"/>
  <c r="U139" i="3" s="1"/>
  <c r="R139" i="7" s="1"/>
  <c r="T139" i="7" s="1"/>
  <c r="T139" i="4"/>
  <c r="T139" i="3" s="1"/>
  <c r="O139" i="7" s="1"/>
  <c r="Q139" i="7" s="1"/>
  <c r="S139" i="4"/>
  <c r="S139" i="3" s="1"/>
  <c r="L139" i="7" s="1"/>
  <c r="N139" i="7" s="1"/>
  <c r="R139" i="4"/>
  <c r="R139" i="3" s="1"/>
  <c r="I139" i="7" s="1"/>
  <c r="K139" i="7" s="1"/>
  <c r="Q139" i="4"/>
  <c r="Q139" i="3" s="1"/>
  <c r="G139" i="7" s="1"/>
  <c r="M139" i="4"/>
  <c r="K139" i="4"/>
  <c r="U138" i="4"/>
  <c r="T138" i="4"/>
  <c r="T138" i="3" s="1"/>
  <c r="O138" i="7" s="1"/>
  <c r="Q138" i="7" s="1"/>
  <c r="S138" i="4"/>
  <c r="S138" i="3" s="1"/>
  <c r="L138" i="7" s="1"/>
  <c r="N138" i="7" s="1"/>
  <c r="R138" i="4"/>
  <c r="R138" i="3" s="1"/>
  <c r="I138" i="7" s="1"/>
  <c r="K138" i="7" s="1"/>
  <c r="Q138" i="4"/>
  <c r="Q138" i="3" s="1"/>
  <c r="G138" i="7" s="1"/>
  <c r="M138" i="4"/>
  <c r="K138" i="4"/>
  <c r="U137" i="4"/>
  <c r="T137" i="4"/>
  <c r="S137" i="4"/>
  <c r="S137" i="3" s="1"/>
  <c r="L137" i="7" s="1"/>
  <c r="N137" i="7" s="1"/>
  <c r="R137" i="4"/>
  <c r="Q137" i="4"/>
  <c r="Q137" i="3" s="1"/>
  <c r="G137" i="7" s="1"/>
  <c r="M137" i="4"/>
  <c r="K137" i="4"/>
  <c r="U136" i="4"/>
  <c r="T136" i="4"/>
  <c r="S136" i="4"/>
  <c r="R136" i="4"/>
  <c r="R136" i="3" s="1"/>
  <c r="I136" i="7" s="1"/>
  <c r="K136" i="7" s="1"/>
  <c r="Q136" i="4"/>
  <c r="Q136" i="3" s="1"/>
  <c r="G136" i="7" s="1"/>
  <c r="M136" i="4"/>
  <c r="K136" i="4"/>
  <c r="U135" i="4"/>
  <c r="U135" i="3" s="1"/>
  <c r="R135" i="7" s="1"/>
  <c r="T135" i="7" s="1"/>
  <c r="T135" i="4"/>
  <c r="S135" i="4"/>
  <c r="R135" i="4"/>
  <c r="Q135" i="4"/>
  <c r="Q135" i="3" s="1"/>
  <c r="G135" i="7" s="1"/>
  <c r="M135" i="4"/>
  <c r="K135" i="4"/>
  <c r="U134" i="4"/>
  <c r="U134" i="3" s="1"/>
  <c r="R134" i="7" s="1"/>
  <c r="T134" i="7" s="1"/>
  <c r="T134" i="4"/>
  <c r="T134" i="3" s="1"/>
  <c r="O134" i="7" s="1"/>
  <c r="Q134" i="7" s="1"/>
  <c r="S134" i="4"/>
  <c r="S134" i="3" s="1"/>
  <c r="L134" i="7" s="1"/>
  <c r="N134" i="7" s="1"/>
  <c r="R134" i="4"/>
  <c r="Q134" i="4"/>
  <c r="M134" i="4"/>
  <c r="K134" i="4"/>
  <c r="U133" i="4"/>
  <c r="U133" i="3" s="1"/>
  <c r="R133" i="7" s="1"/>
  <c r="T133" i="7" s="1"/>
  <c r="T133" i="4"/>
  <c r="T133" i="3" s="1"/>
  <c r="O133" i="7" s="1"/>
  <c r="Q133" i="7" s="1"/>
  <c r="S133" i="4"/>
  <c r="S133" i="3" s="1"/>
  <c r="L133" i="7" s="1"/>
  <c r="N133" i="7" s="1"/>
  <c r="R133" i="4"/>
  <c r="R133" i="3" s="1"/>
  <c r="I133" i="7" s="1"/>
  <c r="K133" i="7" s="1"/>
  <c r="Q133" i="4"/>
  <c r="M133" i="4"/>
  <c r="K133" i="4"/>
  <c r="U132" i="4"/>
  <c r="U132" i="3" s="1"/>
  <c r="R132" i="7" s="1"/>
  <c r="T132" i="7" s="1"/>
  <c r="T132" i="4"/>
  <c r="T132" i="3" s="1"/>
  <c r="O132" i="7" s="1"/>
  <c r="Q132" i="7" s="1"/>
  <c r="S132" i="4"/>
  <c r="S132" i="3" s="1"/>
  <c r="L132" i="7" s="1"/>
  <c r="N132" i="7" s="1"/>
  <c r="R132" i="4"/>
  <c r="R132" i="3" s="1"/>
  <c r="I132" i="7" s="1"/>
  <c r="K132" i="7" s="1"/>
  <c r="Q132" i="4"/>
  <c r="M132" i="4"/>
  <c r="K132" i="4"/>
  <c r="U131" i="4"/>
  <c r="U131" i="3" s="1"/>
  <c r="R131" i="7" s="1"/>
  <c r="T131" i="7" s="1"/>
  <c r="T131" i="4"/>
  <c r="T131" i="3" s="1"/>
  <c r="O131" i="7" s="1"/>
  <c r="Q131" i="7" s="1"/>
  <c r="S131" i="4"/>
  <c r="S131" i="3" s="1"/>
  <c r="L131" i="7" s="1"/>
  <c r="N131" i="7" s="1"/>
  <c r="R131" i="4"/>
  <c r="R131" i="3" s="1"/>
  <c r="I131" i="7" s="1"/>
  <c r="K131" i="7" s="1"/>
  <c r="Q131" i="4"/>
  <c r="Q131" i="3" s="1"/>
  <c r="G131" i="7" s="1"/>
  <c r="M131" i="4"/>
  <c r="K131" i="4"/>
  <c r="U130" i="4"/>
  <c r="T130" i="4"/>
  <c r="S130" i="4"/>
  <c r="S130" i="3" s="1"/>
  <c r="L130" i="7" s="1"/>
  <c r="N130" i="7" s="1"/>
  <c r="R130" i="4"/>
  <c r="R130" i="3" s="1"/>
  <c r="I130" i="7" s="1"/>
  <c r="K130" i="7" s="1"/>
  <c r="Q130" i="4"/>
  <c r="Q130" i="3" s="1"/>
  <c r="G130" i="7" s="1"/>
  <c r="M130" i="4"/>
  <c r="K130" i="4"/>
  <c r="U129" i="4"/>
  <c r="U129" i="3" s="1"/>
  <c r="T129" i="4"/>
  <c r="S129" i="4"/>
  <c r="R129" i="4"/>
  <c r="Q129" i="4"/>
  <c r="Q129" i="3" s="1"/>
  <c r="G129" i="7" s="1"/>
  <c r="M129" i="4"/>
  <c r="K129" i="4"/>
  <c r="U128" i="4"/>
  <c r="U128" i="3" s="1"/>
  <c r="R128" i="7" s="1"/>
  <c r="T128" i="7" s="1"/>
  <c r="T128" i="4"/>
  <c r="S128" i="4"/>
  <c r="R128" i="4"/>
  <c r="R128" i="3" s="1"/>
  <c r="I128" i="7" s="1"/>
  <c r="K128" i="7" s="1"/>
  <c r="Q128" i="4"/>
  <c r="Q128" i="3" s="1"/>
  <c r="G128" i="7" s="1"/>
  <c r="M128" i="4"/>
  <c r="K128" i="4"/>
  <c r="U127" i="4"/>
  <c r="U127" i="3" s="1"/>
  <c r="T127" i="4"/>
  <c r="S127" i="4"/>
  <c r="R127" i="4"/>
  <c r="Q127" i="4"/>
  <c r="Q127" i="3" s="1"/>
  <c r="G127" i="7" s="1"/>
  <c r="M127" i="4"/>
  <c r="K127" i="4"/>
  <c r="U126" i="4"/>
  <c r="U126" i="3" s="1"/>
  <c r="R126" i="7" s="1"/>
  <c r="T126" i="7" s="1"/>
  <c r="T126" i="4"/>
  <c r="T126" i="3" s="1"/>
  <c r="O126" i="7" s="1"/>
  <c r="Q126" i="7" s="1"/>
  <c r="S126" i="4"/>
  <c r="S126" i="3" s="1"/>
  <c r="L126" i="7" s="1"/>
  <c r="N126" i="7" s="1"/>
  <c r="R126" i="4"/>
  <c r="Q126" i="4"/>
  <c r="Q126" i="3" s="1"/>
  <c r="G126" i="7" s="1"/>
  <c r="M126" i="4"/>
  <c r="K126" i="4"/>
  <c r="U125" i="4"/>
  <c r="U125" i="3" s="1"/>
  <c r="T125" i="4"/>
  <c r="T125" i="3" s="1"/>
  <c r="O125" i="7" s="1"/>
  <c r="Q125" i="7" s="1"/>
  <c r="S125" i="4"/>
  <c r="S125" i="3" s="1"/>
  <c r="L125" i="7" s="1"/>
  <c r="N125" i="7" s="1"/>
  <c r="R125" i="4"/>
  <c r="R125" i="3" s="1"/>
  <c r="I125" i="7" s="1"/>
  <c r="K125" i="7" s="1"/>
  <c r="Q125" i="4"/>
  <c r="M125" i="4"/>
  <c r="K125" i="4"/>
  <c r="U124" i="4"/>
  <c r="U124" i="3" s="1"/>
  <c r="R124" i="7" s="1"/>
  <c r="T124" i="7" s="1"/>
  <c r="T124" i="4"/>
  <c r="T124" i="3" s="1"/>
  <c r="O124" i="7" s="1"/>
  <c r="Q124" i="7" s="1"/>
  <c r="S124" i="4"/>
  <c r="S124" i="3" s="1"/>
  <c r="L124" i="7" s="1"/>
  <c r="N124" i="7" s="1"/>
  <c r="R124" i="4"/>
  <c r="R124" i="3" s="1"/>
  <c r="I124" i="7" s="1"/>
  <c r="K124" i="7" s="1"/>
  <c r="Q124" i="4"/>
  <c r="Q124" i="3" s="1"/>
  <c r="G124" i="7" s="1"/>
  <c r="M124" i="4"/>
  <c r="K124" i="4"/>
  <c r="U123" i="4"/>
  <c r="T123" i="4"/>
  <c r="T123" i="3" s="1"/>
  <c r="O123" i="7" s="1"/>
  <c r="Q123" i="7" s="1"/>
  <c r="S123" i="4"/>
  <c r="S123" i="3" s="1"/>
  <c r="L123" i="7" s="1"/>
  <c r="N123" i="7" s="1"/>
  <c r="R123" i="4"/>
  <c r="Q123" i="4"/>
  <c r="Q123" i="3" s="1"/>
  <c r="G123" i="7" s="1"/>
  <c r="M123" i="4"/>
  <c r="K123" i="4"/>
  <c r="U122" i="4"/>
  <c r="T122" i="4"/>
  <c r="T122" i="3" s="1"/>
  <c r="O122" i="7" s="1"/>
  <c r="Q122" i="7" s="1"/>
  <c r="S122" i="4"/>
  <c r="S122" i="3" s="1"/>
  <c r="L122" i="7" s="1"/>
  <c r="N122" i="7" s="1"/>
  <c r="R122" i="4"/>
  <c r="R122" i="3" s="1"/>
  <c r="I122" i="7" s="1"/>
  <c r="K122" i="7" s="1"/>
  <c r="Q122" i="4"/>
  <c r="Q122" i="3" s="1"/>
  <c r="G122" i="7" s="1"/>
  <c r="M122" i="4"/>
  <c r="K122" i="4"/>
  <c r="U121" i="4"/>
  <c r="U121" i="3" s="1"/>
  <c r="T121" i="4"/>
  <c r="S121" i="4"/>
  <c r="S121" i="3" s="1"/>
  <c r="L121" i="7" s="1"/>
  <c r="N121" i="7" s="1"/>
  <c r="R121" i="4"/>
  <c r="Q121" i="4"/>
  <c r="Q121" i="3" s="1"/>
  <c r="G121" i="7" s="1"/>
  <c r="M121" i="4"/>
  <c r="K121" i="4"/>
  <c r="U120" i="4"/>
  <c r="T120" i="4"/>
  <c r="S120" i="4"/>
  <c r="R120" i="4"/>
  <c r="R120" i="3" s="1"/>
  <c r="I120" i="7" s="1"/>
  <c r="K120" i="7" s="1"/>
  <c r="Q120" i="4"/>
  <c r="Q120" i="3" s="1"/>
  <c r="G120" i="7" s="1"/>
  <c r="M120" i="4"/>
  <c r="K120" i="4"/>
  <c r="U119" i="4"/>
  <c r="U119" i="3" s="1"/>
  <c r="T119" i="4"/>
  <c r="S119" i="4"/>
  <c r="R119" i="4"/>
  <c r="R119" i="3" s="1"/>
  <c r="I119" i="7" s="1"/>
  <c r="K119" i="7" s="1"/>
  <c r="Q119" i="4"/>
  <c r="Q119" i="3" s="1"/>
  <c r="G119" i="7" s="1"/>
  <c r="M119" i="4"/>
  <c r="K119" i="4"/>
  <c r="U118" i="4"/>
  <c r="U118" i="3" s="1"/>
  <c r="R118" i="7" s="1"/>
  <c r="T118" i="7" s="1"/>
  <c r="T118" i="4"/>
  <c r="T118" i="3" s="1"/>
  <c r="O118" i="7" s="1"/>
  <c r="Q118" i="7" s="1"/>
  <c r="S118" i="4"/>
  <c r="R118" i="4"/>
  <c r="R118" i="3" s="1"/>
  <c r="I118" i="7" s="1"/>
  <c r="Q118" i="4"/>
  <c r="M118" i="4"/>
  <c r="K118" i="4"/>
  <c r="U117" i="4"/>
  <c r="U117" i="3" s="1"/>
  <c r="T117" i="4"/>
  <c r="T117" i="3" s="1"/>
  <c r="O117" i="7" s="1"/>
  <c r="Q117" i="7" s="1"/>
  <c r="S117" i="4"/>
  <c r="S117" i="3" s="1"/>
  <c r="L117" i="7" s="1"/>
  <c r="N117" i="7" s="1"/>
  <c r="R117" i="4"/>
  <c r="R117" i="3" s="1"/>
  <c r="I117" i="7" s="1"/>
  <c r="K117" i="7" s="1"/>
  <c r="Q117" i="4"/>
  <c r="M117" i="4"/>
  <c r="K117" i="4"/>
  <c r="U116" i="4"/>
  <c r="U116" i="3" s="1"/>
  <c r="R116" i="7" s="1"/>
  <c r="T116" i="7" s="1"/>
  <c r="T116" i="4"/>
  <c r="T116" i="3" s="1"/>
  <c r="O116" i="7" s="1"/>
  <c r="Q116" i="7" s="1"/>
  <c r="S116" i="4"/>
  <c r="S116" i="3" s="1"/>
  <c r="L116" i="7" s="1"/>
  <c r="N116" i="7" s="1"/>
  <c r="R116" i="4"/>
  <c r="R116" i="3" s="1"/>
  <c r="I116" i="7" s="1"/>
  <c r="K116" i="7" s="1"/>
  <c r="Q116" i="4"/>
  <c r="Q116" i="3" s="1"/>
  <c r="G116" i="7" s="1"/>
  <c r="M116" i="4"/>
  <c r="K116" i="4"/>
  <c r="U115" i="4"/>
  <c r="U115" i="3" s="1"/>
  <c r="T115" i="4"/>
  <c r="T115" i="3" s="1"/>
  <c r="O115" i="7" s="1"/>
  <c r="Q115" i="7" s="1"/>
  <c r="S115" i="4"/>
  <c r="S115" i="3" s="1"/>
  <c r="L115" i="7" s="1"/>
  <c r="N115" i="7" s="1"/>
  <c r="R115" i="4"/>
  <c r="R115" i="3" s="1"/>
  <c r="I115" i="7" s="1"/>
  <c r="K115" i="7" s="1"/>
  <c r="Q115" i="4"/>
  <c r="Q115" i="3" s="1"/>
  <c r="G115" i="7" s="1"/>
  <c r="M115" i="4"/>
  <c r="K115" i="4"/>
  <c r="U114" i="4"/>
  <c r="T114" i="4"/>
  <c r="T114" i="3" s="1"/>
  <c r="O114" i="7" s="1"/>
  <c r="Q114" i="7" s="1"/>
  <c r="S114" i="4"/>
  <c r="S114" i="3" s="1"/>
  <c r="L114" i="7" s="1"/>
  <c r="N114" i="7" s="1"/>
  <c r="R114" i="4"/>
  <c r="R114" i="3" s="1"/>
  <c r="I114" i="7" s="1"/>
  <c r="K114" i="7" s="1"/>
  <c r="Q114" i="4"/>
  <c r="Q114" i="3" s="1"/>
  <c r="G114" i="7" s="1"/>
  <c r="M114" i="4"/>
  <c r="K114" i="4"/>
  <c r="U113" i="4"/>
  <c r="T113" i="4"/>
  <c r="S113" i="4"/>
  <c r="S113" i="3" s="1"/>
  <c r="L113" i="7" s="1"/>
  <c r="N113" i="7" s="1"/>
  <c r="R113" i="4"/>
  <c r="Q113" i="4"/>
  <c r="Q113" i="3" s="1"/>
  <c r="G113" i="7" s="1"/>
  <c r="M113" i="4"/>
  <c r="K113" i="4"/>
  <c r="U112" i="4"/>
  <c r="U112" i="3" s="1"/>
  <c r="R112" i="7" s="1"/>
  <c r="T112" i="7" s="1"/>
  <c r="T112" i="4"/>
  <c r="S112" i="4"/>
  <c r="R112" i="4"/>
  <c r="R112" i="3" s="1"/>
  <c r="I112" i="7" s="1"/>
  <c r="K112" i="7" s="1"/>
  <c r="Q112" i="4"/>
  <c r="Q112" i="3" s="1"/>
  <c r="G112" i="7" s="1"/>
  <c r="M112" i="4"/>
  <c r="K112" i="4"/>
  <c r="U111" i="4"/>
  <c r="U111" i="3" s="1"/>
  <c r="T111" i="4"/>
  <c r="S111" i="4"/>
  <c r="R111" i="4"/>
  <c r="R111" i="3" s="1"/>
  <c r="I111" i="7" s="1"/>
  <c r="K111" i="7" s="1"/>
  <c r="Q111" i="4"/>
  <c r="Q111" i="3" s="1"/>
  <c r="G111" i="7" s="1"/>
  <c r="M111" i="4"/>
  <c r="K111" i="4"/>
  <c r="U110" i="4"/>
  <c r="U110" i="3" s="1"/>
  <c r="R110" i="7" s="1"/>
  <c r="T110" i="7" s="1"/>
  <c r="T110" i="4"/>
  <c r="T110" i="3" s="1"/>
  <c r="O110" i="7" s="1"/>
  <c r="Q110" i="7" s="1"/>
  <c r="S110" i="4"/>
  <c r="R110" i="4"/>
  <c r="Q110" i="4"/>
  <c r="Q110" i="3" s="1"/>
  <c r="G110" i="7" s="1"/>
  <c r="M110" i="4"/>
  <c r="K110" i="4"/>
  <c r="U109" i="4"/>
  <c r="U109" i="3" s="1"/>
  <c r="T109" i="4"/>
  <c r="T109" i="3" s="1"/>
  <c r="O109" i="7" s="1"/>
  <c r="Q109" i="7" s="1"/>
  <c r="S109" i="4"/>
  <c r="S109" i="3" s="1"/>
  <c r="L109" i="7" s="1"/>
  <c r="N109" i="7" s="1"/>
  <c r="R109" i="4"/>
  <c r="R109" i="3" s="1"/>
  <c r="I109" i="7" s="1"/>
  <c r="K109" i="7" s="1"/>
  <c r="Q109" i="4"/>
  <c r="M109" i="4"/>
  <c r="K109" i="4"/>
  <c r="U108" i="4"/>
  <c r="T108" i="4"/>
  <c r="T108" i="3" s="1"/>
  <c r="O108" i="7" s="1"/>
  <c r="Q108" i="7" s="1"/>
  <c r="S108" i="4"/>
  <c r="S108" i="3" s="1"/>
  <c r="L108" i="7" s="1"/>
  <c r="N108" i="7" s="1"/>
  <c r="R108" i="4"/>
  <c r="R108" i="3" s="1"/>
  <c r="I108" i="7" s="1"/>
  <c r="K108" i="7" s="1"/>
  <c r="Q108" i="4"/>
  <c r="Q108" i="3" s="1"/>
  <c r="G108" i="7" s="1"/>
  <c r="M108" i="4"/>
  <c r="K108" i="4"/>
  <c r="U107" i="4"/>
  <c r="U107" i="3" s="1"/>
  <c r="T107" i="4"/>
  <c r="T107" i="3" s="1"/>
  <c r="O107" i="7" s="1"/>
  <c r="Q107" i="7" s="1"/>
  <c r="S107" i="4"/>
  <c r="S107" i="3" s="1"/>
  <c r="L107" i="7" s="1"/>
  <c r="N107" i="7" s="1"/>
  <c r="R107" i="4"/>
  <c r="R107" i="3" s="1"/>
  <c r="I107" i="7" s="1"/>
  <c r="K107" i="7" s="1"/>
  <c r="Q107" i="4"/>
  <c r="Q107" i="3" s="1"/>
  <c r="G107" i="7" s="1"/>
  <c r="M107" i="4"/>
  <c r="K107" i="4"/>
  <c r="U106" i="4"/>
  <c r="U106" i="3" s="1"/>
  <c r="R106" i="7" s="1"/>
  <c r="T106" i="7" s="1"/>
  <c r="T106" i="4"/>
  <c r="T106" i="3" s="1"/>
  <c r="O106" i="7" s="1"/>
  <c r="Q106" i="7" s="1"/>
  <c r="S106" i="4"/>
  <c r="R106" i="4"/>
  <c r="R106" i="3" s="1"/>
  <c r="I106" i="7" s="1"/>
  <c r="K106" i="7" s="1"/>
  <c r="Q106" i="4"/>
  <c r="Q106" i="3" s="1"/>
  <c r="G106" i="7" s="1"/>
  <c r="M106" i="4"/>
  <c r="K106" i="4"/>
  <c r="U105" i="4"/>
  <c r="T105" i="4"/>
  <c r="S105" i="4"/>
  <c r="S105" i="3" s="1"/>
  <c r="L105" i="7" s="1"/>
  <c r="N105" i="7" s="1"/>
  <c r="R105" i="4"/>
  <c r="R105" i="3" s="1"/>
  <c r="I105" i="7" s="1"/>
  <c r="K105" i="7" s="1"/>
  <c r="Q105" i="4"/>
  <c r="Q105" i="3" s="1"/>
  <c r="G105" i="7" s="1"/>
  <c r="M105" i="4"/>
  <c r="K105" i="4"/>
  <c r="U104" i="4"/>
  <c r="U104" i="3" s="1"/>
  <c r="R104" i="7" s="1"/>
  <c r="T104" i="7" s="1"/>
  <c r="T104" i="4"/>
  <c r="S104" i="4"/>
  <c r="R104" i="4"/>
  <c r="R104" i="3" s="1"/>
  <c r="I104" i="7" s="1"/>
  <c r="K104" i="7" s="1"/>
  <c r="Q104" i="4"/>
  <c r="Q104" i="3" s="1"/>
  <c r="G104" i="7" s="1"/>
  <c r="M104" i="4"/>
  <c r="K104" i="4"/>
  <c r="U103" i="4"/>
  <c r="U103" i="3" s="1"/>
  <c r="T103" i="4"/>
  <c r="T103" i="3" s="1"/>
  <c r="O103" i="7" s="1"/>
  <c r="Q103" i="7" s="1"/>
  <c r="S103" i="4"/>
  <c r="S103" i="3" s="1"/>
  <c r="L103" i="7" s="1"/>
  <c r="R103" i="4"/>
  <c r="R103" i="3" s="1"/>
  <c r="I103" i="7" s="1"/>
  <c r="K103" i="7" s="1"/>
  <c r="Q103" i="4"/>
  <c r="Q103" i="3" s="1"/>
  <c r="G103" i="7" s="1"/>
  <c r="M103" i="4"/>
  <c r="K103" i="4"/>
  <c r="U102" i="4"/>
  <c r="U102" i="3" s="1"/>
  <c r="R102" i="7" s="1"/>
  <c r="T102" i="7" s="1"/>
  <c r="T102" i="4"/>
  <c r="T102" i="3" s="1"/>
  <c r="O102" i="7" s="1"/>
  <c r="Q102" i="7" s="1"/>
  <c r="S102" i="4"/>
  <c r="S102" i="3" s="1"/>
  <c r="L102" i="7" s="1"/>
  <c r="N102" i="7" s="1"/>
  <c r="R102" i="4"/>
  <c r="Q102" i="4"/>
  <c r="Q102" i="3" s="1"/>
  <c r="G102" i="7" s="1"/>
  <c r="M102" i="4"/>
  <c r="K102" i="4"/>
  <c r="U101" i="4"/>
  <c r="U101" i="3" s="1"/>
  <c r="R101" i="7" s="1"/>
  <c r="T101" i="7" s="1"/>
  <c r="T101" i="4"/>
  <c r="T101" i="3" s="1"/>
  <c r="O101" i="7" s="1"/>
  <c r="Q101" i="7" s="1"/>
  <c r="S101" i="4"/>
  <c r="S101" i="3" s="1"/>
  <c r="L101" i="7" s="1"/>
  <c r="N101" i="7" s="1"/>
  <c r="R101" i="4"/>
  <c r="R101" i="3" s="1"/>
  <c r="I101" i="7" s="1"/>
  <c r="K101" i="7" s="1"/>
  <c r="Q101" i="4"/>
  <c r="M101" i="4"/>
  <c r="K101" i="4"/>
  <c r="U100" i="4"/>
  <c r="U100" i="3" s="1"/>
  <c r="R100" i="7" s="1"/>
  <c r="T100" i="7" s="1"/>
  <c r="T100" i="4"/>
  <c r="T100" i="3" s="1"/>
  <c r="O100" i="7" s="1"/>
  <c r="Q100" i="7" s="1"/>
  <c r="S100" i="4"/>
  <c r="S100" i="3" s="1"/>
  <c r="L100" i="7" s="1"/>
  <c r="N100" i="7" s="1"/>
  <c r="R100" i="4"/>
  <c r="R100" i="3" s="1"/>
  <c r="Q100" i="4"/>
  <c r="Q100" i="3" s="1"/>
  <c r="G100" i="7" s="1"/>
  <c r="M100" i="4"/>
  <c r="K100" i="4"/>
  <c r="U99" i="4"/>
  <c r="U99" i="3" s="1"/>
  <c r="R99" i="7" s="1"/>
  <c r="T99" i="7" s="1"/>
  <c r="T99" i="4"/>
  <c r="T99" i="3" s="1"/>
  <c r="O99" i="7" s="1"/>
  <c r="Q99" i="7" s="1"/>
  <c r="S99" i="4"/>
  <c r="S99" i="3" s="1"/>
  <c r="L99" i="7" s="1"/>
  <c r="N99" i="7" s="1"/>
  <c r="R99" i="4"/>
  <c r="R99" i="3" s="1"/>
  <c r="I99" i="7" s="1"/>
  <c r="K99" i="7" s="1"/>
  <c r="Q99" i="4"/>
  <c r="Q99" i="3" s="1"/>
  <c r="G99" i="7" s="1"/>
  <c r="M99" i="4"/>
  <c r="K99" i="4"/>
  <c r="U98" i="4"/>
  <c r="T98" i="4"/>
  <c r="T98" i="3" s="1"/>
  <c r="O98" i="7" s="1"/>
  <c r="Q98" i="7" s="1"/>
  <c r="S98" i="4"/>
  <c r="S98" i="3" s="1"/>
  <c r="L98" i="7" s="1"/>
  <c r="N98" i="7" s="1"/>
  <c r="R98" i="4"/>
  <c r="R98" i="3" s="1"/>
  <c r="Q98" i="4"/>
  <c r="Q98" i="3" s="1"/>
  <c r="G98" i="7" s="1"/>
  <c r="M98" i="4"/>
  <c r="K98" i="4"/>
  <c r="U97" i="4"/>
  <c r="T97" i="4"/>
  <c r="S97" i="4"/>
  <c r="S97" i="3" s="1"/>
  <c r="L97" i="7" s="1"/>
  <c r="N97" i="7" s="1"/>
  <c r="R97" i="4"/>
  <c r="Q97" i="4"/>
  <c r="Q97" i="3" s="1"/>
  <c r="G97" i="7" s="1"/>
  <c r="M97" i="4"/>
  <c r="K97" i="4"/>
  <c r="U96" i="4"/>
  <c r="U96" i="3" s="1"/>
  <c r="R96" i="7" s="1"/>
  <c r="T96" i="7" s="1"/>
  <c r="T96" i="4"/>
  <c r="T96" i="3" s="1"/>
  <c r="O96" i="7" s="1"/>
  <c r="S96" i="4"/>
  <c r="R96" i="4"/>
  <c r="Q96" i="4"/>
  <c r="Q96" i="3" s="1"/>
  <c r="G96" i="7" s="1"/>
  <c r="M96" i="4"/>
  <c r="K96" i="4"/>
  <c r="U95" i="4"/>
  <c r="U95" i="3" s="1"/>
  <c r="R95" i="7" s="1"/>
  <c r="T95" i="7" s="1"/>
  <c r="T95" i="4"/>
  <c r="T95" i="3" s="1"/>
  <c r="O95" i="7" s="1"/>
  <c r="Q95" i="7" s="1"/>
  <c r="S95" i="4"/>
  <c r="R95" i="4"/>
  <c r="Q95" i="4"/>
  <c r="Q95" i="3" s="1"/>
  <c r="G95" i="7" s="1"/>
  <c r="M95" i="4"/>
  <c r="K95" i="4"/>
  <c r="U94" i="4"/>
  <c r="U94" i="3" s="1"/>
  <c r="R94" i="7" s="1"/>
  <c r="T94" i="7" s="1"/>
  <c r="T94" i="4"/>
  <c r="T94" i="3" s="1"/>
  <c r="O94" i="7" s="1"/>
  <c r="Q94" i="7" s="1"/>
  <c r="S94" i="4"/>
  <c r="S94" i="3" s="1"/>
  <c r="L94" i="7" s="1"/>
  <c r="N94" i="7" s="1"/>
  <c r="R94" i="4"/>
  <c r="Q94" i="4"/>
  <c r="Q94" i="3" s="1"/>
  <c r="G94" i="7" s="1"/>
  <c r="M94" i="4"/>
  <c r="K94" i="4"/>
  <c r="U93" i="4"/>
  <c r="U93" i="3" s="1"/>
  <c r="R93" i="7" s="1"/>
  <c r="T93" i="7" s="1"/>
  <c r="T93" i="4"/>
  <c r="T93" i="3" s="1"/>
  <c r="O93" i="7" s="1"/>
  <c r="Q93" i="7" s="1"/>
  <c r="S93" i="4"/>
  <c r="S93" i="3" s="1"/>
  <c r="L93" i="7" s="1"/>
  <c r="N93" i="7" s="1"/>
  <c r="R93" i="4"/>
  <c r="R93" i="3" s="1"/>
  <c r="I93" i="7" s="1"/>
  <c r="K93" i="7" s="1"/>
  <c r="Q93" i="4"/>
  <c r="M93" i="4"/>
  <c r="K93" i="4"/>
  <c r="U92" i="4"/>
  <c r="U92" i="3" s="1"/>
  <c r="R92" i="7" s="1"/>
  <c r="T92" i="7" s="1"/>
  <c r="T92" i="4"/>
  <c r="T92" i="3" s="1"/>
  <c r="O92" i="7" s="1"/>
  <c r="Q92" i="7" s="1"/>
  <c r="S92" i="4"/>
  <c r="S92" i="3" s="1"/>
  <c r="L92" i="7" s="1"/>
  <c r="N92" i="7" s="1"/>
  <c r="R92" i="4"/>
  <c r="R92" i="3" s="1"/>
  <c r="Q92" i="4"/>
  <c r="Q92" i="3" s="1"/>
  <c r="G92" i="7" s="1"/>
  <c r="M92" i="4"/>
  <c r="K92" i="4"/>
  <c r="U91" i="4"/>
  <c r="U91" i="3" s="1"/>
  <c r="R91" i="7" s="1"/>
  <c r="T91" i="7" s="1"/>
  <c r="T91" i="4"/>
  <c r="T91" i="3" s="1"/>
  <c r="O91" i="7" s="1"/>
  <c r="Q91" i="7" s="1"/>
  <c r="S91" i="4"/>
  <c r="S91" i="3" s="1"/>
  <c r="L91" i="7" s="1"/>
  <c r="N91" i="7" s="1"/>
  <c r="R91" i="4"/>
  <c r="R91" i="3" s="1"/>
  <c r="I91" i="7" s="1"/>
  <c r="K91" i="7" s="1"/>
  <c r="Q91" i="4"/>
  <c r="Q91" i="3" s="1"/>
  <c r="G91" i="7" s="1"/>
  <c r="M91" i="4"/>
  <c r="K91" i="4"/>
  <c r="U90" i="4"/>
  <c r="T90" i="4"/>
  <c r="T90" i="3" s="1"/>
  <c r="O90" i="7" s="1"/>
  <c r="Q90" i="7" s="1"/>
  <c r="S90" i="4"/>
  <c r="S90" i="3" s="1"/>
  <c r="L90" i="7" s="1"/>
  <c r="N90" i="7" s="1"/>
  <c r="R90" i="4"/>
  <c r="R90" i="3" s="1"/>
  <c r="Q90" i="4"/>
  <c r="Q90" i="3" s="1"/>
  <c r="G90" i="7" s="1"/>
  <c r="M90" i="4"/>
  <c r="K90" i="4"/>
  <c r="U89" i="4"/>
  <c r="T89" i="4"/>
  <c r="T89" i="3" s="1"/>
  <c r="O89" i="7" s="1"/>
  <c r="Q89" i="7" s="1"/>
  <c r="S89" i="4"/>
  <c r="S89" i="3" s="1"/>
  <c r="L89" i="7" s="1"/>
  <c r="N89" i="7" s="1"/>
  <c r="R89" i="4"/>
  <c r="R89" i="3" s="1"/>
  <c r="I89" i="7" s="1"/>
  <c r="K89" i="7" s="1"/>
  <c r="Q89" i="4"/>
  <c r="Q89" i="3" s="1"/>
  <c r="G89" i="7" s="1"/>
  <c r="M89" i="4"/>
  <c r="K89" i="4"/>
  <c r="U88" i="4"/>
  <c r="U88" i="3" s="1"/>
  <c r="R88" i="7" s="1"/>
  <c r="T88" i="7" s="1"/>
  <c r="T88" i="4"/>
  <c r="S88" i="4"/>
  <c r="S88" i="3" s="1"/>
  <c r="L88" i="7" s="1"/>
  <c r="N88" i="7" s="1"/>
  <c r="R88" i="4"/>
  <c r="R88" i="3" s="1"/>
  <c r="Q88" i="4"/>
  <c r="Q88" i="3" s="1"/>
  <c r="G88" i="7" s="1"/>
  <c r="M88" i="4"/>
  <c r="K88" i="4"/>
  <c r="U87" i="4"/>
  <c r="U87" i="3" s="1"/>
  <c r="R87" i="7" s="1"/>
  <c r="T87" i="7" s="1"/>
  <c r="T87" i="4"/>
  <c r="T87" i="3" s="1"/>
  <c r="O87" i="7" s="1"/>
  <c r="Q87" i="7" s="1"/>
  <c r="S87" i="4"/>
  <c r="R87" i="4"/>
  <c r="Q87" i="4"/>
  <c r="Q87" i="3" s="1"/>
  <c r="G87" i="7" s="1"/>
  <c r="M87" i="4"/>
  <c r="K87" i="4"/>
  <c r="U86" i="4"/>
  <c r="U86" i="3" s="1"/>
  <c r="R86" i="7" s="1"/>
  <c r="T86" i="7" s="1"/>
  <c r="T86" i="4"/>
  <c r="T86" i="3" s="1"/>
  <c r="O86" i="7" s="1"/>
  <c r="Q86" i="7" s="1"/>
  <c r="S86" i="4"/>
  <c r="S86" i="3" s="1"/>
  <c r="L86" i="7" s="1"/>
  <c r="N86" i="7" s="1"/>
  <c r="R86" i="4"/>
  <c r="Q86" i="4"/>
  <c r="Q86" i="3" s="1"/>
  <c r="G86" i="7" s="1"/>
  <c r="M86" i="4"/>
  <c r="K86" i="4"/>
  <c r="U85" i="4"/>
  <c r="U85" i="3" s="1"/>
  <c r="R85" i="7" s="1"/>
  <c r="T85" i="7" s="1"/>
  <c r="T85" i="4"/>
  <c r="T85" i="3" s="1"/>
  <c r="O85" i="7" s="1"/>
  <c r="Q85" i="7" s="1"/>
  <c r="S85" i="4"/>
  <c r="S85" i="3" s="1"/>
  <c r="L85" i="7" s="1"/>
  <c r="N85" i="7" s="1"/>
  <c r="R85" i="4"/>
  <c r="Q85" i="4"/>
  <c r="M85" i="4"/>
  <c r="K85" i="4"/>
  <c r="U84" i="4"/>
  <c r="U84" i="3" s="1"/>
  <c r="R84" i="7" s="1"/>
  <c r="T84" i="7" s="1"/>
  <c r="T84" i="4"/>
  <c r="T84" i="3" s="1"/>
  <c r="O84" i="7" s="1"/>
  <c r="Q84" i="7" s="1"/>
  <c r="S84" i="4"/>
  <c r="S84" i="3" s="1"/>
  <c r="L84" i="7" s="1"/>
  <c r="N84" i="7" s="1"/>
  <c r="R84" i="4"/>
  <c r="R84" i="3" s="1"/>
  <c r="Q84" i="4"/>
  <c r="Q84" i="3" s="1"/>
  <c r="G84" i="7" s="1"/>
  <c r="M84" i="4"/>
  <c r="K84" i="4"/>
  <c r="U83" i="4"/>
  <c r="U83" i="3" s="1"/>
  <c r="R83" i="7" s="1"/>
  <c r="T83" i="7" s="1"/>
  <c r="T83" i="4"/>
  <c r="S83" i="4"/>
  <c r="S83" i="3" s="1"/>
  <c r="L83" i="7" s="1"/>
  <c r="N83" i="7" s="1"/>
  <c r="R83" i="4"/>
  <c r="R83" i="3" s="1"/>
  <c r="I83" i="7" s="1"/>
  <c r="K83" i="7" s="1"/>
  <c r="Q83" i="4"/>
  <c r="Q83" i="3" s="1"/>
  <c r="G83" i="7" s="1"/>
  <c r="M83" i="4"/>
  <c r="K83" i="4"/>
  <c r="U82" i="4"/>
  <c r="U82" i="3" s="1"/>
  <c r="R82" i="7" s="1"/>
  <c r="T82" i="7" s="1"/>
  <c r="T82" i="4"/>
  <c r="T82" i="3" s="1"/>
  <c r="O82" i="7" s="1"/>
  <c r="Q82" i="7" s="1"/>
  <c r="S82" i="4"/>
  <c r="S82" i="3" s="1"/>
  <c r="L82" i="7" s="1"/>
  <c r="N82" i="7" s="1"/>
  <c r="R82" i="4"/>
  <c r="R82" i="3" s="1"/>
  <c r="Q82" i="4"/>
  <c r="Q82" i="3" s="1"/>
  <c r="G82" i="7" s="1"/>
  <c r="M82" i="4"/>
  <c r="K82" i="4"/>
  <c r="U81" i="4"/>
  <c r="U81" i="3" s="1"/>
  <c r="R81" i="7" s="1"/>
  <c r="T81" i="4"/>
  <c r="T81" i="3" s="1"/>
  <c r="O81" i="7" s="1"/>
  <c r="Q81" i="7" s="1"/>
  <c r="S81" i="4"/>
  <c r="S81" i="3" s="1"/>
  <c r="L81" i="7" s="1"/>
  <c r="N81" i="7" s="1"/>
  <c r="R81" i="4"/>
  <c r="Q81" i="4"/>
  <c r="Q81" i="3" s="1"/>
  <c r="G81" i="7" s="1"/>
  <c r="M81" i="4"/>
  <c r="K81" i="4"/>
  <c r="U80" i="4"/>
  <c r="U80" i="3" s="1"/>
  <c r="R80" i="7" s="1"/>
  <c r="T80" i="7" s="1"/>
  <c r="T80" i="4"/>
  <c r="S80" i="4"/>
  <c r="S80" i="3" s="1"/>
  <c r="L80" i="7" s="1"/>
  <c r="N80" i="7" s="1"/>
  <c r="R80" i="4"/>
  <c r="R80" i="3" s="1"/>
  <c r="Q80" i="4"/>
  <c r="Q80" i="3" s="1"/>
  <c r="G80" i="7" s="1"/>
  <c r="M80" i="4"/>
  <c r="K80" i="4"/>
  <c r="U79" i="4"/>
  <c r="U79" i="3" s="1"/>
  <c r="R79" i="7" s="1"/>
  <c r="T79" i="7" s="1"/>
  <c r="T79" i="4"/>
  <c r="S79" i="4"/>
  <c r="R79" i="4"/>
  <c r="R79" i="3" s="1"/>
  <c r="I79" i="7" s="1"/>
  <c r="K79" i="7" s="1"/>
  <c r="Q79" i="4"/>
  <c r="M79" i="4"/>
  <c r="K79" i="4"/>
  <c r="U78" i="4"/>
  <c r="U78" i="3" s="1"/>
  <c r="R78" i="7" s="1"/>
  <c r="T78" i="7" s="1"/>
  <c r="T78" i="4"/>
  <c r="T78" i="3" s="1"/>
  <c r="O78" i="7" s="1"/>
  <c r="Q78" i="7" s="1"/>
  <c r="S78" i="4"/>
  <c r="S78" i="3" s="1"/>
  <c r="L78" i="7" s="1"/>
  <c r="N78" i="7" s="1"/>
  <c r="R78" i="4"/>
  <c r="Q78" i="4"/>
  <c r="Q78" i="3" s="1"/>
  <c r="G78" i="7" s="1"/>
  <c r="M78" i="4"/>
  <c r="K78" i="4"/>
  <c r="U77" i="4"/>
  <c r="U77" i="3" s="1"/>
  <c r="R77" i="7" s="1"/>
  <c r="T77" i="7" s="1"/>
  <c r="T77" i="4"/>
  <c r="T77" i="3" s="1"/>
  <c r="O77" i="7" s="1"/>
  <c r="Q77" i="7" s="1"/>
  <c r="S77" i="4"/>
  <c r="S77" i="3" s="1"/>
  <c r="L77" i="7" s="1"/>
  <c r="N77" i="7" s="1"/>
  <c r="R77" i="4"/>
  <c r="R77" i="3" s="1"/>
  <c r="I77" i="7" s="1"/>
  <c r="K77" i="7" s="1"/>
  <c r="Q77" i="4"/>
  <c r="M77" i="4"/>
  <c r="K77" i="4"/>
  <c r="U76" i="4"/>
  <c r="U76" i="3" s="1"/>
  <c r="R76" i="7" s="1"/>
  <c r="T76" i="7" s="1"/>
  <c r="T76" i="4"/>
  <c r="T76" i="3" s="1"/>
  <c r="O76" i="7" s="1"/>
  <c r="Q76" i="7" s="1"/>
  <c r="S76" i="4"/>
  <c r="R76" i="4"/>
  <c r="R76" i="3" s="1"/>
  <c r="Q76" i="4"/>
  <c r="Q76" i="3" s="1"/>
  <c r="G76" i="7" s="1"/>
  <c r="M76" i="4"/>
  <c r="K76" i="4"/>
  <c r="U75" i="4"/>
  <c r="U75" i="3" s="1"/>
  <c r="R75" i="7" s="1"/>
  <c r="T75" i="7" s="1"/>
  <c r="T75" i="4"/>
  <c r="T75" i="3" s="1"/>
  <c r="O75" i="7" s="1"/>
  <c r="Q75" i="7" s="1"/>
  <c r="S75" i="4"/>
  <c r="S75" i="3" s="1"/>
  <c r="L75" i="7" s="1"/>
  <c r="N75" i="7" s="1"/>
  <c r="R75" i="4"/>
  <c r="R75" i="3" s="1"/>
  <c r="I75" i="7" s="1"/>
  <c r="K75" i="7" s="1"/>
  <c r="Q75" i="4"/>
  <c r="Q75" i="3" s="1"/>
  <c r="G75" i="7" s="1"/>
  <c r="M75" i="4"/>
  <c r="K75" i="4"/>
  <c r="U74" i="4"/>
  <c r="U74" i="3" s="1"/>
  <c r="R74" i="7" s="1"/>
  <c r="T74" i="7" s="1"/>
  <c r="T74" i="4"/>
  <c r="T74" i="3" s="1"/>
  <c r="O74" i="7" s="1"/>
  <c r="Q74" i="7" s="1"/>
  <c r="S74" i="4"/>
  <c r="S74" i="3" s="1"/>
  <c r="L74" i="7" s="1"/>
  <c r="N74" i="7" s="1"/>
  <c r="R74" i="4"/>
  <c r="R74" i="3" s="1"/>
  <c r="Q74" i="4"/>
  <c r="Q74" i="3" s="1"/>
  <c r="G74" i="7" s="1"/>
  <c r="M74" i="4"/>
  <c r="K74" i="4"/>
  <c r="U73" i="4"/>
  <c r="T73" i="4"/>
  <c r="T73" i="3" s="1"/>
  <c r="O73" i="7" s="1"/>
  <c r="Q73" i="7" s="1"/>
  <c r="S73" i="4"/>
  <c r="S73" i="3" s="1"/>
  <c r="L73" i="7" s="1"/>
  <c r="N73" i="7" s="1"/>
  <c r="R73" i="4"/>
  <c r="R73" i="3" s="1"/>
  <c r="I73" i="7" s="1"/>
  <c r="K73" i="7" s="1"/>
  <c r="Q73" i="4"/>
  <c r="Q73" i="3" s="1"/>
  <c r="G73" i="7" s="1"/>
  <c r="M73" i="4"/>
  <c r="K73" i="4"/>
  <c r="U72" i="4"/>
  <c r="U72" i="3" s="1"/>
  <c r="R72" i="7" s="1"/>
  <c r="T72" i="7" s="1"/>
  <c r="T72" i="4"/>
  <c r="S72" i="4"/>
  <c r="S72" i="3" s="1"/>
  <c r="L72" i="7" s="1"/>
  <c r="N72" i="7" s="1"/>
  <c r="R72" i="4"/>
  <c r="R72" i="3" s="1"/>
  <c r="Q72" i="4"/>
  <c r="Q72" i="3" s="1"/>
  <c r="G72" i="7" s="1"/>
  <c r="M72" i="4"/>
  <c r="K72" i="4"/>
  <c r="U71" i="4"/>
  <c r="T71" i="4"/>
  <c r="T71" i="3" s="1"/>
  <c r="O71" i="7" s="1"/>
  <c r="Q71" i="7" s="1"/>
  <c r="S71" i="4"/>
  <c r="R71" i="4"/>
  <c r="R71" i="3" s="1"/>
  <c r="Q71" i="4"/>
  <c r="Q71" i="3" s="1"/>
  <c r="G71" i="7" s="1"/>
  <c r="M71" i="4"/>
  <c r="K71" i="4"/>
  <c r="U70" i="4"/>
  <c r="U70" i="3" s="1"/>
  <c r="R70" i="7" s="1"/>
  <c r="T70" i="7" s="1"/>
  <c r="T70" i="4"/>
  <c r="T70" i="3" s="1"/>
  <c r="O70" i="7" s="1"/>
  <c r="Q70" i="7" s="1"/>
  <c r="S70" i="4"/>
  <c r="S70" i="3" s="1"/>
  <c r="L70" i="7" s="1"/>
  <c r="N70" i="7" s="1"/>
  <c r="R70" i="4"/>
  <c r="Q70" i="4"/>
  <c r="Q70" i="3" s="1"/>
  <c r="G70" i="7" s="1"/>
  <c r="M70" i="4"/>
  <c r="K70" i="4"/>
  <c r="U69" i="4"/>
  <c r="U69" i="3" s="1"/>
  <c r="R69" i="7" s="1"/>
  <c r="T69" i="7" s="1"/>
  <c r="T69" i="4"/>
  <c r="T69" i="3" s="1"/>
  <c r="O69" i="7" s="1"/>
  <c r="Q69" i="7" s="1"/>
  <c r="S69" i="4"/>
  <c r="S69" i="3" s="1"/>
  <c r="L69" i="7" s="1"/>
  <c r="N69" i="7" s="1"/>
  <c r="R69" i="4"/>
  <c r="R69" i="3" s="1"/>
  <c r="I69" i="7" s="1"/>
  <c r="K69" i="7" s="1"/>
  <c r="Q69" i="4"/>
  <c r="M69" i="4"/>
  <c r="K69" i="4"/>
  <c r="U68" i="4"/>
  <c r="U68" i="3" s="1"/>
  <c r="R68" i="7" s="1"/>
  <c r="T68" i="7" s="1"/>
  <c r="T68" i="4"/>
  <c r="T68" i="3" s="1"/>
  <c r="O68" i="7" s="1"/>
  <c r="Q68" i="7" s="1"/>
  <c r="S68" i="4"/>
  <c r="S68" i="3" s="1"/>
  <c r="L68" i="7" s="1"/>
  <c r="N68" i="7" s="1"/>
  <c r="R68" i="4"/>
  <c r="R68" i="3" s="1"/>
  <c r="Q68" i="4"/>
  <c r="Q68" i="3" s="1"/>
  <c r="G68" i="7" s="1"/>
  <c r="M68" i="4"/>
  <c r="K68" i="4"/>
  <c r="U67" i="4"/>
  <c r="U67" i="3" s="1"/>
  <c r="R67" i="7" s="1"/>
  <c r="T67" i="7" s="1"/>
  <c r="T67" i="4"/>
  <c r="T67" i="3" s="1"/>
  <c r="O67" i="7" s="1"/>
  <c r="Q67" i="7" s="1"/>
  <c r="S67" i="4"/>
  <c r="S67" i="3" s="1"/>
  <c r="L67" i="7" s="1"/>
  <c r="N67" i="7" s="1"/>
  <c r="R67" i="4"/>
  <c r="R67" i="3" s="1"/>
  <c r="I67" i="7" s="1"/>
  <c r="K67" i="7" s="1"/>
  <c r="Q67" i="4"/>
  <c r="Q67" i="3" s="1"/>
  <c r="G67" i="7" s="1"/>
  <c r="M67" i="4"/>
  <c r="K67" i="4"/>
  <c r="U66" i="4"/>
  <c r="U66" i="3" s="1"/>
  <c r="R66" i="7" s="1"/>
  <c r="T66" i="7" s="1"/>
  <c r="T66" i="4"/>
  <c r="S66" i="4"/>
  <c r="S66" i="3" s="1"/>
  <c r="L66" i="7" s="1"/>
  <c r="N66" i="7" s="1"/>
  <c r="R66" i="4"/>
  <c r="R66" i="3" s="1"/>
  <c r="Q66" i="4"/>
  <c r="Q66" i="3" s="1"/>
  <c r="G66" i="7" s="1"/>
  <c r="M66" i="4"/>
  <c r="K66" i="4"/>
  <c r="U65" i="4"/>
  <c r="T65" i="4"/>
  <c r="T65" i="3" s="1"/>
  <c r="O65" i="7" s="1"/>
  <c r="Q65" i="7" s="1"/>
  <c r="S65" i="4"/>
  <c r="R65" i="4"/>
  <c r="R65" i="3" s="1"/>
  <c r="I65" i="7" s="1"/>
  <c r="K65" i="7" s="1"/>
  <c r="Q65" i="4"/>
  <c r="Q65" i="3" s="1"/>
  <c r="G65" i="7" s="1"/>
  <c r="M65" i="4"/>
  <c r="K65" i="4"/>
  <c r="U64" i="4"/>
  <c r="U64" i="3" s="1"/>
  <c r="R64" i="7" s="1"/>
  <c r="T64" i="7" s="1"/>
  <c r="T64" i="4"/>
  <c r="S64" i="4"/>
  <c r="S64" i="3" s="1"/>
  <c r="L64" i="7" s="1"/>
  <c r="N64" i="7" s="1"/>
  <c r="R64" i="4"/>
  <c r="R64" i="3" s="1"/>
  <c r="Q64" i="4"/>
  <c r="Q64" i="3" s="1"/>
  <c r="G64" i="7" s="1"/>
  <c r="M64" i="4"/>
  <c r="K64" i="4"/>
  <c r="U63" i="4"/>
  <c r="U63" i="3" s="1"/>
  <c r="R63" i="7" s="1"/>
  <c r="T63" i="7" s="1"/>
  <c r="T63" i="4"/>
  <c r="T63" i="3" s="1"/>
  <c r="O63" i="7" s="1"/>
  <c r="Q63" i="7" s="1"/>
  <c r="S63" i="4"/>
  <c r="R63" i="4"/>
  <c r="Q63" i="4"/>
  <c r="Q63" i="3" s="1"/>
  <c r="G63" i="7" s="1"/>
  <c r="M63" i="4"/>
  <c r="K63" i="4"/>
  <c r="U62" i="4"/>
  <c r="U62" i="3" s="1"/>
  <c r="R62" i="7" s="1"/>
  <c r="T62" i="7" s="1"/>
  <c r="T62" i="4"/>
  <c r="T62" i="3" s="1"/>
  <c r="O62" i="7" s="1"/>
  <c r="Q62" i="7" s="1"/>
  <c r="S62" i="4"/>
  <c r="S62" i="3" s="1"/>
  <c r="L62" i="7" s="1"/>
  <c r="N62" i="7" s="1"/>
  <c r="R62" i="4"/>
  <c r="R62" i="3" s="1"/>
  <c r="Q62" i="4"/>
  <c r="Q62" i="3" s="1"/>
  <c r="G62" i="7" s="1"/>
  <c r="M62" i="4"/>
  <c r="K62" i="4"/>
  <c r="U61" i="4"/>
  <c r="U61" i="3" s="1"/>
  <c r="R61" i="7" s="1"/>
  <c r="T61" i="7" s="1"/>
  <c r="T61" i="4"/>
  <c r="T61" i="3" s="1"/>
  <c r="O61" i="7" s="1"/>
  <c r="Q61" i="7" s="1"/>
  <c r="S61" i="4"/>
  <c r="S61" i="3" s="1"/>
  <c r="L61" i="7" s="1"/>
  <c r="N61" i="7" s="1"/>
  <c r="R61" i="4"/>
  <c r="R61" i="3" s="1"/>
  <c r="I61" i="7" s="1"/>
  <c r="K61" i="7" s="1"/>
  <c r="Q61" i="4"/>
  <c r="M61" i="4"/>
  <c r="K61" i="4"/>
  <c r="U60" i="4"/>
  <c r="U60" i="3" s="1"/>
  <c r="R60" i="7" s="1"/>
  <c r="T60" i="7" s="1"/>
  <c r="T60" i="4"/>
  <c r="T60" i="3" s="1"/>
  <c r="O60" i="7" s="1"/>
  <c r="Q60" i="7" s="1"/>
  <c r="S60" i="4"/>
  <c r="S60" i="3" s="1"/>
  <c r="L60" i="7" s="1"/>
  <c r="N60" i="7" s="1"/>
  <c r="R60" i="4"/>
  <c r="R60" i="3" s="1"/>
  <c r="I60" i="7" s="1"/>
  <c r="K60" i="7" s="1"/>
  <c r="Q60" i="4"/>
  <c r="Q60" i="3" s="1"/>
  <c r="G60" i="7" s="1"/>
  <c r="M60" i="4"/>
  <c r="K60" i="4"/>
  <c r="U59" i="4"/>
  <c r="U59" i="3" s="1"/>
  <c r="R59" i="7" s="1"/>
  <c r="T59" i="4"/>
  <c r="T59" i="3" s="1"/>
  <c r="O59" i="7" s="1"/>
  <c r="Q59" i="7" s="1"/>
  <c r="S59" i="4"/>
  <c r="S59" i="3" s="1"/>
  <c r="L59" i="7" s="1"/>
  <c r="N59" i="7" s="1"/>
  <c r="R59" i="4"/>
  <c r="R59" i="3" s="1"/>
  <c r="I59" i="7" s="1"/>
  <c r="K59" i="7" s="1"/>
  <c r="Q59" i="4"/>
  <c r="Q59" i="3" s="1"/>
  <c r="G59" i="7" s="1"/>
  <c r="M59" i="4"/>
  <c r="K59" i="4"/>
  <c r="U58" i="4"/>
  <c r="U58" i="3" s="1"/>
  <c r="R58" i="7" s="1"/>
  <c r="T58" i="7" s="1"/>
  <c r="T58" i="4"/>
  <c r="T58" i="3" s="1"/>
  <c r="O58" i="7" s="1"/>
  <c r="S58" i="4"/>
  <c r="S58" i="3" s="1"/>
  <c r="L58" i="7" s="1"/>
  <c r="N58" i="7" s="1"/>
  <c r="R58" i="4"/>
  <c r="R58" i="3" s="1"/>
  <c r="I58" i="7" s="1"/>
  <c r="K58" i="7" s="1"/>
  <c r="Q58" i="4"/>
  <c r="Q58" i="3" s="1"/>
  <c r="G58" i="7" s="1"/>
  <c r="M58" i="4"/>
  <c r="K58" i="4"/>
  <c r="U57" i="4"/>
  <c r="T57" i="4"/>
  <c r="T57" i="3" s="1"/>
  <c r="O57" i="7" s="1"/>
  <c r="Q57" i="7" s="1"/>
  <c r="S57" i="4"/>
  <c r="S57" i="3" s="1"/>
  <c r="L57" i="7" s="1"/>
  <c r="R57" i="4"/>
  <c r="Q57" i="4"/>
  <c r="Q57" i="3" s="1"/>
  <c r="G57" i="7" s="1"/>
  <c r="M57" i="4"/>
  <c r="K57" i="4"/>
  <c r="U56" i="4"/>
  <c r="U56" i="3" s="1"/>
  <c r="R56" i="7" s="1"/>
  <c r="T56" i="7" s="1"/>
  <c r="T56" i="4"/>
  <c r="S56" i="4"/>
  <c r="S56" i="3" s="1"/>
  <c r="R56" i="4"/>
  <c r="R56" i="3" s="1"/>
  <c r="I56" i="7" s="1"/>
  <c r="Q56" i="4"/>
  <c r="Q56" i="3" s="1"/>
  <c r="G56" i="7" s="1"/>
  <c r="M56" i="4"/>
  <c r="K56" i="4"/>
  <c r="U55" i="4"/>
  <c r="U55" i="3" s="1"/>
  <c r="R55" i="7" s="1"/>
  <c r="T55" i="7" s="1"/>
  <c r="T55" i="4"/>
  <c r="T55" i="3" s="1"/>
  <c r="O55" i="7" s="1"/>
  <c r="Q55" i="7" s="1"/>
  <c r="S55" i="4"/>
  <c r="R55" i="4"/>
  <c r="R55" i="3" s="1"/>
  <c r="I55" i="7" s="1"/>
  <c r="K55" i="7" s="1"/>
  <c r="Q55" i="4"/>
  <c r="Q55" i="3" s="1"/>
  <c r="G55" i="7" s="1"/>
  <c r="M55" i="4"/>
  <c r="K55" i="4"/>
  <c r="U54" i="4"/>
  <c r="U54" i="3" s="1"/>
  <c r="R54" i="7" s="1"/>
  <c r="T54" i="7" s="1"/>
  <c r="T54" i="4"/>
  <c r="T54" i="3" s="1"/>
  <c r="O54" i="7" s="1"/>
  <c r="Q54" i="7" s="1"/>
  <c r="S54" i="4"/>
  <c r="S54" i="3" s="1"/>
  <c r="L54" i="7" s="1"/>
  <c r="N54" i="7" s="1"/>
  <c r="R54" i="4"/>
  <c r="Q54" i="4"/>
  <c r="Q54" i="3" s="1"/>
  <c r="G54" i="7" s="1"/>
  <c r="M54" i="4"/>
  <c r="K54" i="4"/>
  <c r="U53" i="4"/>
  <c r="U53" i="3" s="1"/>
  <c r="R53" i="7" s="1"/>
  <c r="T53" i="7" s="1"/>
  <c r="T53" i="4"/>
  <c r="T53" i="3" s="1"/>
  <c r="O53" i="7" s="1"/>
  <c r="Q53" i="7" s="1"/>
  <c r="S53" i="4"/>
  <c r="S53" i="3" s="1"/>
  <c r="L53" i="7" s="1"/>
  <c r="N53" i="7" s="1"/>
  <c r="R53" i="4"/>
  <c r="R53" i="3" s="1"/>
  <c r="I53" i="7" s="1"/>
  <c r="K53" i="7" s="1"/>
  <c r="Q53" i="4"/>
  <c r="M53" i="4"/>
  <c r="K53" i="4"/>
  <c r="U52" i="4"/>
  <c r="U52" i="3" s="1"/>
  <c r="R52" i="7" s="1"/>
  <c r="T52" i="7" s="1"/>
  <c r="T52" i="4"/>
  <c r="T52" i="3" s="1"/>
  <c r="O52" i="7" s="1"/>
  <c r="Q52" i="7" s="1"/>
  <c r="S52" i="4"/>
  <c r="S52" i="3" s="1"/>
  <c r="L52" i="7" s="1"/>
  <c r="N52" i="7" s="1"/>
  <c r="R52" i="4"/>
  <c r="R52" i="3" s="1"/>
  <c r="I52" i="7" s="1"/>
  <c r="K52" i="7" s="1"/>
  <c r="Q52" i="4"/>
  <c r="Q52" i="3" s="1"/>
  <c r="G52" i="7" s="1"/>
  <c r="M52" i="4"/>
  <c r="K52" i="4"/>
  <c r="U51" i="4"/>
  <c r="U51" i="3" s="1"/>
  <c r="R51" i="7" s="1"/>
  <c r="T51" i="4"/>
  <c r="T51" i="3" s="1"/>
  <c r="O51" i="7" s="1"/>
  <c r="Q51" i="7" s="1"/>
  <c r="S51" i="4"/>
  <c r="S51" i="3" s="1"/>
  <c r="L51" i="7" s="1"/>
  <c r="N51" i="7" s="1"/>
  <c r="R51" i="4"/>
  <c r="R51" i="3" s="1"/>
  <c r="I51" i="7" s="1"/>
  <c r="K51" i="7" s="1"/>
  <c r="Q51" i="4"/>
  <c r="M51" i="4"/>
  <c r="K51" i="4"/>
  <c r="U50" i="4"/>
  <c r="U50" i="3" s="1"/>
  <c r="R50" i="7" s="1"/>
  <c r="T50" i="7" s="1"/>
  <c r="T50" i="4"/>
  <c r="T50" i="3" s="1"/>
  <c r="O50" i="7" s="1"/>
  <c r="S50" i="4"/>
  <c r="S50" i="3" s="1"/>
  <c r="L50" i="7" s="1"/>
  <c r="N50" i="7" s="1"/>
  <c r="R50" i="4"/>
  <c r="R50" i="3" s="1"/>
  <c r="I50" i="7" s="1"/>
  <c r="K50" i="7" s="1"/>
  <c r="Q50" i="4"/>
  <c r="Q50" i="3" s="1"/>
  <c r="G50" i="7" s="1"/>
  <c r="M50" i="4"/>
  <c r="K50" i="4"/>
  <c r="U49" i="4"/>
  <c r="T49" i="4"/>
  <c r="T49" i="3" s="1"/>
  <c r="O49" i="7" s="1"/>
  <c r="S49" i="4"/>
  <c r="S49" i="3" s="1"/>
  <c r="L49" i="7" s="1"/>
  <c r="R49" i="4"/>
  <c r="R49" i="3" s="1"/>
  <c r="I49" i="7" s="1"/>
  <c r="K49" i="7" s="1"/>
  <c r="Q49" i="4"/>
  <c r="Q49" i="3" s="1"/>
  <c r="G49" i="7" s="1"/>
  <c r="M49" i="4"/>
  <c r="K49" i="4"/>
  <c r="U48" i="4"/>
  <c r="U48" i="3" s="1"/>
  <c r="R48" i="7" s="1"/>
  <c r="T48" i="7" s="1"/>
  <c r="T48" i="4"/>
  <c r="T48" i="3" s="1"/>
  <c r="O48" i="7" s="1"/>
  <c r="Q48" i="7" s="1"/>
  <c r="S48" i="4"/>
  <c r="S48" i="3" s="1"/>
  <c r="L48" i="7" s="1"/>
  <c r="N48" i="7" s="1"/>
  <c r="R48" i="4"/>
  <c r="R48" i="3" s="1"/>
  <c r="I48" i="7" s="1"/>
  <c r="Q48" i="4"/>
  <c r="Q48" i="3" s="1"/>
  <c r="G48" i="7" s="1"/>
  <c r="M48" i="4"/>
  <c r="K48" i="4"/>
  <c r="U47" i="4"/>
  <c r="U47" i="3" s="1"/>
  <c r="R47" i="7" s="1"/>
  <c r="T47" i="7" s="1"/>
  <c r="T47" i="4"/>
  <c r="T47" i="3" s="1"/>
  <c r="O47" i="7" s="1"/>
  <c r="Q47" i="7" s="1"/>
  <c r="S47" i="4"/>
  <c r="R47" i="4"/>
  <c r="R47" i="3" s="1"/>
  <c r="I47" i="7" s="1"/>
  <c r="K47" i="7" s="1"/>
  <c r="Q47" i="4"/>
  <c r="Q47" i="3" s="1"/>
  <c r="G47" i="7" s="1"/>
  <c r="M47" i="4"/>
  <c r="K47" i="4"/>
  <c r="U46" i="4"/>
  <c r="U46" i="3" s="1"/>
  <c r="R46" i="7" s="1"/>
  <c r="T46" i="7" s="1"/>
  <c r="T46" i="4"/>
  <c r="T46" i="3" s="1"/>
  <c r="O46" i="7" s="1"/>
  <c r="Q46" i="7" s="1"/>
  <c r="S46" i="4"/>
  <c r="S46" i="3" s="1"/>
  <c r="L46" i="7" s="1"/>
  <c r="N46" i="7" s="1"/>
  <c r="R46" i="4"/>
  <c r="Q46" i="4"/>
  <c r="Q46" i="3" s="1"/>
  <c r="G46" i="7" s="1"/>
  <c r="M46" i="4"/>
  <c r="K46" i="4"/>
  <c r="U45" i="4"/>
  <c r="U45" i="3" s="1"/>
  <c r="R45" i="7" s="1"/>
  <c r="T45" i="7" s="1"/>
  <c r="T45" i="4"/>
  <c r="T45" i="3" s="1"/>
  <c r="O45" i="7" s="1"/>
  <c r="Q45" i="7" s="1"/>
  <c r="S45" i="4"/>
  <c r="S45" i="3" s="1"/>
  <c r="L45" i="7" s="1"/>
  <c r="N45" i="7" s="1"/>
  <c r="R45" i="4"/>
  <c r="R45" i="3" s="1"/>
  <c r="I45" i="7" s="1"/>
  <c r="K45" i="7" s="1"/>
  <c r="Q45" i="4"/>
  <c r="M45" i="4"/>
  <c r="K45" i="4"/>
  <c r="U44" i="4"/>
  <c r="U44" i="3" s="1"/>
  <c r="R44" i="7" s="1"/>
  <c r="T44" i="7" s="1"/>
  <c r="T44" i="4"/>
  <c r="T44" i="3" s="1"/>
  <c r="O44" i="7" s="1"/>
  <c r="Q44" i="7" s="1"/>
  <c r="S44" i="4"/>
  <c r="S44" i="3" s="1"/>
  <c r="L44" i="7" s="1"/>
  <c r="N44" i="7" s="1"/>
  <c r="R44" i="4"/>
  <c r="R44" i="3" s="1"/>
  <c r="Q44" i="4"/>
  <c r="Q44" i="3" s="1"/>
  <c r="G44" i="7" s="1"/>
  <c r="M44" i="4"/>
  <c r="K44" i="4"/>
  <c r="U43" i="4"/>
  <c r="U43" i="3" s="1"/>
  <c r="R43" i="7" s="1"/>
  <c r="T43" i="4"/>
  <c r="T43" i="3" s="1"/>
  <c r="O43" i="7" s="1"/>
  <c r="Q43" i="7" s="1"/>
  <c r="S43" i="4"/>
  <c r="S43" i="3" s="1"/>
  <c r="L43" i="7" s="1"/>
  <c r="N43" i="7" s="1"/>
  <c r="R43" i="4"/>
  <c r="R43" i="3" s="1"/>
  <c r="I43" i="7" s="1"/>
  <c r="K43" i="7" s="1"/>
  <c r="Q43" i="4"/>
  <c r="Q43" i="3" s="1"/>
  <c r="G43" i="7" s="1"/>
  <c r="M43" i="4"/>
  <c r="K43" i="4"/>
  <c r="U42" i="4"/>
  <c r="U42" i="3" s="1"/>
  <c r="R42" i="7" s="1"/>
  <c r="T42" i="7" s="1"/>
  <c r="T42" i="4"/>
  <c r="T42" i="3" s="1"/>
  <c r="O42" i="7" s="1"/>
  <c r="S42" i="4"/>
  <c r="S42" i="3" s="1"/>
  <c r="L42" i="7" s="1"/>
  <c r="N42" i="7" s="1"/>
  <c r="R42" i="4"/>
  <c r="R42" i="3" s="1"/>
  <c r="I42" i="7" s="1"/>
  <c r="K42" i="7" s="1"/>
  <c r="Q42" i="4"/>
  <c r="Q42" i="3" s="1"/>
  <c r="G42" i="7" s="1"/>
  <c r="M42" i="4"/>
  <c r="K42" i="4"/>
  <c r="U41" i="4"/>
  <c r="T41" i="4"/>
  <c r="T41" i="3" s="1"/>
  <c r="O41" i="7" s="1"/>
  <c r="Q41" i="7" s="1"/>
  <c r="S41" i="4"/>
  <c r="S41" i="3" s="1"/>
  <c r="L41" i="7" s="1"/>
  <c r="R41" i="4"/>
  <c r="R41" i="3" s="1"/>
  <c r="I41" i="7" s="1"/>
  <c r="K41" i="7" s="1"/>
  <c r="Q41" i="4"/>
  <c r="Q41" i="3" s="1"/>
  <c r="G41" i="7" s="1"/>
  <c r="M41" i="4"/>
  <c r="K41" i="4"/>
  <c r="U40" i="4"/>
  <c r="U40" i="3" s="1"/>
  <c r="R40" i="7" s="1"/>
  <c r="T40" i="7" s="1"/>
  <c r="T40" i="4"/>
  <c r="S40" i="4"/>
  <c r="S40" i="3" s="1"/>
  <c r="L40" i="7" s="1"/>
  <c r="N40" i="7" s="1"/>
  <c r="R40" i="4"/>
  <c r="R40" i="3" s="1"/>
  <c r="I40" i="7" s="1"/>
  <c r="Q40" i="4"/>
  <c r="Q40" i="3" s="1"/>
  <c r="G40" i="7" s="1"/>
  <c r="M40" i="4"/>
  <c r="K40" i="4"/>
  <c r="U39" i="4"/>
  <c r="U39" i="3" s="1"/>
  <c r="R39" i="7" s="1"/>
  <c r="T39" i="7" s="1"/>
  <c r="T39" i="4"/>
  <c r="T39" i="3" s="1"/>
  <c r="O39" i="7" s="1"/>
  <c r="Q39" i="7" s="1"/>
  <c r="S39" i="4"/>
  <c r="S39" i="3" s="1"/>
  <c r="L39" i="7" s="1"/>
  <c r="N39" i="7" s="1"/>
  <c r="R39" i="4"/>
  <c r="R39" i="3" s="1"/>
  <c r="I39" i="7" s="1"/>
  <c r="K39" i="7" s="1"/>
  <c r="Q39" i="4"/>
  <c r="Q39" i="3" s="1"/>
  <c r="G39" i="7" s="1"/>
  <c r="M39" i="4"/>
  <c r="K39" i="4"/>
  <c r="U38" i="4"/>
  <c r="U38" i="3" s="1"/>
  <c r="R38" i="7" s="1"/>
  <c r="T38" i="7" s="1"/>
  <c r="T38" i="4"/>
  <c r="T38" i="3" s="1"/>
  <c r="O38" i="7" s="1"/>
  <c r="Q38" i="7" s="1"/>
  <c r="S38" i="4"/>
  <c r="S38" i="3" s="1"/>
  <c r="L38" i="7" s="1"/>
  <c r="N38" i="7" s="1"/>
  <c r="R38" i="4"/>
  <c r="R38" i="3" s="1"/>
  <c r="I38" i="7" s="1"/>
  <c r="K38" i="7" s="1"/>
  <c r="Q38" i="4"/>
  <c r="Q38" i="3" s="1"/>
  <c r="G38" i="7" s="1"/>
  <c r="M38" i="4"/>
  <c r="K38" i="4"/>
  <c r="U37" i="4"/>
  <c r="U37" i="3" s="1"/>
  <c r="R37" i="7" s="1"/>
  <c r="T37" i="7" s="1"/>
  <c r="T37" i="4"/>
  <c r="T37" i="3" s="1"/>
  <c r="O37" i="7" s="1"/>
  <c r="Q37" i="7" s="1"/>
  <c r="S37" i="4"/>
  <c r="S37" i="3" s="1"/>
  <c r="L37" i="7" s="1"/>
  <c r="N37" i="7" s="1"/>
  <c r="R37" i="4"/>
  <c r="R37" i="3" s="1"/>
  <c r="I37" i="7" s="1"/>
  <c r="K37" i="7" s="1"/>
  <c r="Q37" i="4"/>
  <c r="Q37" i="3" s="1"/>
  <c r="G37" i="7" s="1"/>
  <c r="M37" i="4"/>
  <c r="K37" i="4"/>
  <c r="U36" i="4"/>
  <c r="T36" i="4"/>
  <c r="T36" i="3" s="1"/>
  <c r="O36" i="7" s="1"/>
  <c r="Q36" i="7" s="1"/>
  <c r="S36" i="4"/>
  <c r="S36" i="3" s="1"/>
  <c r="L36" i="7" s="1"/>
  <c r="N36" i="7" s="1"/>
  <c r="R36" i="4"/>
  <c r="R36" i="3" s="1"/>
  <c r="I36" i="7" s="1"/>
  <c r="K36" i="7" s="1"/>
  <c r="Q36" i="4"/>
  <c r="Q36" i="3" s="1"/>
  <c r="G36" i="7" s="1"/>
  <c r="M36" i="4"/>
  <c r="K36" i="4"/>
  <c r="U35" i="4"/>
  <c r="U35" i="3" s="1"/>
  <c r="R35" i="7" s="1"/>
  <c r="T35" i="7" s="1"/>
  <c r="T35" i="4"/>
  <c r="S35" i="4"/>
  <c r="S35" i="3" s="1"/>
  <c r="L35" i="7" s="1"/>
  <c r="N35" i="7" s="1"/>
  <c r="R35" i="4"/>
  <c r="R35" i="3" s="1"/>
  <c r="I35" i="7" s="1"/>
  <c r="K35" i="7" s="1"/>
  <c r="Q35" i="4"/>
  <c r="Q35" i="3" s="1"/>
  <c r="G35" i="7" s="1"/>
  <c r="M35" i="4"/>
  <c r="K35" i="4"/>
  <c r="U34" i="4"/>
  <c r="U34" i="3" s="1"/>
  <c r="R34" i="7" s="1"/>
  <c r="T34" i="7" s="1"/>
  <c r="T34" i="4"/>
  <c r="T34" i="3" s="1"/>
  <c r="O34" i="7" s="1"/>
  <c r="S34" i="4"/>
  <c r="S34" i="3" s="1"/>
  <c r="L34" i="7" s="1"/>
  <c r="N34" i="7" s="1"/>
  <c r="R34" i="4"/>
  <c r="R34" i="3" s="1"/>
  <c r="I34" i="7" s="1"/>
  <c r="K34" i="7" s="1"/>
  <c r="Q34" i="4"/>
  <c r="Q34" i="3" s="1"/>
  <c r="G34" i="7" s="1"/>
  <c r="M34" i="4"/>
  <c r="K34" i="4"/>
  <c r="U33" i="4"/>
  <c r="T33" i="4"/>
  <c r="T33" i="3" s="1"/>
  <c r="O33" i="7" s="1"/>
  <c r="Q33" i="7" s="1"/>
  <c r="S33" i="4"/>
  <c r="S33" i="3" s="1"/>
  <c r="L33" i="7" s="1"/>
  <c r="R33" i="4"/>
  <c r="Q33" i="4"/>
  <c r="Q33" i="3" s="1"/>
  <c r="G33" i="7" s="1"/>
  <c r="M33" i="4"/>
  <c r="K33" i="4"/>
  <c r="U32" i="4"/>
  <c r="U32" i="3" s="1"/>
  <c r="R32" i="7" s="1"/>
  <c r="T32" i="7" s="1"/>
  <c r="T32" i="4"/>
  <c r="S32" i="4"/>
  <c r="R32" i="4"/>
  <c r="R32" i="3" s="1"/>
  <c r="I32" i="7" s="1"/>
  <c r="Q32" i="4"/>
  <c r="Q32" i="3" s="1"/>
  <c r="G32" i="7" s="1"/>
  <c r="M32" i="4"/>
  <c r="K32" i="4"/>
  <c r="U31" i="4"/>
  <c r="U31" i="3" s="1"/>
  <c r="R31" i="7" s="1"/>
  <c r="T31" i="7" s="1"/>
  <c r="T31" i="4"/>
  <c r="T31" i="3" s="1"/>
  <c r="O31" i="7" s="1"/>
  <c r="Q31" i="7" s="1"/>
  <c r="S31" i="4"/>
  <c r="S31" i="3" s="1"/>
  <c r="L31" i="7" s="1"/>
  <c r="N31" i="7" s="1"/>
  <c r="R31" i="4"/>
  <c r="R31" i="3" s="1"/>
  <c r="I31" i="7" s="1"/>
  <c r="Q31" i="4"/>
  <c r="Q31" i="3" s="1"/>
  <c r="G31" i="7" s="1"/>
  <c r="M31" i="4"/>
  <c r="K31" i="4"/>
  <c r="U30" i="4"/>
  <c r="U30" i="3" s="1"/>
  <c r="R30" i="7" s="1"/>
  <c r="T30" i="7" s="1"/>
  <c r="T30" i="4"/>
  <c r="T30" i="3" s="1"/>
  <c r="O30" i="7" s="1"/>
  <c r="Q30" i="7" s="1"/>
  <c r="S30" i="4"/>
  <c r="S30" i="3" s="1"/>
  <c r="L30" i="7" s="1"/>
  <c r="N30" i="7" s="1"/>
  <c r="R30" i="4"/>
  <c r="Q30" i="4"/>
  <c r="Q30" i="3" s="1"/>
  <c r="G30" i="7" s="1"/>
  <c r="M30" i="4"/>
  <c r="K30" i="4"/>
  <c r="U29" i="4"/>
  <c r="U29" i="3" s="1"/>
  <c r="R29" i="7" s="1"/>
  <c r="T29" i="7" s="1"/>
  <c r="T29" i="4"/>
  <c r="T29" i="3" s="1"/>
  <c r="O29" i="7" s="1"/>
  <c r="Q29" i="7" s="1"/>
  <c r="S29" i="4"/>
  <c r="S29" i="3" s="1"/>
  <c r="L29" i="7" s="1"/>
  <c r="N29" i="7" s="1"/>
  <c r="R29" i="4"/>
  <c r="R29" i="3" s="1"/>
  <c r="I29" i="7" s="1"/>
  <c r="K29" i="7" s="1"/>
  <c r="Q29" i="4"/>
  <c r="M29" i="4"/>
  <c r="K29" i="4"/>
  <c r="U28" i="4"/>
  <c r="U28" i="3" s="1"/>
  <c r="R28" i="7" s="1"/>
  <c r="T28" i="7" s="1"/>
  <c r="T28" i="4"/>
  <c r="T28" i="3" s="1"/>
  <c r="O28" i="7" s="1"/>
  <c r="Q28" i="7" s="1"/>
  <c r="S28" i="4"/>
  <c r="S28" i="3" s="1"/>
  <c r="L28" i="7" s="1"/>
  <c r="N28" i="7" s="1"/>
  <c r="R28" i="4"/>
  <c r="R28" i="3" s="1"/>
  <c r="I28" i="7" s="1"/>
  <c r="K28" i="7" s="1"/>
  <c r="Q28" i="4"/>
  <c r="Q28" i="3" s="1"/>
  <c r="G28" i="7" s="1"/>
  <c r="M28" i="4"/>
  <c r="K28" i="4"/>
  <c r="U27" i="4"/>
  <c r="U27" i="3" s="1"/>
  <c r="R27" i="7" s="1"/>
  <c r="T27" i="4"/>
  <c r="T27" i="3" s="1"/>
  <c r="O27" i="7" s="1"/>
  <c r="Q27" i="7" s="1"/>
  <c r="S27" i="4"/>
  <c r="S27" i="3" s="1"/>
  <c r="L27" i="7" s="1"/>
  <c r="N27" i="7" s="1"/>
  <c r="R27" i="4"/>
  <c r="R27" i="3" s="1"/>
  <c r="I27" i="7" s="1"/>
  <c r="K27" i="7" s="1"/>
  <c r="Q27" i="4"/>
  <c r="Q27" i="3" s="1"/>
  <c r="G27" i="7" s="1"/>
  <c r="M27" i="4"/>
  <c r="K27" i="4"/>
  <c r="U26" i="4"/>
  <c r="U26" i="3" s="1"/>
  <c r="R26" i="7" s="1"/>
  <c r="T26" i="7" s="1"/>
  <c r="T26" i="4"/>
  <c r="S26" i="4"/>
  <c r="R26" i="4"/>
  <c r="R26" i="3" s="1"/>
  <c r="I26" i="7" s="1"/>
  <c r="K26" i="7" s="1"/>
  <c r="Q26" i="4"/>
  <c r="Q26" i="3" s="1"/>
  <c r="G26" i="7" s="1"/>
  <c r="M26" i="4"/>
  <c r="K26" i="4"/>
  <c r="U25" i="4"/>
  <c r="T25" i="4"/>
  <c r="T25" i="3" s="1"/>
  <c r="O25" i="7" s="1"/>
  <c r="Q25" i="7" s="1"/>
  <c r="S25" i="4"/>
  <c r="S25" i="3" s="1"/>
  <c r="L25" i="7" s="1"/>
  <c r="R25" i="4"/>
  <c r="R25" i="3" s="1"/>
  <c r="I25" i="7" s="1"/>
  <c r="K25" i="7" s="1"/>
  <c r="Q25" i="4"/>
  <c r="Q25" i="3" s="1"/>
  <c r="G25" i="7" s="1"/>
  <c r="M25" i="4"/>
  <c r="K25" i="4"/>
  <c r="U24" i="4"/>
  <c r="T24" i="4"/>
  <c r="S24" i="4"/>
  <c r="R24" i="4"/>
  <c r="R24" i="3" s="1"/>
  <c r="I24" i="7" s="1"/>
  <c r="Q24" i="4"/>
  <c r="Q24" i="3" s="1"/>
  <c r="G24" i="7" s="1"/>
  <c r="M24" i="4"/>
  <c r="K24" i="4"/>
  <c r="U23" i="4"/>
  <c r="U23" i="3" s="1"/>
  <c r="R23" i="7" s="1"/>
  <c r="T23" i="7" s="1"/>
  <c r="T23" i="4"/>
  <c r="T23" i="3" s="1"/>
  <c r="O23" i="7" s="1"/>
  <c r="Q23" i="7" s="1"/>
  <c r="S23" i="4"/>
  <c r="R23" i="4"/>
  <c r="R23" i="3" s="1"/>
  <c r="I23" i="7" s="1"/>
  <c r="K23" i="7" s="1"/>
  <c r="Q23" i="4"/>
  <c r="Q23" i="3" s="1"/>
  <c r="G23" i="7" s="1"/>
  <c r="M23" i="4"/>
  <c r="K23" i="4"/>
  <c r="U22" i="4"/>
  <c r="U22" i="3" s="1"/>
  <c r="R22" i="7" s="1"/>
  <c r="T22" i="7" s="1"/>
  <c r="T22" i="4"/>
  <c r="T22" i="3" s="1"/>
  <c r="O22" i="7" s="1"/>
  <c r="Q22" i="7" s="1"/>
  <c r="S22" i="4"/>
  <c r="R22" i="4"/>
  <c r="Q22" i="4"/>
  <c r="Q22" i="3" s="1"/>
  <c r="G22" i="7" s="1"/>
  <c r="M22" i="4"/>
  <c r="K22" i="4"/>
  <c r="U21" i="4"/>
  <c r="U21" i="3" s="1"/>
  <c r="R21" i="7" s="1"/>
  <c r="T21" i="7" s="1"/>
  <c r="T21" i="4"/>
  <c r="T21" i="3" s="1"/>
  <c r="O21" i="7" s="1"/>
  <c r="Q21" i="7" s="1"/>
  <c r="S21" i="4"/>
  <c r="R21" i="4"/>
  <c r="R21" i="3" s="1"/>
  <c r="I21" i="7" s="1"/>
  <c r="K21" i="7" s="1"/>
  <c r="Q21" i="4"/>
  <c r="M21" i="4"/>
  <c r="K21" i="4"/>
  <c r="U20" i="4"/>
  <c r="U20" i="3" s="1"/>
  <c r="R20" i="7" s="1"/>
  <c r="T20" i="7" s="1"/>
  <c r="T20" i="4"/>
  <c r="T20" i="3" s="1"/>
  <c r="O20" i="7" s="1"/>
  <c r="Q20" i="7" s="1"/>
  <c r="S20" i="4"/>
  <c r="S20" i="3" s="1"/>
  <c r="L20" i="7" s="1"/>
  <c r="N20" i="7" s="1"/>
  <c r="R20" i="4"/>
  <c r="R20" i="3" s="1"/>
  <c r="I20" i="7" s="1"/>
  <c r="K20" i="7" s="1"/>
  <c r="Q20" i="4"/>
  <c r="M20" i="4"/>
  <c r="K20" i="4"/>
  <c r="U19" i="4"/>
  <c r="U19" i="3" s="1"/>
  <c r="R19" i="7" s="1"/>
  <c r="T19" i="4"/>
  <c r="S19" i="4"/>
  <c r="S19" i="3" s="1"/>
  <c r="L19" i="7" s="1"/>
  <c r="N19" i="7" s="1"/>
  <c r="R19" i="4"/>
  <c r="R19" i="3" s="1"/>
  <c r="I19" i="7" s="1"/>
  <c r="K19" i="7" s="1"/>
  <c r="Q19" i="4"/>
  <c r="Q19" i="3" s="1"/>
  <c r="G19" i="7" s="1"/>
  <c r="M19" i="4"/>
  <c r="K19" i="4"/>
  <c r="U18" i="4"/>
  <c r="T18" i="4"/>
  <c r="T18" i="3" s="1"/>
  <c r="O18" i="7" s="1"/>
  <c r="S18" i="4"/>
  <c r="S18" i="3" s="1"/>
  <c r="L18" i="7" s="1"/>
  <c r="N18" i="7" s="1"/>
  <c r="R18" i="4"/>
  <c r="R18" i="3" s="1"/>
  <c r="I18" i="7" s="1"/>
  <c r="K18" i="7" s="1"/>
  <c r="Q18" i="4"/>
  <c r="Q18" i="3" s="1"/>
  <c r="G18" i="7" s="1"/>
  <c r="M18" i="4"/>
  <c r="K18" i="4"/>
  <c r="U17" i="4"/>
  <c r="T17" i="4"/>
  <c r="T17" i="3" s="1"/>
  <c r="O17" i="7" s="1"/>
  <c r="Q17" i="7" s="1"/>
  <c r="S17" i="4"/>
  <c r="S17" i="3" s="1"/>
  <c r="L17" i="7" s="1"/>
  <c r="R17" i="4"/>
  <c r="R17" i="3" s="1"/>
  <c r="I17" i="7" s="1"/>
  <c r="K17" i="7" s="1"/>
  <c r="Q17" i="4"/>
  <c r="Q17" i="3" s="1"/>
  <c r="G17" i="7" s="1"/>
  <c r="M17" i="4"/>
  <c r="K17" i="4"/>
  <c r="U16" i="4"/>
  <c r="U16" i="3" s="1"/>
  <c r="R16" i="7" s="1"/>
  <c r="T16" i="7" s="1"/>
  <c r="T16" i="4"/>
  <c r="S16" i="4"/>
  <c r="S16" i="3" s="1"/>
  <c r="R16" i="4"/>
  <c r="Q16" i="4"/>
  <c r="M16" i="4"/>
  <c r="K16" i="4"/>
  <c r="U15" i="4"/>
  <c r="U15" i="3" s="1"/>
  <c r="R15" i="7" s="1"/>
  <c r="T15" i="7" s="1"/>
  <c r="T15" i="4"/>
  <c r="T15" i="3" s="1"/>
  <c r="O15" i="7" s="1"/>
  <c r="Q15" i="7" s="1"/>
  <c r="S15" i="4"/>
  <c r="S15" i="3" s="1"/>
  <c r="L15" i="7" s="1"/>
  <c r="N15" i="7" s="1"/>
  <c r="R15" i="4"/>
  <c r="Q15" i="4"/>
  <c r="M15" i="4"/>
  <c r="K15" i="4"/>
  <c r="U14" i="4"/>
  <c r="U14" i="3" s="1"/>
  <c r="R14" i="7" s="1"/>
  <c r="T14" i="7" s="1"/>
  <c r="T14" i="4"/>
  <c r="T14" i="3" s="1"/>
  <c r="O14" i="7" s="1"/>
  <c r="Q14" i="7" s="1"/>
  <c r="S14" i="4"/>
  <c r="S14" i="3" s="1"/>
  <c r="L14" i="7" s="1"/>
  <c r="N14" i="7" s="1"/>
  <c r="R14" i="4"/>
  <c r="Q14" i="4"/>
  <c r="Q14" i="3" s="1"/>
  <c r="G14" i="7" s="1"/>
  <c r="M14" i="4"/>
  <c r="K14" i="4"/>
  <c r="U13" i="4"/>
  <c r="U13" i="3" s="1"/>
  <c r="R13" i="7" s="1"/>
  <c r="T13" i="7" s="1"/>
  <c r="T13" i="4"/>
  <c r="T13" i="3" s="1"/>
  <c r="S13" i="4"/>
  <c r="S13" i="3" s="1"/>
  <c r="L13" i="7" s="1"/>
  <c r="N13" i="7" s="1"/>
  <c r="R13" i="4"/>
  <c r="R13" i="3" s="1"/>
  <c r="I13" i="7" s="1"/>
  <c r="K13" i="7" s="1"/>
  <c r="Q13" i="4"/>
  <c r="M13" i="4"/>
  <c r="K13" i="4"/>
  <c r="U12" i="4"/>
  <c r="U12" i="3" s="1"/>
  <c r="R12" i="7" s="1"/>
  <c r="T12" i="7" s="1"/>
  <c r="T12" i="4"/>
  <c r="T12" i="3" s="1"/>
  <c r="O12" i="7" s="1"/>
  <c r="Q12" i="7" s="1"/>
  <c r="S12" i="4"/>
  <c r="S12" i="3" s="1"/>
  <c r="L12" i="7" s="1"/>
  <c r="N12" i="7" s="1"/>
  <c r="R12" i="4"/>
  <c r="R12" i="3" s="1"/>
  <c r="I12" i="7" s="1"/>
  <c r="K12" i="7" s="1"/>
  <c r="Q12" i="4"/>
  <c r="Q12" i="3" s="1"/>
  <c r="G12" i="7" s="1"/>
  <c r="M12" i="4"/>
  <c r="K12" i="4"/>
  <c r="U11" i="4"/>
  <c r="U11" i="3" s="1"/>
  <c r="R11" i="7" s="1"/>
  <c r="T11" i="4"/>
  <c r="T11" i="3" s="1"/>
  <c r="O11" i="7" s="1"/>
  <c r="Q11" i="7" s="1"/>
  <c r="S11" i="4"/>
  <c r="S11" i="3" s="1"/>
  <c r="L11" i="7" s="1"/>
  <c r="N11" i="7" s="1"/>
  <c r="R11" i="4"/>
  <c r="R11" i="3" s="1"/>
  <c r="Q11" i="4"/>
  <c r="Q11" i="3" s="1"/>
  <c r="G11" i="7" s="1"/>
  <c r="M11" i="4"/>
  <c r="K11" i="4"/>
  <c r="U10" i="4"/>
  <c r="U10" i="3" s="1"/>
  <c r="R10" i="7" s="1"/>
  <c r="T10" i="4"/>
  <c r="T10" i="3" s="1"/>
  <c r="O10" i="7" s="1"/>
  <c r="S10" i="4"/>
  <c r="R10" i="4"/>
  <c r="R10" i="3" s="1"/>
  <c r="I10" i="7" s="1"/>
  <c r="K10" i="7" s="1"/>
  <c r="Q10" i="4"/>
  <c r="Q10" i="3" s="1"/>
  <c r="G10" i="7" s="1"/>
  <c r="M10" i="4"/>
  <c r="K10" i="4"/>
  <c r="U9" i="4"/>
  <c r="T9" i="4"/>
  <c r="T9" i="3" s="1"/>
  <c r="O9" i="7" s="1"/>
  <c r="S9" i="4"/>
  <c r="S9" i="3" s="1"/>
  <c r="L9" i="7" s="1"/>
  <c r="R9" i="4"/>
  <c r="R9" i="3" s="1"/>
  <c r="I9" i="7" s="1"/>
  <c r="K9" i="7" s="1"/>
  <c r="Q9" i="4"/>
  <c r="Q9" i="3" s="1"/>
  <c r="G9" i="7" s="1"/>
  <c r="M9" i="4"/>
  <c r="K9" i="4"/>
  <c r="U8" i="4"/>
  <c r="U8" i="3" s="1"/>
  <c r="R8" i="7" s="1"/>
  <c r="T8" i="7" s="1"/>
  <c r="T8" i="4"/>
  <c r="S8" i="4"/>
  <c r="S8" i="3" s="1"/>
  <c r="R8" i="4"/>
  <c r="R8" i="3" s="1"/>
  <c r="I8" i="7" s="1"/>
  <c r="Q8" i="4"/>
  <c r="Q8" i="3" s="1"/>
  <c r="G8" i="7" s="1"/>
  <c r="M8" i="4"/>
  <c r="K8" i="4"/>
  <c r="U7" i="4"/>
  <c r="U7" i="3" s="1"/>
  <c r="R7" i="7" s="1"/>
  <c r="T7" i="7" s="1"/>
  <c r="T7" i="4"/>
  <c r="T7" i="3" s="1"/>
  <c r="O7" i="7" s="1"/>
  <c r="Q7" i="7" s="1"/>
  <c r="S7" i="4"/>
  <c r="R7" i="4"/>
  <c r="Q7" i="4"/>
  <c r="Q7" i="3" s="1"/>
  <c r="G7" i="7" s="1"/>
  <c r="M7" i="4"/>
  <c r="K7" i="4"/>
  <c r="U6" i="4"/>
  <c r="U6" i="3" s="1"/>
  <c r="R6" i="7" s="1"/>
  <c r="T6" i="7" s="1"/>
  <c r="T6" i="4"/>
  <c r="T6" i="3" s="1"/>
  <c r="O6" i="7" s="1"/>
  <c r="Q6" i="7" s="1"/>
  <c r="S6" i="4"/>
  <c r="S6" i="3" s="1"/>
  <c r="L6" i="7" s="1"/>
  <c r="N6" i="7" s="1"/>
  <c r="R6" i="4"/>
  <c r="Q6" i="4"/>
  <c r="Q6" i="3" s="1"/>
  <c r="G6" i="7" s="1"/>
  <c r="M6" i="4"/>
  <c r="K6" i="4"/>
  <c r="U5" i="4"/>
  <c r="U5" i="3" s="1"/>
  <c r="R5" i="7" s="1"/>
  <c r="T5" i="7" s="1"/>
  <c r="T5" i="4"/>
  <c r="T5" i="3" s="1"/>
  <c r="S5" i="4"/>
  <c r="S5" i="3" s="1"/>
  <c r="L5" i="7" s="1"/>
  <c r="N5" i="7" s="1"/>
  <c r="R5" i="4"/>
  <c r="R5" i="3" s="1"/>
  <c r="I5" i="7" s="1"/>
  <c r="K5" i="7" s="1"/>
  <c r="Q5" i="4"/>
  <c r="Q5" i="3" s="1"/>
  <c r="G5" i="7" s="1"/>
  <c r="M5" i="4"/>
  <c r="K5" i="4"/>
  <c r="U4" i="4"/>
  <c r="U4" i="3" s="1"/>
  <c r="R4" i="7" s="1"/>
  <c r="T4" i="7" s="1"/>
  <c r="T4" i="4"/>
  <c r="T4" i="3" s="1"/>
  <c r="O4" i="7" s="1"/>
  <c r="Q4" i="7" s="1"/>
  <c r="S4" i="4"/>
  <c r="S4" i="3" s="1"/>
  <c r="L4" i="7" s="1"/>
  <c r="N4" i="7" s="1"/>
  <c r="R4" i="4"/>
  <c r="R4" i="3" s="1"/>
  <c r="I4" i="7" s="1"/>
  <c r="K4" i="7" s="1"/>
  <c r="Q4" i="4"/>
  <c r="Q4" i="3" s="1"/>
  <c r="G4" i="7" s="1"/>
  <c r="M4" i="4"/>
  <c r="K4" i="4"/>
  <c r="U3" i="4"/>
  <c r="U3" i="3" s="1"/>
  <c r="R3" i="7" s="1"/>
  <c r="T3" i="4"/>
  <c r="S3" i="4"/>
  <c r="S3" i="3" s="1"/>
  <c r="L3" i="7" s="1"/>
  <c r="N3" i="7" s="1"/>
  <c r="R3" i="4"/>
  <c r="R3" i="3" s="1"/>
  <c r="Q3" i="4"/>
  <c r="Q3" i="3" s="1"/>
  <c r="G3" i="7" s="1"/>
  <c r="M3" i="4"/>
  <c r="K3" i="4"/>
  <c r="U2" i="4"/>
  <c r="U2" i="3" s="1"/>
  <c r="R2" i="7" s="1"/>
  <c r="T2" i="7" s="1"/>
  <c r="T2" i="4"/>
  <c r="T2" i="3" s="1"/>
  <c r="O2" i="7" s="1"/>
  <c r="S2" i="4"/>
  <c r="R2" i="4"/>
  <c r="R2" i="3" s="1"/>
  <c r="I2" i="7" s="1"/>
  <c r="K2" i="7" s="1"/>
  <c r="Q2" i="4"/>
  <c r="Q2" i="3" s="1"/>
  <c r="G2" i="7" s="1"/>
  <c r="M2" i="4"/>
  <c r="K2" i="4"/>
  <c r="W232" i="3"/>
  <c r="V232" i="3"/>
  <c r="U232" i="3"/>
  <c r="R232" i="7" s="1"/>
  <c r="T232" i="7" s="1"/>
  <c r="T232" i="3"/>
  <c r="O232" i="7" s="1"/>
  <c r="Q232" i="7" s="1"/>
  <c r="S232" i="3"/>
  <c r="L232" i="7" s="1"/>
  <c r="N232" i="7" s="1"/>
  <c r="Q232" i="3"/>
  <c r="G232" i="7" s="1"/>
  <c r="L232" i="3"/>
  <c r="M232" i="3" s="1"/>
  <c r="J232" i="3"/>
  <c r="K232" i="3" s="1"/>
  <c r="I232" i="3"/>
  <c r="H232" i="3"/>
  <c r="G232" i="3"/>
  <c r="F232" i="3"/>
  <c r="E232" i="3"/>
  <c r="D232" i="3"/>
  <c r="W231" i="3"/>
  <c r="V231" i="3"/>
  <c r="T231" i="3"/>
  <c r="O231" i="7" s="1"/>
  <c r="Q231" i="7" s="1"/>
  <c r="S231" i="3"/>
  <c r="L231" i="7" s="1"/>
  <c r="N231" i="7" s="1"/>
  <c r="R231" i="3"/>
  <c r="I231" i="7" s="1"/>
  <c r="L231" i="3"/>
  <c r="M231" i="3" s="1"/>
  <c r="J231" i="3"/>
  <c r="K231" i="3" s="1"/>
  <c r="I231" i="3"/>
  <c r="H231" i="3"/>
  <c r="G231" i="3"/>
  <c r="F231" i="3"/>
  <c r="E231" i="3"/>
  <c r="D231" i="3"/>
  <c r="W230" i="3"/>
  <c r="V230" i="3"/>
  <c r="U230" i="3"/>
  <c r="R230" i="7" s="1"/>
  <c r="T230" i="7" s="1"/>
  <c r="S230" i="3"/>
  <c r="L230" i="7" s="1"/>
  <c r="N230" i="7" s="1"/>
  <c r="R230" i="3"/>
  <c r="I230" i="7" s="1"/>
  <c r="K230" i="7" s="1"/>
  <c r="Q230" i="3"/>
  <c r="G230" i="7" s="1"/>
  <c r="L230" i="3"/>
  <c r="M230" i="3" s="1"/>
  <c r="J230" i="3"/>
  <c r="K230" i="3" s="1"/>
  <c r="I230" i="3"/>
  <c r="H230" i="3"/>
  <c r="G230" i="3"/>
  <c r="F230" i="3"/>
  <c r="E230" i="3"/>
  <c r="D230" i="3"/>
  <c r="W229" i="3"/>
  <c r="V229" i="3"/>
  <c r="U229" i="3"/>
  <c r="R229" i="7" s="1"/>
  <c r="T229" i="7" s="1"/>
  <c r="T229" i="3"/>
  <c r="O229" i="7" s="1"/>
  <c r="Q229" i="7" s="1"/>
  <c r="R229" i="3"/>
  <c r="I229" i="7" s="1"/>
  <c r="K229" i="7" s="1"/>
  <c r="Q229" i="3"/>
  <c r="G229" i="7" s="1"/>
  <c r="L229" i="3"/>
  <c r="M229" i="3" s="1"/>
  <c r="J229" i="3"/>
  <c r="K229" i="3" s="1"/>
  <c r="I229" i="3"/>
  <c r="H229" i="3"/>
  <c r="G229" i="3"/>
  <c r="F229" i="3"/>
  <c r="E229" i="3"/>
  <c r="D229" i="3"/>
  <c r="W228" i="3"/>
  <c r="V228" i="3"/>
  <c r="T228" i="3"/>
  <c r="O228" i="7" s="1"/>
  <c r="Q228" i="7" s="1"/>
  <c r="S228" i="3"/>
  <c r="L228" i="7" s="1"/>
  <c r="N228" i="7" s="1"/>
  <c r="Q228" i="3"/>
  <c r="G228" i="7" s="1"/>
  <c r="L228" i="3"/>
  <c r="M228" i="3" s="1"/>
  <c r="J228" i="3"/>
  <c r="K228" i="3" s="1"/>
  <c r="I228" i="3"/>
  <c r="H228" i="3"/>
  <c r="G228" i="3"/>
  <c r="F228" i="3"/>
  <c r="E228" i="3"/>
  <c r="D228" i="3"/>
  <c r="W227" i="3"/>
  <c r="V227" i="3"/>
  <c r="S227" i="3"/>
  <c r="L227" i="7" s="1"/>
  <c r="N227" i="7" s="1"/>
  <c r="R227" i="3"/>
  <c r="I227" i="7" s="1"/>
  <c r="K227" i="7" s="1"/>
  <c r="Q227" i="3"/>
  <c r="G227" i="7" s="1"/>
  <c r="L227" i="3"/>
  <c r="M227" i="3" s="1"/>
  <c r="J227" i="3"/>
  <c r="K227" i="3" s="1"/>
  <c r="I227" i="3"/>
  <c r="H227" i="3"/>
  <c r="G227" i="3"/>
  <c r="F227" i="3"/>
  <c r="E227" i="3"/>
  <c r="D227" i="3"/>
  <c r="W226" i="3"/>
  <c r="V226" i="3"/>
  <c r="U226" i="3"/>
  <c r="R226" i="7" s="1"/>
  <c r="T226" i="7" s="1"/>
  <c r="R226" i="3"/>
  <c r="I226" i="7" s="1"/>
  <c r="K226" i="7" s="1"/>
  <c r="Q226" i="3"/>
  <c r="G226" i="7" s="1"/>
  <c r="L226" i="3"/>
  <c r="M226" i="3" s="1"/>
  <c r="J226" i="3"/>
  <c r="K226" i="3" s="1"/>
  <c r="I226" i="3"/>
  <c r="H226" i="3"/>
  <c r="G226" i="3"/>
  <c r="F226" i="3"/>
  <c r="E226" i="3"/>
  <c r="D226" i="3"/>
  <c r="W225" i="3"/>
  <c r="V225" i="3"/>
  <c r="U225" i="3"/>
  <c r="R225" i="7" s="1"/>
  <c r="T225" i="7" s="1"/>
  <c r="T225" i="3"/>
  <c r="O225" i="7" s="1"/>
  <c r="Q225" i="7" s="1"/>
  <c r="R225" i="3"/>
  <c r="I225" i="7" s="1"/>
  <c r="K225" i="7" s="1"/>
  <c r="Q225" i="3"/>
  <c r="G225" i="7" s="1"/>
  <c r="L225" i="3"/>
  <c r="M225" i="3" s="1"/>
  <c r="J225" i="3"/>
  <c r="K225" i="3" s="1"/>
  <c r="I225" i="3"/>
  <c r="H225" i="3"/>
  <c r="G225" i="3"/>
  <c r="F225" i="3"/>
  <c r="E225" i="3"/>
  <c r="D225" i="3"/>
  <c r="W224" i="3"/>
  <c r="V224" i="3"/>
  <c r="U224" i="3"/>
  <c r="R224" i="7" s="1"/>
  <c r="T224" i="7" s="1"/>
  <c r="T224" i="3"/>
  <c r="O224" i="7" s="1"/>
  <c r="Q224" i="7" s="1"/>
  <c r="S224" i="3"/>
  <c r="L224" i="7" s="1"/>
  <c r="L224" i="3"/>
  <c r="M224" i="3" s="1"/>
  <c r="J224" i="3"/>
  <c r="K224" i="3" s="1"/>
  <c r="I224" i="3"/>
  <c r="H224" i="3"/>
  <c r="G224" i="3"/>
  <c r="F224" i="3"/>
  <c r="E224" i="3"/>
  <c r="D224" i="3"/>
  <c r="W223" i="3"/>
  <c r="V223" i="3"/>
  <c r="T223" i="3"/>
  <c r="O223" i="7" s="1"/>
  <c r="Q223" i="7" s="1"/>
  <c r="S223" i="3"/>
  <c r="L223" i="7" s="1"/>
  <c r="N223" i="7" s="1"/>
  <c r="R223" i="3"/>
  <c r="I223" i="7" s="1"/>
  <c r="K223" i="7" s="1"/>
  <c r="L223" i="3"/>
  <c r="M223" i="3" s="1"/>
  <c r="J223" i="3"/>
  <c r="K223" i="3" s="1"/>
  <c r="I223" i="3"/>
  <c r="H223" i="3"/>
  <c r="G223" i="3"/>
  <c r="F223" i="3"/>
  <c r="E223" i="3"/>
  <c r="D223" i="3"/>
  <c r="W222" i="3"/>
  <c r="V222" i="3"/>
  <c r="U222" i="3"/>
  <c r="R222" i="7" s="1"/>
  <c r="T222" i="7" s="1"/>
  <c r="S222" i="3"/>
  <c r="L222" i="7" s="1"/>
  <c r="N222" i="7" s="1"/>
  <c r="R222" i="3"/>
  <c r="I222" i="7" s="1"/>
  <c r="K222" i="7" s="1"/>
  <c r="Q222" i="3"/>
  <c r="G222" i="7" s="1"/>
  <c r="L222" i="3"/>
  <c r="M222" i="3" s="1"/>
  <c r="J222" i="3"/>
  <c r="K222" i="3" s="1"/>
  <c r="I222" i="3"/>
  <c r="H222" i="3"/>
  <c r="G222" i="3"/>
  <c r="F222" i="3"/>
  <c r="E222" i="3"/>
  <c r="D222" i="3"/>
  <c r="W221" i="3"/>
  <c r="V221" i="3"/>
  <c r="U221" i="3"/>
  <c r="R221" i="7" s="1"/>
  <c r="T221" i="7" s="1"/>
  <c r="T221" i="3"/>
  <c r="O221" i="7" s="1"/>
  <c r="Q221" i="7" s="1"/>
  <c r="R221" i="3"/>
  <c r="I221" i="7" s="1"/>
  <c r="K221" i="7" s="1"/>
  <c r="Q221" i="3"/>
  <c r="G221" i="7" s="1"/>
  <c r="L221" i="3"/>
  <c r="M221" i="3" s="1"/>
  <c r="J221" i="3"/>
  <c r="K221" i="3" s="1"/>
  <c r="I221" i="3"/>
  <c r="H221" i="3"/>
  <c r="G221" i="3"/>
  <c r="F221" i="3"/>
  <c r="E221" i="3"/>
  <c r="D221" i="3"/>
  <c r="W220" i="3"/>
  <c r="V220" i="3"/>
  <c r="T220" i="3"/>
  <c r="O220" i="7" s="1"/>
  <c r="Q220" i="7" s="1"/>
  <c r="S220" i="3"/>
  <c r="L220" i="7" s="1"/>
  <c r="N220" i="7" s="1"/>
  <c r="Q220" i="3"/>
  <c r="G220" i="7" s="1"/>
  <c r="L220" i="3"/>
  <c r="M220" i="3" s="1"/>
  <c r="J220" i="3"/>
  <c r="K220" i="3" s="1"/>
  <c r="I220" i="3"/>
  <c r="H220" i="3"/>
  <c r="G220" i="3"/>
  <c r="F220" i="3"/>
  <c r="E220" i="3"/>
  <c r="D220" i="3"/>
  <c r="W219" i="3"/>
  <c r="V219" i="3"/>
  <c r="S219" i="3"/>
  <c r="L219" i="7" s="1"/>
  <c r="N219" i="7" s="1"/>
  <c r="R219" i="3"/>
  <c r="I219" i="7" s="1"/>
  <c r="K219" i="7" s="1"/>
  <c r="L219" i="3"/>
  <c r="M219" i="3" s="1"/>
  <c r="J219" i="3"/>
  <c r="K219" i="3" s="1"/>
  <c r="I219" i="3"/>
  <c r="H219" i="3"/>
  <c r="G219" i="3"/>
  <c r="F219" i="3"/>
  <c r="E219" i="3"/>
  <c r="D219" i="3"/>
  <c r="W218" i="3"/>
  <c r="V218" i="3"/>
  <c r="U218" i="3"/>
  <c r="R218" i="7" s="1"/>
  <c r="T218" i="7" s="1"/>
  <c r="R218" i="3"/>
  <c r="I218" i="7" s="1"/>
  <c r="K218" i="7" s="1"/>
  <c r="Q218" i="3"/>
  <c r="G218" i="7" s="1"/>
  <c r="L218" i="3"/>
  <c r="M218" i="3" s="1"/>
  <c r="J218" i="3"/>
  <c r="K218" i="3" s="1"/>
  <c r="I218" i="3"/>
  <c r="H218" i="3"/>
  <c r="G218" i="3"/>
  <c r="F218" i="3"/>
  <c r="E218" i="3"/>
  <c r="D218" i="3"/>
  <c r="W217" i="3"/>
  <c r="V217" i="3"/>
  <c r="U217" i="3"/>
  <c r="R217" i="7" s="1"/>
  <c r="T217" i="7" s="1"/>
  <c r="T217" i="3"/>
  <c r="O217" i="7" s="1"/>
  <c r="R217" i="3"/>
  <c r="I217" i="7" s="1"/>
  <c r="K217" i="7" s="1"/>
  <c r="Q217" i="3"/>
  <c r="G217" i="7" s="1"/>
  <c r="L217" i="3"/>
  <c r="M217" i="3" s="1"/>
  <c r="J217" i="3"/>
  <c r="K217" i="3" s="1"/>
  <c r="I217" i="3"/>
  <c r="H217" i="3"/>
  <c r="G217" i="3"/>
  <c r="F217" i="3"/>
  <c r="E217" i="3"/>
  <c r="D217" i="3"/>
  <c r="W216" i="3"/>
  <c r="V216" i="3"/>
  <c r="U216" i="3"/>
  <c r="R216" i="7" s="1"/>
  <c r="T216" i="7" s="1"/>
  <c r="T216" i="3"/>
  <c r="O216" i="7" s="1"/>
  <c r="Q216" i="7" s="1"/>
  <c r="S216" i="3"/>
  <c r="L216" i="7" s="1"/>
  <c r="N216" i="7" s="1"/>
  <c r="L216" i="3"/>
  <c r="M216" i="3" s="1"/>
  <c r="J216" i="3"/>
  <c r="K216" i="3" s="1"/>
  <c r="I216" i="3"/>
  <c r="H216" i="3"/>
  <c r="G216" i="3"/>
  <c r="F216" i="3"/>
  <c r="E216" i="3"/>
  <c r="D216" i="3"/>
  <c r="W215" i="3"/>
  <c r="V215" i="3"/>
  <c r="U215" i="3"/>
  <c r="R215" i="7" s="1"/>
  <c r="T215" i="7" s="1"/>
  <c r="T215" i="3"/>
  <c r="O215" i="7" s="1"/>
  <c r="Q215" i="7" s="1"/>
  <c r="S215" i="3"/>
  <c r="L215" i="7" s="1"/>
  <c r="N215" i="7" s="1"/>
  <c r="R215" i="3"/>
  <c r="I215" i="7" s="1"/>
  <c r="K215" i="7" s="1"/>
  <c r="L215" i="3"/>
  <c r="M215" i="3" s="1"/>
  <c r="J215" i="3"/>
  <c r="K215" i="3" s="1"/>
  <c r="I215" i="3"/>
  <c r="H215" i="3"/>
  <c r="G215" i="3"/>
  <c r="F215" i="3"/>
  <c r="E215" i="3"/>
  <c r="D215" i="3"/>
  <c r="W214" i="3"/>
  <c r="V214" i="3"/>
  <c r="U214" i="3"/>
  <c r="R214" i="7" s="1"/>
  <c r="T214" i="7" s="1"/>
  <c r="S214" i="3"/>
  <c r="L214" i="7" s="1"/>
  <c r="N214" i="7" s="1"/>
  <c r="R214" i="3"/>
  <c r="I214" i="7" s="1"/>
  <c r="K214" i="7" s="1"/>
  <c r="Q214" i="3"/>
  <c r="G214" i="7" s="1"/>
  <c r="L214" i="3"/>
  <c r="M214" i="3" s="1"/>
  <c r="J214" i="3"/>
  <c r="K214" i="3" s="1"/>
  <c r="I214" i="3"/>
  <c r="H214" i="3"/>
  <c r="G214" i="3"/>
  <c r="F214" i="3"/>
  <c r="E214" i="3"/>
  <c r="D214" i="3"/>
  <c r="W213" i="3"/>
  <c r="V213" i="3"/>
  <c r="U213" i="3"/>
  <c r="R213" i="7" s="1"/>
  <c r="T213" i="7" s="1"/>
  <c r="T213" i="3"/>
  <c r="O213" i="7" s="1"/>
  <c r="Q213" i="7" s="1"/>
  <c r="R213" i="3"/>
  <c r="I213" i="7" s="1"/>
  <c r="K213" i="7" s="1"/>
  <c r="Q213" i="3"/>
  <c r="G213" i="7" s="1"/>
  <c r="L213" i="3"/>
  <c r="M213" i="3" s="1"/>
  <c r="J213" i="3"/>
  <c r="K213" i="3" s="1"/>
  <c r="I213" i="3"/>
  <c r="H213" i="3"/>
  <c r="G213" i="3"/>
  <c r="F213" i="3"/>
  <c r="E213" i="3"/>
  <c r="D213" i="3"/>
  <c r="W212" i="3"/>
  <c r="V212" i="3"/>
  <c r="T212" i="3"/>
  <c r="O212" i="7" s="1"/>
  <c r="Q212" i="7" s="1"/>
  <c r="S212" i="3"/>
  <c r="L212" i="7" s="1"/>
  <c r="N212" i="7" s="1"/>
  <c r="Q212" i="3"/>
  <c r="G212" i="7" s="1"/>
  <c r="L212" i="3"/>
  <c r="M212" i="3" s="1"/>
  <c r="J212" i="3"/>
  <c r="K212" i="3" s="1"/>
  <c r="I212" i="3"/>
  <c r="H212" i="3"/>
  <c r="G212" i="3"/>
  <c r="F212" i="3"/>
  <c r="E212" i="3"/>
  <c r="D212" i="3"/>
  <c r="W211" i="3"/>
  <c r="V211" i="3"/>
  <c r="T211" i="3"/>
  <c r="O211" i="7" s="1"/>
  <c r="Q211" i="7" s="1"/>
  <c r="S211" i="3"/>
  <c r="L211" i="7" s="1"/>
  <c r="N211" i="7" s="1"/>
  <c r="R211" i="3"/>
  <c r="I211" i="7" s="1"/>
  <c r="K211" i="7" s="1"/>
  <c r="L211" i="3"/>
  <c r="M211" i="3" s="1"/>
  <c r="J211" i="3"/>
  <c r="K211" i="3" s="1"/>
  <c r="I211" i="3"/>
  <c r="H211" i="3"/>
  <c r="G211" i="3"/>
  <c r="F211" i="3"/>
  <c r="E211" i="3"/>
  <c r="D211" i="3"/>
  <c r="W210" i="3"/>
  <c r="V210" i="3"/>
  <c r="U210" i="3"/>
  <c r="R210" i="7" s="1"/>
  <c r="T210" i="7" s="1"/>
  <c r="S210" i="3"/>
  <c r="L210" i="7" s="1"/>
  <c r="N210" i="7" s="1"/>
  <c r="R210" i="3"/>
  <c r="I210" i="7" s="1"/>
  <c r="K210" i="7" s="1"/>
  <c r="Q210" i="3"/>
  <c r="G210" i="7" s="1"/>
  <c r="L210" i="3"/>
  <c r="M210" i="3" s="1"/>
  <c r="J210" i="3"/>
  <c r="K210" i="3" s="1"/>
  <c r="I210" i="3"/>
  <c r="H210" i="3"/>
  <c r="G210" i="3"/>
  <c r="F210" i="3"/>
  <c r="E210" i="3"/>
  <c r="D210" i="3"/>
  <c r="W209" i="3"/>
  <c r="V209" i="3"/>
  <c r="U209" i="3"/>
  <c r="R209" i="7" s="1"/>
  <c r="T209" i="7" s="1"/>
  <c r="T209" i="3"/>
  <c r="O209" i="7" s="1"/>
  <c r="Q209" i="7" s="1"/>
  <c r="Q209" i="3"/>
  <c r="G209" i="7" s="1"/>
  <c r="L209" i="3"/>
  <c r="M209" i="3" s="1"/>
  <c r="J209" i="3"/>
  <c r="K209" i="3" s="1"/>
  <c r="I209" i="3"/>
  <c r="H209" i="3"/>
  <c r="G209" i="3"/>
  <c r="F209" i="3"/>
  <c r="E209" i="3"/>
  <c r="D209" i="3"/>
  <c r="W208" i="3"/>
  <c r="V208" i="3"/>
  <c r="U208" i="3"/>
  <c r="R208" i="7" s="1"/>
  <c r="T208" i="7" s="1"/>
  <c r="T208" i="3"/>
  <c r="O208" i="7" s="1"/>
  <c r="Q208" i="7" s="1"/>
  <c r="S208" i="3"/>
  <c r="L208" i="7" s="1"/>
  <c r="N208" i="7" s="1"/>
  <c r="L208" i="3"/>
  <c r="M208" i="3" s="1"/>
  <c r="J208" i="3"/>
  <c r="K208" i="3" s="1"/>
  <c r="I208" i="3"/>
  <c r="H208" i="3"/>
  <c r="G208" i="3"/>
  <c r="F208" i="3"/>
  <c r="E208" i="3"/>
  <c r="D208" i="3"/>
  <c r="W207" i="3"/>
  <c r="V207" i="3"/>
  <c r="T207" i="3"/>
  <c r="O207" i="7" s="1"/>
  <c r="Q207" i="7" s="1"/>
  <c r="S207" i="3"/>
  <c r="L207" i="7" s="1"/>
  <c r="N207" i="7" s="1"/>
  <c r="R207" i="3"/>
  <c r="I207" i="7" s="1"/>
  <c r="K207" i="7" s="1"/>
  <c r="L207" i="3"/>
  <c r="M207" i="3" s="1"/>
  <c r="J207" i="3"/>
  <c r="K207" i="3" s="1"/>
  <c r="I207" i="3"/>
  <c r="H207" i="3"/>
  <c r="G207" i="3"/>
  <c r="F207" i="3"/>
  <c r="E207" i="3"/>
  <c r="D207" i="3"/>
  <c r="W206" i="3"/>
  <c r="V206" i="3"/>
  <c r="U206" i="3"/>
  <c r="R206" i="7" s="1"/>
  <c r="T206" i="7" s="1"/>
  <c r="R206" i="3"/>
  <c r="I206" i="7" s="1"/>
  <c r="K206" i="7" s="1"/>
  <c r="Q206" i="3"/>
  <c r="G206" i="7" s="1"/>
  <c r="L206" i="3"/>
  <c r="M206" i="3" s="1"/>
  <c r="J206" i="3"/>
  <c r="K206" i="3" s="1"/>
  <c r="I206" i="3"/>
  <c r="H206" i="3"/>
  <c r="G206" i="3"/>
  <c r="F206" i="3"/>
  <c r="E206" i="3"/>
  <c r="D206" i="3"/>
  <c r="W205" i="3"/>
  <c r="V205" i="3"/>
  <c r="R205" i="3"/>
  <c r="I205" i="7" s="1"/>
  <c r="K205" i="7" s="1"/>
  <c r="Q205" i="3"/>
  <c r="G205" i="7" s="1"/>
  <c r="L205" i="3"/>
  <c r="M205" i="3" s="1"/>
  <c r="J205" i="3"/>
  <c r="K205" i="3" s="1"/>
  <c r="I205" i="3"/>
  <c r="H205" i="3"/>
  <c r="G205" i="3"/>
  <c r="F205" i="3"/>
  <c r="E205" i="3"/>
  <c r="D205" i="3"/>
  <c r="W204" i="3"/>
  <c r="V204" i="3"/>
  <c r="S204" i="3"/>
  <c r="L204" i="7" s="1"/>
  <c r="N204" i="7" s="1"/>
  <c r="Q204" i="3"/>
  <c r="G204" i="7" s="1"/>
  <c r="L204" i="3"/>
  <c r="M204" i="3" s="1"/>
  <c r="J204" i="3"/>
  <c r="K204" i="3" s="1"/>
  <c r="I204" i="3"/>
  <c r="H204" i="3"/>
  <c r="G204" i="3"/>
  <c r="F204" i="3"/>
  <c r="E204" i="3"/>
  <c r="D204" i="3"/>
  <c r="W203" i="3"/>
  <c r="V203" i="3"/>
  <c r="T203" i="3"/>
  <c r="O203" i="7" s="1"/>
  <c r="Q203" i="7" s="1"/>
  <c r="R203" i="3"/>
  <c r="I203" i="7" s="1"/>
  <c r="K203" i="7" s="1"/>
  <c r="L203" i="3"/>
  <c r="M203" i="3" s="1"/>
  <c r="J203" i="3"/>
  <c r="K203" i="3" s="1"/>
  <c r="I203" i="3"/>
  <c r="H203" i="3"/>
  <c r="G203" i="3"/>
  <c r="F203" i="3"/>
  <c r="E203" i="3"/>
  <c r="D203" i="3"/>
  <c r="W202" i="3"/>
  <c r="V202" i="3"/>
  <c r="U202" i="3"/>
  <c r="R202" i="7" s="1"/>
  <c r="T202" i="7" s="1"/>
  <c r="R202" i="3"/>
  <c r="I202" i="7" s="1"/>
  <c r="K202" i="7" s="1"/>
  <c r="Q202" i="3"/>
  <c r="G202" i="7" s="1"/>
  <c r="L202" i="3"/>
  <c r="M202" i="3" s="1"/>
  <c r="J202" i="3"/>
  <c r="K202" i="3" s="1"/>
  <c r="I202" i="3"/>
  <c r="H202" i="3"/>
  <c r="G202" i="3"/>
  <c r="F202" i="3"/>
  <c r="E202" i="3"/>
  <c r="D202" i="3"/>
  <c r="W201" i="3"/>
  <c r="V201" i="3"/>
  <c r="U201" i="3"/>
  <c r="R201" i="7" s="1"/>
  <c r="T201" i="7" s="1"/>
  <c r="T201" i="3"/>
  <c r="O201" i="7" s="1"/>
  <c r="Q201" i="7" s="1"/>
  <c r="L201" i="3"/>
  <c r="M201" i="3" s="1"/>
  <c r="J201" i="3"/>
  <c r="K201" i="3" s="1"/>
  <c r="I201" i="3"/>
  <c r="H201" i="3"/>
  <c r="G201" i="3"/>
  <c r="F201" i="3"/>
  <c r="E201" i="3"/>
  <c r="D201" i="3"/>
  <c r="W200" i="3"/>
  <c r="V200" i="3"/>
  <c r="U200" i="3"/>
  <c r="R200" i="7" s="1"/>
  <c r="T200" i="7" s="1"/>
  <c r="S200" i="3"/>
  <c r="L200" i="7" s="1"/>
  <c r="N200" i="7" s="1"/>
  <c r="L200" i="3"/>
  <c r="M200" i="3" s="1"/>
  <c r="J200" i="3"/>
  <c r="K200" i="3" s="1"/>
  <c r="I200" i="3"/>
  <c r="H200" i="3"/>
  <c r="G200" i="3"/>
  <c r="F200" i="3"/>
  <c r="E200" i="3"/>
  <c r="D200" i="3"/>
  <c r="W199" i="3"/>
  <c r="V199" i="3"/>
  <c r="T199" i="3"/>
  <c r="O199" i="7" s="1"/>
  <c r="Q199" i="7" s="1"/>
  <c r="S199" i="3"/>
  <c r="L199" i="7" s="1"/>
  <c r="N199" i="7" s="1"/>
  <c r="R199" i="3"/>
  <c r="I199" i="7" s="1"/>
  <c r="K199" i="7" s="1"/>
  <c r="L199" i="3"/>
  <c r="M199" i="3" s="1"/>
  <c r="J199" i="3"/>
  <c r="K199" i="3" s="1"/>
  <c r="I199" i="3"/>
  <c r="H199" i="3"/>
  <c r="G199" i="3"/>
  <c r="F199" i="3"/>
  <c r="E199" i="3"/>
  <c r="D199" i="3"/>
  <c r="W198" i="3"/>
  <c r="V198" i="3"/>
  <c r="S198" i="3"/>
  <c r="L198" i="7" s="1"/>
  <c r="N198" i="7" s="1"/>
  <c r="R198" i="3"/>
  <c r="I198" i="7" s="1"/>
  <c r="K198" i="7" s="1"/>
  <c r="Q198" i="3"/>
  <c r="G198" i="7" s="1"/>
  <c r="L198" i="3"/>
  <c r="M198" i="3" s="1"/>
  <c r="J198" i="3"/>
  <c r="K198" i="3" s="1"/>
  <c r="I198" i="3"/>
  <c r="H198" i="3"/>
  <c r="G198" i="3"/>
  <c r="F198" i="3"/>
  <c r="E198" i="3"/>
  <c r="D198" i="3"/>
  <c r="W197" i="3"/>
  <c r="V197" i="3"/>
  <c r="T197" i="3"/>
  <c r="O197" i="7" s="1"/>
  <c r="Q197" i="7" s="1"/>
  <c r="R197" i="3"/>
  <c r="I197" i="7" s="1"/>
  <c r="K197" i="7" s="1"/>
  <c r="Q197" i="3"/>
  <c r="G197" i="7" s="1"/>
  <c r="L197" i="3"/>
  <c r="M197" i="3" s="1"/>
  <c r="J197" i="3"/>
  <c r="K197" i="3" s="1"/>
  <c r="I197" i="3"/>
  <c r="H197" i="3"/>
  <c r="G197" i="3"/>
  <c r="F197" i="3"/>
  <c r="E197" i="3"/>
  <c r="D197" i="3"/>
  <c r="W196" i="3"/>
  <c r="V196" i="3"/>
  <c r="Q196" i="3"/>
  <c r="G196" i="7" s="1"/>
  <c r="L196" i="3"/>
  <c r="M196" i="3" s="1"/>
  <c r="J196" i="3"/>
  <c r="K196" i="3" s="1"/>
  <c r="I196" i="3"/>
  <c r="H196" i="3"/>
  <c r="G196" i="3"/>
  <c r="F196" i="3"/>
  <c r="E196" i="3"/>
  <c r="D196" i="3"/>
  <c r="W195" i="3"/>
  <c r="V195" i="3"/>
  <c r="U195" i="3"/>
  <c r="R195" i="7" s="1"/>
  <c r="T195" i="7" s="1"/>
  <c r="T195" i="3"/>
  <c r="O195" i="7" s="1"/>
  <c r="Q195" i="7" s="1"/>
  <c r="L195" i="3"/>
  <c r="M195" i="3" s="1"/>
  <c r="J195" i="3"/>
  <c r="K195" i="3" s="1"/>
  <c r="I195" i="3"/>
  <c r="H195" i="3"/>
  <c r="G195" i="3"/>
  <c r="F195" i="3"/>
  <c r="E195" i="3"/>
  <c r="D195" i="3"/>
  <c r="W194" i="3"/>
  <c r="V194" i="3"/>
  <c r="Q194" i="3"/>
  <c r="G194" i="7" s="1"/>
  <c r="L194" i="3"/>
  <c r="M194" i="3" s="1"/>
  <c r="J194" i="3"/>
  <c r="K194" i="3" s="1"/>
  <c r="I194" i="3"/>
  <c r="H194" i="3"/>
  <c r="G194" i="3"/>
  <c r="F194" i="3"/>
  <c r="E194" i="3"/>
  <c r="D194" i="3"/>
  <c r="W193" i="3"/>
  <c r="V193" i="3"/>
  <c r="U193" i="3"/>
  <c r="R193" i="7" s="1"/>
  <c r="T193" i="7" s="1"/>
  <c r="R193" i="3"/>
  <c r="I193" i="7" s="1"/>
  <c r="K193" i="7" s="1"/>
  <c r="L193" i="3"/>
  <c r="M193" i="3" s="1"/>
  <c r="J193" i="3"/>
  <c r="K193" i="3" s="1"/>
  <c r="I193" i="3"/>
  <c r="H193" i="3"/>
  <c r="G193" i="3"/>
  <c r="F193" i="3"/>
  <c r="E193" i="3"/>
  <c r="D193" i="3"/>
  <c r="W192" i="3"/>
  <c r="V192" i="3"/>
  <c r="U192" i="3"/>
  <c r="R192" i="7" s="1"/>
  <c r="T192" i="7" s="1"/>
  <c r="T192" i="3"/>
  <c r="O192" i="7" s="1"/>
  <c r="Q192" i="7" s="1"/>
  <c r="L192" i="3"/>
  <c r="M192" i="3" s="1"/>
  <c r="J192" i="3"/>
  <c r="K192" i="3" s="1"/>
  <c r="I192" i="3"/>
  <c r="H192" i="3"/>
  <c r="G192" i="3"/>
  <c r="F192" i="3"/>
  <c r="E192" i="3"/>
  <c r="D192" i="3"/>
  <c r="W191" i="3"/>
  <c r="V191" i="3"/>
  <c r="T191" i="3"/>
  <c r="O191" i="7" s="1"/>
  <c r="Q191" i="7" s="1"/>
  <c r="R191" i="3"/>
  <c r="I191" i="7" s="1"/>
  <c r="K191" i="7" s="1"/>
  <c r="L191" i="3"/>
  <c r="M191" i="3" s="1"/>
  <c r="J191" i="3"/>
  <c r="K191" i="3" s="1"/>
  <c r="I191" i="3"/>
  <c r="H191" i="3"/>
  <c r="G191" i="3"/>
  <c r="F191" i="3"/>
  <c r="E191" i="3"/>
  <c r="D191" i="3"/>
  <c r="W190" i="3"/>
  <c r="V190" i="3"/>
  <c r="U190" i="3"/>
  <c r="R190" i="7" s="1"/>
  <c r="T190" i="7" s="1"/>
  <c r="S190" i="3"/>
  <c r="L190" i="7" s="1"/>
  <c r="N190" i="7" s="1"/>
  <c r="Q190" i="3"/>
  <c r="G190" i="7" s="1"/>
  <c r="L190" i="3"/>
  <c r="M190" i="3" s="1"/>
  <c r="J190" i="3"/>
  <c r="K190" i="3" s="1"/>
  <c r="I190" i="3"/>
  <c r="H190" i="3"/>
  <c r="G190" i="3"/>
  <c r="F190" i="3"/>
  <c r="E190" i="3"/>
  <c r="D190" i="3"/>
  <c r="W189" i="3"/>
  <c r="V189" i="3"/>
  <c r="T189" i="3"/>
  <c r="O189" i="7" s="1"/>
  <c r="Q189" i="7" s="1"/>
  <c r="R189" i="3"/>
  <c r="I189" i="7" s="1"/>
  <c r="K189" i="7" s="1"/>
  <c r="L189" i="3"/>
  <c r="M189" i="3" s="1"/>
  <c r="J189" i="3"/>
  <c r="K189" i="3" s="1"/>
  <c r="I189" i="3"/>
  <c r="H189" i="3"/>
  <c r="G189" i="3"/>
  <c r="F189" i="3"/>
  <c r="E189" i="3"/>
  <c r="D189" i="3"/>
  <c r="W188" i="3"/>
  <c r="V188" i="3"/>
  <c r="S188" i="3"/>
  <c r="L188" i="7" s="1"/>
  <c r="N188" i="7" s="1"/>
  <c r="Q188" i="3"/>
  <c r="G188" i="7" s="1"/>
  <c r="L188" i="3"/>
  <c r="M188" i="3" s="1"/>
  <c r="J188" i="3"/>
  <c r="K188" i="3" s="1"/>
  <c r="I188" i="3"/>
  <c r="H188" i="3"/>
  <c r="G188" i="3"/>
  <c r="F188" i="3"/>
  <c r="E188" i="3"/>
  <c r="D188" i="3"/>
  <c r="W187" i="3"/>
  <c r="V187" i="3"/>
  <c r="R187" i="3"/>
  <c r="I187" i="7" s="1"/>
  <c r="K187" i="7" s="1"/>
  <c r="L187" i="3"/>
  <c r="M187" i="3" s="1"/>
  <c r="J187" i="3"/>
  <c r="K187" i="3" s="1"/>
  <c r="I187" i="3"/>
  <c r="H187" i="3"/>
  <c r="G187" i="3"/>
  <c r="F187" i="3"/>
  <c r="E187" i="3"/>
  <c r="D187" i="3"/>
  <c r="W186" i="3"/>
  <c r="V186" i="3"/>
  <c r="U186" i="3"/>
  <c r="R186" i="7" s="1"/>
  <c r="T186" i="7" s="1"/>
  <c r="Q186" i="3"/>
  <c r="G186" i="7" s="1"/>
  <c r="L186" i="3"/>
  <c r="M186" i="3" s="1"/>
  <c r="J186" i="3"/>
  <c r="K186" i="3" s="1"/>
  <c r="I186" i="3"/>
  <c r="H186" i="3"/>
  <c r="G186" i="3"/>
  <c r="F186" i="3"/>
  <c r="E186" i="3"/>
  <c r="D186" i="3"/>
  <c r="W185" i="3"/>
  <c r="V185" i="3"/>
  <c r="U185" i="3"/>
  <c r="R185" i="7" s="1"/>
  <c r="T185" i="7" s="1"/>
  <c r="T185" i="3"/>
  <c r="O185" i="7" s="1"/>
  <c r="Q185" i="7" s="1"/>
  <c r="L185" i="3"/>
  <c r="M185" i="3" s="1"/>
  <c r="J185" i="3"/>
  <c r="K185" i="3" s="1"/>
  <c r="I185" i="3"/>
  <c r="H185" i="3"/>
  <c r="G185" i="3"/>
  <c r="F185" i="3"/>
  <c r="E185" i="3"/>
  <c r="D185" i="3"/>
  <c r="W184" i="3"/>
  <c r="V184" i="3"/>
  <c r="T184" i="3"/>
  <c r="O184" i="7" s="1"/>
  <c r="Q184" i="7" s="1"/>
  <c r="S184" i="3"/>
  <c r="L184" i="7" s="1"/>
  <c r="N184" i="7" s="1"/>
  <c r="L184" i="3"/>
  <c r="M184" i="3" s="1"/>
  <c r="J184" i="3"/>
  <c r="K184" i="3" s="1"/>
  <c r="I184" i="3"/>
  <c r="H184" i="3"/>
  <c r="G184" i="3"/>
  <c r="F184" i="3"/>
  <c r="E184" i="3"/>
  <c r="D184" i="3"/>
  <c r="W183" i="3"/>
  <c r="V183" i="3"/>
  <c r="T183" i="3"/>
  <c r="O183" i="7" s="1"/>
  <c r="Q183" i="7" s="1"/>
  <c r="S183" i="3"/>
  <c r="L183" i="7" s="1"/>
  <c r="N183" i="7" s="1"/>
  <c r="L183" i="3"/>
  <c r="M183" i="3" s="1"/>
  <c r="J183" i="3"/>
  <c r="K183" i="3" s="1"/>
  <c r="I183" i="3"/>
  <c r="H183" i="3"/>
  <c r="G183" i="3"/>
  <c r="F183" i="3"/>
  <c r="E183" i="3"/>
  <c r="D183" i="3"/>
  <c r="W182" i="3"/>
  <c r="V182" i="3"/>
  <c r="U182" i="3"/>
  <c r="R182" i="7" s="1"/>
  <c r="T182" i="7" s="1"/>
  <c r="S182" i="3"/>
  <c r="L182" i="7" s="1"/>
  <c r="N182" i="7" s="1"/>
  <c r="R182" i="3"/>
  <c r="I182" i="7" s="1"/>
  <c r="K182" i="7" s="1"/>
  <c r="L182" i="3"/>
  <c r="M182" i="3" s="1"/>
  <c r="J182" i="3"/>
  <c r="K182" i="3" s="1"/>
  <c r="I182" i="3"/>
  <c r="H182" i="3"/>
  <c r="G182" i="3"/>
  <c r="F182" i="3"/>
  <c r="E182" i="3"/>
  <c r="D182" i="3"/>
  <c r="W181" i="3"/>
  <c r="V181" i="3"/>
  <c r="R181" i="3"/>
  <c r="I181" i="7" s="1"/>
  <c r="K181" i="7" s="1"/>
  <c r="Q181" i="3"/>
  <c r="G181" i="7" s="1"/>
  <c r="L181" i="3"/>
  <c r="M181" i="3" s="1"/>
  <c r="J181" i="3"/>
  <c r="K181" i="3" s="1"/>
  <c r="I181" i="3"/>
  <c r="H181" i="3"/>
  <c r="G181" i="3"/>
  <c r="F181" i="3"/>
  <c r="E181" i="3"/>
  <c r="D181" i="3"/>
  <c r="W180" i="3"/>
  <c r="V180" i="3"/>
  <c r="U180" i="3"/>
  <c r="R180" i="7" s="1"/>
  <c r="T180" i="7" s="1"/>
  <c r="Q180" i="3"/>
  <c r="G180" i="7" s="1"/>
  <c r="L180" i="3"/>
  <c r="M180" i="3" s="1"/>
  <c r="J180" i="3"/>
  <c r="K180" i="3" s="1"/>
  <c r="I180" i="3"/>
  <c r="H180" i="3"/>
  <c r="G180" i="3"/>
  <c r="F180" i="3"/>
  <c r="E180" i="3"/>
  <c r="D180" i="3"/>
  <c r="W179" i="3"/>
  <c r="V179" i="3"/>
  <c r="L179" i="3"/>
  <c r="M179" i="3" s="1"/>
  <c r="J179" i="3"/>
  <c r="K179" i="3" s="1"/>
  <c r="I179" i="3"/>
  <c r="H179" i="3"/>
  <c r="G179" i="3"/>
  <c r="F179" i="3"/>
  <c r="E179" i="3"/>
  <c r="D179" i="3"/>
  <c r="W178" i="3"/>
  <c r="V178" i="3"/>
  <c r="U178" i="3"/>
  <c r="R178" i="7" s="1"/>
  <c r="T178" i="7" s="1"/>
  <c r="S178" i="3"/>
  <c r="L178" i="7" s="1"/>
  <c r="N178" i="7" s="1"/>
  <c r="L178" i="3"/>
  <c r="M178" i="3" s="1"/>
  <c r="J178" i="3"/>
  <c r="K178" i="3" s="1"/>
  <c r="I178" i="3"/>
  <c r="H178" i="3"/>
  <c r="G178" i="3"/>
  <c r="F178" i="3"/>
  <c r="E178" i="3"/>
  <c r="D178" i="3"/>
  <c r="W177" i="3"/>
  <c r="V177" i="3"/>
  <c r="T177" i="3"/>
  <c r="O177" i="7" s="1"/>
  <c r="Q177" i="7" s="1"/>
  <c r="S177" i="3"/>
  <c r="L177" i="7" s="1"/>
  <c r="N177" i="7" s="1"/>
  <c r="L177" i="3"/>
  <c r="M177" i="3" s="1"/>
  <c r="J177" i="3"/>
  <c r="K177" i="3" s="1"/>
  <c r="I177" i="3"/>
  <c r="H177" i="3"/>
  <c r="G177" i="3"/>
  <c r="F177" i="3"/>
  <c r="E177" i="3"/>
  <c r="D177" i="3"/>
  <c r="W176" i="3"/>
  <c r="V176" i="3"/>
  <c r="U176" i="3"/>
  <c r="R176" i="7" s="1"/>
  <c r="T176" i="7" s="1"/>
  <c r="S176" i="3"/>
  <c r="L176" i="7" s="1"/>
  <c r="N176" i="7" s="1"/>
  <c r="Q176" i="3"/>
  <c r="G176" i="7" s="1"/>
  <c r="L176" i="3"/>
  <c r="M176" i="3" s="1"/>
  <c r="J176" i="3"/>
  <c r="K176" i="3" s="1"/>
  <c r="I176" i="3"/>
  <c r="H176" i="3"/>
  <c r="G176" i="3"/>
  <c r="F176" i="3"/>
  <c r="E176" i="3"/>
  <c r="D176" i="3"/>
  <c r="W175" i="3"/>
  <c r="V175" i="3"/>
  <c r="U175" i="3"/>
  <c r="R175" i="7" s="1"/>
  <c r="T175" i="7" s="1"/>
  <c r="S175" i="3"/>
  <c r="L175" i="7" s="1"/>
  <c r="N175" i="7" s="1"/>
  <c r="R175" i="3"/>
  <c r="I175" i="7" s="1"/>
  <c r="K175" i="7" s="1"/>
  <c r="L175" i="3"/>
  <c r="M175" i="3" s="1"/>
  <c r="J175" i="3"/>
  <c r="K175" i="3" s="1"/>
  <c r="I175" i="3"/>
  <c r="H175" i="3"/>
  <c r="G175" i="3"/>
  <c r="F175" i="3"/>
  <c r="E175" i="3"/>
  <c r="D175" i="3"/>
  <c r="W174" i="3"/>
  <c r="V174" i="3"/>
  <c r="R174" i="3"/>
  <c r="I174" i="7" s="1"/>
  <c r="K174" i="7" s="1"/>
  <c r="Q174" i="3"/>
  <c r="G174" i="7" s="1"/>
  <c r="L174" i="3"/>
  <c r="M174" i="3" s="1"/>
  <c r="J174" i="3"/>
  <c r="K174" i="3" s="1"/>
  <c r="I174" i="3"/>
  <c r="H174" i="3"/>
  <c r="G174" i="3"/>
  <c r="F174" i="3"/>
  <c r="E174" i="3"/>
  <c r="D174" i="3"/>
  <c r="W173" i="3"/>
  <c r="V173" i="3"/>
  <c r="T173" i="3"/>
  <c r="O173" i="7" s="1"/>
  <c r="Q173" i="7" s="1"/>
  <c r="L173" i="3"/>
  <c r="M173" i="3" s="1"/>
  <c r="J173" i="3"/>
  <c r="K173" i="3" s="1"/>
  <c r="I173" i="3"/>
  <c r="H173" i="3"/>
  <c r="G173" i="3"/>
  <c r="F173" i="3"/>
  <c r="E173" i="3"/>
  <c r="D173" i="3"/>
  <c r="W172" i="3"/>
  <c r="V172" i="3"/>
  <c r="L172" i="3"/>
  <c r="M172" i="3" s="1"/>
  <c r="J172" i="3"/>
  <c r="K172" i="3" s="1"/>
  <c r="I172" i="3"/>
  <c r="H172" i="3"/>
  <c r="G172" i="3"/>
  <c r="F172" i="3"/>
  <c r="E172" i="3"/>
  <c r="D172" i="3"/>
  <c r="W171" i="3"/>
  <c r="V171" i="3"/>
  <c r="L171" i="3"/>
  <c r="M171" i="3" s="1"/>
  <c r="J171" i="3"/>
  <c r="K171" i="3" s="1"/>
  <c r="I171" i="3"/>
  <c r="H171" i="3"/>
  <c r="G171" i="3"/>
  <c r="F171" i="3"/>
  <c r="E171" i="3"/>
  <c r="D171" i="3"/>
  <c r="W170" i="3"/>
  <c r="V170" i="3"/>
  <c r="U170" i="3"/>
  <c r="R170" i="7" s="1"/>
  <c r="T170" i="7" s="1"/>
  <c r="L170" i="3"/>
  <c r="M170" i="3" s="1"/>
  <c r="J170" i="3"/>
  <c r="K170" i="3" s="1"/>
  <c r="I170" i="3"/>
  <c r="H170" i="3"/>
  <c r="G170" i="3"/>
  <c r="F170" i="3"/>
  <c r="E170" i="3"/>
  <c r="D170" i="3"/>
  <c r="W169" i="3"/>
  <c r="V169" i="3"/>
  <c r="U169" i="3"/>
  <c r="R169" i="7" s="1"/>
  <c r="T169" i="7" s="1"/>
  <c r="T169" i="3"/>
  <c r="O169" i="7" s="1"/>
  <c r="Q169" i="7" s="1"/>
  <c r="L169" i="3"/>
  <c r="M169" i="3" s="1"/>
  <c r="J169" i="3"/>
  <c r="K169" i="3" s="1"/>
  <c r="I169" i="3"/>
  <c r="H169" i="3"/>
  <c r="G169" i="3"/>
  <c r="F169" i="3"/>
  <c r="E169" i="3"/>
  <c r="D169" i="3"/>
  <c r="W168" i="3"/>
  <c r="V168" i="3"/>
  <c r="U168" i="3"/>
  <c r="R168" i="7" s="1"/>
  <c r="T168" i="7" s="1"/>
  <c r="T168" i="3"/>
  <c r="O168" i="7" s="1"/>
  <c r="Q168" i="7" s="1"/>
  <c r="S168" i="3"/>
  <c r="L168" i="7" s="1"/>
  <c r="N168" i="7" s="1"/>
  <c r="L168" i="3"/>
  <c r="M168" i="3" s="1"/>
  <c r="J168" i="3"/>
  <c r="K168" i="3" s="1"/>
  <c r="I168" i="3"/>
  <c r="H168" i="3"/>
  <c r="G168" i="3"/>
  <c r="F168" i="3"/>
  <c r="E168" i="3"/>
  <c r="D168" i="3"/>
  <c r="W167" i="3"/>
  <c r="V167" i="3"/>
  <c r="T167" i="3"/>
  <c r="O167" i="7" s="1"/>
  <c r="Q167" i="7" s="1"/>
  <c r="R167" i="3"/>
  <c r="I167" i="7" s="1"/>
  <c r="K167" i="7" s="1"/>
  <c r="L167" i="3"/>
  <c r="M167" i="3" s="1"/>
  <c r="J167" i="3"/>
  <c r="K167" i="3" s="1"/>
  <c r="I167" i="3"/>
  <c r="H167" i="3"/>
  <c r="G167" i="3"/>
  <c r="F167" i="3"/>
  <c r="E167" i="3"/>
  <c r="D167" i="3"/>
  <c r="W166" i="3"/>
  <c r="V166" i="3"/>
  <c r="S166" i="3"/>
  <c r="L166" i="7" s="1"/>
  <c r="N166" i="7" s="1"/>
  <c r="R166" i="3"/>
  <c r="I166" i="7" s="1"/>
  <c r="K166" i="7" s="1"/>
  <c r="Q166" i="3"/>
  <c r="G166" i="7" s="1"/>
  <c r="L166" i="3"/>
  <c r="M166" i="3" s="1"/>
  <c r="J166" i="3"/>
  <c r="K166" i="3" s="1"/>
  <c r="I166" i="3"/>
  <c r="H166" i="3"/>
  <c r="G166" i="3"/>
  <c r="F166" i="3"/>
  <c r="E166" i="3"/>
  <c r="D166" i="3"/>
  <c r="W165" i="3"/>
  <c r="V165" i="3"/>
  <c r="R165" i="3"/>
  <c r="I165" i="7" s="1"/>
  <c r="K165" i="7" s="1"/>
  <c r="Q165" i="3"/>
  <c r="G165" i="7" s="1"/>
  <c r="L165" i="3"/>
  <c r="M165" i="3" s="1"/>
  <c r="J165" i="3"/>
  <c r="K165" i="3" s="1"/>
  <c r="I165" i="3"/>
  <c r="H165" i="3"/>
  <c r="G165" i="3"/>
  <c r="F165" i="3"/>
  <c r="E165" i="3"/>
  <c r="D165" i="3"/>
  <c r="W164" i="3"/>
  <c r="V164" i="3"/>
  <c r="U164" i="3"/>
  <c r="R164" i="7" s="1"/>
  <c r="T164" i="7" s="1"/>
  <c r="Q164" i="3"/>
  <c r="G164" i="7" s="1"/>
  <c r="L164" i="3"/>
  <c r="M164" i="3" s="1"/>
  <c r="J164" i="3"/>
  <c r="K164" i="3" s="1"/>
  <c r="I164" i="3"/>
  <c r="H164" i="3"/>
  <c r="G164" i="3"/>
  <c r="F164" i="3"/>
  <c r="E164" i="3"/>
  <c r="D164" i="3"/>
  <c r="W163" i="3"/>
  <c r="V163" i="3"/>
  <c r="L163" i="3"/>
  <c r="M163" i="3" s="1"/>
  <c r="J163" i="3"/>
  <c r="K163" i="3" s="1"/>
  <c r="I163" i="3"/>
  <c r="H163" i="3"/>
  <c r="G163" i="3"/>
  <c r="F163" i="3"/>
  <c r="E163" i="3"/>
  <c r="D163" i="3"/>
  <c r="W162" i="3"/>
  <c r="V162" i="3"/>
  <c r="U162" i="3"/>
  <c r="R162" i="7" s="1"/>
  <c r="T162" i="7" s="1"/>
  <c r="L162" i="3"/>
  <c r="M162" i="3" s="1"/>
  <c r="J162" i="3"/>
  <c r="K162" i="3" s="1"/>
  <c r="I162" i="3"/>
  <c r="H162" i="3"/>
  <c r="G162" i="3"/>
  <c r="F162" i="3"/>
  <c r="E162" i="3"/>
  <c r="D162" i="3"/>
  <c r="W161" i="3"/>
  <c r="V161" i="3"/>
  <c r="U161" i="3"/>
  <c r="R161" i="7" s="1"/>
  <c r="T161" i="7" s="1"/>
  <c r="T161" i="3"/>
  <c r="O161" i="7" s="1"/>
  <c r="Q161" i="7" s="1"/>
  <c r="S161" i="3"/>
  <c r="L161" i="7" s="1"/>
  <c r="N161" i="7" s="1"/>
  <c r="L161" i="3"/>
  <c r="M161" i="3" s="1"/>
  <c r="J161" i="3"/>
  <c r="K161" i="3" s="1"/>
  <c r="I161" i="3"/>
  <c r="H161" i="3"/>
  <c r="G161" i="3"/>
  <c r="F161" i="3"/>
  <c r="E161" i="3"/>
  <c r="D161" i="3"/>
  <c r="W160" i="3"/>
  <c r="V160" i="3"/>
  <c r="U160" i="3"/>
  <c r="R160" i="7" s="1"/>
  <c r="T160" i="7" s="1"/>
  <c r="T160" i="3"/>
  <c r="O160" i="7" s="1"/>
  <c r="Q160" i="7" s="1"/>
  <c r="S160" i="3"/>
  <c r="L160" i="7" s="1"/>
  <c r="N160" i="7" s="1"/>
  <c r="R160" i="3"/>
  <c r="I160" i="7" s="1"/>
  <c r="K160" i="7" s="1"/>
  <c r="L160" i="3"/>
  <c r="M160" i="3" s="1"/>
  <c r="J160" i="3"/>
  <c r="K160" i="3" s="1"/>
  <c r="I160" i="3"/>
  <c r="H160" i="3"/>
  <c r="G160" i="3"/>
  <c r="F160" i="3"/>
  <c r="E160" i="3"/>
  <c r="D160" i="3"/>
  <c r="W159" i="3"/>
  <c r="V159" i="3"/>
  <c r="T159" i="3"/>
  <c r="O159" i="7" s="1"/>
  <c r="Q159" i="7" s="1"/>
  <c r="S159" i="3"/>
  <c r="L159" i="7" s="1"/>
  <c r="N159" i="7" s="1"/>
  <c r="R159" i="3"/>
  <c r="I159" i="7" s="1"/>
  <c r="K159" i="7" s="1"/>
  <c r="Q159" i="3"/>
  <c r="G159" i="7" s="1"/>
  <c r="L159" i="3"/>
  <c r="M159" i="3" s="1"/>
  <c r="J159" i="3"/>
  <c r="K159" i="3" s="1"/>
  <c r="I159" i="3"/>
  <c r="H159" i="3"/>
  <c r="G159" i="3"/>
  <c r="F159" i="3"/>
  <c r="E159" i="3"/>
  <c r="D159" i="3"/>
  <c r="W158" i="3"/>
  <c r="V158" i="3"/>
  <c r="S158" i="3"/>
  <c r="L158" i="7" s="1"/>
  <c r="N158" i="7" s="1"/>
  <c r="R158" i="3"/>
  <c r="I158" i="7" s="1"/>
  <c r="K158" i="7" s="1"/>
  <c r="Q158" i="3"/>
  <c r="G158" i="7" s="1"/>
  <c r="L158" i="3"/>
  <c r="M158" i="3" s="1"/>
  <c r="J158" i="3"/>
  <c r="K158" i="3" s="1"/>
  <c r="I158" i="3"/>
  <c r="H158" i="3"/>
  <c r="G158" i="3"/>
  <c r="F158" i="3"/>
  <c r="E158" i="3"/>
  <c r="D158" i="3"/>
  <c r="W157" i="3"/>
  <c r="V157" i="3"/>
  <c r="R157" i="3"/>
  <c r="I157" i="7" s="1"/>
  <c r="K157" i="7" s="1"/>
  <c r="Q157" i="3"/>
  <c r="G157" i="7" s="1"/>
  <c r="L157" i="3"/>
  <c r="M157" i="3" s="1"/>
  <c r="J157" i="3"/>
  <c r="K157" i="3" s="1"/>
  <c r="I157" i="3"/>
  <c r="H157" i="3"/>
  <c r="G157" i="3"/>
  <c r="F157" i="3"/>
  <c r="E157" i="3"/>
  <c r="D157" i="3"/>
  <c r="W156" i="3"/>
  <c r="V156" i="3"/>
  <c r="Q156" i="3"/>
  <c r="G156" i="7" s="1"/>
  <c r="L156" i="3"/>
  <c r="M156" i="3" s="1"/>
  <c r="J156" i="3"/>
  <c r="K156" i="3" s="1"/>
  <c r="I156" i="3"/>
  <c r="H156" i="3"/>
  <c r="G156" i="3"/>
  <c r="F156" i="3"/>
  <c r="E156" i="3"/>
  <c r="D156" i="3"/>
  <c r="W155" i="3"/>
  <c r="V155" i="3"/>
  <c r="L155" i="3"/>
  <c r="M155" i="3" s="1"/>
  <c r="J155" i="3"/>
  <c r="K155" i="3" s="1"/>
  <c r="I155" i="3"/>
  <c r="H155" i="3"/>
  <c r="G155" i="3"/>
  <c r="F155" i="3"/>
  <c r="E155" i="3"/>
  <c r="D155" i="3"/>
  <c r="W154" i="3"/>
  <c r="V154" i="3"/>
  <c r="U154" i="3"/>
  <c r="R154" i="7" s="1"/>
  <c r="T154" i="7" s="1"/>
  <c r="L154" i="3"/>
  <c r="M154" i="3" s="1"/>
  <c r="J154" i="3"/>
  <c r="K154" i="3" s="1"/>
  <c r="I154" i="3"/>
  <c r="H154" i="3"/>
  <c r="G154" i="3"/>
  <c r="F154" i="3"/>
  <c r="E154" i="3"/>
  <c r="D154" i="3"/>
  <c r="W153" i="3"/>
  <c r="V153" i="3"/>
  <c r="U153" i="3"/>
  <c r="R153" i="7" s="1"/>
  <c r="T153" i="7" s="1"/>
  <c r="T153" i="3"/>
  <c r="O153" i="7" s="1"/>
  <c r="Q153" i="7" s="1"/>
  <c r="L153" i="3"/>
  <c r="M153" i="3" s="1"/>
  <c r="J153" i="3"/>
  <c r="K153" i="3" s="1"/>
  <c r="I153" i="3"/>
  <c r="H153" i="3"/>
  <c r="G153" i="3"/>
  <c r="F153" i="3"/>
  <c r="E153" i="3"/>
  <c r="D153" i="3"/>
  <c r="W152" i="3"/>
  <c r="V152" i="3"/>
  <c r="U152" i="3"/>
  <c r="R152" i="7" s="1"/>
  <c r="T152" i="7" s="1"/>
  <c r="S152" i="3"/>
  <c r="L152" i="7" s="1"/>
  <c r="N152" i="7" s="1"/>
  <c r="L152" i="3"/>
  <c r="M152" i="3" s="1"/>
  <c r="J152" i="3"/>
  <c r="K152" i="3" s="1"/>
  <c r="I152" i="3"/>
  <c r="H152" i="3"/>
  <c r="G152" i="3"/>
  <c r="F152" i="3"/>
  <c r="E152" i="3"/>
  <c r="D152" i="3"/>
  <c r="W151" i="3"/>
  <c r="V151" i="3"/>
  <c r="T151" i="3"/>
  <c r="O151" i="7" s="1"/>
  <c r="Q151" i="7" s="1"/>
  <c r="S151" i="3"/>
  <c r="L151" i="7" s="1"/>
  <c r="N151" i="7" s="1"/>
  <c r="R151" i="3"/>
  <c r="I151" i="7" s="1"/>
  <c r="K151" i="7" s="1"/>
  <c r="L151" i="3"/>
  <c r="M151" i="3" s="1"/>
  <c r="J151" i="3"/>
  <c r="K151" i="3" s="1"/>
  <c r="I151" i="3"/>
  <c r="H151" i="3"/>
  <c r="G151" i="3"/>
  <c r="F151" i="3"/>
  <c r="E151" i="3"/>
  <c r="D151" i="3"/>
  <c r="W150" i="3"/>
  <c r="V150" i="3"/>
  <c r="S150" i="3"/>
  <c r="L150" i="7" s="1"/>
  <c r="N150" i="7" s="1"/>
  <c r="R150" i="3"/>
  <c r="I150" i="7" s="1"/>
  <c r="K150" i="7" s="1"/>
  <c r="Q150" i="3"/>
  <c r="G150" i="7" s="1"/>
  <c r="L150" i="3"/>
  <c r="M150" i="3" s="1"/>
  <c r="J150" i="3"/>
  <c r="K150" i="3" s="1"/>
  <c r="I150" i="3"/>
  <c r="H150" i="3"/>
  <c r="G150" i="3"/>
  <c r="F150" i="3"/>
  <c r="E150" i="3"/>
  <c r="D150" i="3"/>
  <c r="W149" i="3"/>
  <c r="V149" i="3"/>
  <c r="R149" i="3"/>
  <c r="I149" i="7" s="1"/>
  <c r="K149" i="7" s="1"/>
  <c r="Q149" i="3"/>
  <c r="G149" i="7" s="1"/>
  <c r="L149" i="3"/>
  <c r="M149" i="3" s="1"/>
  <c r="J149" i="3"/>
  <c r="K149" i="3" s="1"/>
  <c r="I149" i="3"/>
  <c r="H149" i="3"/>
  <c r="G149" i="3"/>
  <c r="F149" i="3"/>
  <c r="E149" i="3"/>
  <c r="D149" i="3"/>
  <c r="W148" i="3"/>
  <c r="V148" i="3"/>
  <c r="Q148" i="3"/>
  <c r="G148" i="7" s="1"/>
  <c r="L148" i="3"/>
  <c r="M148" i="3" s="1"/>
  <c r="J148" i="3"/>
  <c r="K148" i="3" s="1"/>
  <c r="I148" i="3"/>
  <c r="H148" i="3"/>
  <c r="G148" i="3"/>
  <c r="F148" i="3"/>
  <c r="E148" i="3"/>
  <c r="D148" i="3"/>
  <c r="W147" i="3"/>
  <c r="V147" i="3"/>
  <c r="L147" i="3"/>
  <c r="M147" i="3" s="1"/>
  <c r="J147" i="3"/>
  <c r="K147" i="3" s="1"/>
  <c r="I147" i="3"/>
  <c r="H147" i="3"/>
  <c r="G147" i="3"/>
  <c r="F147" i="3"/>
  <c r="E147" i="3"/>
  <c r="D147" i="3"/>
  <c r="W146" i="3"/>
  <c r="V146" i="3"/>
  <c r="U146" i="3"/>
  <c r="R146" i="7" s="1"/>
  <c r="T146" i="7" s="1"/>
  <c r="L146" i="3"/>
  <c r="M146" i="3" s="1"/>
  <c r="J146" i="3"/>
  <c r="K146" i="3" s="1"/>
  <c r="I146" i="3"/>
  <c r="H146" i="3"/>
  <c r="G146" i="3"/>
  <c r="F146" i="3"/>
  <c r="E146" i="3"/>
  <c r="D146" i="3"/>
  <c r="W145" i="3"/>
  <c r="V145" i="3"/>
  <c r="U145" i="3"/>
  <c r="R145" i="7" s="1"/>
  <c r="T145" i="7" s="1"/>
  <c r="T145" i="3"/>
  <c r="O145" i="7" s="1"/>
  <c r="Q145" i="7" s="1"/>
  <c r="S145" i="3"/>
  <c r="L145" i="7" s="1"/>
  <c r="N145" i="7" s="1"/>
  <c r="L145" i="3"/>
  <c r="M145" i="3" s="1"/>
  <c r="J145" i="3"/>
  <c r="K145" i="3" s="1"/>
  <c r="I145" i="3"/>
  <c r="H145" i="3"/>
  <c r="G145" i="3"/>
  <c r="F145" i="3"/>
  <c r="E145" i="3"/>
  <c r="D145" i="3"/>
  <c r="W144" i="3"/>
  <c r="V144" i="3"/>
  <c r="U144" i="3"/>
  <c r="R144" i="7" s="1"/>
  <c r="T144" i="7" s="1"/>
  <c r="T144" i="3"/>
  <c r="O144" i="7" s="1"/>
  <c r="Q144" i="7" s="1"/>
  <c r="S144" i="3"/>
  <c r="L144" i="7" s="1"/>
  <c r="N144" i="7" s="1"/>
  <c r="R144" i="3"/>
  <c r="I144" i="7" s="1"/>
  <c r="K144" i="7" s="1"/>
  <c r="L144" i="3"/>
  <c r="M144" i="3" s="1"/>
  <c r="J144" i="3"/>
  <c r="K144" i="3" s="1"/>
  <c r="I144" i="3"/>
  <c r="H144" i="3"/>
  <c r="G144" i="3"/>
  <c r="F144" i="3"/>
  <c r="E144" i="3"/>
  <c r="D144" i="3"/>
  <c r="W143" i="3"/>
  <c r="V143" i="3"/>
  <c r="T143" i="3"/>
  <c r="O143" i="7" s="1"/>
  <c r="Q143" i="7" s="1"/>
  <c r="S143" i="3"/>
  <c r="L143" i="7" s="1"/>
  <c r="N143" i="7" s="1"/>
  <c r="R143" i="3"/>
  <c r="I143" i="7" s="1"/>
  <c r="K143" i="7" s="1"/>
  <c r="L143" i="3"/>
  <c r="M143" i="3" s="1"/>
  <c r="J143" i="3"/>
  <c r="K143" i="3" s="1"/>
  <c r="I143" i="3"/>
  <c r="H143" i="3"/>
  <c r="G143" i="3"/>
  <c r="F143" i="3"/>
  <c r="E143" i="3"/>
  <c r="D143" i="3"/>
  <c r="W142" i="3"/>
  <c r="V142" i="3"/>
  <c r="T142" i="3"/>
  <c r="O142" i="7" s="1"/>
  <c r="Q142" i="7" s="1"/>
  <c r="S142" i="3"/>
  <c r="L142" i="7" s="1"/>
  <c r="N142" i="7" s="1"/>
  <c r="R142" i="3"/>
  <c r="I142" i="7" s="1"/>
  <c r="K142" i="7" s="1"/>
  <c r="L142" i="3"/>
  <c r="M142" i="3" s="1"/>
  <c r="J142" i="3"/>
  <c r="K142" i="3" s="1"/>
  <c r="I142" i="3"/>
  <c r="H142" i="3"/>
  <c r="G142" i="3"/>
  <c r="F142" i="3"/>
  <c r="E142" i="3"/>
  <c r="D142" i="3"/>
  <c r="W141" i="3"/>
  <c r="V141" i="3"/>
  <c r="R141" i="3"/>
  <c r="I141" i="7" s="1"/>
  <c r="K141" i="7" s="1"/>
  <c r="Q141" i="3"/>
  <c r="G141" i="7" s="1"/>
  <c r="L141" i="3"/>
  <c r="M141" i="3" s="1"/>
  <c r="J141" i="3"/>
  <c r="K141" i="3" s="1"/>
  <c r="I141" i="3"/>
  <c r="H141" i="3"/>
  <c r="G141" i="3"/>
  <c r="F141" i="3"/>
  <c r="E141" i="3"/>
  <c r="D141" i="3"/>
  <c r="W140" i="3"/>
  <c r="V140" i="3"/>
  <c r="Q140" i="3"/>
  <c r="G140" i="7" s="1"/>
  <c r="L140" i="3"/>
  <c r="M140" i="3" s="1"/>
  <c r="J140" i="3"/>
  <c r="K140" i="3" s="1"/>
  <c r="I140" i="3"/>
  <c r="H140" i="3"/>
  <c r="G140" i="3"/>
  <c r="F140" i="3"/>
  <c r="E140" i="3"/>
  <c r="D140" i="3"/>
  <c r="W139" i="3"/>
  <c r="V139" i="3"/>
  <c r="L139" i="3"/>
  <c r="M139" i="3" s="1"/>
  <c r="J139" i="3"/>
  <c r="K139" i="3" s="1"/>
  <c r="I139" i="3"/>
  <c r="H139" i="3"/>
  <c r="G139" i="3"/>
  <c r="F139" i="3"/>
  <c r="E139" i="3"/>
  <c r="D139" i="3"/>
  <c r="W138" i="3"/>
  <c r="V138" i="3"/>
  <c r="U138" i="3"/>
  <c r="R138" i="7" s="1"/>
  <c r="T138" i="7" s="1"/>
  <c r="L138" i="3"/>
  <c r="M138" i="3" s="1"/>
  <c r="J138" i="3"/>
  <c r="K138" i="3" s="1"/>
  <c r="I138" i="3"/>
  <c r="H138" i="3"/>
  <c r="G138" i="3"/>
  <c r="F138" i="3"/>
  <c r="E138" i="3"/>
  <c r="D138" i="3"/>
  <c r="W137" i="3"/>
  <c r="V137" i="3"/>
  <c r="U137" i="3"/>
  <c r="R137" i="7" s="1"/>
  <c r="T137" i="7" s="1"/>
  <c r="T137" i="3"/>
  <c r="O137" i="7" s="1"/>
  <c r="Q137" i="7" s="1"/>
  <c r="L137" i="3"/>
  <c r="M137" i="3" s="1"/>
  <c r="J137" i="3"/>
  <c r="K137" i="3" s="1"/>
  <c r="I137" i="3"/>
  <c r="H137" i="3"/>
  <c r="G137" i="3"/>
  <c r="F137" i="3"/>
  <c r="E137" i="3"/>
  <c r="D137" i="3"/>
  <c r="W136" i="3"/>
  <c r="V136" i="3"/>
  <c r="U136" i="3"/>
  <c r="R136" i="7" s="1"/>
  <c r="T136" i="7" s="1"/>
  <c r="T136" i="3"/>
  <c r="O136" i="7" s="1"/>
  <c r="Q136" i="7" s="1"/>
  <c r="S136" i="3"/>
  <c r="L136" i="7" s="1"/>
  <c r="N136" i="7" s="1"/>
  <c r="L136" i="3"/>
  <c r="M136" i="3" s="1"/>
  <c r="J136" i="3"/>
  <c r="K136" i="3" s="1"/>
  <c r="I136" i="3"/>
  <c r="H136" i="3"/>
  <c r="G136" i="3"/>
  <c r="F136" i="3"/>
  <c r="E136" i="3"/>
  <c r="D136" i="3"/>
  <c r="W135" i="3"/>
  <c r="V135" i="3"/>
  <c r="T135" i="3"/>
  <c r="O135" i="7" s="1"/>
  <c r="Q135" i="7" s="1"/>
  <c r="S135" i="3"/>
  <c r="L135" i="7" s="1"/>
  <c r="N135" i="7" s="1"/>
  <c r="R135" i="3"/>
  <c r="I135" i="7" s="1"/>
  <c r="K135" i="7" s="1"/>
  <c r="L135" i="3"/>
  <c r="M135" i="3" s="1"/>
  <c r="J135" i="3"/>
  <c r="K135" i="3" s="1"/>
  <c r="I135" i="3"/>
  <c r="H135" i="3"/>
  <c r="G135" i="3"/>
  <c r="F135" i="3"/>
  <c r="E135" i="3"/>
  <c r="D135" i="3"/>
  <c r="W134" i="3"/>
  <c r="V134" i="3"/>
  <c r="R134" i="3"/>
  <c r="I134" i="7" s="1"/>
  <c r="K134" i="7" s="1"/>
  <c r="Q134" i="3"/>
  <c r="G134" i="7" s="1"/>
  <c r="L134" i="3"/>
  <c r="M134" i="3" s="1"/>
  <c r="J134" i="3"/>
  <c r="K134" i="3" s="1"/>
  <c r="I134" i="3"/>
  <c r="H134" i="3"/>
  <c r="G134" i="3"/>
  <c r="F134" i="3"/>
  <c r="E134" i="3"/>
  <c r="D134" i="3"/>
  <c r="W133" i="3"/>
  <c r="V133" i="3"/>
  <c r="Q133" i="3"/>
  <c r="G133" i="7" s="1"/>
  <c r="L133" i="3"/>
  <c r="M133" i="3" s="1"/>
  <c r="J133" i="3"/>
  <c r="K133" i="3" s="1"/>
  <c r="I133" i="3"/>
  <c r="H133" i="3"/>
  <c r="G133" i="3"/>
  <c r="F133" i="3"/>
  <c r="E133" i="3"/>
  <c r="D133" i="3"/>
  <c r="W132" i="3"/>
  <c r="V132" i="3"/>
  <c r="Q132" i="3"/>
  <c r="G132" i="7" s="1"/>
  <c r="L132" i="3"/>
  <c r="M132" i="3" s="1"/>
  <c r="J132" i="3"/>
  <c r="K132" i="3" s="1"/>
  <c r="I132" i="3"/>
  <c r="H132" i="3"/>
  <c r="G132" i="3"/>
  <c r="F132" i="3"/>
  <c r="E132" i="3"/>
  <c r="D132" i="3"/>
  <c r="W131" i="3"/>
  <c r="V131" i="3"/>
  <c r="L131" i="3"/>
  <c r="M131" i="3" s="1"/>
  <c r="J131" i="3"/>
  <c r="K131" i="3" s="1"/>
  <c r="I131" i="3"/>
  <c r="H131" i="3"/>
  <c r="G131" i="3"/>
  <c r="F131" i="3"/>
  <c r="E131" i="3"/>
  <c r="D131" i="3"/>
  <c r="W130" i="3"/>
  <c r="V130" i="3"/>
  <c r="U130" i="3"/>
  <c r="R130" i="7" s="1"/>
  <c r="T130" i="7" s="1"/>
  <c r="T130" i="3"/>
  <c r="O130" i="7" s="1"/>
  <c r="Q130" i="7" s="1"/>
  <c r="L130" i="3"/>
  <c r="M130" i="3" s="1"/>
  <c r="J130" i="3"/>
  <c r="K130" i="3" s="1"/>
  <c r="I130" i="3"/>
  <c r="H130" i="3"/>
  <c r="G130" i="3"/>
  <c r="F130" i="3"/>
  <c r="E130" i="3"/>
  <c r="D130" i="3"/>
  <c r="W129" i="3"/>
  <c r="V129" i="3"/>
  <c r="T129" i="3"/>
  <c r="O129" i="7" s="1"/>
  <c r="Q129" i="7" s="1"/>
  <c r="S129" i="3"/>
  <c r="L129" i="7" s="1"/>
  <c r="N129" i="7" s="1"/>
  <c r="L129" i="3"/>
  <c r="M129" i="3" s="1"/>
  <c r="J129" i="3"/>
  <c r="K129" i="3" s="1"/>
  <c r="I129" i="3"/>
  <c r="H129" i="3"/>
  <c r="G129" i="3"/>
  <c r="F129" i="3"/>
  <c r="E129" i="3"/>
  <c r="D129" i="3"/>
  <c r="W128" i="3"/>
  <c r="V128" i="3"/>
  <c r="T128" i="3"/>
  <c r="O128" i="7" s="1"/>
  <c r="Q128" i="7" s="1"/>
  <c r="S128" i="3"/>
  <c r="L128" i="7" s="1"/>
  <c r="N128" i="7" s="1"/>
  <c r="L128" i="3"/>
  <c r="M128" i="3" s="1"/>
  <c r="J128" i="3"/>
  <c r="K128" i="3" s="1"/>
  <c r="I128" i="3"/>
  <c r="H128" i="3"/>
  <c r="G128" i="3"/>
  <c r="F128" i="3"/>
  <c r="E128" i="3"/>
  <c r="D128" i="3"/>
  <c r="W127" i="3"/>
  <c r="V127" i="3"/>
  <c r="T127" i="3"/>
  <c r="O127" i="7" s="1"/>
  <c r="Q127" i="7" s="1"/>
  <c r="S127" i="3"/>
  <c r="L127" i="7" s="1"/>
  <c r="N127" i="7" s="1"/>
  <c r="R127" i="3"/>
  <c r="I127" i="7" s="1"/>
  <c r="K127" i="7" s="1"/>
  <c r="L127" i="3"/>
  <c r="M127" i="3" s="1"/>
  <c r="J127" i="3"/>
  <c r="K127" i="3" s="1"/>
  <c r="I127" i="3"/>
  <c r="H127" i="3"/>
  <c r="G127" i="3"/>
  <c r="F127" i="3"/>
  <c r="E127" i="3"/>
  <c r="D127" i="3"/>
  <c r="W126" i="3"/>
  <c r="V126" i="3"/>
  <c r="R126" i="3"/>
  <c r="I126" i="7" s="1"/>
  <c r="K126" i="7" s="1"/>
  <c r="L126" i="3"/>
  <c r="M126" i="3" s="1"/>
  <c r="J126" i="3"/>
  <c r="K126" i="3" s="1"/>
  <c r="I126" i="3"/>
  <c r="H126" i="3"/>
  <c r="G126" i="3"/>
  <c r="F126" i="3"/>
  <c r="E126" i="3"/>
  <c r="D126" i="3"/>
  <c r="W125" i="3"/>
  <c r="V125" i="3"/>
  <c r="Q125" i="3"/>
  <c r="G125" i="7" s="1"/>
  <c r="L125" i="3"/>
  <c r="M125" i="3" s="1"/>
  <c r="J125" i="3"/>
  <c r="K125" i="3" s="1"/>
  <c r="I125" i="3"/>
  <c r="H125" i="3"/>
  <c r="G125" i="3"/>
  <c r="F125" i="3"/>
  <c r="E125" i="3"/>
  <c r="D125" i="3"/>
  <c r="W124" i="3"/>
  <c r="V124" i="3"/>
  <c r="L124" i="3"/>
  <c r="M124" i="3" s="1"/>
  <c r="J124" i="3"/>
  <c r="K124" i="3" s="1"/>
  <c r="I124" i="3"/>
  <c r="H124" i="3"/>
  <c r="G124" i="3"/>
  <c r="F124" i="3"/>
  <c r="E124" i="3"/>
  <c r="D124" i="3"/>
  <c r="W123" i="3"/>
  <c r="V123" i="3"/>
  <c r="U123" i="3"/>
  <c r="R123" i="3"/>
  <c r="I123" i="7" s="1"/>
  <c r="K123" i="7" s="1"/>
  <c r="L123" i="3"/>
  <c r="M123" i="3" s="1"/>
  <c r="J123" i="3"/>
  <c r="K123" i="3" s="1"/>
  <c r="I123" i="3"/>
  <c r="H123" i="3"/>
  <c r="G123" i="3"/>
  <c r="F123" i="3"/>
  <c r="E123" i="3"/>
  <c r="D123" i="3"/>
  <c r="W122" i="3"/>
  <c r="V122" i="3"/>
  <c r="U122" i="3"/>
  <c r="R122" i="7" s="1"/>
  <c r="T122" i="7" s="1"/>
  <c r="L122" i="3"/>
  <c r="M122" i="3" s="1"/>
  <c r="J122" i="3"/>
  <c r="K122" i="3" s="1"/>
  <c r="I122" i="3"/>
  <c r="H122" i="3"/>
  <c r="G122" i="3"/>
  <c r="F122" i="3"/>
  <c r="E122" i="3"/>
  <c r="D122" i="3"/>
  <c r="W121" i="3"/>
  <c r="V121" i="3"/>
  <c r="T121" i="3"/>
  <c r="O121" i="7" s="1"/>
  <c r="Q121" i="7" s="1"/>
  <c r="R121" i="3"/>
  <c r="I121" i="7" s="1"/>
  <c r="K121" i="7" s="1"/>
  <c r="L121" i="3"/>
  <c r="M121" i="3" s="1"/>
  <c r="J121" i="3"/>
  <c r="K121" i="3" s="1"/>
  <c r="I121" i="3"/>
  <c r="H121" i="3"/>
  <c r="G121" i="3"/>
  <c r="F121" i="3"/>
  <c r="E121" i="3"/>
  <c r="D121" i="3"/>
  <c r="W120" i="3"/>
  <c r="V120" i="3"/>
  <c r="U120" i="3"/>
  <c r="R120" i="7" s="1"/>
  <c r="T120" i="7" s="1"/>
  <c r="T120" i="3"/>
  <c r="O120" i="7" s="1"/>
  <c r="Q120" i="7" s="1"/>
  <c r="S120" i="3"/>
  <c r="L120" i="7" s="1"/>
  <c r="N120" i="7" s="1"/>
  <c r="L120" i="3"/>
  <c r="M120" i="3" s="1"/>
  <c r="J120" i="3"/>
  <c r="K120" i="3" s="1"/>
  <c r="I120" i="3"/>
  <c r="H120" i="3"/>
  <c r="G120" i="3"/>
  <c r="F120" i="3"/>
  <c r="E120" i="3"/>
  <c r="D120" i="3"/>
  <c r="W119" i="3"/>
  <c r="V119" i="3"/>
  <c r="T119" i="3"/>
  <c r="O119" i="7" s="1"/>
  <c r="Q119" i="7" s="1"/>
  <c r="S119" i="3"/>
  <c r="L119" i="7" s="1"/>
  <c r="N119" i="7" s="1"/>
  <c r="L119" i="3"/>
  <c r="M119" i="3" s="1"/>
  <c r="J119" i="3"/>
  <c r="K119" i="3" s="1"/>
  <c r="I119" i="3"/>
  <c r="H119" i="3"/>
  <c r="G119" i="3"/>
  <c r="F119" i="3"/>
  <c r="E119" i="3"/>
  <c r="D119" i="3"/>
  <c r="W118" i="3"/>
  <c r="V118" i="3"/>
  <c r="S118" i="3"/>
  <c r="L118" i="7" s="1"/>
  <c r="N118" i="7" s="1"/>
  <c r="Q118" i="3"/>
  <c r="G118" i="7" s="1"/>
  <c r="L118" i="3"/>
  <c r="M118" i="3" s="1"/>
  <c r="J118" i="3"/>
  <c r="K118" i="3" s="1"/>
  <c r="I118" i="3"/>
  <c r="H118" i="3"/>
  <c r="G118" i="3"/>
  <c r="F118" i="3"/>
  <c r="E118" i="3"/>
  <c r="D118" i="3"/>
  <c r="W117" i="3"/>
  <c r="V117" i="3"/>
  <c r="Q117" i="3"/>
  <c r="G117" i="7" s="1"/>
  <c r="L117" i="3"/>
  <c r="M117" i="3" s="1"/>
  <c r="J117" i="3"/>
  <c r="K117" i="3" s="1"/>
  <c r="I117" i="3"/>
  <c r="H117" i="3"/>
  <c r="G117" i="3"/>
  <c r="F117" i="3"/>
  <c r="E117" i="3"/>
  <c r="D117" i="3"/>
  <c r="W116" i="3"/>
  <c r="V116" i="3"/>
  <c r="L116" i="3"/>
  <c r="M116" i="3" s="1"/>
  <c r="J116" i="3"/>
  <c r="K116" i="3" s="1"/>
  <c r="I116" i="3"/>
  <c r="H116" i="3"/>
  <c r="G116" i="3"/>
  <c r="F116" i="3"/>
  <c r="E116" i="3"/>
  <c r="D116" i="3"/>
  <c r="W115" i="3"/>
  <c r="V115" i="3"/>
  <c r="L115" i="3"/>
  <c r="M115" i="3" s="1"/>
  <c r="J115" i="3"/>
  <c r="K115" i="3" s="1"/>
  <c r="I115" i="3"/>
  <c r="H115" i="3"/>
  <c r="G115" i="3"/>
  <c r="F115" i="3"/>
  <c r="E115" i="3"/>
  <c r="D115" i="3"/>
  <c r="W114" i="3"/>
  <c r="V114" i="3"/>
  <c r="U114" i="3"/>
  <c r="R114" i="7" s="1"/>
  <c r="T114" i="7" s="1"/>
  <c r="L114" i="3"/>
  <c r="M114" i="3" s="1"/>
  <c r="J114" i="3"/>
  <c r="K114" i="3" s="1"/>
  <c r="I114" i="3"/>
  <c r="H114" i="3"/>
  <c r="G114" i="3"/>
  <c r="F114" i="3"/>
  <c r="E114" i="3"/>
  <c r="D114" i="3"/>
  <c r="W113" i="3"/>
  <c r="V113" i="3"/>
  <c r="U113" i="3"/>
  <c r="T113" i="3"/>
  <c r="O113" i="7" s="1"/>
  <c r="Q113" i="7" s="1"/>
  <c r="R113" i="3"/>
  <c r="I113" i="7" s="1"/>
  <c r="K113" i="7" s="1"/>
  <c r="L113" i="3"/>
  <c r="M113" i="3" s="1"/>
  <c r="J113" i="3"/>
  <c r="K113" i="3" s="1"/>
  <c r="I113" i="3"/>
  <c r="H113" i="3"/>
  <c r="G113" i="3"/>
  <c r="F113" i="3"/>
  <c r="E113" i="3"/>
  <c r="D113" i="3"/>
  <c r="W112" i="3"/>
  <c r="V112" i="3"/>
  <c r="T112" i="3"/>
  <c r="O112" i="7" s="1"/>
  <c r="Q112" i="7" s="1"/>
  <c r="L112" i="3"/>
  <c r="M112" i="3" s="1"/>
  <c r="J112" i="3"/>
  <c r="K112" i="3" s="1"/>
  <c r="I112" i="3"/>
  <c r="H112" i="3"/>
  <c r="G112" i="3"/>
  <c r="F112" i="3"/>
  <c r="E112" i="3"/>
  <c r="D112" i="3"/>
  <c r="W111" i="3"/>
  <c r="V111" i="3"/>
  <c r="T111" i="3"/>
  <c r="O111" i="7" s="1"/>
  <c r="Q111" i="7" s="1"/>
  <c r="S111" i="3"/>
  <c r="L111" i="7" s="1"/>
  <c r="N111" i="7" s="1"/>
  <c r="L111" i="3"/>
  <c r="M111" i="3" s="1"/>
  <c r="J111" i="3"/>
  <c r="K111" i="3" s="1"/>
  <c r="I111" i="3"/>
  <c r="H111" i="3"/>
  <c r="G111" i="3"/>
  <c r="F111" i="3"/>
  <c r="E111" i="3"/>
  <c r="D111" i="3"/>
  <c r="W110" i="3"/>
  <c r="V110" i="3"/>
  <c r="S110" i="3"/>
  <c r="L110" i="7" s="1"/>
  <c r="N110" i="7" s="1"/>
  <c r="R110" i="3"/>
  <c r="I110" i="7" s="1"/>
  <c r="K110" i="7" s="1"/>
  <c r="L110" i="3"/>
  <c r="M110" i="3" s="1"/>
  <c r="J110" i="3"/>
  <c r="K110" i="3" s="1"/>
  <c r="I110" i="3"/>
  <c r="H110" i="3"/>
  <c r="G110" i="3"/>
  <c r="F110" i="3"/>
  <c r="E110" i="3"/>
  <c r="D110" i="3"/>
  <c r="W109" i="3"/>
  <c r="V109" i="3"/>
  <c r="Q109" i="3"/>
  <c r="G109" i="7" s="1"/>
  <c r="L109" i="3"/>
  <c r="M109" i="3" s="1"/>
  <c r="J109" i="3"/>
  <c r="K109" i="3" s="1"/>
  <c r="I109" i="3"/>
  <c r="H109" i="3"/>
  <c r="G109" i="3"/>
  <c r="F109" i="3"/>
  <c r="E109" i="3"/>
  <c r="D109" i="3"/>
  <c r="W108" i="3"/>
  <c r="V108" i="3"/>
  <c r="U108" i="3"/>
  <c r="R108" i="7" s="1"/>
  <c r="T108" i="7" s="1"/>
  <c r="L108" i="3"/>
  <c r="M108" i="3" s="1"/>
  <c r="J108" i="3"/>
  <c r="K108" i="3" s="1"/>
  <c r="I108" i="3"/>
  <c r="H108" i="3"/>
  <c r="G108" i="3"/>
  <c r="F108" i="3"/>
  <c r="E108" i="3"/>
  <c r="D108" i="3"/>
  <c r="W107" i="3"/>
  <c r="V107" i="3"/>
  <c r="L107" i="3"/>
  <c r="M107" i="3" s="1"/>
  <c r="J107" i="3"/>
  <c r="K107" i="3" s="1"/>
  <c r="I107" i="3"/>
  <c r="H107" i="3"/>
  <c r="G107" i="3"/>
  <c r="F107" i="3"/>
  <c r="E107" i="3"/>
  <c r="D107" i="3"/>
  <c r="W106" i="3"/>
  <c r="V106" i="3"/>
  <c r="S106" i="3"/>
  <c r="L106" i="7" s="1"/>
  <c r="N106" i="7" s="1"/>
  <c r="L106" i="3"/>
  <c r="M106" i="3" s="1"/>
  <c r="J106" i="3"/>
  <c r="K106" i="3" s="1"/>
  <c r="I106" i="3"/>
  <c r="H106" i="3"/>
  <c r="G106" i="3"/>
  <c r="F106" i="3"/>
  <c r="E106" i="3"/>
  <c r="D106" i="3"/>
  <c r="W105" i="3"/>
  <c r="V105" i="3"/>
  <c r="U105" i="3"/>
  <c r="T105" i="3"/>
  <c r="O105" i="7" s="1"/>
  <c r="Q105" i="7" s="1"/>
  <c r="L105" i="3"/>
  <c r="M105" i="3" s="1"/>
  <c r="J105" i="3"/>
  <c r="K105" i="3" s="1"/>
  <c r="I105" i="3"/>
  <c r="H105" i="3"/>
  <c r="G105" i="3"/>
  <c r="F105" i="3"/>
  <c r="E105" i="3"/>
  <c r="D105" i="3"/>
  <c r="W104" i="3"/>
  <c r="V104" i="3"/>
  <c r="T104" i="3"/>
  <c r="O104" i="7" s="1"/>
  <c r="Q104" i="7" s="1"/>
  <c r="S104" i="3"/>
  <c r="L104" i="7" s="1"/>
  <c r="N104" i="7" s="1"/>
  <c r="L104" i="3"/>
  <c r="M104" i="3" s="1"/>
  <c r="J104" i="3"/>
  <c r="K104" i="3" s="1"/>
  <c r="I104" i="3"/>
  <c r="H104" i="3"/>
  <c r="G104" i="3"/>
  <c r="F104" i="3"/>
  <c r="E104" i="3"/>
  <c r="D104" i="3"/>
  <c r="W103" i="3"/>
  <c r="V103" i="3"/>
  <c r="L103" i="3"/>
  <c r="M103" i="3" s="1"/>
  <c r="J103" i="3"/>
  <c r="K103" i="3" s="1"/>
  <c r="I103" i="3"/>
  <c r="H103" i="3"/>
  <c r="G103" i="3"/>
  <c r="F103" i="3"/>
  <c r="E103" i="3"/>
  <c r="D103" i="3"/>
  <c r="W102" i="3"/>
  <c r="V102" i="3"/>
  <c r="R102" i="3"/>
  <c r="I102" i="7" s="1"/>
  <c r="K102" i="7" s="1"/>
  <c r="L102" i="3"/>
  <c r="M102" i="3" s="1"/>
  <c r="J102" i="3"/>
  <c r="K102" i="3" s="1"/>
  <c r="I102" i="3"/>
  <c r="H102" i="3"/>
  <c r="G102" i="3"/>
  <c r="F102" i="3"/>
  <c r="E102" i="3"/>
  <c r="D102" i="3"/>
  <c r="W101" i="3"/>
  <c r="V101" i="3"/>
  <c r="Q101" i="3"/>
  <c r="G101" i="7" s="1"/>
  <c r="L101" i="3"/>
  <c r="M101" i="3" s="1"/>
  <c r="J101" i="3"/>
  <c r="K101" i="3" s="1"/>
  <c r="I101" i="3"/>
  <c r="H101" i="3"/>
  <c r="G101" i="3"/>
  <c r="F101" i="3"/>
  <c r="E101" i="3"/>
  <c r="D101" i="3"/>
  <c r="W100" i="3"/>
  <c r="V100" i="3"/>
  <c r="L100" i="3"/>
  <c r="M100" i="3" s="1"/>
  <c r="J100" i="3"/>
  <c r="K100" i="3" s="1"/>
  <c r="I100" i="3"/>
  <c r="H100" i="3"/>
  <c r="G100" i="3"/>
  <c r="F100" i="3"/>
  <c r="E100" i="3"/>
  <c r="D100" i="3"/>
  <c r="W99" i="3"/>
  <c r="V99" i="3"/>
  <c r="L99" i="3"/>
  <c r="M99" i="3" s="1"/>
  <c r="J99" i="3"/>
  <c r="K99" i="3" s="1"/>
  <c r="I99" i="3"/>
  <c r="H99" i="3"/>
  <c r="G99" i="3"/>
  <c r="F99" i="3"/>
  <c r="E99" i="3"/>
  <c r="D99" i="3"/>
  <c r="W98" i="3"/>
  <c r="V98" i="3"/>
  <c r="U98" i="3"/>
  <c r="R98" i="7" s="1"/>
  <c r="T98" i="7" s="1"/>
  <c r="L98" i="3"/>
  <c r="M98" i="3" s="1"/>
  <c r="J98" i="3"/>
  <c r="K98" i="3" s="1"/>
  <c r="I98" i="3"/>
  <c r="H98" i="3"/>
  <c r="G98" i="3"/>
  <c r="F98" i="3"/>
  <c r="E98" i="3"/>
  <c r="D98" i="3"/>
  <c r="W97" i="3"/>
  <c r="V97" i="3"/>
  <c r="U97" i="3"/>
  <c r="R97" i="7" s="1"/>
  <c r="T97" i="7" s="1"/>
  <c r="T97" i="3"/>
  <c r="O97" i="7" s="1"/>
  <c r="Q97" i="7" s="1"/>
  <c r="R97" i="3"/>
  <c r="I97" i="7" s="1"/>
  <c r="K97" i="7" s="1"/>
  <c r="L97" i="3"/>
  <c r="M97" i="3" s="1"/>
  <c r="J97" i="3"/>
  <c r="K97" i="3" s="1"/>
  <c r="I97" i="3"/>
  <c r="H97" i="3"/>
  <c r="G97" i="3"/>
  <c r="F97" i="3"/>
  <c r="E97" i="3"/>
  <c r="D97" i="3"/>
  <c r="W96" i="3"/>
  <c r="V96" i="3"/>
  <c r="S96" i="3"/>
  <c r="L96" i="7" s="1"/>
  <c r="N96" i="7" s="1"/>
  <c r="R96" i="3"/>
  <c r="L96" i="3"/>
  <c r="M96" i="3" s="1"/>
  <c r="J96" i="3"/>
  <c r="K96" i="3" s="1"/>
  <c r="I96" i="3"/>
  <c r="H96" i="3"/>
  <c r="G96" i="3"/>
  <c r="F96" i="3"/>
  <c r="E96" i="3"/>
  <c r="D96" i="3"/>
  <c r="W95" i="3"/>
  <c r="V95" i="3"/>
  <c r="S95" i="3"/>
  <c r="L95" i="7" s="1"/>
  <c r="N95" i="7" s="1"/>
  <c r="R95" i="3"/>
  <c r="I95" i="7" s="1"/>
  <c r="K95" i="7" s="1"/>
  <c r="L95" i="3"/>
  <c r="M95" i="3" s="1"/>
  <c r="J95" i="3"/>
  <c r="K95" i="3" s="1"/>
  <c r="I95" i="3"/>
  <c r="H95" i="3"/>
  <c r="G95" i="3"/>
  <c r="F95" i="3"/>
  <c r="E95" i="3"/>
  <c r="D95" i="3"/>
  <c r="W94" i="3"/>
  <c r="V94" i="3"/>
  <c r="R94" i="3"/>
  <c r="L94" i="3"/>
  <c r="M94" i="3" s="1"/>
  <c r="J94" i="3"/>
  <c r="K94" i="3" s="1"/>
  <c r="I94" i="3"/>
  <c r="H94" i="3"/>
  <c r="G94" i="3"/>
  <c r="F94" i="3"/>
  <c r="E94" i="3"/>
  <c r="D94" i="3"/>
  <c r="W93" i="3"/>
  <c r="V93" i="3"/>
  <c r="Q93" i="3"/>
  <c r="G93" i="7" s="1"/>
  <c r="L93" i="3"/>
  <c r="M93" i="3" s="1"/>
  <c r="J93" i="3"/>
  <c r="K93" i="3" s="1"/>
  <c r="I93" i="3"/>
  <c r="H93" i="3"/>
  <c r="G93" i="3"/>
  <c r="F93" i="3"/>
  <c r="E93" i="3"/>
  <c r="D93" i="3"/>
  <c r="W92" i="3"/>
  <c r="V92" i="3"/>
  <c r="L92" i="3"/>
  <c r="M92" i="3" s="1"/>
  <c r="J92" i="3"/>
  <c r="K92" i="3" s="1"/>
  <c r="I92" i="3"/>
  <c r="H92" i="3"/>
  <c r="G92" i="3"/>
  <c r="F92" i="3"/>
  <c r="E92" i="3"/>
  <c r="D92" i="3"/>
  <c r="W91" i="3"/>
  <c r="V91" i="3"/>
  <c r="L91" i="3"/>
  <c r="M91" i="3" s="1"/>
  <c r="J91" i="3"/>
  <c r="K91" i="3" s="1"/>
  <c r="I91" i="3"/>
  <c r="H91" i="3"/>
  <c r="G91" i="3"/>
  <c r="F91" i="3"/>
  <c r="E91" i="3"/>
  <c r="D91" i="3"/>
  <c r="W90" i="3"/>
  <c r="V90" i="3"/>
  <c r="U90" i="3"/>
  <c r="R90" i="7" s="1"/>
  <c r="T90" i="7" s="1"/>
  <c r="L90" i="3"/>
  <c r="M90" i="3" s="1"/>
  <c r="J90" i="3"/>
  <c r="K90" i="3" s="1"/>
  <c r="I90" i="3"/>
  <c r="H90" i="3"/>
  <c r="G90" i="3"/>
  <c r="F90" i="3"/>
  <c r="E90" i="3"/>
  <c r="D90" i="3"/>
  <c r="W89" i="3"/>
  <c r="V89" i="3"/>
  <c r="U89" i="3"/>
  <c r="R89" i="7" s="1"/>
  <c r="T89" i="7" s="1"/>
  <c r="L89" i="3"/>
  <c r="M89" i="3" s="1"/>
  <c r="J89" i="3"/>
  <c r="K89" i="3" s="1"/>
  <c r="I89" i="3"/>
  <c r="H89" i="3"/>
  <c r="G89" i="3"/>
  <c r="F89" i="3"/>
  <c r="E89" i="3"/>
  <c r="D89" i="3"/>
  <c r="W88" i="3"/>
  <c r="V88" i="3"/>
  <c r="T88" i="3"/>
  <c r="O88" i="7" s="1"/>
  <c r="Q88" i="7" s="1"/>
  <c r="L88" i="3"/>
  <c r="M88" i="3" s="1"/>
  <c r="J88" i="3"/>
  <c r="K88" i="3" s="1"/>
  <c r="I88" i="3"/>
  <c r="H88" i="3"/>
  <c r="G88" i="3"/>
  <c r="F88" i="3"/>
  <c r="E88" i="3"/>
  <c r="D88" i="3"/>
  <c r="W87" i="3"/>
  <c r="V87" i="3"/>
  <c r="S87" i="3"/>
  <c r="L87" i="7" s="1"/>
  <c r="N87" i="7" s="1"/>
  <c r="R87" i="3"/>
  <c r="L87" i="3"/>
  <c r="M87" i="3" s="1"/>
  <c r="J87" i="3"/>
  <c r="K87" i="3" s="1"/>
  <c r="I87" i="3"/>
  <c r="H87" i="3"/>
  <c r="G87" i="3"/>
  <c r="F87" i="3"/>
  <c r="E87" i="3"/>
  <c r="D87" i="3"/>
  <c r="W86" i="3"/>
  <c r="V86" i="3"/>
  <c r="R86" i="3"/>
  <c r="L86" i="3"/>
  <c r="M86" i="3" s="1"/>
  <c r="J86" i="3"/>
  <c r="K86" i="3" s="1"/>
  <c r="I86" i="3"/>
  <c r="H86" i="3"/>
  <c r="G86" i="3"/>
  <c r="F86" i="3"/>
  <c r="E86" i="3"/>
  <c r="D86" i="3"/>
  <c r="W85" i="3"/>
  <c r="V85" i="3"/>
  <c r="R85" i="3"/>
  <c r="I85" i="7" s="1"/>
  <c r="K85" i="7" s="1"/>
  <c r="Q85" i="3"/>
  <c r="G85" i="7" s="1"/>
  <c r="L85" i="3"/>
  <c r="M85" i="3" s="1"/>
  <c r="J85" i="3"/>
  <c r="K85" i="3" s="1"/>
  <c r="I85" i="3"/>
  <c r="H85" i="3"/>
  <c r="G85" i="3"/>
  <c r="F85" i="3"/>
  <c r="E85" i="3"/>
  <c r="D85" i="3"/>
  <c r="W84" i="3"/>
  <c r="V84" i="3"/>
  <c r="L84" i="3"/>
  <c r="M84" i="3" s="1"/>
  <c r="J84" i="3"/>
  <c r="K84" i="3" s="1"/>
  <c r="I84" i="3"/>
  <c r="H84" i="3"/>
  <c r="G84" i="3"/>
  <c r="F84" i="3"/>
  <c r="E84" i="3"/>
  <c r="D84" i="3"/>
  <c r="W83" i="3"/>
  <c r="V83" i="3"/>
  <c r="T83" i="3"/>
  <c r="O83" i="7" s="1"/>
  <c r="Q83" i="7" s="1"/>
  <c r="L83" i="3"/>
  <c r="M83" i="3" s="1"/>
  <c r="J83" i="3"/>
  <c r="K83" i="3" s="1"/>
  <c r="I83" i="3"/>
  <c r="H83" i="3"/>
  <c r="G83" i="3"/>
  <c r="F83" i="3"/>
  <c r="E83" i="3"/>
  <c r="D83" i="3"/>
  <c r="W82" i="3"/>
  <c r="V82" i="3"/>
  <c r="L82" i="3"/>
  <c r="M82" i="3" s="1"/>
  <c r="J82" i="3"/>
  <c r="K82" i="3" s="1"/>
  <c r="I82" i="3"/>
  <c r="H82" i="3"/>
  <c r="G82" i="3"/>
  <c r="F82" i="3"/>
  <c r="E82" i="3"/>
  <c r="D82" i="3"/>
  <c r="W81" i="3"/>
  <c r="V81" i="3"/>
  <c r="R81" i="3"/>
  <c r="I81" i="7" s="1"/>
  <c r="K81" i="7" s="1"/>
  <c r="L81" i="3"/>
  <c r="M81" i="3" s="1"/>
  <c r="J81" i="3"/>
  <c r="K81" i="3" s="1"/>
  <c r="I81" i="3"/>
  <c r="H81" i="3"/>
  <c r="G81" i="3"/>
  <c r="F81" i="3"/>
  <c r="E81" i="3"/>
  <c r="D81" i="3"/>
  <c r="W80" i="3"/>
  <c r="V80" i="3"/>
  <c r="T80" i="3"/>
  <c r="O80" i="7" s="1"/>
  <c r="Q80" i="7" s="1"/>
  <c r="L80" i="3"/>
  <c r="M80" i="3" s="1"/>
  <c r="J80" i="3"/>
  <c r="K80" i="3" s="1"/>
  <c r="I80" i="3"/>
  <c r="H80" i="3"/>
  <c r="G80" i="3"/>
  <c r="F80" i="3"/>
  <c r="E80" i="3"/>
  <c r="D80" i="3"/>
  <c r="W79" i="3"/>
  <c r="V79" i="3"/>
  <c r="T79" i="3"/>
  <c r="O79" i="7" s="1"/>
  <c r="Q79" i="7" s="1"/>
  <c r="Q79" i="3"/>
  <c r="G79" i="7" s="1"/>
  <c r="L79" i="3"/>
  <c r="M79" i="3" s="1"/>
  <c r="J79" i="3"/>
  <c r="K79" i="3" s="1"/>
  <c r="I79" i="3"/>
  <c r="H79" i="3"/>
  <c r="G79" i="3"/>
  <c r="F79" i="3"/>
  <c r="E79" i="3"/>
  <c r="D79" i="3"/>
  <c r="W78" i="3"/>
  <c r="V78" i="3"/>
  <c r="R78" i="3"/>
  <c r="L78" i="3"/>
  <c r="M78" i="3" s="1"/>
  <c r="J78" i="3"/>
  <c r="K78" i="3" s="1"/>
  <c r="I78" i="3"/>
  <c r="H78" i="3"/>
  <c r="G78" i="3"/>
  <c r="F78" i="3"/>
  <c r="E78" i="3"/>
  <c r="D78" i="3"/>
  <c r="W77" i="3"/>
  <c r="V77" i="3"/>
  <c r="Q77" i="3"/>
  <c r="G77" i="7" s="1"/>
  <c r="L77" i="3"/>
  <c r="M77" i="3" s="1"/>
  <c r="J77" i="3"/>
  <c r="K77" i="3" s="1"/>
  <c r="I77" i="3"/>
  <c r="H77" i="3"/>
  <c r="G77" i="3"/>
  <c r="F77" i="3"/>
  <c r="E77" i="3"/>
  <c r="D77" i="3"/>
  <c r="W76" i="3"/>
  <c r="V76" i="3"/>
  <c r="L76" i="3"/>
  <c r="M76" i="3" s="1"/>
  <c r="J76" i="3"/>
  <c r="K76" i="3" s="1"/>
  <c r="I76" i="3"/>
  <c r="H76" i="3"/>
  <c r="G76" i="3"/>
  <c r="F76" i="3"/>
  <c r="E76" i="3"/>
  <c r="D76" i="3"/>
  <c r="W75" i="3"/>
  <c r="V75" i="3"/>
  <c r="L75" i="3"/>
  <c r="M75" i="3" s="1"/>
  <c r="J75" i="3"/>
  <c r="K75" i="3" s="1"/>
  <c r="I75" i="3"/>
  <c r="H75" i="3"/>
  <c r="G75" i="3"/>
  <c r="F75" i="3"/>
  <c r="E75" i="3"/>
  <c r="D75" i="3"/>
  <c r="W74" i="3"/>
  <c r="V74" i="3"/>
  <c r="L74" i="3"/>
  <c r="M74" i="3" s="1"/>
  <c r="J74" i="3"/>
  <c r="K74" i="3" s="1"/>
  <c r="I74" i="3"/>
  <c r="H74" i="3"/>
  <c r="G74" i="3"/>
  <c r="F74" i="3"/>
  <c r="E74" i="3"/>
  <c r="D74" i="3"/>
  <c r="W73" i="3"/>
  <c r="V73" i="3"/>
  <c r="U73" i="3"/>
  <c r="R73" i="7" s="1"/>
  <c r="T73" i="7" s="1"/>
  <c r="L73" i="3"/>
  <c r="M73" i="3" s="1"/>
  <c r="J73" i="3"/>
  <c r="K73" i="3" s="1"/>
  <c r="I73" i="3"/>
  <c r="H73" i="3"/>
  <c r="G73" i="3"/>
  <c r="F73" i="3"/>
  <c r="E73" i="3"/>
  <c r="D73" i="3"/>
  <c r="W72" i="3"/>
  <c r="V72" i="3"/>
  <c r="T72" i="3"/>
  <c r="O72" i="7" s="1"/>
  <c r="Q72" i="7" s="1"/>
  <c r="L72" i="3"/>
  <c r="M72" i="3" s="1"/>
  <c r="J72" i="3"/>
  <c r="K72" i="3" s="1"/>
  <c r="I72" i="3"/>
  <c r="H72" i="3"/>
  <c r="G72" i="3"/>
  <c r="F72" i="3"/>
  <c r="E72" i="3"/>
  <c r="D72" i="3"/>
  <c r="W71" i="3"/>
  <c r="V71" i="3"/>
  <c r="U71" i="3"/>
  <c r="R71" i="7" s="1"/>
  <c r="T71" i="7" s="1"/>
  <c r="S71" i="3"/>
  <c r="L71" i="7" s="1"/>
  <c r="N71" i="7" s="1"/>
  <c r="L71" i="3"/>
  <c r="M71" i="3" s="1"/>
  <c r="J71" i="3"/>
  <c r="K71" i="3" s="1"/>
  <c r="I71" i="3"/>
  <c r="H71" i="3"/>
  <c r="G71" i="3"/>
  <c r="F71" i="3"/>
  <c r="E71" i="3"/>
  <c r="D71" i="3"/>
  <c r="W70" i="3"/>
  <c r="V70" i="3"/>
  <c r="R70" i="3"/>
  <c r="L70" i="3"/>
  <c r="M70" i="3" s="1"/>
  <c r="J70" i="3"/>
  <c r="K70" i="3" s="1"/>
  <c r="I70" i="3"/>
  <c r="H70" i="3"/>
  <c r="G70" i="3"/>
  <c r="F70" i="3"/>
  <c r="E70" i="3"/>
  <c r="D70" i="3"/>
  <c r="W69" i="3"/>
  <c r="V69" i="3"/>
  <c r="Q69" i="3"/>
  <c r="G69" i="7" s="1"/>
  <c r="L69" i="3"/>
  <c r="M69" i="3" s="1"/>
  <c r="J69" i="3"/>
  <c r="K69" i="3" s="1"/>
  <c r="I69" i="3"/>
  <c r="H69" i="3"/>
  <c r="G69" i="3"/>
  <c r="F69" i="3"/>
  <c r="E69" i="3"/>
  <c r="D69" i="3"/>
  <c r="W68" i="3"/>
  <c r="V68" i="3"/>
  <c r="L68" i="3"/>
  <c r="M68" i="3" s="1"/>
  <c r="J68" i="3"/>
  <c r="K68" i="3" s="1"/>
  <c r="I68" i="3"/>
  <c r="H68" i="3"/>
  <c r="G68" i="3"/>
  <c r="F68" i="3"/>
  <c r="E68" i="3"/>
  <c r="D68" i="3"/>
  <c r="W67" i="3"/>
  <c r="V67" i="3"/>
  <c r="L67" i="3"/>
  <c r="M67" i="3" s="1"/>
  <c r="J67" i="3"/>
  <c r="K67" i="3" s="1"/>
  <c r="I67" i="3"/>
  <c r="H67" i="3"/>
  <c r="G67" i="3"/>
  <c r="F67" i="3"/>
  <c r="E67" i="3"/>
  <c r="D67" i="3"/>
  <c r="W66" i="3"/>
  <c r="V66" i="3"/>
  <c r="T66" i="3"/>
  <c r="O66" i="7" s="1"/>
  <c r="Q66" i="7" s="1"/>
  <c r="L66" i="3"/>
  <c r="M66" i="3" s="1"/>
  <c r="J66" i="3"/>
  <c r="K66" i="3" s="1"/>
  <c r="I66" i="3"/>
  <c r="H66" i="3"/>
  <c r="G66" i="3"/>
  <c r="F66" i="3"/>
  <c r="E66" i="3"/>
  <c r="D66" i="3"/>
  <c r="W65" i="3"/>
  <c r="V65" i="3"/>
  <c r="U65" i="3"/>
  <c r="R65" i="7" s="1"/>
  <c r="T65" i="7" s="1"/>
  <c r="S65" i="3"/>
  <c r="L65" i="7" s="1"/>
  <c r="N65" i="7" s="1"/>
  <c r="L65" i="3"/>
  <c r="M65" i="3" s="1"/>
  <c r="J65" i="3"/>
  <c r="K65" i="3" s="1"/>
  <c r="I65" i="3"/>
  <c r="H65" i="3"/>
  <c r="G65" i="3"/>
  <c r="F65" i="3"/>
  <c r="E65" i="3"/>
  <c r="D65" i="3"/>
  <c r="W64" i="3"/>
  <c r="V64" i="3"/>
  <c r="T64" i="3"/>
  <c r="O64" i="7" s="1"/>
  <c r="Q64" i="7" s="1"/>
  <c r="L64" i="3"/>
  <c r="M64" i="3" s="1"/>
  <c r="J64" i="3"/>
  <c r="K64" i="3" s="1"/>
  <c r="I64" i="3"/>
  <c r="H64" i="3"/>
  <c r="G64" i="3"/>
  <c r="F64" i="3"/>
  <c r="E64" i="3"/>
  <c r="D64" i="3"/>
  <c r="W63" i="3"/>
  <c r="V63" i="3"/>
  <c r="S63" i="3"/>
  <c r="L63" i="7" s="1"/>
  <c r="N63" i="7" s="1"/>
  <c r="R63" i="3"/>
  <c r="I63" i="7" s="1"/>
  <c r="K63" i="7" s="1"/>
  <c r="L63" i="3"/>
  <c r="M63" i="3" s="1"/>
  <c r="J63" i="3"/>
  <c r="K63" i="3" s="1"/>
  <c r="I63" i="3"/>
  <c r="H63" i="3"/>
  <c r="G63" i="3"/>
  <c r="F63" i="3"/>
  <c r="E63" i="3"/>
  <c r="D63" i="3"/>
  <c r="W62" i="3"/>
  <c r="V62" i="3"/>
  <c r="L62" i="3"/>
  <c r="M62" i="3" s="1"/>
  <c r="J62" i="3"/>
  <c r="K62" i="3" s="1"/>
  <c r="I62" i="3"/>
  <c r="H62" i="3"/>
  <c r="G62" i="3"/>
  <c r="F62" i="3"/>
  <c r="E62" i="3"/>
  <c r="D62" i="3"/>
  <c r="W61" i="3"/>
  <c r="V61" i="3"/>
  <c r="Q61" i="3"/>
  <c r="G61" i="7" s="1"/>
  <c r="L61" i="3"/>
  <c r="M61" i="3" s="1"/>
  <c r="J61" i="3"/>
  <c r="K61" i="3" s="1"/>
  <c r="I61" i="3"/>
  <c r="H61" i="3"/>
  <c r="G61" i="3"/>
  <c r="F61" i="3"/>
  <c r="E61" i="3"/>
  <c r="D61" i="3"/>
  <c r="W60" i="3"/>
  <c r="L60" i="3"/>
  <c r="M60" i="3" s="1"/>
  <c r="J60" i="3"/>
  <c r="K60" i="3" s="1"/>
  <c r="I60" i="3"/>
  <c r="H60" i="3"/>
  <c r="G60" i="3"/>
  <c r="F60" i="3"/>
  <c r="E60" i="3"/>
  <c r="D60" i="3"/>
  <c r="W59" i="3"/>
  <c r="L59" i="3"/>
  <c r="M59" i="3" s="1"/>
  <c r="J59" i="3"/>
  <c r="K59" i="3" s="1"/>
  <c r="I59" i="3"/>
  <c r="H59" i="3"/>
  <c r="G59" i="3"/>
  <c r="F59" i="3"/>
  <c r="E59" i="3"/>
  <c r="D59" i="3"/>
  <c r="W58" i="3"/>
  <c r="L58" i="3"/>
  <c r="M58" i="3" s="1"/>
  <c r="J58" i="3"/>
  <c r="K58" i="3" s="1"/>
  <c r="I58" i="3"/>
  <c r="H58" i="3"/>
  <c r="G58" i="3"/>
  <c r="F58" i="3"/>
  <c r="E58" i="3"/>
  <c r="D58" i="3"/>
  <c r="W57" i="3"/>
  <c r="U57" i="3"/>
  <c r="R57" i="7" s="1"/>
  <c r="T57" i="7" s="1"/>
  <c r="R57" i="3"/>
  <c r="L57" i="3"/>
  <c r="M57" i="3" s="1"/>
  <c r="J57" i="3"/>
  <c r="K57" i="3" s="1"/>
  <c r="I57" i="3"/>
  <c r="H57" i="3"/>
  <c r="G57" i="3"/>
  <c r="F57" i="3"/>
  <c r="E57" i="3"/>
  <c r="D57" i="3"/>
  <c r="W56" i="3"/>
  <c r="T56" i="3"/>
  <c r="O56" i="7" s="1"/>
  <c r="Q56" i="7" s="1"/>
  <c r="L56" i="3"/>
  <c r="M56" i="3" s="1"/>
  <c r="J56" i="3"/>
  <c r="K56" i="3" s="1"/>
  <c r="I56" i="3"/>
  <c r="H56" i="3"/>
  <c r="G56" i="3"/>
  <c r="F56" i="3"/>
  <c r="E56" i="3"/>
  <c r="D56" i="3"/>
  <c r="W55" i="3"/>
  <c r="S55" i="3"/>
  <c r="L55" i="7" s="1"/>
  <c r="N55" i="7" s="1"/>
  <c r="L55" i="3"/>
  <c r="M55" i="3" s="1"/>
  <c r="J55" i="3"/>
  <c r="K55" i="3" s="1"/>
  <c r="I55" i="3"/>
  <c r="H55" i="3"/>
  <c r="G55" i="3"/>
  <c r="F55" i="3"/>
  <c r="E55" i="3"/>
  <c r="D55" i="3"/>
  <c r="W54" i="3"/>
  <c r="R54" i="3"/>
  <c r="I54" i="7" s="1"/>
  <c r="K54" i="7" s="1"/>
  <c r="L54" i="3"/>
  <c r="M54" i="3" s="1"/>
  <c r="J54" i="3"/>
  <c r="K54" i="3" s="1"/>
  <c r="I54" i="3"/>
  <c r="H54" i="3"/>
  <c r="G54" i="3"/>
  <c r="F54" i="3"/>
  <c r="E54" i="3"/>
  <c r="D54" i="3"/>
  <c r="W53" i="3"/>
  <c r="Q53" i="3"/>
  <c r="G53" i="7" s="1"/>
  <c r="L53" i="3"/>
  <c r="M53" i="3" s="1"/>
  <c r="J53" i="3"/>
  <c r="K53" i="3" s="1"/>
  <c r="I53" i="3"/>
  <c r="H53" i="3"/>
  <c r="G53" i="3"/>
  <c r="F53" i="3"/>
  <c r="E53" i="3"/>
  <c r="D53" i="3"/>
  <c r="W52" i="3"/>
  <c r="L52" i="3"/>
  <c r="M52" i="3" s="1"/>
  <c r="J52" i="3"/>
  <c r="K52" i="3" s="1"/>
  <c r="I52" i="3"/>
  <c r="H52" i="3"/>
  <c r="G52" i="3"/>
  <c r="F52" i="3"/>
  <c r="E52" i="3"/>
  <c r="D52" i="3"/>
  <c r="W51" i="3"/>
  <c r="Q51" i="3"/>
  <c r="G51" i="7" s="1"/>
  <c r="L51" i="3"/>
  <c r="M51" i="3" s="1"/>
  <c r="J51" i="3"/>
  <c r="K51" i="3" s="1"/>
  <c r="I51" i="3"/>
  <c r="H51" i="3"/>
  <c r="G51" i="3"/>
  <c r="F51" i="3"/>
  <c r="E51" i="3"/>
  <c r="D51" i="3"/>
  <c r="W50" i="3"/>
  <c r="L50" i="3"/>
  <c r="M50" i="3" s="1"/>
  <c r="J50" i="3"/>
  <c r="K50" i="3" s="1"/>
  <c r="I50" i="3"/>
  <c r="H50" i="3"/>
  <c r="G50" i="3"/>
  <c r="F50" i="3"/>
  <c r="E50" i="3"/>
  <c r="D50" i="3"/>
  <c r="W49" i="3"/>
  <c r="U49" i="3"/>
  <c r="R49" i="7" s="1"/>
  <c r="T49" i="7" s="1"/>
  <c r="L49" i="3"/>
  <c r="M49" i="3" s="1"/>
  <c r="J49" i="3"/>
  <c r="K49" i="3" s="1"/>
  <c r="I49" i="3"/>
  <c r="H49" i="3"/>
  <c r="G49" i="3"/>
  <c r="F49" i="3"/>
  <c r="E49" i="3"/>
  <c r="D49" i="3"/>
  <c r="W48" i="3"/>
  <c r="L48" i="3"/>
  <c r="M48" i="3" s="1"/>
  <c r="J48" i="3"/>
  <c r="K48" i="3" s="1"/>
  <c r="I48" i="3"/>
  <c r="H48" i="3"/>
  <c r="G48" i="3"/>
  <c r="F48" i="3"/>
  <c r="E48" i="3"/>
  <c r="D48" i="3"/>
  <c r="W47" i="3"/>
  <c r="S47" i="3"/>
  <c r="L47" i="7" s="1"/>
  <c r="N47" i="7" s="1"/>
  <c r="L47" i="3"/>
  <c r="M47" i="3" s="1"/>
  <c r="J47" i="3"/>
  <c r="K47" i="3" s="1"/>
  <c r="I47" i="3"/>
  <c r="H47" i="3"/>
  <c r="G47" i="3"/>
  <c r="F47" i="3"/>
  <c r="E47" i="3"/>
  <c r="D47" i="3"/>
  <c r="W46" i="3"/>
  <c r="R46" i="3"/>
  <c r="I46" i="7" s="1"/>
  <c r="K46" i="7" s="1"/>
  <c r="L46" i="3"/>
  <c r="M46" i="3" s="1"/>
  <c r="J46" i="3"/>
  <c r="K46" i="3" s="1"/>
  <c r="I46" i="3"/>
  <c r="H46" i="3"/>
  <c r="G46" i="3"/>
  <c r="F46" i="3"/>
  <c r="E46" i="3"/>
  <c r="D46" i="3"/>
  <c r="W45" i="3"/>
  <c r="Q45" i="3"/>
  <c r="G45" i="7" s="1"/>
  <c r="L45" i="3"/>
  <c r="M45" i="3" s="1"/>
  <c r="J45" i="3"/>
  <c r="K45" i="3" s="1"/>
  <c r="I45" i="3"/>
  <c r="H45" i="3"/>
  <c r="G45" i="3"/>
  <c r="F45" i="3"/>
  <c r="E45" i="3"/>
  <c r="D45" i="3"/>
  <c r="W44" i="3"/>
  <c r="L44" i="3"/>
  <c r="M44" i="3" s="1"/>
  <c r="J44" i="3"/>
  <c r="K44" i="3" s="1"/>
  <c r="I44" i="3"/>
  <c r="H44" i="3"/>
  <c r="G44" i="3"/>
  <c r="F44" i="3"/>
  <c r="E44" i="3"/>
  <c r="D44" i="3"/>
  <c r="W43" i="3"/>
  <c r="L43" i="3"/>
  <c r="M43" i="3" s="1"/>
  <c r="J43" i="3"/>
  <c r="K43" i="3" s="1"/>
  <c r="I43" i="3"/>
  <c r="H43" i="3"/>
  <c r="G43" i="3"/>
  <c r="F43" i="3"/>
  <c r="E43" i="3"/>
  <c r="D43" i="3"/>
  <c r="W42" i="3"/>
  <c r="L42" i="3"/>
  <c r="M42" i="3" s="1"/>
  <c r="J42" i="3"/>
  <c r="K42" i="3" s="1"/>
  <c r="I42" i="3"/>
  <c r="H42" i="3"/>
  <c r="G42" i="3"/>
  <c r="F42" i="3"/>
  <c r="E42" i="3"/>
  <c r="D42" i="3"/>
  <c r="W41" i="3"/>
  <c r="U41" i="3"/>
  <c r="R41" i="7" s="1"/>
  <c r="T41" i="7" s="1"/>
  <c r="L41" i="3"/>
  <c r="M41" i="3" s="1"/>
  <c r="J41" i="3"/>
  <c r="K41" i="3" s="1"/>
  <c r="I41" i="3"/>
  <c r="H41" i="3"/>
  <c r="G41" i="3"/>
  <c r="F41" i="3"/>
  <c r="E41" i="3"/>
  <c r="D41" i="3"/>
  <c r="W40" i="3"/>
  <c r="T40" i="3"/>
  <c r="O40" i="7" s="1"/>
  <c r="Q40" i="7" s="1"/>
  <c r="L40" i="3"/>
  <c r="M40" i="3" s="1"/>
  <c r="J40" i="3"/>
  <c r="K40" i="3" s="1"/>
  <c r="I40" i="3"/>
  <c r="H40" i="3"/>
  <c r="G40" i="3"/>
  <c r="F40" i="3"/>
  <c r="E40" i="3"/>
  <c r="D40" i="3"/>
  <c r="W39" i="3"/>
  <c r="L39" i="3"/>
  <c r="M39" i="3" s="1"/>
  <c r="J39" i="3"/>
  <c r="K39" i="3" s="1"/>
  <c r="I39" i="3"/>
  <c r="H39" i="3"/>
  <c r="G39" i="3"/>
  <c r="F39" i="3"/>
  <c r="E39" i="3"/>
  <c r="D39" i="3"/>
  <c r="W38" i="3"/>
  <c r="L38" i="3"/>
  <c r="M38" i="3" s="1"/>
  <c r="J38" i="3"/>
  <c r="K38" i="3" s="1"/>
  <c r="I38" i="3"/>
  <c r="H38" i="3"/>
  <c r="G38" i="3"/>
  <c r="F38" i="3"/>
  <c r="E38" i="3"/>
  <c r="D38" i="3"/>
  <c r="W37" i="3"/>
  <c r="L37" i="3"/>
  <c r="M37" i="3" s="1"/>
  <c r="J37" i="3"/>
  <c r="K37" i="3" s="1"/>
  <c r="I37" i="3"/>
  <c r="H37" i="3"/>
  <c r="G37" i="3"/>
  <c r="F37" i="3"/>
  <c r="E37" i="3"/>
  <c r="D37" i="3"/>
  <c r="W36" i="3"/>
  <c r="U36" i="3"/>
  <c r="R36" i="7" s="1"/>
  <c r="T36" i="7" s="1"/>
  <c r="L36" i="3"/>
  <c r="M36" i="3" s="1"/>
  <c r="J36" i="3"/>
  <c r="K36" i="3" s="1"/>
  <c r="I36" i="3"/>
  <c r="H36" i="3"/>
  <c r="G36" i="3"/>
  <c r="F36" i="3"/>
  <c r="E36" i="3"/>
  <c r="D36" i="3"/>
  <c r="W35" i="3"/>
  <c r="T35" i="3"/>
  <c r="O35" i="7" s="1"/>
  <c r="Q35" i="7" s="1"/>
  <c r="L35" i="3"/>
  <c r="M35" i="3" s="1"/>
  <c r="J35" i="3"/>
  <c r="K35" i="3" s="1"/>
  <c r="I35" i="3"/>
  <c r="H35" i="3"/>
  <c r="G35" i="3"/>
  <c r="F35" i="3"/>
  <c r="E35" i="3"/>
  <c r="D35" i="3"/>
  <c r="W34" i="3"/>
  <c r="L34" i="3"/>
  <c r="M34" i="3" s="1"/>
  <c r="J34" i="3"/>
  <c r="K34" i="3" s="1"/>
  <c r="I34" i="3"/>
  <c r="H34" i="3"/>
  <c r="G34" i="3"/>
  <c r="F34" i="3"/>
  <c r="E34" i="3"/>
  <c r="D34" i="3"/>
  <c r="W33" i="3"/>
  <c r="U33" i="3"/>
  <c r="R33" i="7" s="1"/>
  <c r="T33" i="7" s="1"/>
  <c r="R33" i="3"/>
  <c r="I33" i="7" s="1"/>
  <c r="K33" i="7" s="1"/>
  <c r="L33" i="3"/>
  <c r="M33" i="3" s="1"/>
  <c r="J33" i="3"/>
  <c r="K33" i="3" s="1"/>
  <c r="I33" i="3"/>
  <c r="H33" i="3"/>
  <c r="G33" i="3"/>
  <c r="F33" i="3"/>
  <c r="E33" i="3"/>
  <c r="D33" i="3"/>
  <c r="W32" i="3"/>
  <c r="T32" i="3"/>
  <c r="O32" i="7" s="1"/>
  <c r="Q32" i="7" s="1"/>
  <c r="S32" i="3"/>
  <c r="L32" i="7" s="1"/>
  <c r="N32" i="7" s="1"/>
  <c r="L32" i="3"/>
  <c r="M32" i="3" s="1"/>
  <c r="J32" i="3"/>
  <c r="K32" i="3" s="1"/>
  <c r="I32" i="3"/>
  <c r="H32" i="3"/>
  <c r="G32" i="3"/>
  <c r="F32" i="3"/>
  <c r="E32" i="3"/>
  <c r="D32" i="3"/>
  <c r="W31" i="3"/>
  <c r="L31" i="3"/>
  <c r="M31" i="3" s="1"/>
  <c r="J31" i="3"/>
  <c r="K31" i="3" s="1"/>
  <c r="I31" i="3"/>
  <c r="H31" i="3"/>
  <c r="G31" i="3"/>
  <c r="F31" i="3"/>
  <c r="E31" i="3"/>
  <c r="D31" i="3"/>
  <c r="W30" i="3"/>
  <c r="R30" i="3"/>
  <c r="I30" i="7" s="1"/>
  <c r="K30" i="7" s="1"/>
  <c r="L30" i="3"/>
  <c r="M30" i="3" s="1"/>
  <c r="J30" i="3"/>
  <c r="K30" i="3" s="1"/>
  <c r="I30" i="3"/>
  <c r="H30" i="3"/>
  <c r="G30" i="3"/>
  <c r="F30" i="3"/>
  <c r="E30" i="3"/>
  <c r="D30" i="3"/>
  <c r="W29" i="3"/>
  <c r="Q29" i="3"/>
  <c r="G29" i="7" s="1"/>
  <c r="L29" i="3"/>
  <c r="M29" i="3" s="1"/>
  <c r="J29" i="3"/>
  <c r="K29" i="3" s="1"/>
  <c r="I29" i="3"/>
  <c r="H29" i="3"/>
  <c r="G29" i="3"/>
  <c r="F29" i="3"/>
  <c r="E29" i="3"/>
  <c r="D29" i="3"/>
  <c r="W28" i="3"/>
  <c r="L28" i="3"/>
  <c r="M28" i="3" s="1"/>
  <c r="J28" i="3"/>
  <c r="K28" i="3" s="1"/>
  <c r="I28" i="3"/>
  <c r="H28" i="3"/>
  <c r="G28" i="3"/>
  <c r="F28" i="3"/>
  <c r="E28" i="3"/>
  <c r="D28" i="3"/>
  <c r="W27" i="3"/>
  <c r="L27" i="3"/>
  <c r="M27" i="3" s="1"/>
  <c r="J27" i="3"/>
  <c r="K27" i="3" s="1"/>
  <c r="I27" i="3"/>
  <c r="H27" i="3"/>
  <c r="G27" i="3"/>
  <c r="F27" i="3"/>
  <c r="E27" i="3"/>
  <c r="D27" i="3"/>
  <c r="W26" i="3"/>
  <c r="T26" i="3"/>
  <c r="O26" i="7" s="1"/>
  <c r="Q26" i="7" s="1"/>
  <c r="S26" i="3"/>
  <c r="L26" i="7" s="1"/>
  <c r="N26" i="7" s="1"/>
  <c r="L26" i="3"/>
  <c r="M26" i="3" s="1"/>
  <c r="J26" i="3"/>
  <c r="K26" i="3" s="1"/>
  <c r="I26" i="3"/>
  <c r="H26" i="3"/>
  <c r="G26" i="3"/>
  <c r="F26" i="3"/>
  <c r="E26" i="3"/>
  <c r="D26" i="3"/>
  <c r="W25" i="3"/>
  <c r="U25" i="3"/>
  <c r="R25" i="7" s="1"/>
  <c r="T25" i="7" s="1"/>
  <c r="L25" i="3"/>
  <c r="M25" i="3" s="1"/>
  <c r="J25" i="3"/>
  <c r="K25" i="3" s="1"/>
  <c r="I25" i="3"/>
  <c r="H25" i="3"/>
  <c r="G25" i="3"/>
  <c r="F25" i="3"/>
  <c r="E25" i="3"/>
  <c r="D25" i="3"/>
  <c r="W24" i="3"/>
  <c r="U24" i="3"/>
  <c r="R24" i="7" s="1"/>
  <c r="T24" i="7" s="1"/>
  <c r="T24" i="3"/>
  <c r="O24" i="7" s="1"/>
  <c r="Q24" i="7" s="1"/>
  <c r="S24" i="3"/>
  <c r="L24" i="7" s="1"/>
  <c r="N24" i="7" s="1"/>
  <c r="L24" i="3"/>
  <c r="M24" i="3" s="1"/>
  <c r="J24" i="3"/>
  <c r="K24" i="3" s="1"/>
  <c r="I24" i="3"/>
  <c r="H24" i="3"/>
  <c r="G24" i="3"/>
  <c r="F24" i="3"/>
  <c r="E24" i="3"/>
  <c r="D24" i="3"/>
  <c r="W23" i="3"/>
  <c r="S23" i="3"/>
  <c r="L23" i="7" s="1"/>
  <c r="N23" i="7" s="1"/>
  <c r="L23" i="3"/>
  <c r="M23" i="3" s="1"/>
  <c r="J23" i="3"/>
  <c r="K23" i="3" s="1"/>
  <c r="I23" i="3"/>
  <c r="H23" i="3"/>
  <c r="G23" i="3"/>
  <c r="F23" i="3"/>
  <c r="E23" i="3"/>
  <c r="D23" i="3"/>
  <c r="W22" i="3"/>
  <c r="S22" i="3"/>
  <c r="L22" i="7" s="1"/>
  <c r="N22" i="7" s="1"/>
  <c r="R22" i="3"/>
  <c r="I22" i="7" s="1"/>
  <c r="K22" i="7" s="1"/>
  <c r="L22" i="3"/>
  <c r="M22" i="3" s="1"/>
  <c r="J22" i="3"/>
  <c r="K22" i="3" s="1"/>
  <c r="I22" i="3"/>
  <c r="H22" i="3"/>
  <c r="G22" i="3"/>
  <c r="F22" i="3"/>
  <c r="E22" i="3"/>
  <c r="D22" i="3"/>
  <c r="W21" i="3"/>
  <c r="S21" i="3"/>
  <c r="L21" i="7" s="1"/>
  <c r="N21" i="7" s="1"/>
  <c r="Q21" i="3"/>
  <c r="G21" i="7" s="1"/>
  <c r="L21" i="3"/>
  <c r="M21" i="3" s="1"/>
  <c r="J21" i="3"/>
  <c r="K21" i="3" s="1"/>
  <c r="I21" i="3"/>
  <c r="H21" i="3"/>
  <c r="G21" i="3"/>
  <c r="F21" i="3"/>
  <c r="E21" i="3"/>
  <c r="D21" i="3"/>
  <c r="W20" i="3"/>
  <c r="Q20" i="3"/>
  <c r="G20" i="7" s="1"/>
  <c r="L20" i="3"/>
  <c r="M20" i="3" s="1"/>
  <c r="J20" i="3"/>
  <c r="K20" i="3" s="1"/>
  <c r="I20" i="3"/>
  <c r="H20" i="3"/>
  <c r="G20" i="3"/>
  <c r="F20" i="3"/>
  <c r="E20" i="3"/>
  <c r="D20" i="3"/>
  <c r="W19" i="3"/>
  <c r="T19" i="3"/>
  <c r="O19" i="7" s="1"/>
  <c r="Q19" i="7" s="1"/>
  <c r="L19" i="3"/>
  <c r="M19" i="3" s="1"/>
  <c r="J19" i="3"/>
  <c r="K19" i="3" s="1"/>
  <c r="I19" i="3"/>
  <c r="H19" i="3"/>
  <c r="G19" i="3"/>
  <c r="F19" i="3"/>
  <c r="E19" i="3"/>
  <c r="D19" i="3"/>
  <c r="W18" i="3"/>
  <c r="U18" i="3"/>
  <c r="R18" i="7" s="1"/>
  <c r="T18" i="7" s="1"/>
  <c r="L18" i="3"/>
  <c r="M18" i="3" s="1"/>
  <c r="J18" i="3"/>
  <c r="K18" i="3" s="1"/>
  <c r="I18" i="3"/>
  <c r="H18" i="3"/>
  <c r="G18" i="3"/>
  <c r="F18" i="3"/>
  <c r="E18" i="3"/>
  <c r="D18" i="3"/>
  <c r="W17" i="3"/>
  <c r="U17" i="3"/>
  <c r="R17" i="7" s="1"/>
  <c r="T17" i="7" s="1"/>
  <c r="L17" i="3"/>
  <c r="M17" i="3" s="1"/>
  <c r="J17" i="3"/>
  <c r="K17" i="3" s="1"/>
  <c r="I17" i="3"/>
  <c r="H17" i="3"/>
  <c r="G17" i="3"/>
  <c r="F17" i="3"/>
  <c r="E17" i="3"/>
  <c r="D17" i="3"/>
  <c r="W16" i="3"/>
  <c r="T16" i="3"/>
  <c r="O16" i="7" s="1"/>
  <c r="Q16" i="7" s="1"/>
  <c r="R16" i="3"/>
  <c r="I16" i="7" s="1"/>
  <c r="K16" i="7" s="1"/>
  <c r="Q16" i="3"/>
  <c r="G16" i="7" s="1"/>
  <c r="L16" i="3"/>
  <c r="M16" i="3" s="1"/>
  <c r="J16" i="3"/>
  <c r="K16" i="3" s="1"/>
  <c r="I16" i="3"/>
  <c r="H16" i="3"/>
  <c r="G16" i="3"/>
  <c r="F16" i="3"/>
  <c r="E16" i="3"/>
  <c r="D16" i="3"/>
  <c r="W15" i="3"/>
  <c r="R15" i="3"/>
  <c r="I15" i="7" s="1"/>
  <c r="K15" i="7" s="1"/>
  <c r="Q15" i="3"/>
  <c r="G15" i="7" s="1"/>
  <c r="L15" i="3"/>
  <c r="M15" i="3" s="1"/>
  <c r="J15" i="3"/>
  <c r="K15" i="3" s="1"/>
  <c r="I15" i="3"/>
  <c r="H15" i="3"/>
  <c r="G15" i="3"/>
  <c r="F15" i="3"/>
  <c r="E15" i="3"/>
  <c r="D15" i="3"/>
  <c r="W14" i="3"/>
  <c r="R14" i="3"/>
  <c r="I14" i="7" s="1"/>
  <c r="K14" i="7" s="1"/>
  <c r="L14" i="3"/>
  <c r="M14" i="3" s="1"/>
  <c r="J14" i="3"/>
  <c r="K14" i="3" s="1"/>
  <c r="I14" i="3"/>
  <c r="H14" i="3"/>
  <c r="G14" i="3"/>
  <c r="F14" i="3"/>
  <c r="E14" i="3"/>
  <c r="D14" i="3"/>
  <c r="W13" i="3"/>
  <c r="Q13" i="3"/>
  <c r="G13" i="7" s="1"/>
  <c r="L13" i="3"/>
  <c r="M13" i="3" s="1"/>
  <c r="J13" i="3"/>
  <c r="K13" i="3" s="1"/>
  <c r="I13" i="3"/>
  <c r="H13" i="3"/>
  <c r="G13" i="3"/>
  <c r="F13" i="3"/>
  <c r="E13" i="3"/>
  <c r="D13" i="3"/>
  <c r="W12" i="3"/>
  <c r="L12" i="3"/>
  <c r="M12" i="3" s="1"/>
  <c r="J12" i="3"/>
  <c r="K12" i="3" s="1"/>
  <c r="I12" i="3"/>
  <c r="H12" i="3"/>
  <c r="G12" i="3"/>
  <c r="F12" i="3"/>
  <c r="E12" i="3"/>
  <c r="D12" i="3"/>
  <c r="W11" i="3"/>
  <c r="L11" i="3"/>
  <c r="M11" i="3" s="1"/>
  <c r="J11" i="3"/>
  <c r="K11" i="3" s="1"/>
  <c r="I11" i="3"/>
  <c r="H11" i="3"/>
  <c r="G11" i="3"/>
  <c r="F11" i="3"/>
  <c r="E11" i="3"/>
  <c r="D11" i="3"/>
  <c r="W10" i="3"/>
  <c r="S10" i="3"/>
  <c r="L10" i="7" s="1"/>
  <c r="N10" i="7" s="1"/>
  <c r="L10" i="3"/>
  <c r="M10" i="3" s="1"/>
  <c r="J10" i="3"/>
  <c r="K10" i="3" s="1"/>
  <c r="I10" i="3"/>
  <c r="H10" i="3"/>
  <c r="G10" i="3"/>
  <c r="F10" i="3"/>
  <c r="E10" i="3"/>
  <c r="D10" i="3"/>
  <c r="W9" i="3"/>
  <c r="U9" i="3"/>
  <c r="R9" i="7" s="1"/>
  <c r="T9" i="7" s="1"/>
  <c r="L9" i="3"/>
  <c r="M9" i="3" s="1"/>
  <c r="J9" i="3"/>
  <c r="K9" i="3" s="1"/>
  <c r="I9" i="3"/>
  <c r="H9" i="3"/>
  <c r="G9" i="3"/>
  <c r="F9" i="3"/>
  <c r="E9" i="3"/>
  <c r="D9" i="3"/>
  <c r="W8" i="3"/>
  <c r="T8" i="3"/>
  <c r="O8" i="7" s="1"/>
  <c r="Q8" i="7" s="1"/>
  <c r="L8" i="3"/>
  <c r="M8" i="3" s="1"/>
  <c r="J8" i="3"/>
  <c r="K8" i="3" s="1"/>
  <c r="I8" i="3"/>
  <c r="H8" i="3"/>
  <c r="G8" i="3"/>
  <c r="F8" i="3"/>
  <c r="E8" i="3"/>
  <c r="D8" i="3"/>
  <c r="W7" i="3"/>
  <c r="S7" i="3"/>
  <c r="L7" i="7" s="1"/>
  <c r="N7" i="7" s="1"/>
  <c r="R7" i="3"/>
  <c r="I7" i="7" s="1"/>
  <c r="K7" i="7" s="1"/>
  <c r="L7" i="3"/>
  <c r="M7" i="3" s="1"/>
  <c r="J7" i="3"/>
  <c r="K7" i="3" s="1"/>
  <c r="I7" i="3"/>
  <c r="H7" i="3"/>
  <c r="G7" i="3"/>
  <c r="F7" i="3"/>
  <c r="E7" i="3"/>
  <c r="D7" i="3"/>
  <c r="W6" i="3"/>
  <c r="R6" i="3"/>
  <c r="I6" i="7" s="1"/>
  <c r="K6" i="7" s="1"/>
  <c r="L6" i="3"/>
  <c r="M6" i="3" s="1"/>
  <c r="J6" i="3"/>
  <c r="K6" i="3" s="1"/>
  <c r="I6" i="3"/>
  <c r="H6" i="3"/>
  <c r="G6" i="3"/>
  <c r="F6" i="3"/>
  <c r="E6" i="3"/>
  <c r="D6" i="3"/>
  <c r="W5" i="3"/>
  <c r="L5" i="3"/>
  <c r="M5" i="3" s="1"/>
  <c r="J5" i="3"/>
  <c r="K5" i="3" s="1"/>
  <c r="I5" i="3"/>
  <c r="H5" i="3"/>
  <c r="G5" i="3"/>
  <c r="F5" i="3"/>
  <c r="E5" i="3"/>
  <c r="D5" i="3"/>
  <c r="W4" i="3"/>
  <c r="L4" i="3"/>
  <c r="M4" i="3" s="1"/>
  <c r="J4" i="3"/>
  <c r="K4" i="3" s="1"/>
  <c r="I4" i="3"/>
  <c r="H4" i="3"/>
  <c r="G4" i="3"/>
  <c r="F4" i="3"/>
  <c r="E4" i="3"/>
  <c r="D4" i="3"/>
  <c r="W3" i="3"/>
  <c r="T3" i="3"/>
  <c r="O3" i="7" s="1"/>
  <c r="Q3" i="7" s="1"/>
  <c r="L3" i="3"/>
  <c r="M3" i="3" s="1"/>
  <c r="J3" i="3"/>
  <c r="K3" i="3" s="1"/>
  <c r="I3" i="3"/>
  <c r="H3" i="3"/>
  <c r="G3" i="3"/>
  <c r="F3" i="3"/>
  <c r="E3" i="3"/>
  <c r="D3" i="3"/>
  <c r="W2" i="3"/>
  <c r="S2" i="3"/>
  <c r="L2" i="7" s="1"/>
  <c r="N2" i="7" s="1"/>
  <c r="L2" i="3"/>
  <c r="M2" i="3" s="1"/>
  <c r="J2" i="3"/>
  <c r="K2" i="3" s="1"/>
  <c r="I2" i="3"/>
  <c r="H2" i="3"/>
  <c r="G2" i="3"/>
  <c r="F2" i="3"/>
  <c r="E2" i="3"/>
  <c r="D2" i="3"/>
  <c r="U232" i="2"/>
  <c r="T232" i="2"/>
  <c r="S232" i="2"/>
  <c r="Q232" i="2"/>
  <c r="P232" i="2"/>
  <c r="O232" i="2"/>
  <c r="R232" i="2" s="1"/>
  <c r="U231" i="2"/>
  <c r="T231" i="2"/>
  <c r="S231" i="2"/>
  <c r="Q231" i="2"/>
  <c r="P231" i="2"/>
  <c r="O231" i="2"/>
  <c r="R231" i="2" s="1"/>
  <c r="U230" i="2"/>
  <c r="T230" i="2"/>
  <c r="S230" i="2"/>
  <c r="Q230" i="2"/>
  <c r="P230" i="2"/>
  <c r="O230" i="2"/>
  <c r="R230" i="2" s="1"/>
  <c r="U229" i="2"/>
  <c r="T229" i="2"/>
  <c r="S229" i="2"/>
  <c r="Q229" i="2"/>
  <c r="P229" i="2"/>
  <c r="O229" i="2"/>
  <c r="R229" i="2" s="1"/>
  <c r="U228" i="2"/>
  <c r="T228" i="2"/>
  <c r="S228" i="2"/>
  <c r="Q228" i="2"/>
  <c r="P228" i="2"/>
  <c r="O228" i="2"/>
  <c r="R228" i="2" s="1"/>
  <c r="U227" i="2"/>
  <c r="T227" i="2"/>
  <c r="S227" i="2"/>
  <c r="Q227" i="2"/>
  <c r="P227" i="2"/>
  <c r="O227" i="2"/>
  <c r="R227" i="2" s="1"/>
  <c r="U226" i="2"/>
  <c r="T226" i="2"/>
  <c r="S226" i="2"/>
  <c r="Q226" i="2"/>
  <c r="P226" i="2"/>
  <c r="O226" i="2"/>
  <c r="R226" i="2" s="1"/>
  <c r="U225" i="2"/>
  <c r="T225" i="2"/>
  <c r="S225" i="2"/>
  <c r="Q225" i="2"/>
  <c r="P225" i="2"/>
  <c r="O225" i="2"/>
  <c r="R225" i="2" s="1"/>
  <c r="U224" i="2"/>
  <c r="T224" i="2"/>
  <c r="S224" i="2"/>
  <c r="Q224" i="2"/>
  <c r="P224" i="2"/>
  <c r="O224" i="2"/>
  <c r="R224" i="2" s="1"/>
  <c r="U223" i="2"/>
  <c r="T223" i="2"/>
  <c r="S223" i="2"/>
  <c r="Q223" i="2"/>
  <c r="P223" i="2"/>
  <c r="O223" i="2"/>
  <c r="R223" i="2" s="1"/>
  <c r="U222" i="2"/>
  <c r="T222" i="2"/>
  <c r="S222" i="2"/>
  <c r="Q222" i="2"/>
  <c r="P222" i="2"/>
  <c r="O222" i="2"/>
  <c r="R222" i="2" s="1"/>
  <c r="U221" i="2"/>
  <c r="T221" i="2"/>
  <c r="S221" i="2"/>
  <c r="Q221" i="2"/>
  <c r="P221" i="2"/>
  <c r="O221" i="2"/>
  <c r="R221" i="2" s="1"/>
  <c r="U220" i="2"/>
  <c r="T220" i="2"/>
  <c r="S220" i="2"/>
  <c r="Q220" i="2"/>
  <c r="P220" i="2"/>
  <c r="O220" i="2"/>
  <c r="R220" i="2" s="1"/>
  <c r="U219" i="2"/>
  <c r="T219" i="2"/>
  <c r="S219" i="2"/>
  <c r="Q219" i="2"/>
  <c r="P219" i="2"/>
  <c r="O219" i="2"/>
  <c r="R219" i="2" s="1"/>
  <c r="U218" i="2"/>
  <c r="T218" i="2"/>
  <c r="S218" i="2"/>
  <c r="Q218" i="2"/>
  <c r="P218" i="2"/>
  <c r="O218" i="2"/>
  <c r="R218" i="2" s="1"/>
  <c r="U217" i="2"/>
  <c r="T217" i="2"/>
  <c r="S217" i="2"/>
  <c r="Q217" i="2"/>
  <c r="P217" i="2"/>
  <c r="O217" i="2"/>
  <c r="R217" i="2" s="1"/>
  <c r="U216" i="2"/>
  <c r="T216" i="2"/>
  <c r="S216" i="2"/>
  <c r="Q216" i="2"/>
  <c r="P216" i="2"/>
  <c r="O216" i="2"/>
  <c r="R216" i="2" s="1"/>
  <c r="U215" i="2"/>
  <c r="T215" i="2"/>
  <c r="S215" i="2"/>
  <c r="Q215" i="2"/>
  <c r="P215" i="2"/>
  <c r="O215" i="2"/>
  <c r="R215" i="2" s="1"/>
  <c r="U214" i="2"/>
  <c r="T214" i="2"/>
  <c r="S214" i="2"/>
  <c r="Q214" i="2"/>
  <c r="P214" i="2"/>
  <c r="O214" i="2"/>
  <c r="R214" i="2" s="1"/>
  <c r="U213" i="2"/>
  <c r="T213" i="2"/>
  <c r="S213" i="2"/>
  <c r="Q213" i="2"/>
  <c r="P213" i="2"/>
  <c r="O213" i="2"/>
  <c r="R213" i="2" s="1"/>
  <c r="U212" i="2"/>
  <c r="T212" i="2"/>
  <c r="S212" i="2"/>
  <c r="Q212" i="2"/>
  <c r="P212" i="2"/>
  <c r="O212" i="2"/>
  <c r="R212" i="2" s="1"/>
  <c r="U211" i="2"/>
  <c r="T211" i="2"/>
  <c r="S211" i="2"/>
  <c r="Q211" i="2"/>
  <c r="P211" i="2"/>
  <c r="O211" i="2"/>
  <c r="R211" i="2" s="1"/>
  <c r="U210" i="2"/>
  <c r="T210" i="2"/>
  <c r="S210" i="2"/>
  <c r="Q210" i="2"/>
  <c r="P210" i="2"/>
  <c r="O210" i="2"/>
  <c r="R210" i="2" s="1"/>
  <c r="U209" i="2"/>
  <c r="T209" i="2"/>
  <c r="S209" i="2"/>
  <c r="Q209" i="2"/>
  <c r="P209" i="2"/>
  <c r="O209" i="2"/>
  <c r="R209" i="2" s="1"/>
  <c r="U208" i="2"/>
  <c r="T208" i="2"/>
  <c r="S208" i="2"/>
  <c r="Q208" i="2"/>
  <c r="P208" i="2"/>
  <c r="O208" i="2"/>
  <c r="R208" i="2" s="1"/>
  <c r="U207" i="2"/>
  <c r="T207" i="2"/>
  <c r="S207" i="2"/>
  <c r="Q207" i="2"/>
  <c r="P207" i="2"/>
  <c r="O207" i="2"/>
  <c r="R207" i="2" s="1"/>
  <c r="U206" i="2"/>
  <c r="T206" i="2"/>
  <c r="S206" i="2"/>
  <c r="Q206" i="2"/>
  <c r="P206" i="2"/>
  <c r="O206" i="2"/>
  <c r="R206" i="2" s="1"/>
  <c r="U205" i="2"/>
  <c r="T205" i="2"/>
  <c r="S205" i="2"/>
  <c r="Q205" i="2"/>
  <c r="P205" i="2"/>
  <c r="O205" i="2"/>
  <c r="R205" i="2" s="1"/>
  <c r="U204" i="2"/>
  <c r="T204" i="2"/>
  <c r="S204" i="2"/>
  <c r="Q204" i="2"/>
  <c r="P204" i="2"/>
  <c r="O204" i="2"/>
  <c r="R204" i="2" s="1"/>
  <c r="U203" i="2"/>
  <c r="T203" i="2"/>
  <c r="S203" i="2"/>
  <c r="Q203" i="2"/>
  <c r="P203" i="2"/>
  <c r="O203" i="2"/>
  <c r="R203" i="2" s="1"/>
  <c r="U202" i="2"/>
  <c r="T202" i="2"/>
  <c r="S202" i="2"/>
  <c r="Q202" i="2"/>
  <c r="P202" i="2"/>
  <c r="O202" i="2"/>
  <c r="R202" i="2" s="1"/>
  <c r="U201" i="2"/>
  <c r="T201" i="2"/>
  <c r="S201" i="2"/>
  <c r="Q201" i="2"/>
  <c r="P201" i="2"/>
  <c r="O201" i="2"/>
  <c r="R201" i="2" s="1"/>
  <c r="U200" i="2"/>
  <c r="T200" i="2"/>
  <c r="S200" i="2"/>
  <c r="Q200" i="2"/>
  <c r="P200" i="2"/>
  <c r="O200" i="2"/>
  <c r="R200" i="2" s="1"/>
  <c r="U199" i="2"/>
  <c r="T199" i="2"/>
  <c r="S199" i="2"/>
  <c r="Q199" i="2"/>
  <c r="P199" i="2"/>
  <c r="O199" i="2"/>
  <c r="R199" i="2" s="1"/>
  <c r="U198" i="2"/>
  <c r="T198" i="2"/>
  <c r="S198" i="2"/>
  <c r="Q198" i="2"/>
  <c r="P198" i="2"/>
  <c r="O198" i="2"/>
  <c r="R198" i="2" s="1"/>
  <c r="U197" i="2"/>
  <c r="T197" i="2"/>
  <c r="S197" i="2"/>
  <c r="Q197" i="2"/>
  <c r="P197" i="2"/>
  <c r="O197" i="2"/>
  <c r="R197" i="2" s="1"/>
  <c r="U196" i="2"/>
  <c r="T196" i="2"/>
  <c r="S196" i="2"/>
  <c r="Q196" i="2"/>
  <c r="P196" i="2"/>
  <c r="O196" i="2"/>
  <c r="R196" i="2" s="1"/>
  <c r="U195" i="2"/>
  <c r="T195" i="2"/>
  <c r="S195" i="2"/>
  <c r="Q195" i="2"/>
  <c r="P195" i="2"/>
  <c r="O195" i="2"/>
  <c r="R195" i="2" s="1"/>
  <c r="U194" i="2"/>
  <c r="T194" i="2"/>
  <c r="S194" i="2"/>
  <c r="Q194" i="2"/>
  <c r="P194" i="2"/>
  <c r="O194" i="2"/>
  <c r="R194" i="2" s="1"/>
  <c r="U193" i="2"/>
  <c r="T193" i="2"/>
  <c r="S193" i="2"/>
  <c r="Q193" i="2"/>
  <c r="P193" i="2"/>
  <c r="O193" i="2"/>
  <c r="R193" i="2" s="1"/>
  <c r="U192" i="2"/>
  <c r="T192" i="2"/>
  <c r="S192" i="2"/>
  <c r="Q192" i="2"/>
  <c r="P192" i="2"/>
  <c r="O192" i="2"/>
  <c r="R192" i="2" s="1"/>
  <c r="U191" i="2"/>
  <c r="T191" i="2"/>
  <c r="S191" i="2"/>
  <c r="Q191" i="2"/>
  <c r="P191" i="2"/>
  <c r="O191" i="2"/>
  <c r="R191" i="2" s="1"/>
  <c r="U190" i="2"/>
  <c r="T190" i="2"/>
  <c r="S190" i="2"/>
  <c r="Q190" i="2"/>
  <c r="P190" i="2"/>
  <c r="O190" i="2"/>
  <c r="R190" i="2" s="1"/>
  <c r="U189" i="2"/>
  <c r="T189" i="2"/>
  <c r="S189" i="2"/>
  <c r="Q189" i="2"/>
  <c r="P189" i="2"/>
  <c r="O189" i="2"/>
  <c r="R189" i="2" s="1"/>
  <c r="U188" i="2"/>
  <c r="T188" i="2"/>
  <c r="S188" i="2"/>
  <c r="Q188" i="2"/>
  <c r="P188" i="2"/>
  <c r="O188" i="2"/>
  <c r="R188" i="2" s="1"/>
  <c r="U187" i="2"/>
  <c r="T187" i="2"/>
  <c r="S187" i="2"/>
  <c r="Q187" i="2"/>
  <c r="P187" i="2"/>
  <c r="O187" i="2"/>
  <c r="R187" i="2" s="1"/>
  <c r="U186" i="2"/>
  <c r="T186" i="2"/>
  <c r="S186" i="2"/>
  <c r="Q186" i="2"/>
  <c r="P186" i="2"/>
  <c r="O186" i="2"/>
  <c r="R186" i="2" s="1"/>
  <c r="U185" i="2"/>
  <c r="T185" i="2"/>
  <c r="S185" i="2"/>
  <c r="Q185" i="2"/>
  <c r="P185" i="2"/>
  <c r="O185" i="2"/>
  <c r="R185" i="2" s="1"/>
  <c r="U184" i="2"/>
  <c r="T184" i="2"/>
  <c r="S184" i="2"/>
  <c r="Q184" i="2"/>
  <c r="P184" i="2"/>
  <c r="O184" i="2"/>
  <c r="R184" i="2" s="1"/>
  <c r="U183" i="2"/>
  <c r="T183" i="2"/>
  <c r="S183" i="2"/>
  <c r="Q183" i="2"/>
  <c r="P183" i="2"/>
  <c r="O183" i="2"/>
  <c r="R183" i="2" s="1"/>
  <c r="U182" i="2"/>
  <c r="T182" i="2"/>
  <c r="S182" i="2"/>
  <c r="Q182" i="2"/>
  <c r="P182" i="2"/>
  <c r="O182" i="2"/>
  <c r="R182" i="2" s="1"/>
  <c r="U181" i="2"/>
  <c r="T181" i="2"/>
  <c r="S181" i="2"/>
  <c r="Q181" i="2"/>
  <c r="P181" i="2"/>
  <c r="O181" i="2"/>
  <c r="R181" i="2" s="1"/>
  <c r="U180" i="2"/>
  <c r="T180" i="2"/>
  <c r="S180" i="2"/>
  <c r="Q180" i="2"/>
  <c r="P180" i="2"/>
  <c r="O180" i="2"/>
  <c r="R180" i="2" s="1"/>
  <c r="U179" i="2"/>
  <c r="T179" i="2"/>
  <c r="S179" i="2"/>
  <c r="Q179" i="2"/>
  <c r="P179" i="2"/>
  <c r="O179" i="2"/>
  <c r="R179" i="2" s="1"/>
  <c r="U178" i="2"/>
  <c r="T178" i="2"/>
  <c r="S178" i="2"/>
  <c r="Q178" i="2"/>
  <c r="P178" i="2"/>
  <c r="O178" i="2"/>
  <c r="R178" i="2" s="1"/>
  <c r="U177" i="2"/>
  <c r="T177" i="2"/>
  <c r="S177" i="2"/>
  <c r="Q177" i="2"/>
  <c r="P177" i="2"/>
  <c r="O177" i="2"/>
  <c r="R177" i="2" s="1"/>
  <c r="U176" i="2"/>
  <c r="T176" i="2"/>
  <c r="S176" i="2"/>
  <c r="Q176" i="2"/>
  <c r="P176" i="2"/>
  <c r="O176" i="2"/>
  <c r="R176" i="2" s="1"/>
  <c r="U175" i="2"/>
  <c r="T175" i="2"/>
  <c r="S175" i="2"/>
  <c r="Q175" i="2"/>
  <c r="P175" i="2"/>
  <c r="O175" i="2"/>
  <c r="R175" i="2" s="1"/>
  <c r="U174" i="2"/>
  <c r="T174" i="2"/>
  <c r="S174" i="2"/>
  <c r="Q174" i="2"/>
  <c r="P174" i="2"/>
  <c r="O174" i="2"/>
  <c r="R174" i="2" s="1"/>
  <c r="U173" i="2"/>
  <c r="T173" i="2"/>
  <c r="S173" i="2"/>
  <c r="Q173" i="2"/>
  <c r="P173" i="2"/>
  <c r="O173" i="2"/>
  <c r="R173" i="2" s="1"/>
  <c r="U172" i="2"/>
  <c r="T172" i="2"/>
  <c r="S172" i="2"/>
  <c r="Q172" i="2"/>
  <c r="P172" i="2"/>
  <c r="O172" i="2"/>
  <c r="R172" i="2" s="1"/>
  <c r="U171" i="2"/>
  <c r="T171" i="2"/>
  <c r="S171" i="2"/>
  <c r="Q171" i="2"/>
  <c r="P171" i="2"/>
  <c r="O171" i="2"/>
  <c r="R171" i="2" s="1"/>
  <c r="U170" i="2"/>
  <c r="T170" i="2"/>
  <c r="S170" i="2"/>
  <c r="Q170" i="2"/>
  <c r="P170" i="2"/>
  <c r="O170" i="2"/>
  <c r="R170" i="2" s="1"/>
  <c r="U169" i="2"/>
  <c r="T169" i="2"/>
  <c r="S169" i="2"/>
  <c r="Q169" i="2"/>
  <c r="P169" i="2"/>
  <c r="O169" i="2"/>
  <c r="R169" i="2" s="1"/>
  <c r="U168" i="2"/>
  <c r="T168" i="2"/>
  <c r="S168" i="2"/>
  <c r="Q168" i="2"/>
  <c r="P168" i="2"/>
  <c r="O168" i="2"/>
  <c r="R168" i="2" s="1"/>
  <c r="U167" i="2"/>
  <c r="T167" i="2"/>
  <c r="S167" i="2"/>
  <c r="Q167" i="2"/>
  <c r="P167" i="2"/>
  <c r="O167" i="2"/>
  <c r="R167" i="2" s="1"/>
  <c r="U166" i="2"/>
  <c r="T166" i="2"/>
  <c r="S166" i="2"/>
  <c r="Q166" i="2"/>
  <c r="P166" i="2"/>
  <c r="O166" i="2"/>
  <c r="R166" i="2" s="1"/>
  <c r="U165" i="2"/>
  <c r="T165" i="2"/>
  <c r="S165" i="2"/>
  <c r="Q165" i="2"/>
  <c r="P165" i="2"/>
  <c r="O165" i="2"/>
  <c r="R165" i="2" s="1"/>
  <c r="U164" i="2"/>
  <c r="T164" i="2"/>
  <c r="S164" i="2"/>
  <c r="Q164" i="2"/>
  <c r="P164" i="2"/>
  <c r="O164" i="2"/>
  <c r="R164" i="2" s="1"/>
  <c r="U163" i="2"/>
  <c r="T163" i="2"/>
  <c r="S163" i="2"/>
  <c r="Q163" i="2"/>
  <c r="P163" i="2"/>
  <c r="O163" i="2"/>
  <c r="R163" i="2" s="1"/>
  <c r="U162" i="2"/>
  <c r="T162" i="2"/>
  <c r="S162" i="2"/>
  <c r="Q162" i="2"/>
  <c r="P162" i="2"/>
  <c r="O162" i="2"/>
  <c r="R162" i="2" s="1"/>
  <c r="U161" i="2"/>
  <c r="T161" i="2"/>
  <c r="S161" i="2"/>
  <c r="Q161" i="2"/>
  <c r="P161" i="2"/>
  <c r="O161" i="2"/>
  <c r="R161" i="2" s="1"/>
  <c r="U160" i="2"/>
  <c r="T160" i="2"/>
  <c r="S160" i="2"/>
  <c r="Q160" i="2"/>
  <c r="P160" i="2"/>
  <c r="O160" i="2"/>
  <c r="R160" i="2" s="1"/>
  <c r="U159" i="2"/>
  <c r="T159" i="2"/>
  <c r="S159" i="2"/>
  <c r="Q159" i="2"/>
  <c r="P159" i="2"/>
  <c r="O159" i="2"/>
  <c r="R159" i="2" s="1"/>
  <c r="U158" i="2"/>
  <c r="T158" i="2"/>
  <c r="S158" i="2"/>
  <c r="Q158" i="2"/>
  <c r="P158" i="2"/>
  <c r="O158" i="2"/>
  <c r="R158" i="2" s="1"/>
  <c r="U157" i="2"/>
  <c r="T157" i="2"/>
  <c r="S157" i="2"/>
  <c r="Q157" i="2"/>
  <c r="P157" i="2"/>
  <c r="O157" i="2"/>
  <c r="R157" i="2" s="1"/>
  <c r="U156" i="2"/>
  <c r="T156" i="2"/>
  <c r="S156" i="2"/>
  <c r="Q156" i="2"/>
  <c r="P156" i="2"/>
  <c r="O156" i="2"/>
  <c r="R156" i="2" s="1"/>
  <c r="U155" i="2"/>
  <c r="T155" i="2"/>
  <c r="S155" i="2"/>
  <c r="Q155" i="2"/>
  <c r="P155" i="2"/>
  <c r="O155" i="2"/>
  <c r="R155" i="2" s="1"/>
  <c r="U154" i="2"/>
  <c r="T154" i="2"/>
  <c r="S154" i="2"/>
  <c r="Q154" i="2"/>
  <c r="P154" i="2"/>
  <c r="O154" i="2"/>
  <c r="R154" i="2" s="1"/>
  <c r="U153" i="2"/>
  <c r="T153" i="2"/>
  <c r="S153" i="2"/>
  <c r="Q153" i="2"/>
  <c r="P153" i="2"/>
  <c r="O153" i="2"/>
  <c r="R153" i="2" s="1"/>
  <c r="U152" i="2"/>
  <c r="T152" i="2"/>
  <c r="S152" i="2"/>
  <c r="Q152" i="2"/>
  <c r="P152" i="2"/>
  <c r="O152" i="2"/>
  <c r="R152" i="2" s="1"/>
  <c r="U151" i="2"/>
  <c r="T151" i="2"/>
  <c r="S151" i="2"/>
  <c r="Q151" i="2"/>
  <c r="P151" i="2"/>
  <c r="O151" i="2"/>
  <c r="R151" i="2" s="1"/>
  <c r="U150" i="2"/>
  <c r="T150" i="2"/>
  <c r="S150" i="2"/>
  <c r="Q150" i="2"/>
  <c r="P150" i="2"/>
  <c r="O150" i="2"/>
  <c r="R150" i="2" s="1"/>
  <c r="U149" i="2"/>
  <c r="T149" i="2"/>
  <c r="S149" i="2"/>
  <c r="Q149" i="2"/>
  <c r="P149" i="2"/>
  <c r="O149" i="2"/>
  <c r="R149" i="2" s="1"/>
  <c r="U148" i="2"/>
  <c r="T148" i="2"/>
  <c r="S148" i="2"/>
  <c r="Q148" i="2"/>
  <c r="P148" i="2"/>
  <c r="O148" i="2"/>
  <c r="R148" i="2" s="1"/>
  <c r="U147" i="2"/>
  <c r="T147" i="2"/>
  <c r="S147" i="2"/>
  <c r="Q147" i="2"/>
  <c r="P147" i="2"/>
  <c r="O147" i="2"/>
  <c r="R147" i="2" s="1"/>
  <c r="U146" i="2"/>
  <c r="T146" i="2"/>
  <c r="S146" i="2"/>
  <c r="Q146" i="2"/>
  <c r="P146" i="2"/>
  <c r="O146" i="2"/>
  <c r="R146" i="2" s="1"/>
  <c r="U145" i="2"/>
  <c r="T145" i="2"/>
  <c r="S145" i="2"/>
  <c r="Q145" i="2"/>
  <c r="P145" i="2"/>
  <c r="O145" i="2"/>
  <c r="R145" i="2" s="1"/>
  <c r="U144" i="2"/>
  <c r="T144" i="2"/>
  <c r="S144" i="2"/>
  <c r="Q144" i="2"/>
  <c r="P144" i="2"/>
  <c r="O144" i="2"/>
  <c r="R144" i="2" s="1"/>
  <c r="U143" i="2"/>
  <c r="T143" i="2"/>
  <c r="S143" i="2"/>
  <c r="Q143" i="2"/>
  <c r="P143" i="2"/>
  <c r="O143" i="2"/>
  <c r="R143" i="2" s="1"/>
  <c r="U142" i="2"/>
  <c r="T142" i="2"/>
  <c r="S142" i="2"/>
  <c r="Q142" i="2"/>
  <c r="P142" i="2"/>
  <c r="O142" i="2"/>
  <c r="R142" i="2" s="1"/>
  <c r="U141" i="2"/>
  <c r="T141" i="2"/>
  <c r="S141" i="2"/>
  <c r="Q141" i="2"/>
  <c r="P141" i="2"/>
  <c r="O141" i="2"/>
  <c r="R141" i="2" s="1"/>
  <c r="U140" i="2"/>
  <c r="T140" i="2"/>
  <c r="S140" i="2"/>
  <c r="Q140" i="2"/>
  <c r="P140" i="2"/>
  <c r="O140" i="2"/>
  <c r="R140" i="2" s="1"/>
  <c r="U139" i="2"/>
  <c r="T139" i="2"/>
  <c r="S139" i="2"/>
  <c r="Q139" i="2"/>
  <c r="P139" i="2"/>
  <c r="O139" i="2"/>
  <c r="R139" i="2" s="1"/>
  <c r="U138" i="2"/>
  <c r="T138" i="2"/>
  <c r="S138" i="2"/>
  <c r="Q138" i="2"/>
  <c r="P138" i="2"/>
  <c r="O138" i="2"/>
  <c r="R138" i="2" s="1"/>
  <c r="U137" i="2"/>
  <c r="T137" i="2"/>
  <c r="S137" i="2"/>
  <c r="Q137" i="2"/>
  <c r="P137" i="2"/>
  <c r="O137" i="2"/>
  <c r="R137" i="2" s="1"/>
  <c r="U136" i="2"/>
  <c r="T136" i="2"/>
  <c r="S136" i="2"/>
  <c r="Q136" i="2"/>
  <c r="P136" i="2"/>
  <c r="O136" i="2"/>
  <c r="R136" i="2" s="1"/>
  <c r="U135" i="2"/>
  <c r="T135" i="2"/>
  <c r="S135" i="2"/>
  <c r="Q135" i="2"/>
  <c r="P135" i="2"/>
  <c r="O135" i="2"/>
  <c r="R135" i="2" s="1"/>
  <c r="U134" i="2"/>
  <c r="T134" i="2"/>
  <c r="S134" i="2"/>
  <c r="Q134" i="2"/>
  <c r="P134" i="2"/>
  <c r="O134" i="2"/>
  <c r="R134" i="2" s="1"/>
  <c r="U133" i="2"/>
  <c r="T133" i="2"/>
  <c r="S133" i="2"/>
  <c r="Q133" i="2"/>
  <c r="P133" i="2"/>
  <c r="O133" i="2"/>
  <c r="R133" i="2" s="1"/>
  <c r="U132" i="2"/>
  <c r="T132" i="2"/>
  <c r="S132" i="2"/>
  <c r="Q132" i="2"/>
  <c r="P132" i="2"/>
  <c r="O132" i="2"/>
  <c r="R132" i="2" s="1"/>
  <c r="U131" i="2"/>
  <c r="T131" i="2"/>
  <c r="S131" i="2"/>
  <c r="Q131" i="2"/>
  <c r="P131" i="2"/>
  <c r="O131" i="2"/>
  <c r="R131" i="2" s="1"/>
  <c r="U130" i="2"/>
  <c r="T130" i="2"/>
  <c r="S130" i="2"/>
  <c r="Q130" i="2"/>
  <c r="P130" i="2"/>
  <c r="O130" i="2"/>
  <c r="R130" i="2" s="1"/>
  <c r="U129" i="2"/>
  <c r="T129" i="2"/>
  <c r="S129" i="2"/>
  <c r="Q129" i="2"/>
  <c r="P129" i="2"/>
  <c r="O129" i="2"/>
  <c r="R129" i="2" s="1"/>
  <c r="U128" i="2"/>
  <c r="T128" i="2"/>
  <c r="S128" i="2"/>
  <c r="Q128" i="2"/>
  <c r="P128" i="2"/>
  <c r="O128" i="2"/>
  <c r="R128" i="2" s="1"/>
  <c r="U127" i="2"/>
  <c r="T127" i="2"/>
  <c r="S127" i="2"/>
  <c r="Q127" i="2"/>
  <c r="P127" i="2"/>
  <c r="O127" i="2"/>
  <c r="R127" i="2" s="1"/>
  <c r="U126" i="2"/>
  <c r="T126" i="2"/>
  <c r="S126" i="2"/>
  <c r="Q126" i="2"/>
  <c r="P126" i="2"/>
  <c r="O126" i="2"/>
  <c r="R126" i="2" s="1"/>
  <c r="U125" i="2"/>
  <c r="T125" i="2"/>
  <c r="S125" i="2"/>
  <c r="Q125" i="2"/>
  <c r="P125" i="2"/>
  <c r="O125" i="2"/>
  <c r="R125" i="2" s="1"/>
  <c r="U124" i="2"/>
  <c r="T124" i="2"/>
  <c r="S124" i="2"/>
  <c r="Q124" i="2"/>
  <c r="P124" i="2"/>
  <c r="O124" i="2"/>
  <c r="R124" i="2" s="1"/>
  <c r="U123" i="2"/>
  <c r="T123" i="2"/>
  <c r="S123" i="2"/>
  <c r="Q123" i="2"/>
  <c r="P123" i="2"/>
  <c r="O123" i="2"/>
  <c r="R123" i="2" s="1"/>
  <c r="U122" i="2"/>
  <c r="T122" i="2"/>
  <c r="S122" i="2"/>
  <c r="Q122" i="2"/>
  <c r="P122" i="2"/>
  <c r="O122" i="2"/>
  <c r="R122" i="2" s="1"/>
  <c r="U121" i="2"/>
  <c r="T121" i="2"/>
  <c r="S121" i="2"/>
  <c r="Q121" i="2"/>
  <c r="P121" i="2"/>
  <c r="O121" i="2"/>
  <c r="R121" i="2" s="1"/>
  <c r="U120" i="2"/>
  <c r="T120" i="2"/>
  <c r="S120" i="2"/>
  <c r="Q120" i="2"/>
  <c r="P120" i="2"/>
  <c r="O120" i="2"/>
  <c r="R120" i="2" s="1"/>
  <c r="U119" i="2"/>
  <c r="T119" i="2"/>
  <c r="S119" i="2"/>
  <c r="Q119" i="2"/>
  <c r="P119" i="2"/>
  <c r="O119" i="2"/>
  <c r="R119" i="2" s="1"/>
  <c r="U118" i="2"/>
  <c r="T118" i="2"/>
  <c r="S118" i="2"/>
  <c r="Q118" i="2"/>
  <c r="P118" i="2"/>
  <c r="O118" i="2"/>
  <c r="R118" i="2" s="1"/>
  <c r="U117" i="2"/>
  <c r="T117" i="2"/>
  <c r="S117" i="2"/>
  <c r="Q117" i="2"/>
  <c r="P117" i="2"/>
  <c r="O117" i="2"/>
  <c r="R117" i="2" s="1"/>
  <c r="U116" i="2"/>
  <c r="T116" i="2"/>
  <c r="S116" i="2"/>
  <c r="Q116" i="2"/>
  <c r="P116" i="2"/>
  <c r="O116" i="2"/>
  <c r="R116" i="2" s="1"/>
  <c r="U115" i="2"/>
  <c r="T115" i="2"/>
  <c r="S115" i="2"/>
  <c r="Q115" i="2"/>
  <c r="P115" i="2"/>
  <c r="O115" i="2"/>
  <c r="R115" i="2" s="1"/>
  <c r="U114" i="2"/>
  <c r="T114" i="2"/>
  <c r="S114" i="2"/>
  <c r="Q114" i="2"/>
  <c r="P114" i="2"/>
  <c r="O114" i="2"/>
  <c r="R114" i="2" s="1"/>
  <c r="U113" i="2"/>
  <c r="T113" i="2"/>
  <c r="S113" i="2"/>
  <c r="Q113" i="2"/>
  <c r="P113" i="2"/>
  <c r="O113" i="2"/>
  <c r="R113" i="2" s="1"/>
  <c r="U112" i="2"/>
  <c r="T112" i="2"/>
  <c r="S112" i="2"/>
  <c r="Q112" i="2"/>
  <c r="P112" i="2"/>
  <c r="O112" i="2"/>
  <c r="R112" i="2" s="1"/>
  <c r="U111" i="2"/>
  <c r="T111" i="2"/>
  <c r="S111" i="2"/>
  <c r="Q111" i="2"/>
  <c r="P111" i="2"/>
  <c r="O111" i="2"/>
  <c r="R111" i="2" s="1"/>
  <c r="U110" i="2"/>
  <c r="T110" i="2"/>
  <c r="S110" i="2"/>
  <c r="Q110" i="2"/>
  <c r="P110" i="2"/>
  <c r="O110" i="2"/>
  <c r="R110" i="2" s="1"/>
  <c r="U109" i="2"/>
  <c r="T109" i="2"/>
  <c r="S109" i="2"/>
  <c r="Q109" i="2"/>
  <c r="P109" i="2"/>
  <c r="O109" i="2"/>
  <c r="R109" i="2" s="1"/>
  <c r="U108" i="2"/>
  <c r="T108" i="2"/>
  <c r="S108" i="2"/>
  <c r="Q108" i="2"/>
  <c r="P108" i="2"/>
  <c r="O108" i="2"/>
  <c r="R108" i="2" s="1"/>
  <c r="U107" i="2"/>
  <c r="T107" i="2"/>
  <c r="S107" i="2"/>
  <c r="Q107" i="2"/>
  <c r="P107" i="2"/>
  <c r="O107" i="2"/>
  <c r="R107" i="2" s="1"/>
  <c r="U106" i="2"/>
  <c r="T106" i="2"/>
  <c r="S106" i="2"/>
  <c r="Q106" i="2"/>
  <c r="P106" i="2"/>
  <c r="O106" i="2"/>
  <c r="R106" i="2" s="1"/>
  <c r="U105" i="2"/>
  <c r="T105" i="2"/>
  <c r="S105" i="2"/>
  <c r="Q105" i="2"/>
  <c r="P105" i="2"/>
  <c r="O105" i="2"/>
  <c r="R105" i="2" s="1"/>
  <c r="U104" i="2"/>
  <c r="T104" i="2"/>
  <c r="S104" i="2"/>
  <c r="Q104" i="2"/>
  <c r="P104" i="2"/>
  <c r="O104" i="2"/>
  <c r="R104" i="2" s="1"/>
  <c r="U103" i="2"/>
  <c r="T103" i="2"/>
  <c r="S103" i="2"/>
  <c r="Q103" i="2"/>
  <c r="P103" i="2"/>
  <c r="O103" i="2"/>
  <c r="R103" i="2" s="1"/>
  <c r="U102" i="2"/>
  <c r="T102" i="2"/>
  <c r="S102" i="2"/>
  <c r="Q102" i="2"/>
  <c r="P102" i="2"/>
  <c r="O102" i="2"/>
  <c r="R102" i="2" s="1"/>
  <c r="U101" i="2"/>
  <c r="T101" i="2"/>
  <c r="S101" i="2"/>
  <c r="Q101" i="2"/>
  <c r="P101" i="2"/>
  <c r="O101" i="2"/>
  <c r="R101" i="2" s="1"/>
  <c r="U100" i="2"/>
  <c r="T100" i="2"/>
  <c r="S100" i="2"/>
  <c r="Q100" i="2"/>
  <c r="P100" i="2"/>
  <c r="O100" i="2"/>
  <c r="R100" i="2" s="1"/>
  <c r="U99" i="2"/>
  <c r="T99" i="2"/>
  <c r="S99" i="2"/>
  <c r="Q99" i="2"/>
  <c r="P99" i="2"/>
  <c r="O99" i="2"/>
  <c r="R99" i="2" s="1"/>
  <c r="U98" i="2"/>
  <c r="T98" i="2"/>
  <c r="S98" i="2"/>
  <c r="Q98" i="2"/>
  <c r="P98" i="2"/>
  <c r="O98" i="2"/>
  <c r="R98" i="2" s="1"/>
  <c r="U97" i="2"/>
  <c r="T97" i="2"/>
  <c r="S97" i="2"/>
  <c r="Q97" i="2"/>
  <c r="P97" i="2"/>
  <c r="O97" i="2"/>
  <c r="R97" i="2" s="1"/>
  <c r="U96" i="2"/>
  <c r="T96" i="2"/>
  <c r="S96" i="2"/>
  <c r="Q96" i="2"/>
  <c r="P96" i="2"/>
  <c r="O96" i="2"/>
  <c r="R96" i="2" s="1"/>
  <c r="U95" i="2"/>
  <c r="T95" i="2"/>
  <c r="S95" i="2"/>
  <c r="Q95" i="2"/>
  <c r="P95" i="2"/>
  <c r="O95" i="2"/>
  <c r="R95" i="2" s="1"/>
  <c r="U94" i="2"/>
  <c r="T94" i="2"/>
  <c r="S94" i="2"/>
  <c r="Q94" i="2"/>
  <c r="P94" i="2"/>
  <c r="O94" i="2"/>
  <c r="R94" i="2" s="1"/>
  <c r="U93" i="2"/>
  <c r="T93" i="2"/>
  <c r="S93" i="2"/>
  <c r="Q93" i="2"/>
  <c r="P93" i="2"/>
  <c r="O93" i="2"/>
  <c r="R93" i="2" s="1"/>
  <c r="U92" i="2"/>
  <c r="T92" i="2"/>
  <c r="S92" i="2"/>
  <c r="Q92" i="2"/>
  <c r="P92" i="2"/>
  <c r="O92" i="2"/>
  <c r="R92" i="2" s="1"/>
  <c r="U91" i="2"/>
  <c r="T91" i="2"/>
  <c r="S91" i="2"/>
  <c r="Q91" i="2"/>
  <c r="P91" i="2"/>
  <c r="O91" i="2"/>
  <c r="R91" i="2" s="1"/>
  <c r="U90" i="2"/>
  <c r="T90" i="2"/>
  <c r="S90" i="2"/>
  <c r="Q90" i="2"/>
  <c r="P90" i="2"/>
  <c r="O90" i="2"/>
  <c r="R90" i="2" s="1"/>
  <c r="U89" i="2"/>
  <c r="T89" i="2"/>
  <c r="S89" i="2"/>
  <c r="Q89" i="2"/>
  <c r="P89" i="2"/>
  <c r="O89" i="2"/>
  <c r="R89" i="2" s="1"/>
  <c r="U88" i="2"/>
  <c r="T88" i="2"/>
  <c r="S88" i="2"/>
  <c r="Q88" i="2"/>
  <c r="P88" i="2"/>
  <c r="O88" i="2"/>
  <c r="R88" i="2" s="1"/>
  <c r="U87" i="2"/>
  <c r="T87" i="2"/>
  <c r="S87" i="2"/>
  <c r="Q87" i="2"/>
  <c r="P87" i="2"/>
  <c r="O87" i="2"/>
  <c r="R87" i="2" s="1"/>
  <c r="U86" i="2"/>
  <c r="T86" i="2"/>
  <c r="S86" i="2"/>
  <c r="Q86" i="2"/>
  <c r="P86" i="2"/>
  <c r="O86" i="2"/>
  <c r="R86" i="2" s="1"/>
  <c r="U85" i="2"/>
  <c r="T85" i="2"/>
  <c r="S85" i="2"/>
  <c r="Q85" i="2"/>
  <c r="P85" i="2"/>
  <c r="O85" i="2"/>
  <c r="R85" i="2" s="1"/>
  <c r="U84" i="2"/>
  <c r="T84" i="2"/>
  <c r="S84" i="2"/>
  <c r="Q84" i="2"/>
  <c r="P84" i="2"/>
  <c r="O84" i="2"/>
  <c r="R84" i="2" s="1"/>
  <c r="U83" i="2"/>
  <c r="T83" i="2"/>
  <c r="S83" i="2"/>
  <c r="Q83" i="2"/>
  <c r="P83" i="2"/>
  <c r="O83" i="2"/>
  <c r="R83" i="2" s="1"/>
  <c r="U82" i="2"/>
  <c r="T82" i="2"/>
  <c r="S82" i="2"/>
  <c r="Q82" i="2"/>
  <c r="P82" i="2"/>
  <c r="O82" i="2"/>
  <c r="R82" i="2" s="1"/>
  <c r="U81" i="2"/>
  <c r="T81" i="2"/>
  <c r="S81" i="2"/>
  <c r="Q81" i="2"/>
  <c r="P81" i="2"/>
  <c r="O81" i="2"/>
  <c r="R81" i="2" s="1"/>
  <c r="U80" i="2"/>
  <c r="T80" i="2"/>
  <c r="S80" i="2"/>
  <c r="Q80" i="2"/>
  <c r="P80" i="2"/>
  <c r="O80" i="2"/>
  <c r="R80" i="2" s="1"/>
  <c r="U79" i="2"/>
  <c r="T79" i="2"/>
  <c r="S79" i="2"/>
  <c r="Q79" i="2"/>
  <c r="P79" i="2"/>
  <c r="O79" i="2"/>
  <c r="R79" i="2" s="1"/>
  <c r="U78" i="2"/>
  <c r="T78" i="2"/>
  <c r="S78" i="2"/>
  <c r="Q78" i="2"/>
  <c r="P78" i="2"/>
  <c r="O78" i="2"/>
  <c r="R78" i="2" s="1"/>
  <c r="U77" i="2"/>
  <c r="T77" i="2"/>
  <c r="S77" i="2"/>
  <c r="Q77" i="2"/>
  <c r="P77" i="2"/>
  <c r="O77" i="2"/>
  <c r="R77" i="2" s="1"/>
  <c r="U76" i="2"/>
  <c r="T76" i="2"/>
  <c r="S76" i="2"/>
  <c r="Q76" i="2"/>
  <c r="P76" i="2"/>
  <c r="O76" i="2"/>
  <c r="R76" i="2" s="1"/>
  <c r="U75" i="2"/>
  <c r="T75" i="2"/>
  <c r="S75" i="2"/>
  <c r="Q75" i="2"/>
  <c r="P75" i="2"/>
  <c r="O75" i="2"/>
  <c r="R75" i="2" s="1"/>
  <c r="U74" i="2"/>
  <c r="T74" i="2"/>
  <c r="S74" i="2"/>
  <c r="Q74" i="2"/>
  <c r="P74" i="2"/>
  <c r="O74" i="2"/>
  <c r="R74" i="2" s="1"/>
  <c r="U73" i="2"/>
  <c r="T73" i="2"/>
  <c r="S73" i="2"/>
  <c r="Q73" i="2"/>
  <c r="P73" i="2"/>
  <c r="O73" i="2"/>
  <c r="R73" i="2" s="1"/>
  <c r="U72" i="2"/>
  <c r="T72" i="2"/>
  <c r="S72" i="2"/>
  <c r="Q72" i="2"/>
  <c r="P72" i="2"/>
  <c r="O72" i="2"/>
  <c r="R72" i="2" s="1"/>
  <c r="U71" i="2"/>
  <c r="T71" i="2"/>
  <c r="S71" i="2"/>
  <c r="Q71" i="2"/>
  <c r="P71" i="2"/>
  <c r="O71" i="2"/>
  <c r="R71" i="2" s="1"/>
  <c r="U70" i="2"/>
  <c r="T70" i="2"/>
  <c r="S70" i="2"/>
  <c r="Q70" i="2"/>
  <c r="P70" i="2"/>
  <c r="O70" i="2"/>
  <c r="R70" i="2" s="1"/>
  <c r="U69" i="2"/>
  <c r="T69" i="2"/>
  <c r="S69" i="2"/>
  <c r="Q69" i="2"/>
  <c r="P69" i="2"/>
  <c r="O69" i="2"/>
  <c r="R69" i="2" s="1"/>
  <c r="U68" i="2"/>
  <c r="T68" i="2"/>
  <c r="S68" i="2"/>
  <c r="Q68" i="2"/>
  <c r="P68" i="2"/>
  <c r="O68" i="2"/>
  <c r="R68" i="2" s="1"/>
  <c r="U67" i="2"/>
  <c r="T67" i="2"/>
  <c r="S67" i="2"/>
  <c r="Q67" i="2"/>
  <c r="P67" i="2"/>
  <c r="O67" i="2"/>
  <c r="R67" i="2" s="1"/>
  <c r="U66" i="2"/>
  <c r="T66" i="2"/>
  <c r="S66" i="2"/>
  <c r="Q66" i="2"/>
  <c r="P66" i="2"/>
  <c r="O66" i="2"/>
  <c r="R66" i="2" s="1"/>
  <c r="U65" i="2"/>
  <c r="T65" i="2"/>
  <c r="S65" i="2"/>
  <c r="Q65" i="2"/>
  <c r="P65" i="2"/>
  <c r="O65" i="2"/>
  <c r="R65" i="2" s="1"/>
  <c r="U64" i="2"/>
  <c r="T64" i="2"/>
  <c r="S64" i="2"/>
  <c r="Q64" i="2"/>
  <c r="P64" i="2"/>
  <c r="O64" i="2"/>
  <c r="R64" i="2" s="1"/>
  <c r="U63" i="2"/>
  <c r="T63" i="2"/>
  <c r="S63" i="2"/>
  <c r="Q63" i="2"/>
  <c r="P63" i="2"/>
  <c r="O63" i="2"/>
  <c r="R63" i="2" s="1"/>
  <c r="U62" i="2"/>
  <c r="T62" i="2"/>
  <c r="S62" i="2"/>
  <c r="Q62" i="2"/>
  <c r="P62" i="2"/>
  <c r="O62" i="2"/>
  <c r="R62" i="2" s="1"/>
  <c r="U61" i="2"/>
  <c r="T61" i="2"/>
  <c r="S61" i="2"/>
  <c r="Q61" i="2"/>
  <c r="P61" i="2"/>
  <c r="O61" i="2"/>
  <c r="R61" i="2" s="1"/>
  <c r="U60" i="2"/>
  <c r="T60" i="2"/>
  <c r="S60" i="2"/>
  <c r="Q60" i="2"/>
  <c r="P60" i="2"/>
  <c r="O60" i="2"/>
  <c r="R60" i="2" s="1"/>
  <c r="U59" i="2"/>
  <c r="T59" i="2"/>
  <c r="S59" i="2"/>
  <c r="Q59" i="2"/>
  <c r="P59" i="2"/>
  <c r="O59" i="2"/>
  <c r="R59" i="2" s="1"/>
  <c r="U58" i="2"/>
  <c r="T58" i="2"/>
  <c r="S58" i="2"/>
  <c r="Q58" i="2"/>
  <c r="P58" i="2"/>
  <c r="O58" i="2"/>
  <c r="R58" i="2" s="1"/>
  <c r="U57" i="2"/>
  <c r="T57" i="2"/>
  <c r="S57" i="2"/>
  <c r="Q57" i="2"/>
  <c r="P57" i="2"/>
  <c r="O57" i="2"/>
  <c r="R57" i="2" s="1"/>
  <c r="U56" i="2"/>
  <c r="T56" i="2"/>
  <c r="S56" i="2"/>
  <c r="Q56" i="2"/>
  <c r="P56" i="2"/>
  <c r="O56" i="2"/>
  <c r="R56" i="2" s="1"/>
  <c r="U55" i="2"/>
  <c r="T55" i="2"/>
  <c r="S55" i="2"/>
  <c r="Q55" i="2"/>
  <c r="P55" i="2"/>
  <c r="O55" i="2"/>
  <c r="R55" i="2" s="1"/>
  <c r="U54" i="2"/>
  <c r="T54" i="2"/>
  <c r="S54" i="2"/>
  <c r="Q54" i="2"/>
  <c r="P54" i="2"/>
  <c r="O54" i="2"/>
  <c r="R54" i="2" s="1"/>
  <c r="U53" i="2"/>
  <c r="T53" i="2"/>
  <c r="S53" i="2"/>
  <c r="Q53" i="2"/>
  <c r="P53" i="2"/>
  <c r="O53" i="2"/>
  <c r="R53" i="2" s="1"/>
  <c r="U52" i="2"/>
  <c r="T52" i="2"/>
  <c r="S52" i="2"/>
  <c r="Q52" i="2"/>
  <c r="P52" i="2"/>
  <c r="O52" i="2"/>
  <c r="R52" i="2" s="1"/>
  <c r="U51" i="2"/>
  <c r="T51" i="2"/>
  <c r="S51" i="2"/>
  <c r="Q51" i="2"/>
  <c r="P51" i="2"/>
  <c r="O51" i="2"/>
  <c r="R51" i="2" s="1"/>
  <c r="U50" i="2"/>
  <c r="T50" i="2"/>
  <c r="S50" i="2"/>
  <c r="Q50" i="2"/>
  <c r="P50" i="2"/>
  <c r="O50" i="2"/>
  <c r="R50" i="2" s="1"/>
  <c r="U49" i="2"/>
  <c r="T49" i="2"/>
  <c r="S49" i="2"/>
  <c r="Q49" i="2"/>
  <c r="P49" i="2"/>
  <c r="O49" i="2"/>
  <c r="R49" i="2" s="1"/>
  <c r="U48" i="2"/>
  <c r="T48" i="2"/>
  <c r="S48" i="2"/>
  <c r="Q48" i="2"/>
  <c r="P48" i="2"/>
  <c r="O48" i="2"/>
  <c r="R48" i="2" s="1"/>
  <c r="U47" i="2"/>
  <c r="T47" i="2"/>
  <c r="S47" i="2"/>
  <c r="Q47" i="2"/>
  <c r="P47" i="2"/>
  <c r="O47" i="2"/>
  <c r="R47" i="2" s="1"/>
  <c r="U46" i="2"/>
  <c r="T46" i="2"/>
  <c r="S46" i="2"/>
  <c r="Q46" i="2"/>
  <c r="P46" i="2"/>
  <c r="O46" i="2"/>
  <c r="R46" i="2" s="1"/>
  <c r="U45" i="2"/>
  <c r="T45" i="2"/>
  <c r="S45" i="2"/>
  <c r="Q45" i="2"/>
  <c r="P45" i="2"/>
  <c r="O45" i="2"/>
  <c r="R45" i="2" s="1"/>
  <c r="U44" i="2"/>
  <c r="T44" i="2"/>
  <c r="S44" i="2"/>
  <c r="Q44" i="2"/>
  <c r="P44" i="2"/>
  <c r="O44" i="2"/>
  <c r="R44" i="2" s="1"/>
  <c r="U43" i="2"/>
  <c r="T43" i="2"/>
  <c r="S43" i="2"/>
  <c r="Q43" i="2"/>
  <c r="P43" i="2"/>
  <c r="O43" i="2"/>
  <c r="R43" i="2" s="1"/>
  <c r="U42" i="2"/>
  <c r="T42" i="2"/>
  <c r="S42" i="2"/>
  <c r="Q42" i="2"/>
  <c r="P42" i="2"/>
  <c r="O42" i="2"/>
  <c r="R42" i="2" s="1"/>
  <c r="U41" i="2"/>
  <c r="T41" i="2"/>
  <c r="S41" i="2"/>
  <c r="Q41" i="2"/>
  <c r="P41" i="2"/>
  <c r="O41" i="2"/>
  <c r="R41" i="2" s="1"/>
  <c r="U40" i="2"/>
  <c r="T40" i="2"/>
  <c r="S40" i="2"/>
  <c r="Q40" i="2"/>
  <c r="P40" i="2"/>
  <c r="O40" i="2"/>
  <c r="R40" i="2" s="1"/>
  <c r="U39" i="2"/>
  <c r="T39" i="2"/>
  <c r="S39" i="2"/>
  <c r="Q39" i="2"/>
  <c r="P39" i="2"/>
  <c r="O39" i="2"/>
  <c r="R39" i="2" s="1"/>
  <c r="U38" i="2"/>
  <c r="T38" i="2"/>
  <c r="S38" i="2"/>
  <c r="Q38" i="2"/>
  <c r="P38" i="2"/>
  <c r="O38" i="2"/>
  <c r="R38" i="2" s="1"/>
  <c r="U37" i="2"/>
  <c r="T37" i="2"/>
  <c r="S37" i="2"/>
  <c r="Q37" i="2"/>
  <c r="P37" i="2"/>
  <c r="O37" i="2"/>
  <c r="R37" i="2" s="1"/>
  <c r="U36" i="2"/>
  <c r="T36" i="2"/>
  <c r="S36" i="2"/>
  <c r="Q36" i="2"/>
  <c r="P36" i="2"/>
  <c r="O36" i="2"/>
  <c r="R36" i="2" s="1"/>
  <c r="U35" i="2"/>
  <c r="T35" i="2"/>
  <c r="S35" i="2"/>
  <c r="Q35" i="2"/>
  <c r="P35" i="2"/>
  <c r="O35" i="2"/>
  <c r="R35" i="2" s="1"/>
  <c r="U34" i="2"/>
  <c r="T34" i="2"/>
  <c r="S34" i="2"/>
  <c r="Q34" i="2"/>
  <c r="P34" i="2"/>
  <c r="O34" i="2"/>
  <c r="R34" i="2" s="1"/>
  <c r="U33" i="2"/>
  <c r="T33" i="2"/>
  <c r="S33" i="2"/>
  <c r="Q33" i="2"/>
  <c r="P33" i="2"/>
  <c r="O33" i="2"/>
  <c r="R33" i="2" s="1"/>
  <c r="U32" i="2"/>
  <c r="T32" i="2"/>
  <c r="S32" i="2"/>
  <c r="Q32" i="2"/>
  <c r="P32" i="2"/>
  <c r="O32" i="2"/>
  <c r="R32" i="2" s="1"/>
  <c r="U31" i="2"/>
  <c r="T31" i="2"/>
  <c r="S31" i="2"/>
  <c r="Q31" i="2"/>
  <c r="P31" i="2"/>
  <c r="O31" i="2"/>
  <c r="R31" i="2" s="1"/>
  <c r="U30" i="2"/>
  <c r="T30" i="2"/>
  <c r="S30" i="2"/>
  <c r="Q30" i="2"/>
  <c r="P30" i="2"/>
  <c r="O30" i="2"/>
  <c r="R30" i="2" s="1"/>
  <c r="U29" i="2"/>
  <c r="T29" i="2"/>
  <c r="S29" i="2"/>
  <c r="Q29" i="2"/>
  <c r="P29" i="2"/>
  <c r="O29" i="2"/>
  <c r="R29" i="2" s="1"/>
  <c r="U28" i="2"/>
  <c r="T28" i="2"/>
  <c r="S28" i="2"/>
  <c r="Q28" i="2"/>
  <c r="P28" i="2"/>
  <c r="O28" i="2"/>
  <c r="R28" i="2" s="1"/>
  <c r="U27" i="2"/>
  <c r="T27" i="2"/>
  <c r="S27" i="2"/>
  <c r="Q27" i="2"/>
  <c r="P27" i="2"/>
  <c r="O27" i="2"/>
  <c r="R27" i="2" s="1"/>
  <c r="U26" i="2"/>
  <c r="T26" i="2"/>
  <c r="S26" i="2"/>
  <c r="Q26" i="2"/>
  <c r="P26" i="2"/>
  <c r="O26" i="2"/>
  <c r="R26" i="2" s="1"/>
  <c r="U25" i="2"/>
  <c r="T25" i="2"/>
  <c r="S25" i="2"/>
  <c r="Q25" i="2"/>
  <c r="P25" i="2"/>
  <c r="O25" i="2"/>
  <c r="R25" i="2" s="1"/>
  <c r="U24" i="2"/>
  <c r="T24" i="2"/>
  <c r="S24" i="2"/>
  <c r="Q24" i="2"/>
  <c r="P24" i="2"/>
  <c r="O24" i="2"/>
  <c r="R24" i="2" s="1"/>
  <c r="U23" i="2"/>
  <c r="T23" i="2"/>
  <c r="S23" i="2"/>
  <c r="Q23" i="2"/>
  <c r="P23" i="2"/>
  <c r="O23" i="2"/>
  <c r="R23" i="2" s="1"/>
  <c r="U22" i="2"/>
  <c r="T22" i="2"/>
  <c r="S22" i="2"/>
  <c r="Q22" i="2"/>
  <c r="P22" i="2"/>
  <c r="O22" i="2"/>
  <c r="R22" i="2" s="1"/>
  <c r="U21" i="2"/>
  <c r="T21" i="2"/>
  <c r="S21" i="2"/>
  <c r="Q21" i="2"/>
  <c r="P21" i="2"/>
  <c r="O21" i="2"/>
  <c r="R21" i="2" s="1"/>
  <c r="U20" i="2"/>
  <c r="T20" i="2"/>
  <c r="S20" i="2"/>
  <c r="Q20" i="2"/>
  <c r="P20" i="2"/>
  <c r="O20" i="2"/>
  <c r="R20" i="2" s="1"/>
  <c r="U19" i="2"/>
  <c r="T19" i="2"/>
  <c r="S19" i="2"/>
  <c r="Q19" i="2"/>
  <c r="P19" i="2"/>
  <c r="O19" i="2"/>
  <c r="R19" i="2" s="1"/>
  <c r="U18" i="2"/>
  <c r="T18" i="2"/>
  <c r="S18" i="2"/>
  <c r="Q18" i="2"/>
  <c r="P18" i="2"/>
  <c r="O18" i="2"/>
  <c r="R18" i="2" s="1"/>
  <c r="U17" i="2"/>
  <c r="T17" i="2"/>
  <c r="S17" i="2"/>
  <c r="Q17" i="2"/>
  <c r="P17" i="2"/>
  <c r="O17" i="2"/>
  <c r="R17" i="2" s="1"/>
  <c r="U16" i="2"/>
  <c r="T16" i="2"/>
  <c r="S16" i="2"/>
  <c r="Q16" i="2"/>
  <c r="P16" i="2"/>
  <c r="O16" i="2"/>
  <c r="R16" i="2" s="1"/>
  <c r="U15" i="2"/>
  <c r="T15" i="2"/>
  <c r="S15" i="2"/>
  <c r="Q15" i="2"/>
  <c r="P15" i="2"/>
  <c r="O15" i="2"/>
  <c r="R15" i="2" s="1"/>
  <c r="U14" i="2"/>
  <c r="T14" i="2"/>
  <c r="S14" i="2"/>
  <c r="Q14" i="2"/>
  <c r="P14" i="2"/>
  <c r="O14" i="2"/>
  <c r="R14" i="2" s="1"/>
  <c r="U13" i="2"/>
  <c r="T13" i="2"/>
  <c r="S13" i="2"/>
  <c r="Q13" i="2"/>
  <c r="P13" i="2"/>
  <c r="O13" i="2"/>
  <c r="R13" i="2" s="1"/>
  <c r="U12" i="2"/>
  <c r="T12" i="2"/>
  <c r="S12" i="2"/>
  <c r="Q12" i="2"/>
  <c r="P12" i="2"/>
  <c r="O12" i="2"/>
  <c r="R12" i="2" s="1"/>
  <c r="U11" i="2"/>
  <c r="T11" i="2"/>
  <c r="S11" i="2"/>
  <c r="Q11" i="2"/>
  <c r="P11" i="2"/>
  <c r="O11" i="2"/>
  <c r="R11" i="2" s="1"/>
  <c r="U10" i="2"/>
  <c r="T10" i="2"/>
  <c r="S10" i="2"/>
  <c r="Q10" i="2"/>
  <c r="P10" i="2"/>
  <c r="O10" i="2"/>
  <c r="R10" i="2" s="1"/>
  <c r="U9" i="2"/>
  <c r="T9" i="2"/>
  <c r="S9" i="2"/>
  <c r="Q9" i="2"/>
  <c r="P9" i="2"/>
  <c r="O9" i="2"/>
  <c r="R9" i="2" s="1"/>
  <c r="U8" i="2"/>
  <c r="T8" i="2"/>
  <c r="S8" i="2"/>
  <c r="Q8" i="2"/>
  <c r="P8" i="2"/>
  <c r="O8" i="2"/>
  <c r="R8" i="2" s="1"/>
  <c r="U7" i="2"/>
  <c r="T7" i="2"/>
  <c r="S7" i="2"/>
  <c r="Q7" i="2"/>
  <c r="P7" i="2"/>
  <c r="O7" i="2"/>
  <c r="R7" i="2" s="1"/>
  <c r="U6" i="2"/>
  <c r="T6" i="2"/>
  <c r="S6" i="2"/>
  <c r="Q6" i="2"/>
  <c r="P6" i="2"/>
  <c r="O6" i="2"/>
  <c r="R6" i="2" s="1"/>
  <c r="U5" i="2"/>
  <c r="T5" i="2"/>
  <c r="S5" i="2"/>
  <c r="Q5" i="2"/>
  <c r="P5" i="2"/>
  <c r="O5" i="2"/>
  <c r="R5" i="2" s="1"/>
  <c r="U4" i="2"/>
  <c r="T4" i="2"/>
  <c r="S4" i="2"/>
  <c r="Q4" i="2"/>
  <c r="P4" i="2"/>
  <c r="O4" i="2"/>
  <c r="R4" i="2" s="1"/>
  <c r="U3" i="2"/>
  <c r="T3" i="2"/>
  <c r="S3" i="2"/>
  <c r="Q3" i="2"/>
  <c r="P3" i="2"/>
  <c r="O3" i="2"/>
  <c r="R3" i="2" s="1"/>
  <c r="U2" i="2"/>
  <c r="T2" i="2"/>
  <c r="S2" i="2"/>
  <c r="Q2" i="2"/>
  <c r="P2" i="2"/>
  <c r="O2" i="2"/>
  <c r="R2" i="2" s="1"/>
  <c r="T81" i="7" l="1"/>
  <c r="Q96" i="7"/>
  <c r="N103" i="7"/>
  <c r="K118" i="7"/>
  <c r="Q152" i="7"/>
  <c r="N167" i="7"/>
  <c r="Q176" i="7"/>
  <c r="T177" i="7"/>
  <c r="Q200" i="7"/>
  <c r="Q2" i="7"/>
  <c r="T3" i="7"/>
  <c r="K8" i="7"/>
  <c r="N9" i="7"/>
  <c r="Q10" i="7"/>
  <c r="T11" i="7"/>
  <c r="N17" i="7"/>
  <c r="Q18" i="7"/>
  <c r="T19" i="7"/>
  <c r="K24" i="7"/>
  <c r="N25" i="7"/>
  <c r="T27" i="7"/>
  <c r="K32" i="7"/>
  <c r="N33" i="7"/>
  <c r="Q34" i="7"/>
  <c r="K40" i="7"/>
  <c r="N41" i="7"/>
  <c r="Q42" i="7"/>
  <c r="T43" i="7"/>
  <c r="K48" i="7"/>
  <c r="N49" i="7"/>
  <c r="Q50" i="7"/>
  <c r="T51" i="7"/>
  <c r="K56" i="7"/>
  <c r="N57" i="7"/>
  <c r="Q58" i="7"/>
  <c r="T59" i="7"/>
  <c r="C23" i="24"/>
  <c r="B23" i="24"/>
  <c r="N188" i="4"/>
  <c r="O188" i="4" s="1"/>
  <c r="N196" i="4"/>
  <c r="O196" i="4" s="1"/>
  <c r="P196" i="4" s="1"/>
  <c r="Q9" i="7"/>
  <c r="T10" i="7"/>
  <c r="K31" i="7"/>
  <c r="Q49" i="7"/>
  <c r="N64" i="4"/>
  <c r="O64" i="4" s="1"/>
  <c r="P64" i="4" s="1"/>
  <c r="N80" i="4"/>
  <c r="O80" i="4" s="1"/>
  <c r="N200" i="4"/>
  <c r="O200" i="4" s="1"/>
  <c r="P200" i="4" s="1"/>
  <c r="V21" i="7"/>
  <c r="W21" i="7" s="1"/>
  <c r="N124" i="4"/>
  <c r="O124" i="4" s="1"/>
  <c r="N53" i="3"/>
  <c r="D53" i="7" s="1"/>
  <c r="F53" i="7" s="1"/>
  <c r="V211" i="7"/>
  <c r="W211" i="7" s="1"/>
  <c r="N55" i="3"/>
  <c r="O55" i="3" s="1"/>
  <c r="N104" i="4"/>
  <c r="O104" i="4" s="1"/>
  <c r="P104" i="4" s="1"/>
  <c r="N16" i="4"/>
  <c r="O16" i="4" s="1"/>
  <c r="N48" i="4"/>
  <c r="O48" i="4" s="1"/>
  <c r="P48" i="4" s="1"/>
  <c r="R188" i="3"/>
  <c r="I188" i="7" s="1"/>
  <c r="K188" i="7" s="1"/>
  <c r="V57" i="7"/>
  <c r="W57" i="7" s="1"/>
  <c r="N32" i="4"/>
  <c r="O32" i="4" s="1"/>
  <c r="P32" i="4" s="1"/>
  <c r="N79" i="4"/>
  <c r="O79" i="4" s="1"/>
  <c r="P79" i="4" s="1"/>
  <c r="N96" i="4"/>
  <c r="O96" i="4" s="1"/>
  <c r="N118" i="4"/>
  <c r="O118" i="4" s="1"/>
  <c r="P118" i="4" s="1"/>
  <c r="Q193" i="7"/>
  <c r="T194" i="7"/>
  <c r="V45" i="7"/>
  <c r="W45" i="7" s="1"/>
  <c r="V230" i="7"/>
  <c r="W230" i="7" s="1"/>
  <c r="N4" i="4"/>
  <c r="O4" i="4" s="1"/>
  <c r="P4" i="4" s="1"/>
  <c r="N20" i="4"/>
  <c r="O20" i="4" s="1"/>
  <c r="P20" i="4" s="1"/>
  <c r="N36" i="4"/>
  <c r="O36" i="4" s="1"/>
  <c r="N52" i="4"/>
  <c r="O52" i="4" s="1"/>
  <c r="P52" i="4" s="1"/>
  <c r="V53" i="7"/>
  <c r="W53" i="7" s="1"/>
  <c r="V62" i="7"/>
  <c r="W62" i="7" s="1"/>
  <c r="V85" i="7"/>
  <c r="W85" i="7" s="1"/>
  <c r="V93" i="7"/>
  <c r="W93" i="7" s="1"/>
  <c r="V94" i="7"/>
  <c r="W94" i="7" s="1"/>
  <c r="V125" i="7"/>
  <c r="W125" i="7" s="1"/>
  <c r="V133" i="7"/>
  <c r="W133" i="7" s="1"/>
  <c r="Q217" i="7"/>
  <c r="N224" i="7"/>
  <c r="K231" i="7"/>
  <c r="N189" i="4"/>
  <c r="O189" i="4" s="1"/>
  <c r="P189" i="4" s="1"/>
  <c r="V124" i="7"/>
  <c r="W124" i="7" s="1"/>
  <c r="V132" i="7"/>
  <c r="W132" i="7" s="1"/>
  <c r="V164" i="7"/>
  <c r="W164" i="7" s="1"/>
  <c r="V180" i="7"/>
  <c r="W180" i="7" s="1"/>
  <c r="V188" i="7"/>
  <c r="W188" i="7" s="1"/>
  <c r="V196" i="7"/>
  <c r="W196" i="7" s="1"/>
  <c r="V204" i="7"/>
  <c r="W204" i="7" s="1"/>
  <c r="V212" i="7"/>
  <c r="W212" i="7" s="1"/>
  <c r="V220" i="7"/>
  <c r="W220" i="7" s="1"/>
  <c r="V42" i="7"/>
  <c r="W42" i="7" s="1"/>
  <c r="N99" i="4"/>
  <c r="O99" i="4" s="1"/>
  <c r="P99" i="4" s="1"/>
  <c r="N115" i="4"/>
  <c r="O115" i="4" s="1"/>
  <c r="N178" i="4"/>
  <c r="O178" i="4" s="1"/>
  <c r="P178" i="4" s="1"/>
  <c r="V17" i="7"/>
  <c r="W17" i="7" s="1"/>
  <c r="V41" i="7"/>
  <c r="W41" i="7" s="1"/>
  <c r="N195" i="4"/>
  <c r="O195" i="4" s="1"/>
  <c r="P195" i="4" s="1"/>
  <c r="N201" i="4"/>
  <c r="O201" i="4" s="1"/>
  <c r="N209" i="4"/>
  <c r="O209" i="4" s="1"/>
  <c r="P209" i="4" s="1"/>
  <c r="N217" i="4"/>
  <c r="O217" i="4" s="1"/>
  <c r="P217" i="4" s="1"/>
  <c r="N225" i="4"/>
  <c r="O225" i="4" s="1"/>
  <c r="V6" i="7"/>
  <c r="W6" i="7" s="1"/>
  <c r="N112" i="4"/>
  <c r="O112" i="4" s="1"/>
  <c r="S112" i="3"/>
  <c r="L112" i="7" s="1"/>
  <c r="N112" i="7" s="1"/>
  <c r="N192" i="4"/>
  <c r="O192" i="4" s="1"/>
  <c r="S192" i="3"/>
  <c r="L192" i="7" s="1"/>
  <c r="N192" i="7" s="1"/>
  <c r="I71" i="7"/>
  <c r="K71" i="7" s="1"/>
  <c r="N71" i="3"/>
  <c r="D71" i="7" s="1"/>
  <c r="F71" i="7" s="1"/>
  <c r="N190" i="4"/>
  <c r="O190" i="4" s="1"/>
  <c r="R190" i="3"/>
  <c r="I190" i="7" s="1"/>
  <c r="K190" i="7" s="1"/>
  <c r="N191" i="4"/>
  <c r="O191" i="4" s="1"/>
  <c r="P191" i="4" s="1"/>
  <c r="S191" i="3"/>
  <c r="L191" i="7" s="1"/>
  <c r="N191" i="7" s="1"/>
  <c r="N76" i="4"/>
  <c r="O76" i="4" s="1"/>
  <c r="P76" i="4" s="1"/>
  <c r="S76" i="3"/>
  <c r="L76" i="7" s="1"/>
  <c r="N76" i="7" s="1"/>
  <c r="N180" i="4"/>
  <c r="O180" i="4" s="1"/>
  <c r="P180" i="4" s="1"/>
  <c r="R180" i="3"/>
  <c r="I180" i="7" s="1"/>
  <c r="K180" i="7" s="1"/>
  <c r="P55" i="3"/>
  <c r="N95" i="3"/>
  <c r="D95" i="7" s="1"/>
  <c r="F95" i="7" s="1"/>
  <c r="N7" i="3"/>
  <c r="N46" i="3"/>
  <c r="O46" i="3" s="1"/>
  <c r="P46" i="3" s="1"/>
  <c r="N48" i="3"/>
  <c r="D48" i="7" s="1"/>
  <c r="F48" i="7" s="1"/>
  <c r="I87" i="7"/>
  <c r="K87" i="7" s="1"/>
  <c r="N87" i="3"/>
  <c r="D87" i="7" s="1"/>
  <c r="F87" i="7" s="1"/>
  <c r="N172" i="4"/>
  <c r="O172" i="4" s="1"/>
  <c r="P172" i="4" s="1"/>
  <c r="T172" i="3"/>
  <c r="O172" i="7" s="1"/>
  <c r="Q172" i="7" s="1"/>
  <c r="N15" i="3"/>
  <c r="D15" i="7" s="1"/>
  <c r="F15" i="7" s="1"/>
  <c r="N23" i="3"/>
  <c r="N31" i="3"/>
  <c r="D31" i="7" s="1"/>
  <c r="F31" i="7" s="1"/>
  <c r="N63" i="3"/>
  <c r="N129" i="4"/>
  <c r="O129" i="4" s="1"/>
  <c r="R129" i="3"/>
  <c r="I129" i="7" s="1"/>
  <c r="K129" i="7" s="1"/>
  <c r="N137" i="4"/>
  <c r="O137" i="4" s="1"/>
  <c r="P137" i="4" s="1"/>
  <c r="R137" i="3"/>
  <c r="I137" i="7" s="1"/>
  <c r="K137" i="7" s="1"/>
  <c r="N145" i="4"/>
  <c r="O145" i="4" s="1"/>
  <c r="P145" i="4" s="1"/>
  <c r="R145" i="3"/>
  <c r="I145" i="7" s="1"/>
  <c r="K145" i="7" s="1"/>
  <c r="N153" i="4"/>
  <c r="O153" i="4" s="1"/>
  <c r="R153" i="3"/>
  <c r="I153" i="7" s="1"/>
  <c r="K153" i="7" s="1"/>
  <c r="N161" i="4"/>
  <c r="O161" i="4" s="1"/>
  <c r="R161" i="3"/>
  <c r="I161" i="7" s="1"/>
  <c r="K161" i="7" s="1"/>
  <c r="N169" i="4"/>
  <c r="O169" i="4" s="1"/>
  <c r="P169" i="4" s="1"/>
  <c r="R169" i="3"/>
  <c r="I169" i="7" s="1"/>
  <c r="K169" i="7" s="1"/>
  <c r="N231" i="3"/>
  <c r="O231" i="3" s="1"/>
  <c r="P231" i="3" s="1"/>
  <c r="N202" i="4"/>
  <c r="O202" i="4" s="1"/>
  <c r="S202" i="3"/>
  <c r="L202" i="7" s="1"/>
  <c r="N202" i="7" s="1"/>
  <c r="G11" i="24"/>
  <c r="N67" i="4"/>
  <c r="O67" i="4" s="1"/>
  <c r="P67" i="4" s="1"/>
  <c r="N111" i="4"/>
  <c r="O111" i="4" s="1"/>
  <c r="P111" i="4" s="1"/>
  <c r="N120" i="4"/>
  <c r="O120" i="4" s="1"/>
  <c r="P120" i="4" s="1"/>
  <c r="N176" i="4"/>
  <c r="O176" i="4" s="1"/>
  <c r="P176" i="4" s="1"/>
  <c r="N179" i="4"/>
  <c r="O179" i="4" s="1"/>
  <c r="P179" i="4" s="1"/>
  <c r="V25" i="7"/>
  <c r="W25" i="7" s="1"/>
  <c r="V33" i="7"/>
  <c r="W33" i="7" s="1"/>
  <c r="V141" i="7"/>
  <c r="W141" i="7" s="1"/>
  <c r="V157" i="7"/>
  <c r="W157" i="7" s="1"/>
  <c r="V165" i="7"/>
  <c r="W165" i="7" s="1"/>
  <c r="V197" i="7"/>
  <c r="W197" i="7" s="1"/>
  <c r="V205" i="7"/>
  <c r="W205" i="7" s="1"/>
  <c r="V213" i="7"/>
  <c r="W213" i="7" s="1"/>
  <c r="N3" i="4"/>
  <c r="O3" i="4" s="1"/>
  <c r="P3" i="4" s="1"/>
  <c r="N12" i="4"/>
  <c r="O12" i="4" s="1"/>
  <c r="N24" i="4"/>
  <c r="O24" i="4" s="1"/>
  <c r="P24" i="4" s="1"/>
  <c r="N35" i="4"/>
  <c r="O35" i="4" s="1"/>
  <c r="P35" i="4" s="1"/>
  <c r="N44" i="4"/>
  <c r="O44" i="4" s="1"/>
  <c r="P44" i="4" s="1"/>
  <c r="N56" i="4"/>
  <c r="O56" i="4" s="1"/>
  <c r="P56" i="4" s="1"/>
  <c r="N68" i="4"/>
  <c r="O68" i="4" s="1"/>
  <c r="P68" i="4" s="1"/>
  <c r="N92" i="4"/>
  <c r="O92" i="4" s="1"/>
  <c r="N117" i="4"/>
  <c r="O117" i="4" s="1"/>
  <c r="P117" i="4" s="1"/>
  <c r="N128" i="4"/>
  <c r="O128" i="4" s="1"/>
  <c r="N136" i="4"/>
  <c r="O136" i="4" s="1"/>
  <c r="N144" i="4"/>
  <c r="O144" i="4" s="1"/>
  <c r="P144" i="4" s="1"/>
  <c r="N152" i="4"/>
  <c r="O152" i="4" s="1"/>
  <c r="P152" i="4" s="1"/>
  <c r="N160" i="4"/>
  <c r="O160" i="4" s="1"/>
  <c r="P160" i="4" s="1"/>
  <c r="N168" i="4"/>
  <c r="O168" i="4" s="1"/>
  <c r="P168" i="4" s="1"/>
  <c r="N177" i="4"/>
  <c r="O177" i="4" s="1"/>
  <c r="N198" i="4"/>
  <c r="O198" i="4" s="1"/>
  <c r="P198" i="4" s="1"/>
  <c r="N199" i="4"/>
  <c r="O199" i="4" s="1"/>
  <c r="P199" i="4" s="1"/>
  <c r="N208" i="4"/>
  <c r="O208" i="4" s="1"/>
  <c r="N216" i="4"/>
  <c r="O216" i="4" s="1"/>
  <c r="P216" i="4" s="1"/>
  <c r="N224" i="4"/>
  <c r="O224" i="4" s="1"/>
  <c r="P224" i="4" s="1"/>
  <c r="N232" i="4"/>
  <c r="O232" i="4" s="1"/>
  <c r="P232" i="4" s="1"/>
  <c r="V12" i="7"/>
  <c r="W12" i="7" s="1"/>
  <c r="V13" i="7"/>
  <c r="W13" i="7" s="1"/>
  <c r="V50" i="7"/>
  <c r="W50" i="7" s="1"/>
  <c r="V83" i="7"/>
  <c r="W83" i="7" s="1"/>
  <c r="V91" i="7"/>
  <c r="W91" i="7" s="1"/>
  <c r="V92" i="7"/>
  <c r="W92" i="7" s="1"/>
  <c r="V99" i="7"/>
  <c r="W99" i="7" s="1"/>
  <c r="V123" i="7"/>
  <c r="W123" i="7" s="1"/>
  <c r="V131" i="7"/>
  <c r="W131" i="7" s="1"/>
  <c r="V228" i="7"/>
  <c r="W228" i="7" s="1"/>
  <c r="V229" i="7"/>
  <c r="W229" i="7" s="1"/>
  <c r="V231" i="7"/>
  <c r="W231" i="7" s="1"/>
  <c r="S195" i="3"/>
  <c r="L195" i="7" s="1"/>
  <c r="N195" i="7" s="1"/>
  <c r="N31" i="4"/>
  <c r="O31" i="4" s="1"/>
  <c r="P31" i="4" s="1"/>
  <c r="N63" i="4"/>
  <c r="O63" i="4" s="1"/>
  <c r="P63" i="4" s="1"/>
  <c r="N83" i="4"/>
  <c r="O83" i="4" s="1"/>
  <c r="P83" i="4" s="1"/>
  <c r="N125" i="4"/>
  <c r="O125" i="4" s="1"/>
  <c r="P125" i="4" s="1"/>
  <c r="N126" i="4"/>
  <c r="O126" i="4" s="1"/>
  <c r="P126" i="4" s="1"/>
  <c r="N134" i="4"/>
  <c r="O134" i="4" s="1"/>
  <c r="P134" i="4" s="1"/>
  <c r="N135" i="4"/>
  <c r="O135" i="4" s="1"/>
  <c r="N142" i="4"/>
  <c r="O142" i="4" s="1"/>
  <c r="P142" i="4" s="1"/>
  <c r="N143" i="4"/>
  <c r="O143" i="4" s="1"/>
  <c r="P143" i="4" s="1"/>
  <c r="N150" i="4"/>
  <c r="O150" i="4" s="1"/>
  <c r="N151" i="4"/>
  <c r="O151" i="4" s="1"/>
  <c r="P151" i="4" s="1"/>
  <c r="N158" i="4"/>
  <c r="O158" i="4" s="1"/>
  <c r="N159" i="4"/>
  <c r="O159" i="4" s="1"/>
  <c r="N166" i="4"/>
  <c r="O166" i="4" s="1"/>
  <c r="P166" i="4" s="1"/>
  <c r="N167" i="4"/>
  <c r="O167" i="4" s="1"/>
  <c r="P167" i="4" s="1"/>
  <c r="N184" i="4"/>
  <c r="O184" i="4" s="1"/>
  <c r="P184" i="4" s="1"/>
  <c r="N186" i="4"/>
  <c r="O186" i="4" s="1"/>
  <c r="P186" i="4" s="1"/>
  <c r="N187" i="4"/>
  <c r="O187" i="4" s="1"/>
  <c r="P187" i="4" s="1"/>
  <c r="P192" i="4"/>
  <c r="N197" i="4"/>
  <c r="O197" i="4" s="1"/>
  <c r="P197" i="4" s="1"/>
  <c r="N206" i="4"/>
  <c r="O206" i="4" s="1"/>
  <c r="P206" i="4" s="1"/>
  <c r="N207" i="4"/>
  <c r="O207" i="4" s="1"/>
  <c r="P207" i="4" s="1"/>
  <c r="N214" i="4"/>
  <c r="O214" i="4" s="1"/>
  <c r="P214" i="4" s="1"/>
  <c r="N215" i="4"/>
  <c r="O215" i="4" s="1"/>
  <c r="N222" i="4"/>
  <c r="O222" i="4" s="1"/>
  <c r="P222" i="4" s="1"/>
  <c r="N223" i="4"/>
  <c r="O223" i="4" s="1"/>
  <c r="N230" i="4"/>
  <c r="O230" i="4" s="1"/>
  <c r="P230" i="4" s="1"/>
  <c r="N231" i="4"/>
  <c r="O231" i="4" s="1"/>
  <c r="V22" i="7"/>
  <c r="W22" i="7" s="1"/>
  <c r="V23" i="7"/>
  <c r="W23" i="7" s="1"/>
  <c r="V30" i="7"/>
  <c r="W30" i="7" s="1"/>
  <c r="V31" i="7"/>
  <c r="W31" i="7" s="1"/>
  <c r="V59" i="7"/>
  <c r="W59" i="7" s="1"/>
  <c r="V114" i="7"/>
  <c r="W114" i="7" s="1"/>
  <c r="V122" i="7"/>
  <c r="W122" i="7" s="1"/>
  <c r="V130" i="7"/>
  <c r="W130" i="7" s="1"/>
  <c r="V139" i="7"/>
  <c r="W139" i="7" s="1"/>
  <c r="V154" i="7"/>
  <c r="W154" i="7" s="1"/>
  <c r="V155" i="7"/>
  <c r="W155" i="7" s="1"/>
  <c r="V162" i="7"/>
  <c r="W162" i="7" s="1"/>
  <c r="V163" i="7"/>
  <c r="W163" i="7" s="1"/>
  <c r="V170" i="7"/>
  <c r="W170" i="7" s="1"/>
  <c r="V171" i="7"/>
  <c r="W171" i="7" s="1"/>
  <c r="V194" i="7"/>
  <c r="W194" i="7" s="1"/>
  <c r="V195" i="7"/>
  <c r="W195" i="7" s="1"/>
  <c r="V202" i="7"/>
  <c r="W202" i="7" s="1"/>
  <c r="V203" i="7"/>
  <c r="W203" i="7" s="1"/>
  <c r="V218" i="7"/>
  <c r="W218" i="7" s="1"/>
  <c r="V219" i="7"/>
  <c r="W219" i="7" s="1"/>
  <c r="C24" i="17"/>
  <c r="S4" i="17" s="1"/>
  <c r="N72" i="4"/>
  <c r="O72" i="4" s="1"/>
  <c r="P72" i="4" s="1"/>
  <c r="N84" i="4"/>
  <c r="O84" i="4" s="1"/>
  <c r="P84" i="4" s="1"/>
  <c r="N108" i="4"/>
  <c r="O108" i="4" s="1"/>
  <c r="P108" i="4" s="1"/>
  <c r="N116" i="4"/>
  <c r="O116" i="4" s="1"/>
  <c r="P116" i="4" s="1"/>
  <c r="N133" i="4"/>
  <c r="O133" i="4" s="1"/>
  <c r="P133" i="4" s="1"/>
  <c r="N141" i="4"/>
  <c r="O141" i="4" s="1"/>
  <c r="N149" i="4"/>
  <c r="O149" i="4" s="1"/>
  <c r="P149" i="4" s="1"/>
  <c r="N157" i="4"/>
  <c r="O157" i="4" s="1"/>
  <c r="P157" i="4" s="1"/>
  <c r="N165" i="4"/>
  <c r="O165" i="4" s="1"/>
  <c r="P165" i="4" s="1"/>
  <c r="N174" i="4"/>
  <c r="O174" i="4" s="1"/>
  <c r="P174" i="4" s="1"/>
  <c r="N175" i="4"/>
  <c r="O175" i="4" s="1"/>
  <c r="P175" i="4" s="1"/>
  <c r="N185" i="4"/>
  <c r="O185" i="4" s="1"/>
  <c r="P185" i="4" s="1"/>
  <c r="N205" i="4"/>
  <c r="O205" i="4" s="1"/>
  <c r="P205" i="4" s="1"/>
  <c r="N213" i="4"/>
  <c r="O213" i="4" s="1"/>
  <c r="P213" i="4" s="1"/>
  <c r="N221" i="4"/>
  <c r="O221" i="4" s="1"/>
  <c r="P221" i="4" s="1"/>
  <c r="N229" i="4"/>
  <c r="O229" i="4" s="1"/>
  <c r="P229" i="4" s="1"/>
  <c r="V2" i="7"/>
  <c r="W2" i="7" s="1"/>
  <c r="V5" i="7"/>
  <c r="W5" i="7" s="1"/>
  <c r="V11" i="7"/>
  <c r="W11" i="7" s="1"/>
  <c r="V49" i="7"/>
  <c r="W49" i="7" s="1"/>
  <c r="V66" i="7"/>
  <c r="W66" i="7" s="1"/>
  <c r="V81" i="7"/>
  <c r="W81" i="7" s="1"/>
  <c r="V90" i="7"/>
  <c r="W90" i="7" s="1"/>
  <c r="V97" i="7"/>
  <c r="W97" i="7" s="1"/>
  <c r="V98" i="7"/>
  <c r="W98" i="7" s="1"/>
  <c r="V121" i="7"/>
  <c r="W121" i="7" s="1"/>
  <c r="V129" i="7"/>
  <c r="W129" i="7" s="1"/>
  <c r="V226" i="7"/>
  <c r="W226" i="7" s="1"/>
  <c r="N114" i="4"/>
  <c r="O114" i="4" s="1"/>
  <c r="P114" i="4" s="1"/>
  <c r="P129" i="4"/>
  <c r="N173" i="4"/>
  <c r="O173" i="4" s="1"/>
  <c r="P173" i="4" s="1"/>
  <c r="N194" i="4"/>
  <c r="O194" i="4" s="1"/>
  <c r="P194" i="4" s="1"/>
  <c r="V37" i="7"/>
  <c r="W37" i="7" s="1"/>
  <c r="V120" i="7"/>
  <c r="W120" i="7" s="1"/>
  <c r="V128" i="7"/>
  <c r="W128" i="7" s="1"/>
  <c r="V136" i="7"/>
  <c r="W136" i="7" s="1"/>
  <c r="V137" i="7"/>
  <c r="W137" i="7" s="1"/>
  <c r="V152" i="7"/>
  <c r="W152" i="7" s="1"/>
  <c r="V160" i="7"/>
  <c r="W160" i="7" s="1"/>
  <c r="V161" i="7"/>
  <c r="W161" i="7" s="1"/>
  <c r="V168" i="7"/>
  <c r="W168" i="7" s="1"/>
  <c r="V169" i="7"/>
  <c r="W169" i="7" s="1"/>
  <c r="V184" i="7"/>
  <c r="W184" i="7" s="1"/>
  <c r="V193" i="7"/>
  <c r="W193" i="7" s="1"/>
  <c r="V200" i="7"/>
  <c r="W200" i="7" s="1"/>
  <c r="V201" i="7"/>
  <c r="W201" i="7" s="1"/>
  <c r="V208" i="7"/>
  <c r="W208" i="7" s="1"/>
  <c r="V209" i="7"/>
  <c r="W209" i="7" s="1"/>
  <c r="V217" i="7"/>
  <c r="W217" i="7" s="1"/>
  <c r="V224" i="7"/>
  <c r="W224" i="7" s="1"/>
  <c r="S79" i="3"/>
  <c r="L79" i="7" s="1"/>
  <c r="N79" i="7" s="1"/>
  <c r="N8" i="4"/>
  <c r="O8" i="4" s="1"/>
  <c r="P8" i="4" s="1"/>
  <c r="N19" i="4"/>
  <c r="O19" i="4" s="1"/>
  <c r="P19" i="4" s="1"/>
  <c r="N28" i="4"/>
  <c r="O28" i="4" s="1"/>
  <c r="N40" i="4"/>
  <c r="O40" i="4" s="1"/>
  <c r="P40" i="4" s="1"/>
  <c r="N51" i="4"/>
  <c r="O51" i="4" s="1"/>
  <c r="P51" i="4" s="1"/>
  <c r="N60" i="4"/>
  <c r="O60" i="4" s="1"/>
  <c r="P60" i="4" s="1"/>
  <c r="N88" i="4"/>
  <c r="O88" i="4" s="1"/>
  <c r="N100" i="4"/>
  <c r="O100" i="4" s="1"/>
  <c r="P100" i="4" s="1"/>
  <c r="N113" i="4"/>
  <c r="O113" i="4" s="1"/>
  <c r="P113" i="4" s="1"/>
  <c r="N132" i="4"/>
  <c r="O132" i="4" s="1"/>
  <c r="P132" i="4" s="1"/>
  <c r="N140" i="4"/>
  <c r="O140" i="4" s="1"/>
  <c r="P140" i="4" s="1"/>
  <c r="N148" i="4"/>
  <c r="O148" i="4" s="1"/>
  <c r="P148" i="4" s="1"/>
  <c r="N156" i="4"/>
  <c r="O156" i="4" s="1"/>
  <c r="P156" i="4" s="1"/>
  <c r="N164" i="4"/>
  <c r="O164" i="4" s="1"/>
  <c r="P164" i="4" s="1"/>
  <c r="N182" i="4"/>
  <c r="O182" i="4" s="1"/>
  <c r="P182" i="4" s="1"/>
  <c r="N183" i="4"/>
  <c r="O183" i="4" s="1"/>
  <c r="P183" i="4" s="1"/>
  <c r="N193" i="4"/>
  <c r="O193" i="4" s="1"/>
  <c r="P193" i="4" s="1"/>
  <c r="N204" i="4"/>
  <c r="O204" i="4" s="1"/>
  <c r="P204" i="4" s="1"/>
  <c r="N212" i="4"/>
  <c r="O212" i="4" s="1"/>
  <c r="P212" i="4" s="1"/>
  <c r="N220" i="4"/>
  <c r="O220" i="4" s="1"/>
  <c r="P220" i="4" s="1"/>
  <c r="N228" i="4"/>
  <c r="O228" i="4" s="1"/>
  <c r="P228" i="4" s="1"/>
  <c r="V16" i="7"/>
  <c r="W16" i="7" s="1"/>
  <c r="V18" i="7"/>
  <c r="W18" i="7" s="1"/>
  <c r="V46" i="7"/>
  <c r="W46" i="7" s="1"/>
  <c r="V54" i="7"/>
  <c r="W54" i="7" s="1"/>
  <c r="V80" i="7"/>
  <c r="W80" i="7" s="1"/>
  <c r="V88" i="7"/>
  <c r="W88" i="7" s="1"/>
  <c r="V95" i="7"/>
  <c r="W95" i="7" s="1"/>
  <c r="V96" i="7"/>
  <c r="W96" i="7" s="1"/>
  <c r="V119" i="7"/>
  <c r="W119" i="7" s="1"/>
  <c r="V127" i="7"/>
  <c r="W127" i="7" s="1"/>
  <c r="V135" i="7"/>
  <c r="W135" i="7" s="1"/>
  <c r="V191" i="7"/>
  <c r="W191" i="7" s="1"/>
  <c r="V225" i="7"/>
  <c r="W225" i="7" s="1"/>
  <c r="V232" i="7"/>
  <c r="W232" i="7" s="1"/>
  <c r="N15" i="4"/>
  <c r="O15" i="4" s="1"/>
  <c r="P15" i="4" s="1"/>
  <c r="N47" i="4"/>
  <c r="O47" i="4" s="1"/>
  <c r="P47" i="4" s="1"/>
  <c r="N95" i="4"/>
  <c r="O95" i="4" s="1"/>
  <c r="P95" i="4" s="1"/>
  <c r="N130" i="4"/>
  <c r="O130" i="4" s="1"/>
  <c r="P130" i="4" s="1"/>
  <c r="N138" i="4"/>
  <c r="O138" i="4" s="1"/>
  <c r="P138" i="4" s="1"/>
  <c r="N139" i="4"/>
  <c r="O139" i="4" s="1"/>
  <c r="N146" i="4"/>
  <c r="O146" i="4" s="1"/>
  <c r="P146" i="4" s="1"/>
  <c r="N147" i="4"/>
  <c r="O147" i="4" s="1"/>
  <c r="P147" i="4" s="1"/>
  <c r="N154" i="4"/>
  <c r="O154" i="4" s="1"/>
  <c r="P154" i="4" s="1"/>
  <c r="N155" i="4"/>
  <c r="O155" i="4" s="1"/>
  <c r="P155" i="4" s="1"/>
  <c r="N162" i="4"/>
  <c r="O162" i="4" s="1"/>
  <c r="P162" i="4" s="1"/>
  <c r="N163" i="4"/>
  <c r="O163" i="4" s="1"/>
  <c r="P163" i="4" s="1"/>
  <c r="N170" i="4"/>
  <c r="O170" i="4" s="1"/>
  <c r="P170" i="4" s="1"/>
  <c r="N171" i="4"/>
  <c r="O171" i="4" s="1"/>
  <c r="P171" i="4" s="1"/>
  <c r="N181" i="4"/>
  <c r="O181" i="4" s="1"/>
  <c r="P181" i="4" s="1"/>
  <c r="N203" i="4"/>
  <c r="O203" i="4" s="1"/>
  <c r="P203" i="4" s="1"/>
  <c r="N210" i="4"/>
  <c r="O210" i="4" s="1"/>
  <c r="P210" i="4" s="1"/>
  <c r="N211" i="4"/>
  <c r="O211" i="4" s="1"/>
  <c r="P211" i="4" s="1"/>
  <c r="N218" i="4"/>
  <c r="O218" i="4" s="1"/>
  <c r="N219" i="4"/>
  <c r="O219" i="4" s="1"/>
  <c r="P219" i="4" s="1"/>
  <c r="N226" i="4"/>
  <c r="O226" i="4" s="1"/>
  <c r="P226" i="4" s="1"/>
  <c r="N227" i="4"/>
  <c r="O227" i="4" s="1"/>
  <c r="P227" i="4" s="1"/>
  <c r="V26" i="7"/>
  <c r="W26" i="7" s="1"/>
  <c r="V34" i="7"/>
  <c r="W34" i="7" s="1"/>
  <c r="V35" i="7"/>
  <c r="W35" i="7" s="1"/>
  <c r="V118" i="7"/>
  <c r="W118" i="7" s="1"/>
  <c r="V126" i="7"/>
  <c r="W126" i="7" s="1"/>
  <c r="V134" i="7"/>
  <c r="W134" i="7" s="1"/>
  <c r="V143" i="7"/>
  <c r="W143" i="7" s="1"/>
  <c r="V150" i="7"/>
  <c r="W150" i="7" s="1"/>
  <c r="V151" i="7"/>
  <c r="W151" i="7" s="1"/>
  <c r="V158" i="7"/>
  <c r="W158" i="7" s="1"/>
  <c r="V159" i="7"/>
  <c r="W159" i="7" s="1"/>
  <c r="V166" i="7"/>
  <c r="W166" i="7" s="1"/>
  <c r="V167" i="7"/>
  <c r="W167" i="7" s="1"/>
  <c r="V183" i="7"/>
  <c r="W183" i="7" s="1"/>
  <c r="V198" i="7"/>
  <c r="W198" i="7" s="1"/>
  <c r="V199" i="7"/>
  <c r="W199" i="7" s="1"/>
  <c r="V206" i="7"/>
  <c r="W206" i="7" s="1"/>
  <c r="V207" i="7"/>
  <c r="W207" i="7" s="1"/>
  <c r="V214" i="7"/>
  <c r="W214" i="7" s="1"/>
  <c r="V215" i="7"/>
  <c r="W215" i="7" s="1"/>
  <c r="L8" i="7"/>
  <c r="N8" i="7" s="1"/>
  <c r="N8" i="3"/>
  <c r="I3" i="7"/>
  <c r="K3" i="7" s="1"/>
  <c r="N3" i="3"/>
  <c r="O5" i="7"/>
  <c r="Q5" i="7" s="1"/>
  <c r="N5" i="3"/>
  <c r="L16" i="7"/>
  <c r="N16" i="7" s="1"/>
  <c r="N16" i="3"/>
  <c r="I11" i="7"/>
  <c r="K11" i="7" s="1"/>
  <c r="N11" i="3"/>
  <c r="D7" i="7"/>
  <c r="F7" i="7" s="1"/>
  <c r="AJ7" i="6"/>
  <c r="AL7" i="6" s="1"/>
  <c r="O7" i="3"/>
  <c r="P7" i="3" s="1"/>
  <c r="O13" i="7"/>
  <c r="Q13" i="7" s="1"/>
  <c r="N13" i="3"/>
  <c r="N4" i="3"/>
  <c r="N12" i="3"/>
  <c r="N20" i="3"/>
  <c r="N28" i="3"/>
  <c r="N36" i="3"/>
  <c r="I44" i="7"/>
  <c r="K44" i="7" s="1"/>
  <c r="N44" i="3"/>
  <c r="N49" i="3"/>
  <c r="N59" i="3"/>
  <c r="N65" i="3"/>
  <c r="I74" i="7"/>
  <c r="K74" i="7" s="1"/>
  <c r="N74" i="3"/>
  <c r="N81" i="3"/>
  <c r="I98" i="7"/>
  <c r="K98" i="7" s="1"/>
  <c r="N98" i="3"/>
  <c r="N101" i="3"/>
  <c r="D23" i="7"/>
  <c r="F23" i="7" s="1"/>
  <c r="AJ23" i="6"/>
  <c r="AL23" i="6" s="1"/>
  <c r="AJ46" i="6"/>
  <c r="AL46" i="6" s="1"/>
  <c r="I57" i="7"/>
  <c r="K57" i="7" s="1"/>
  <c r="N57" i="3"/>
  <c r="I64" i="7"/>
  <c r="K64" i="7" s="1"/>
  <c r="N64" i="3"/>
  <c r="I80" i="7"/>
  <c r="K80" i="7" s="1"/>
  <c r="N80" i="3"/>
  <c r="I100" i="7"/>
  <c r="K100" i="7" s="1"/>
  <c r="N100" i="3"/>
  <c r="N2" i="3"/>
  <c r="N10" i="3"/>
  <c r="N18" i="3"/>
  <c r="O23" i="3"/>
  <c r="P23" i="3" s="1"/>
  <c r="N26" i="3"/>
  <c r="N34" i="3"/>
  <c r="N40" i="3"/>
  <c r="N43" i="3"/>
  <c r="N47" i="3"/>
  <c r="N50" i="3"/>
  <c r="L56" i="7"/>
  <c r="N56" i="7" s="1"/>
  <c r="N56" i="3"/>
  <c r="N61" i="3"/>
  <c r="I70" i="7"/>
  <c r="K70" i="7" s="1"/>
  <c r="N70" i="3"/>
  <c r="N77" i="3"/>
  <c r="I86" i="7"/>
  <c r="K86" i="7" s="1"/>
  <c r="N86" i="3"/>
  <c r="N89" i="3"/>
  <c r="N21" i="3"/>
  <c r="N29" i="3"/>
  <c r="N37" i="3"/>
  <c r="N54" i="3"/>
  <c r="D55" i="7"/>
  <c r="F55" i="7" s="1"/>
  <c r="AJ55" i="6"/>
  <c r="AL55" i="6" s="1"/>
  <c r="N67" i="3"/>
  <c r="I76" i="7"/>
  <c r="K76" i="7" s="1"/>
  <c r="N76" i="3"/>
  <c r="N83" i="3"/>
  <c r="I88" i="7"/>
  <c r="K88" i="7" s="1"/>
  <c r="N88" i="3"/>
  <c r="N91" i="3"/>
  <c r="N24" i="3"/>
  <c r="N32" i="3"/>
  <c r="I66" i="7"/>
  <c r="K66" i="7" s="1"/>
  <c r="N66" i="3"/>
  <c r="N73" i="3"/>
  <c r="I82" i="7"/>
  <c r="K82" i="7" s="1"/>
  <c r="N82" i="3"/>
  <c r="I90" i="7"/>
  <c r="K90" i="7" s="1"/>
  <c r="N90" i="3"/>
  <c r="N93" i="3"/>
  <c r="N19" i="3"/>
  <c r="N27" i="3"/>
  <c r="N35" i="3"/>
  <c r="N41" i="3"/>
  <c r="N51" i="3"/>
  <c r="D63" i="7"/>
  <c r="F63" i="7" s="1"/>
  <c r="AJ63" i="6"/>
  <c r="AL63" i="6" s="1"/>
  <c r="O63" i="3"/>
  <c r="P63" i="3" s="1"/>
  <c r="I72" i="7"/>
  <c r="K72" i="7" s="1"/>
  <c r="N72" i="3"/>
  <c r="I92" i="7"/>
  <c r="K92" i="7" s="1"/>
  <c r="N92" i="3"/>
  <c r="R103" i="7"/>
  <c r="T103" i="7" s="1"/>
  <c r="N103" i="3"/>
  <c r="R105" i="7"/>
  <c r="T105" i="7" s="1"/>
  <c r="N105" i="3"/>
  <c r="R107" i="7"/>
  <c r="T107" i="7" s="1"/>
  <c r="N107" i="3"/>
  <c r="R109" i="7"/>
  <c r="T109" i="7" s="1"/>
  <c r="N109" i="3"/>
  <c r="R111" i="7"/>
  <c r="T111" i="7" s="1"/>
  <c r="N111" i="3"/>
  <c r="R113" i="7"/>
  <c r="T113" i="7" s="1"/>
  <c r="N113" i="3"/>
  <c r="R115" i="7"/>
  <c r="T115" i="7" s="1"/>
  <c r="N115" i="3"/>
  <c r="R117" i="7"/>
  <c r="T117" i="7" s="1"/>
  <c r="N117" i="3"/>
  <c r="R119" i="7"/>
  <c r="T119" i="7" s="1"/>
  <c r="N119" i="3"/>
  <c r="R121" i="7"/>
  <c r="T121" i="7" s="1"/>
  <c r="N121" i="3"/>
  <c r="R123" i="7"/>
  <c r="T123" i="7" s="1"/>
  <c r="N123" i="3"/>
  <c r="R125" i="7"/>
  <c r="T125" i="7" s="1"/>
  <c r="N125" i="3"/>
  <c r="R127" i="7"/>
  <c r="T127" i="7" s="1"/>
  <c r="N127" i="3"/>
  <c r="R129" i="7"/>
  <c r="T129" i="7" s="1"/>
  <c r="N6" i="3"/>
  <c r="N14" i="3"/>
  <c r="N22" i="3"/>
  <c r="N30" i="3"/>
  <c r="N38" i="3"/>
  <c r="N45" i="3"/>
  <c r="O48" i="3"/>
  <c r="P48" i="3" s="1"/>
  <c r="I62" i="7"/>
  <c r="K62" i="7" s="1"/>
  <c r="N62" i="3"/>
  <c r="N69" i="3"/>
  <c r="I78" i="7"/>
  <c r="K78" i="7" s="1"/>
  <c r="N78" i="3"/>
  <c r="N85" i="3"/>
  <c r="I94" i="7"/>
  <c r="K94" i="7" s="1"/>
  <c r="N94" i="3"/>
  <c r="N97" i="3"/>
  <c r="N9" i="3"/>
  <c r="N17" i="3"/>
  <c r="N25" i="3"/>
  <c r="N33" i="3"/>
  <c r="N39" i="3"/>
  <c r="N42" i="3"/>
  <c r="N58" i="3"/>
  <c r="I68" i="7"/>
  <c r="K68" i="7" s="1"/>
  <c r="N68" i="3"/>
  <c r="N75" i="3"/>
  <c r="I84" i="7"/>
  <c r="K84" i="7" s="1"/>
  <c r="N84" i="3"/>
  <c r="I96" i="7"/>
  <c r="K96" i="7" s="1"/>
  <c r="N96" i="3"/>
  <c r="N99" i="3"/>
  <c r="N131" i="3"/>
  <c r="N133" i="3"/>
  <c r="N135" i="3"/>
  <c r="N139" i="3"/>
  <c r="N141" i="3"/>
  <c r="N143" i="3"/>
  <c r="N145" i="3"/>
  <c r="N147" i="3"/>
  <c r="N149" i="3"/>
  <c r="N151" i="3"/>
  <c r="N155" i="3"/>
  <c r="N157" i="3"/>
  <c r="N159" i="3"/>
  <c r="N163" i="3"/>
  <c r="N165" i="3"/>
  <c r="N167" i="3"/>
  <c r="N171" i="3"/>
  <c r="N173" i="3"/>
  <c r="N175" i="3"/>
  <c r="N177" i="3"/>
  <c r="N179" i="3"/>
  <c r="N181" i="3"/>
  <c r="N183" i="3"/>
  <c r="N185" i="3"/>
  <c r="N187" i="3"/>
  <c r="N189" i="3"/>
  <c r="N193" i="3"/>
  <c r="N197" i="3"/>
  <c r="N199" i="3"/>
  <c r="N201" i="3"/>
  <c r="N203" i="3"/>
  <c r="N205" i="3"/>
  <c r="N207" i="3"/>
  <c r="N209" i="3"/>
  <c r="N211" i="3"/>
  <c r="N213" i="3"/>
  <c r="N215" i="3"/>
  <c r="N217" i="3"/>
  <c r="N219" i="3"/>
  <c r="N221" i="3"/>
  <c r="N223" i="3"/>
  <c r="N225" i="3"/>
  <c r="N227" i="3"/>
  <c r="N229" i="3"/>
  <c r="N2" i="4"/>
  <c r="O2" i="4" s="1"/>
  <c r="P2" i="4" s="1"/>
  <c r="N17" i="4"/>
  <c r="O17" i="4" s="1"/>
  <c r="P17" i="4" s="1"/>
  <c r="N18" i="4"/>
  <c r="O18" i="4" s="1"/>
  <c r="P18" i="4" s="1"/>
  <c r="N33" i="4"/>
  <c r="O33" i="4" s="1"/>
  <c r="P33" i="4" s="1"/>
  <c r="N34" i="4"/>
  <c r="O34" i="4" s="1"/>
  <c r="P34" i="4" s="1"/>
  <c r="N49" i="4"/>
  <c r="O49" i="4" s="1"/>
  <c r="P49" i="4" s="1"/>
  <c r="N50" i="4"/>
  <c r="O50" i="4" s="1"/>
  <c r="P50" i="4" s="1"/>
  <c r="N65" i="4"/>
  <c r="O65" i="4" s="1"/>
  <c r="P65" i="4" s="1"/>
  <c r="N66" i="4"/>
  <c r="O66" i="4" s="1"/>
  <c r="P66" i="4" s="1"/>
  <c r="N81" i="4"/>
  <c r="O81" i="4" s="1"/>
  <c r="P81" i="4" s="1"/>
  <c r="N82" i="4"/>
  <c r="O82" i="4" s="1"/>
  <c r="P82" i="4" s="1"/>
  <c r="N97" i="4"/>
  <c r="O97" i="4" s="1"/>
  <c r="P97" i="4" s="1"/>
  <c r="N98" i="4"/>
  <c r="O98" i="4" s="1"/>
  <c r="P98" i="4" s="1"/>
  <c r="P135" i="4"/>
  <c r="P159" i="4"/>
  <c r="P215" i="4"/>
  <c r="P223" i="4"/>
  <c r="P231" i="4"/>
  <c r="P12" i="4"/>
  <c r="P28" i="4"/>
  <c r="P92" i="4"/>
  <c r="N127" i="4"/>
  <c r="O127" i="4" s="1"/>
  <c r="P127" i="4" s="1"/>
  <c r="P141" i="4"/>
  <c r="P150" i="4"/>
  <c r="P158" i="4"/>
  <c r="N5" i="4"/>
  <c r="O5" i="4" s="1"/>
  <c r="P5" i="4" s="1"/>
  <c r="N6" i="4"/>
  <c r="O6" i="4" s="1"/>
  <c r="P6" i="4" s="1"/>
  <c r="N21" i="4"/>
  <c r="O21" i="4" s="1"/>
  <c r="P21" i="4" s="1"/>
  <c r="N22" i="4"/>
  <c r="O22" i="4" s="1"/>
  <c r="P22" i="4" s="1"/>
  <c r="N37" i="4"/>
  <c r="O37" i="4" s="1"/>
  <c r="P37" i="4" s="1"/>
  <c r="N38" i="4"/>
  <c r="O38" i="4" s="1"/>
  <c r="P38" i="4" s="1"/>
  <c r="N53" i="4"/>
  <c r="O53" i="4" s="1"/>
  <c r="P53" i="4" s="1"/>
  <c r="N54" i="4"/>
  <c r="O54" i="4" s="1"/>
  <c r="P54" i="4" s="1"/>
  <c r="N69" i="4"/>
  <c r="O69" i="4" s="1"/>
  <c r="P69" i="4" s="1"/>
  <c r="N70" i="4"/>
  <c r="O70" i="4" s="1"/>
  <c r="P70" i="4" s="1"/>
  <c r="N85" i="4"/>
  <c r="O85" i="4" s="1"/>
  <c r="P85" i="4" s="1"/>
  <c r="N86" i="4"/>
  <c r="O86" i="4" s="1"/>
  <c r="P86" i="4" s="1"/>
  <c r="N101" i="4"/>
  <c r="O101" i="4" s="1"/>
  <c r="P101" i="4" s="1"/>
  <c r="N102" i="4"/>
  <c r="O102" i="4" s="1"/>
  <c r="P102" i="4" s="1"/>
  <c r="P112" i="4"/>
  <c r="N232" i="3"/>
  <c r="P16" i="4"/>
  <c r="P80" i="4"/>
  <c r="P96" i="4"/>
  <c r="N102" i="3"/>
  <c r="N104" i="3"/>
  <c r="N106" i="3"/>
  <c r="N108" i="3"/>
  <c r="N110" i="3"/>
  <c r="N114" i="3"/>
  <c r="N116" i="3"/>
  <c r="N118" i="3"/>
  <c r="N120" i="3"/>
  <c r="N122" i="3"/>
  <c r="N124" i="3"/>
  <c r="N126" i="3"/>
  <c r="N128" i="3"/>
  <c r="N130" i="3"/>
  <c r="N132" i="3"/>
  <c r="N134" i="3"/>
  <c r="N136" i="3"/>
  <c r="N138" i="3"/>
  <c r="N140" i="3"/>
  <c r="N142" i="3"/>
  <c r="N144" i="3"/>
  <c r="N146" i="3"/>
  <c r="N148" i="3"/>
  <c r="N150" i="3"/>
  <c r="N152" i="3"/>
  <c r="N154" i="3"/>
  <c r="N156" i="3"/>
  <c r="N158" i="3"/>
  <c r="N160" i="3"/>
  <c r="N162" i="3"/>
  <c r="N164" i="3"/>
  <c r="N166" i="3"/>
  <c r="N168" i="3"/>
  <c r="N170" i="3"/>
  <c r="N172" i="3"/>
  <c r="N174" i="3"/>
  <c r="N176" i="3"/>
  <c r="N178" i="3"/>
  <c r="N182" i="3"/>
  <c r="N184" i="3"/>
  <c r="N186" i="3"/>
  <c r="N188" i="3"/>
  <c r="N192" i="3"/>
  <c r="N194" i="3"/>
  <c r="N196" i="3"/>
  <c r="N198" i="3"/>
  <c r="N200" i="3"/>
  <c r="N204" i="3"/>
  <c r="N206" i="3"/>
  <c r="N208" i="3"/>
  <c r="N210" i="3"/>
  <c r="N212" i="3"/>
  <c r="N214" i="3"/>
  <c r="N216" i="3"/>
  <c r="N218" i="3"/>
  <c r="N220" i="3"/>
  <c r="N222" i="3"/>
  <c r="N224" i="3"/>
  <c r="N226" i="3"/>
  <c r="N228" i="3"/>
  <c r="N230" i="3"/>
  <c r="N7" i="4"/>
  <c r="O7" i="4" s="1"/>
  <c r="P7" i="4" s="1"/>
  <c r="N9" i="4"/>
  <c r="O9" i="4" s="1"/>
  <c r="P9" i="4" s="1"/>
  <c r="N10" i="4"/>
  <c r="O10" i="4" s="1"/>
  <c r="P10" i="4" s="1"/>
  <c r="N23" i="4"/>
  <c r="O23" i="4" s="1"/>
  <c r="P23" i="4" s="1"/>
  <c r="N25" i="4"/>
  <c r="O25" i="4" s="1"/>
  <c r="P25" i="4" s="1"/>
  <c r="N26" i="4"/>
  <c r="O26" i="4" s="1"/>
  <c r="P26" i="4" s="1"/>
  <c r="N39" i="4"/>
  <c r="O39" i="4" s="1"/>
  <c r="P39" i="4" s="1"/>
  <c r="N41" i="4"/>
  <c r="O41" i="4" s="1"/>
  <c r="P41" i="4" s="1"/>
  <c r="N42" i="4"/>
  <c r="O42" i="4" s="1"/>
  <c r="P42" i="4" s="1"/>
  <c r="N55" i="4"/>
  <c r="O55" i="4" s="1"/>
  <c r="P55" i="4" s="1"/>
  <c r="N57" i="4"/>
  <c r="O57" i="4" s="1"/>
  <c r="P57" i="4" s="1"/>
  <c r="N58" i="4"/>
  <c r="O58" i="4" s="1"/>
  <c r="P58" i="4" s="1"/>
  <c r="N71" i="4"/>
  <c r="O71" i="4" s="1"/>
  <c r="P71" i="4" s="1"/>
  <c r="N73" i="4"/>
  <c r="O73" i="4" s="1"/>
  <c r="P73" i="4" s="1"/>
  <c r="N74" i="4"/>
  <c r="O74" i="4" s="1"/>
  <c r="P74" i="4" s="1"/>
  <c r="N87" i="4"/>
  <c r="O87" i="4" s="1"/>
  <c r="P87" i="4" s="1"/>
  <c r="N89" i="4"/>
  <c r="O89" i="4" s="1"/>
  <c r="P89" i="4" s="1"/>
  <c r="N90" i="4"/>
  <c r="O90" i="4" s="1"/>
  <c r="P90" i="4" s="1"/>
  <c r="N103" i="4"/>
  <c r="O103" i="4" s="1"/>
  <c r="P103" i="4" s="1"/>
  <c r="N105" i="4"/>
  <c r="O105" i="4" s="1"/>
  <c r="P105" i="4" s="1"/>
  <c r="N106" i="4"/>
  <c r="O106" i="4" s="1"/>
  <c r="P106" i="4" s="1"/>
  <c r="P115" i="4"/>
  <c r="N121" i="4"/>
  <c r="O121" i="4" s="1"/>
  <c r="P121" i="4" s="1"/>
  <c r="N122" i="4"/>
  <c r="O122" i="4" s="1"/>
  <c r="P122" i="4" s="1"/>
  <c r="N123" i="4"/>
  <c r="O123" i="4" s="1"/>
  <c r="P123" i="4" s="1"/>
  <c r="P128" i="4"/>
  <c r="P139" i="4"/>
  <c r="P202" i="4"/>
  <c r="N52" i="3"/>
  <c r="N60" i="3"/>
  <c r="P36" i="4"/>
  <c r="P153" i="4"/>
  <c r="P161" i="4"/>
  <c r="P201" i="4"/>
  <c r="P218" i="4"/>
  <c r="P225" i="4"/>
  <c r="N11" i="4"/>
  <c r="O11" i="4" s="1"/>
  <c r="P11" i="4" s="1"/>
  <c r="N13" i="4"/>
  <c r="O13" i="4" s="1"/>
  <c r="P13" i="4" s="1"/>
  <c r="N14" i="4"/>
  <c r="O14" i="4" s="1"/>
  <c r="P14" i="4" s="1"/>
  <c r="N27" i="4"/>
  <c r="O27" i="4" s="1"/>
  <c r="P27" i="4" s="1"/>
  <c r="N29" i="4"/>
  <c r="O29" i="4" s="1"/>
  <c r="P29" i="4" s="1"/>
  <c r="N30" i="4"/>
  <c r="O30" i="4" s="1"/>
  <c r="P30" i="4" s="1"/>
  <c r="N43" i="4"/>
  <c r="O43" i="4" s="1"/>
  <c r="P43" i="4" s="1"/>
  <c r="N45" i="4"/>
  <c r="O45" i="4" s="1"/>
  <c r="P45" i="4" s="1"/>
  <c r="N46" i="4"/>
  <c r="O46" i="4" s="1"/>
  <c r="P46" i="4" s="1"/>
  <c r="N59" i="4"/>
  <c r="O59" i="4" s="1"/>
  <c r="P59" i="4" s="1"/>
  <c r="N61" i="4"/>
  <c r="N62" i="4"/>
  <c r="O62" i="4" s="1"/>
  <c r="P62" i="4" s="1"/>
  <c r="N75" i="4"/>
  <c r="O75" i="4" s="1"/>
  <c r="P75" i="4" s="1"/>
  <c r="N77" i="4"/>
  <c r="O77" i="4" s="1"/>
  <c r="P77" i="4" s="1"/>
  <c r="N78" i="4"/>
  <c r="O78" i="4" s="1"/>
  <c r="P78" i="4" s="1"/>
  <c r="N91" i="4"/>
  <c r="O91" i="4" s="1"/>
  <c r="P91" i="4" s="1"/>
  <c r="N93" i="4"/>
  <c r="O93" i="4" s="1"/>
  <c r="P93" i="4" s="1"/>
  <c r="N94" i="4"/>
  <c r="O94" i="4" s="1"/>
  <c r="P94" i="4" s="1"/>
  <c r="N107" i="4"/>
  <c r="O107" i="4" s="1"/>
  <c r="P107" i="4" s="1"/>
  <c r="N109" i="4"/>
  <c r="O109" i="4" s="1"/>
  <c r="P109" i="4" s="1"/>
  <c r="N110" i="4"/>
  <c r="O110" i="4" s="1"/>
  <c r="P110" i="4" s="1"/>
  <c r="N119" i="4"/>
  <c r="O119" i="4" s="1"/>
  <c r="P119" i="4" s="1"/>
  <c r="N131" i="4"/>
  <c r="O131" i="4" s="1"/>
  <c r="P131" i="4" s="1"/>
  <c r="P136" i="4"/>
  <c r="P188" i="4"/>
  <c r="P190" i="4"/>
  <c r="P208" i="4"/>
  <c r="P88" i="4"/>
  <c r="P124" i="4"/>
  <c r="P177" i="4"/>
  <c r="V9" i="7"/>
  <c r="W9" i="7" s="1"/>
  <c r="V29" i="7"/>
  <c r="W29" i="7" s="1"/>
  <c r="V4" i="7"/>
  <c r="W4" i="7" s="1"/>
  <c r="V15" i="7"/>
  <c r="W15" i="7" s="1"/>
  <c r="V20" i="7"/>
  <c r="W20" i="7" s="1"/>
  <c r="V27" i="7"/>
  <c r="W27" i="7" s="1"/>
  <c r="V58" i="7"/>
  <c r="W58" i="7" s="1"/>
  <c r="V10" i="7"/>
  <c r="W10" i="7" s="1"/>
  <c r="V55" i="7"/>
  <c r="W55" i="7" s="1"/>
  <c r="B4" i="20"/>
  <c r="V3" i="7"/>
  <c r="W3" i="7" s="1"/>
  <c r="V8" i="7"/>
  <c r="W8" i="7" s="1"/>
  <c r="V19" i="7"/>
  <c r="W19" i="7" s="1"/>
  <c r="V51" i="7"/>
  <c r="W51" i="7" s="1"/>
  <c r="V14" i="7"/>
  <c r="W14" i="7" s="1"/>
  <c r="V24" i="7"/>
  <c r="W24" i="7" s="1"/>
  <c r="V47" i="7"/>
  <c r="W47" i="7" s="1"/>
  <c r="V7" i="7"/>
  <c r="W7" i="7" s="1"/>
  <c r="V43" i="7"/>
  <c r="W43" i="7" s="1"/>
  <c r="V38" i="7"/>
  <c r="W38" i="7" s="1"/>
  <c r="V39" i="7"/>
  <c r="W39" i="7" s="1"/>
  <c r="V68" i="7"/>
  <c r="W68" i="7" s="1"/>
  <c r="V63" i="7"/>
  <c r="W63" i="7" s="1"/>
  <c r="V28" i="7"/>
  <c r="W28" i="7" s="1"/>
  <c r="V32" i="7"/>
  <c r="W32" i="7" s="1"/>
  <c r="V36" i="7"/>
  <c r="W36" i="7" s="1"/>
  <c r="V40" i="7"/>
  <c r="W40" i="7" s="1"/>
  <c r="V44" i="7"/>
  <c r="W44" i="7" s="1"/>
  <c r="V48" i="7"/>
  <c r="W48" i="7" s="1"/>
  <c r="V52" i="7"/>
  <c r="W52" i="7" s="1"/>
  <c r="V56" i="7"/>
  <c r="W56" i="7" s="1"/>
  <c r="V60" i="7"/>
  <c r="W60" i="7" s="1"/>
  <c r="V67" i="7"/>
  <c r="W67" i="7" s="1"/>
  <c r="V64" i="7"/>
  <c r="W64" i="7" s="1"/>
  <c r="V61" i="7"/>
  <c r="W61" i="7" s="1"/>
  <c r="V65" i="7"/>
  <c r="W65" i="7" s="1"/>
  <c r="V69" i="7"/>
  <c r="W69" i="7" s="1"/>
  <c r="V71" i="7"/>
  <c r="W71" i="7" s="1"/>
  <c r="V73" i="7"/>
  <c r="W73" i="7" s="1"/>
  <c r="V75" i="7"/>
  <c r="W75" i="7" s="1"/>
  <c r="V77" i="7"/>
  <c r="W77" i="7" s="1"/>
  <c r="V79" i="7"/>
  <c r="W79" i="7" s="1"/>
  <c r="V86" i="7"/>
  <c r="W86" i="7" s="1"/>
  <c r="V87" i="7"/>
  <c r="W87" i="7" s="1"/>
  <c r="V70" i="7"/>
  <c r="W70" i="7" s="1"/>
  <c r="V72" i="7"/>
  <c r="W72" i="7" s="1"/>
  <c r="V74" i="7"/>
  <c r="W74" i="7" s="1"/>
  <c r="V76" i="7"/>
  <c r="W76" i="7" s="1"/>
  <c r="V78" i="7"/>
  <c r="W78" i="7" s="1"/>
  <c r="V82" i="7"/>
  <c r="W82" i="7" s="1"/>
  <c r="V84" i="7"/>
  <c r="W84" i="7" s="1"/>
  <c r="V89" i="7"/>
  <c r="W89" i="7" s="1"/>
  <c r="V115" i="7"/>
  <c r="W115" i="7" s="1"/>
  <c r="V107" i="7"/>
  <c r="W107" i="7" s="1"/>
  <c r="V109" i="7"/>
  <c r="W109" i="7" s="1"/>
  <c r="V111" i="7"/>
  <c r="W111" i="7" s="1"/>
  <c r="V113" i="7"/>
  <c r="W113" i="7" s="1"/>
  <c r="V116" i="7"/>
  <c r="W116" i="7" s="1"/>
  <c r="V106" i="7"/>
  <c r="W106" i="7" s="1"/>
  <c r="V117" i="7"/>
  <c r="W117" i="7" s="1"/>
  <c r="V100" i="7"/>
  <c r="W100" i="7" s="1"/>
  <c r="V101" i="7"/>
  <c r="W101" i="7" s="1"/>
  <c r="V102" i="7"/>
  <c r="W102" i="7" s="1"/>
  <c r="V103" i="7"/>
  <c r="W103" i="7" s="1"/>
  <c r="V104" i="7"/>
  <c r="W104" i="7" s="1"/>
  <c r="V105" i="7"/>
  <c r="W105" i="7" s="1"/>
  <c r="V108" i="7"/>
  <c r="W108" i="7" s="1"/>
  <c r="V110" i="7"/>
  <c r="W110" i="7" s="1"/>
  <c r="V112" i="7"/>
  <c r="W112" i="7" s="1"/>
  <c r="V153" i="7"/>
  <c r="W153" i="7" s="1"/>
  <c r="V138" i="7"/>
  <c r="W138" i="7" s="1"/>
  <c r="V140" i="7"/>
  <c r="W140" i="7" s="1"/>
  <c r="V142" i="7"/>
  <c r="W142" i="7" s="1"/>
  <c r="V144" i="7"/>
  <c r="W144" i="7" s="1"/>
  <c r="V145" i="7"/>
  <c r="W145" i="7" s="1"/>
  <c r="V147" i="7"/>
  <c r="W147" i="7" s="1"/>
  <c r="V149" i="7"/>
  <c r="W149" i="7" s="1"/>
  <c r="V146" i="7"/>
  <c r="W146" i="7" s="1"/>
  <c r="V148" i="7"/>
  <c r="W148" i="7" s="1"/>
  <c r="V156" i="7"/>
  <c r="W156" i="7" s="1"/>
  <c r="V173" i="7"/>
  <c r="W173" i="7" s="1"/>
  <c r="V175" i="7"/>
  <c r="W175" i="7" s="1"/>
  <c r="V179" i="7"/>
  <c r="W179" i="7" s="1"/>
  <c r="V182" i="7"/>
  <c r="W182" i="7" s="1"/>
  <c r="V186" i="7"/>
  <c r="W186" i="7" s="1"/>
  <c r="V190" i="7"/>
  <c r="W190" i="7" s="1"/>
  <c r="V181" i="7"/>
  <c r="W181" i="7" s="1"/>
  <c r="V185" i="7"/>
  <c r="W185" i="7" s="1"/>
  <c r="V187" i="7"/>
  <c r="W187" i="7" s="1"/>
  <c r="V172" i="7"/>
  <c r="W172" i="7" s="1"/>
  <c r="V174" i="7"/>
  <c r="W174" i="7" s="1"/>
  <c r="V176" i="7"/>
  <c r="W176" i="7" s="1"/>
  <c r="V177" i="7"/>
  <c r="W177" i="7" s="1"/>
  <c r="V178" i="7"/>
  <c r="W178" i="7" s="1"/>
  <c r="V192" i="7"/>
  <c r="W192" i="7" s="1"/>
  <c r="V189" i="7"/>
  <c r="W189" i="7" s="1"/>
  <c r="V227" i="7"/>
  <c r="W227" i="7" s="1"/>
  <c r="B35" i="17"/>
  <c r="B26" i="17"/>
  <c r="R6" i="17" s="1"/>
  <c r="J6" i="17"/>
  <c r="K5" i="17"/>
  <c r="L4" i="17"/>
  <c r="M3" i="17"/>
  <c r="B34" i="17"/>
  <c r="D25" i="17"/>
  <c r="D23" i="17"/>
  <c r="B17" i="17"/>
  <c r="B7" i="17"/>
  <c r="I6" i="17"/>
  <c r="J5" i="17"/>
  <c r="K4" i="17"/>
  <c r="L3" i="17"/>
  <c r="B33" i="17"/>
  <c r="C25" i="17"/>
  <c r="S5" i="17" s="1"/>
  <c r="C23" i="17"/>
  <c r="B6" i="17"/>
  <c r="I5" i="17"/>
  <c r="J4" i="17"/>
  <c r="K3" i="17"/>
  <c r="B32" i="17"/>
  <c r="B25" i="17"/>
  <c r="R5" i="17" s="1"/>
  <c r="B23" i="17"/>
  <c r="R3" i="17" s="1"/>
  <c r="B15" i="17"/>
  <c r="B5" i="17"/>
  <c r="I4" i="17"/>
  <c r="J3" i="17"/>
  <c r="B31" i="17"/>
  <c r="B14" i="17"/>
  <c r="O6" i="17" s="1"/>
  <c r="B4" i="17"/>
  <c r="I3" i="17"/>
  <c r="B27" i="17"/>
  <c r="D24" i="17"/>
  <c r="B22" i="17"/>
  <c r="B13" i="17"/>
  <c r="M6" i="17"/>
  <c r="B3" i="17"/>
  <c r="B36" i="17"/>
  <c r="C26" i="17"/>
  <c r="S6" i="17" s="1"/>
  <c r="B24" i="17"/>
  <c r="R4" i="17" s="1"/>
  <c r="B21" i="17"/>
  <c r="B11" i="17"/>
  <c r="O4" i="17" s="1"/>
  <c r="K6" i="17"/>
  <c r="L5" i="17"/>
  <c r="M4" i="17"/>
  <c r="D26" i="17"/>
  <c r="V210" i="7"/>
  <c r="W210" i="7" s="1"/>
  <c r="V216" i="7"/>
  <c r="W216" i="7" s="1"/>
  <c r="V223" i="7"/>
  <c r="W223" i="7" s="1"/>
  <c r="M5" i="17"/>
  <c r="G14" i="24"/>
  <c r="L6" i="17"/>
  <c r="G13" i="24"/>
  <c r="V221" i="7"/>
  <c r="W221" i="7" s="1"/>
  <c r="V222" i="7"/>
  <c r="W222" i="7" s="1"/>
  <c r="B12" i="17"/>
  <c r="O5" i="17" s="1"/>
  <c r="G12" i="24"/>
  <c r="AJ48" i="6" l="1"/>
  <c r="AL48" i="6" s="1"/>
  <c r="O53" i="3"/>
  <c r="P53" i="3" s="1"/>
  <c r="F53" i="6" s="1"/>
  <c r="AJ53" i="6"/>
  <c r="AL53" i="6" s="1"/>
  <c r="N169" i="3"/>
  <c r="N137" i="3"/>
  <c r="N129" i="3"/>
  <c r="O31" i="3"/>
  <c r="P31" i="3" s="1"/>
  <c r="I31" i="2" s="1"/>
  <c r="N202" i="3"/>
  <c r="D46" i="7"/>
  <c r="F46" i="7" s="1"/>
  <c r="N161" i="3"/>
  <c r="N191" i="3"/>
  <c r="N112" i="3"/>
  <c r="O95" i="3"/>
  <c r="P95" i="3" s="1"/>
  <c r="F95" i="6" s="1"/>
  <c r="O15" i="3"/>
  <c r="P15" i="3" s="1"/>
  <c r="AJ95" i="6"/>
  <c r="AL95" i="6" s="1"/>
  <c r="AJ15" i="6"/>
  <c r="AL15" i="6" s="1"/>
  <c r="AJ231" i="6"/>
  <c r="AL231" i="6" s="1"/>
  <c r="N190" i="3"/>
  <c r="D231" i="7"/>
  <c r="F231" i="7" s="1"/>
  <c r="AJ71" i="6"/>
  <c r="AL71" i="6" s="1"/>
  <c r="AJ31" i="6"/>
  <c r="AL31" i="6" s="1"/>
  <c r="N180" i="3"/>
  <c r="B7" i="20"/>
  <c r="N153" i="3"/>
  <c r="O71" i="3"/>
  <c r="P71" i="3" s="1"/>
  <c r="I71" i="2" s="1"/>
  <c r="N79" i="3"/>
  <c r="N195" i="3"/>
  <c r="O87" i="3"/>
  <c r="P87" i="3" s="1"/>
  <c r="AJ87" i="6"/>
  <c r="AL87" i="6" s="1"/>
  <c r="F231" i="6"/>
  <c r="G231" i="6" s="1"/>
  <c r="I231" i="2"/>
  <c r="F55" i="6"/>
  <c r="I55" i="2"/>
  <c r="F46" i="6"/>
  <c r="I46" i="2"/>
  <c r="I95" i="2"/>
  <c r="F71" i="6"/>
  <c r="I53" i="2"/>
  <c r="F63" i="6"/>
  <c r="I63" i="2"/>
  <c r="F31" i="6"/>
  <c r="F48" i="6"/>
  <c r="I48" i="2"/>
  <c r="F23" i="6"/>
  <c r="I23" i="2"/>
  <c r="F7" i="6"/>
  <c r="I7" i="2"/>
  <c r="D210" i="7"/>
  <c r="F210" i="7" s="1"/>
  <c r="AJ210" i="6"/>
  <c r="AL210" i="6" s="1"/>
  <c r="O210" i="3"/>
  <c r="P210" i="3" s="1"/>
  <c r="D178" i="7"/>
  <c r="F178" i="7" s="1"/>
  <c r="AJ178" i="6"/>
  <c r="AL178" i="6" s="1"/>
  <c r="O178" i="3"/>
  <c r="P178" i="3" s="1"/>
  <c r="D146" i="7"/>
  <c r="F146" i="7" s="1"/>
  <c r="AJ146" i="6"/>
  <c r="AL146" i="6" s="1"/>
  <c r="O146" i="3"/>
  <c r="P146" i="3" s="1"/>
  <c r="D130" i="7"/>
  <c r="F130" i="7" s="1"/>
  <c r="AJ130" i="6"/>
  <c r="AL130" i="6" s="1"/>
  <c r="O130" i="3"/>
  <c r="P130" i="3" s="1"/>
  <c r="D114" i="7"/>
  <c r="F114" i="7" s="1"/>
  <c r="AJ114" i="6"/>
  <c r="AL114" i="6" s="1"/>
  <c r="O114" i="3"/>
  <c r="P114" i="3" s="1"/>
  <c r="D221" i="7"/>
  <c r="F221" i="7" s="1"/>
  <c r="AJ221" i="6"/>
  <c r="AL221" i="6" s="1"/>
  <c r="O221" i="3"/>
  <c r="P221" i="3" s="1"/>
  <c r="D205" i="7"/>
  <c r="F205" i="7" s="1"/>
  <c r="AJ205" i="6"/>
  <c r="AL205" i="6" s="1"/>
  <c r="O205" i="3"/>
  <c r="P205" i="3" s="1"/>
  <c r="D189" i="7"/>
  <c r="F189" i="7" s="1"/>
  <c r="AJ189" i="6"/>
  <c r="AL189" i="6" s="1"/>
  <c r="O189" i="3"/>
  <c r="P189" i="3" s="1"/>
  <c r="D173" i="7"/>
  <c r="F173" i="7" s="1"/>
  <c r="AJ173" i="6"/>
  <c r="AL173" i="6" s="1"/>
  <c r="O173" i="3"/>
  <c r="P173" i="3" s="1"/>
  <c r="D157" i="7"/>
  <c r="F157" i="7" s="1"/>
  <c r="AJ157" i="6"/>
  <c r="AL157" i="6" s="1"/>
  <c r="O157" i="3"/>
  <c r="P157" i="3" s="1"/>
  <c r="D141" i="7"/>
  <c r="F141" i="7" s="1"/>
  <c r="AJ141" i="6"/>
  <c r="AL141" i="6" s="1"/>
  <c r="O141" i="3"/>
  <c r="P141" i="3" s="1"/>
  <c r="D39" i="7"/>
  <c r="F39" i="7" s="1"/>
  <c r="AJ39" i="6"/>
  <c r="AL39" i="6" s="1"/>
  <c r="O39" i="3"/>
  <c r="P39" i="3" s="1"/>
  <c r="D78" i="7"/>
  <c r="F78" i="7" s="1"/>
  <c r="AJ78" i="6"/>
  <c r="AL78" i="6" s="1"/>
  <c r="O78" i="3"/>
  <c r="P78" i="3" s="1"/>
  <c r="D30" i="7"/>
  <c r="F30" i="7" s="1"/>
  <c r="AJ30" i="6"/>
  <c r="AL30" i="6" s="1"/>
  <c r="O30" i="3"/>
  <c r="P30" i="3" s="1"/>
  <c r="D123" i="7"/>
  <c r="F123" i="7" s="1"/>
  <c r="AJ123" i="6"/>
  <c r="AL123" i="6" s="1"/>
  <c r="O123" i="3"/>
  <c r="P123" i="3" s="1"/>
  <c r="D115" i="7"/>
  <c r="F115" i="7" s="1"/>
  <c r="AJ115" i="6"/>
  <c r="AL115" i="6" s="1"/>
  <c r="O115" i="3"/>
  <c r="P115" i="3" s="1"/>
  <c r="D107" i="7"/>
  <c r="F107" i="7" s="1"/>
  <c r="AJ107" i="6"/>
  <c r="AL107" i="6" s="1"/>
  <c r="O107" i="3"/>
  <c r="P107" i="3" s="1"/>
  <c r="D72" i="7"/>
  <c r="F72" i="7" s="1"/>
  <c r="AJ72" i="6"/>
  <c r="AL72" i="6" s="1"/>
  <c r="O72" i="3"/>
  <c r="P72" i="3" s="1"/>
  <c r="D41" i="7"/>
  <c r="F41" i="7" s="1"/>
  <c r="AJ41" i="6"/>
  <c r="AL41" i="6" s="1"/>
  <c r="O41" i="3"/>
  <c r="P41" i="3" s="1"/>
  <c r="D66" i="7"/>
  <c r="F66" i="7" s="1"/>
  <c r="AJ66" i="6"/>
  <c r="AL66" i="6" s="1"/>
  <c r="O66" i="3"/>
  <c r="P66" i="3" s="1"/>
  <c r="D47" i="7"/>
  <c r="F47" i="7" s="1"/>
  <c r="AJ47" i="6"/>
  <c r="AL47" i="6" s="1"/>
  <c r="O47" i="3"/>
  <c r="P47" i="3" s="1"/>
  <c r="D18" i="7"/>
  <c r="F18" i="7" s="1"/>
  <c r="AJ18" i="6"/>
  <c r="AL18" i="6" s="1"/>
  <c r="O18" i="3"/>
  <c r="P18" i="3" s="1"/>
  <c r="D57" i="7"/>
  <c r="F57" i="7" s="1"/>
  <c r="AJ57" i="6"/>
  <c r="AL57" i="6" s="1"/>
  <c r="O57" i="3"/>
  <c r="P57" i="3" s="1"/>
  <c r="D4" i="7"/>
  <c r="F4" i="7" s="1"/>
  <c r="AJ4" i="6"/>
  <c r="AL4" i="6" s="1"/>
  <c r="O4" i="3"/>
  <c r="P4" i="3" s="1"/>
  <c r="F15" i="6"/>
  <c r="I15" i="2"/>
  <c r="D226" i="7"/>
  <c r="F226" i="7" s="1"/>
  <c r="AJ226" i="6"/>
  <c r="AL226" i="6" s="1"/>
  <c r="O226" i="3"/>
  <c r="P226" i="3" s="1"/>
  <c r="D194" i="7"/>
  <c r="F194" i="7" s="1"/>
  <c r="AJ194" i="6"/>
  <c r="AL194" i="6" s="1"/>
  <c r="O194" i="3"/>
  <c r="P194" i="3" s="1"/>
  <c r="D162" i="7"/>
  <c r="F162" i="7" s="1"/>
  <c r="AJ162" i="6"/>
  <c r="AL162" i="6" s="1"/>
  <c r="O162" i="3"/>
  <c r="P162" i="3" s="1"/>
  <c r="B6" i="20"/>
  <c r="D224" i="7"/>
  <c r="F224" i="7" s="1"/>
  <c r="AJ224" i="6"/>
  <c r="AL224" i="6" s="1"/>
  <c r="O224" i="3"/>
  <c r="P224" i="3" s="1"/>
  <c r="D208" i="7"/>
  <c r="F208" i="7" s="1"/>
  <c r="AJ208" i="6"/>
  <c r="AL208" i="6" s="1"/>
  <c r="O208" i="3"/>
  <c r="P208" i="3" s="1"/>
  <c r="D192" i="7"/>
  <c r="F192" i="7" s="1"/>
  <c r="AJ192" i="6"/>
  <c r="AL192" i="6" s="1"/>
  <c r="O192" i="3"/>
  <c r="P192" i="3" s="1"/>
  <c r="D176" i="7"/>
  <c r="F176" i="7" s="1"/>
  <c r="AJ176" i="6"/>
  <c r="AL176" i="6" s="1"/>
  <c r="O176" i="3"/>
  <c r="P176" i="3" s="1"/>
  <c r="D160" i="7"/>
  <c r="F160" i="7" s="1"/>
  <c r="AJ160" i="6"/>
  <c r="AL160" i="6" s="1"/>
  <c r="O160" i="3"/>
  <c r="P160" i="3" s="1"/>
  <c r="D144" i="7"/>
  <c r="F144" i="7" s="1"/>
  <c r="AJ144" i="6"/>
  <c r="AL144" i="6" s="1"/>
  <c r="O144" i="3"/>
  <c r="P144" i="3" s="1"/>
  <c r="D128" i="7"/>
  <c r="F128" i="7" s="1"/>
  <c r="AJ128" i="6"/>
  <c r="AL128" i="6" s="1"/>
  <c r="O128" i="3"/>
  <c r="P128" i="3" s="1"/>
  <c r="D112" i="7"/>
  <c r="F112" i="7" s="1"/>
  <c r="AJ112" i="6"/>
  <c r="AL112" i="6" s="1"/>
  <c r="O112" i="3"/>
  <c r="P112" i="3" s="1"/>
  <c r="D232" i="7"/>
  <c r="F232" i="7" s="1"/>
  <c r="AJ232" i="6"/>
  <c r="AL232" i="6" s="1"/>
  <c r="O232" i="3"/>
  <c r="P232" i="3" s="1"/>
  <c r="D219" i="7"/>
  <c r="F219" i="7" s="1"/>
  <c r="AJ219" i="6"/>
  <c r="AL219" i="6" s="1"/>
  <c r="O219" i="3"/>
  <c r="P219" i="3" s="1"/>
  <c r="D203" i="7"/>
  <c r="F203" i="7" s="1"/>
  <c r="AJ203" i="6"/>
  <c r="AL203" i="6" s="1"/>
  <c r="O203" i="3"/>
  <c r="P203" i="3" s="1"/>
  <c r="D187" i="7"/>
  <c r="F187" i="7" s="1"/>
  <c r="AJ187" i="6"/>
  <c r="AL187" i="6" s="1"/>
  <c r="O187" i="3"/>
  <c r="P187" i="3" s="1"/>
  <c r="D171" i="7"/>
  <c r="F171" i="7" s="1"/>
  <c r="AJ171" i="6"/>
  <c r="AL171" i="6" s="1"/>
  <c r="O171" i="3"/>
  <c r="P171" i="3" s="1"/>
  <c r="D155" i="7"/>
  <c r="F155" i="7" s="1"/>
  <c r="AJ155" i="6"/>
  <c r="AL155" i="6" s="1"/>
  <c r="O155" i="3"/>
  <c r="P155" i="3" s="1"/>
  <c r="D139" i="7"/>
  <c r="F139" i="7" s="1"/>
  <c r="AJ139" i="6"/>
  <c r="AL139" i="6" s="1"/>
  <c r="O139" i="3"/>
  <c r="P139" i="3" s="1"/>
  <c r="D84" i="7"/>
  <c r="F84" i="7" s="1"/>
  <c r="AJ84" i="6"/>
  <c r="AL84" i="6" s="1"/>
  <c r="O84" i="3"/>
  <c r="P84" i="3" s="1"/>
  <c r="D33" i="7"/>
  <c r="F33" i="7" s="1"/>
  <c r="AJ33" i="6"/>
  <c r="AL33" i="6" s="1"/>
  <c r="O33" i="3"/>
  <c r="P33" i="3" s="1"/>
  <c r="D22" i="7"/>
  <c r="F22" i="7" s="1"/>
  <c r="AJ22" i="6"/>
  <c r="AL22" i="6" s="1"/>
  <c r="O22" i="3"/>
  <c r="P22" i="3" s="1"/>
  <c r="D35" i="7"/>
  <c r="F35" i="7" s="1"/>
  <c r="AJ35" i="6"/>
  <c r="AL35" i="6" s="1"/>
  <c r="O35" i="3"/>
  <c r="P35" i="3" s="1"/>
  <c r="D83" i="7"/>
  <c r="F83" i="7" s="1"/>
  <c r="AJ83" i="6"/>
  <c r="AL83" i="6" s="1"/>
  <c r="O83" i="3"/>
  <c r="P83" i="3" s="1"/>
  <c r="D37" i="7"/>
  <c r="F37" i="7" s="1"/>
  <c r="AJ37" i="6"/>
  <c r="AL37" i="6" s="1"/>
  <c r="O37" i="3"/>
  <c r="P37" i="3" s="1"/>
  <c r="D77" i="7"/>
  <c r="F77" i="7" s="1"/>
  <c r="AJ77" i="6"/>
  <c r="AL77" i="6" s="1"/>
  <c r="O77" i="3"/>
  <c r="P77" i="3" s="1"/>
  <c r="D10" i="7"/>
  <c r="F10" i="7" s="1"/>
  <c r="AJ10" i="6"/>
  <c r="AL10" i="6" s="1"/>
  <c r="O10" i="3"/>
  <c r="P10" i="3" s="1"/>
  <c r="D80" i="7"/>
  <c r="F80" i="7" s="1"/>
  <c r="AJ80" i="6"/>
  <c r="AL80" i="6" s="1"/>
  <c r="O80" i="3"/>
  <c r="P80" i="3" s="1"/>
  <c r="D49" i="7"/>
  <c r="F49" i="7" s="1"/>
  <c r="AJ49" i="6"/>
  <c r="AL49" i="6" s="1"/>
  <c r="O49" i="3"/>
  <c r="P49" i="3" s="1"/>
  <c r="D13" i="7"/>
  <c r="F13" i="7" s="1"/>
  <c r="AJ13" i="6"/>
  <c r="AL13" i="6" s="1"/>
  <c r="O13" i="3"/>
  <c r="P13" i="3" s="1"/>
  <c r="D16" i="7"/>
  <c r="F16" i="7" s="1"/>
  <c r="AJ16" i="6"/>
  <c r="AL16" i="6" s="1"/>
  <c r="O16" i="3"/>
  <c r="P16" i="3" s="1"/>
  <c r="F22" i="17"/>
  <c r="S3" i="17"/>
  <c r="F21" i="17"/>
  <c r="F24" i="17" s="1"/>
  <c r="D222" i="7"/>
  <c r="F222" i="7" s="1"/>
  <c r="AJ222" i="6"/>
  <c r="AL222" i="6" s="1"/>
  <c r="O222" i="3"/>
  <c r="P222" i="3" s="1"/>
  <c r="D206" i="7"/>
  <c r="F206" i="7" s="1"/>
  <c r="AJ206" i="6"/>
  <c r="AL206" i="6" s="1"/>
  <c r="O206" i="3"/>
  <c r="P206" i="3" s="1"/>
  <c r="D190" i="7"/>
  <c r="F190" i="7" s="1"/>
  <c r="AJ190" i="6"/>
  <c r="AL190" i="6" s="1"/>
  <c r="O190" i="3"/>
  <c r="P190" i="3" s="1"/>
  <c r="D174" i="7"/>
  <c r="F174" i="7" s="1"/>
  <c r="AJ174" i="6"/>
  <c r="AL174" i="6" s="1"/>
  <c r="O174" i="3"/>
  <c r="P174" i="3" s="1"/>
  <c r="D158" i="7"/>
  <c r="F158" i="7" s="1"/>
  <c r="AJ158" i="6"/>
  <c r="AL158" i="6" s="1"/>
  <c r="O158" i="3"/>
  <c r="P158" i="3" s="1"/>
  <c r="D142" i="7"/>
  <c r="F142" i="7" s="1"/>
  <c r="AJ142" i="6"/>
  <c r="AL142" i="6" s="1"/>
  <c r="O142" i="3"/>
  <c r="P142" i="3" s="1"/>
  <c r="D126" i="7"/>
  <c r="F126" i="7" s="1"/>
  <c r="AJ126" i="6"/>
  <c r="AL126" i="6" s="1"/>
  <c r="O126" i="3"/>
  <c r="P126" i="3" s="1"/>
  <c r="D110" i="7"/>
  <c r="F110" i="7" s="1"/>
  <c r="AJ110" i="6"/>
  <c r="AL110" i="6" s="1"/>
  <c r="O110" i="3"/>
  <c r="P110" i="3" s="1"/>
  <c r="D217" i="7"/>
  <c r="F217" i="7" s="1"/>
  <c r="AJ217" i="6"/>
  <c r="AL217" i="6" s="1"/>
  <c r="O217" i="3"/>
  <c r="P217" i="3" s="1"/>
  <c r="D201" i="7"/>
  <c r="F201" i="7" s="1"/>
  <c r="AJ201" i="6"/>
  <c r="AL201" i="6" s="1"/>
  <c r="O201" i="3"/>
  <c r="P201" i="3" s="1"/>
  <c r="D185" i="7"/>
  <c r="F185" i="7" s="1"/>
  <c r="AJ185" i="6"/>
  <c r="AL185" i="6" s="1"/>
  <c r="O185" i="3"/>
  <c r="P185" i="3" s="1"/>
  <c r="D169" i="7"/>
  <c r="F169" i="7" s="1"/>
  <c r="AJ169" i="6"/>
  <c r="AL169" i="6" s="1"/>
  <c r="O169" i="3"/>
  <c r="P169" i="3" s="1"/>
  <c r="D153" i="7"/>
  <c r="F153" i="7" s="1"/>
  <c r="AJ153" i="6"/>
  <c r="AL153" i="6" s="1"/>
  <c r="O153" i="3"/>
  <c r="P153" i="3" s="1"/>
  <c r="D137" i="7"/>
  <c r="F137" i="7" s="1"/>
  <c r="AJ137" i="6"/>
  <c r="AL137" i="6" s="1"/>
  <c r="O137" i="3"/>
  <c r="P137" i="3" s="1"/>
  <c r="D25" i="7"/>
  <c r="F25" i="7" s="1"/>
  <c r="AJ25" i="6"/>
  <c r="AL25" i="6" s="1"/>
  <c r="O25" i="3"/>
  <c r="P25" i="3" s="1"/>
  <c r="D69" i="7"/>
  <c r="F69" i="7" s="1"/>
  <c r="AJ69" i="6"/>
  <c r="AL69" i="6" s="1"/>
  <c r="O69" i="3"/>
  <c r="P69" i="3" s="1"/>
  <c r="D14" i="7"/>
  <c r="F14" i="7" s="1"/>
  <c r="AJ14" i="6"/>
  <c r="AL14" i="6" s="1"/>
  <c r="O14" i="3"/>
  <c r="P14" i="3" s="1"/>
  <c r="D129" i="7"/>
  <c r="F129" i="7" s="1"/>
  <c r="AJ129" i="6"/>
  <c r="AL129" i="6" s="1"/>
  <c r="O129" i="3"/>
  <c r="P129" i="3" s="1"/>
  <c r="D121" i="7"/>
  <c r="F121" i="7" s="1"/>
  <c r="AJ121" i="6"/>
  <c r="AL121" i="6" s="1"/>
  <c r="O121" i="3"/>
  <c r="P121" i="3" s="1"/>
  <c r="D113" i="7"/>
  <c r="F113" i="7" s="1"/>
  <c r="AJ113" i="6"/>
  <c r="AL113" i="6" s="1"/>
  <c r="O113" i="3"/>
  <c r="P113" i="3" s="1"/>
  <c r="D105" i="7"/>
  <c r="F105" i="7" s="1"/>
  <c r="AJ105" i="6"/>
  <c r="AL105" i="6" s="1"/>
  <c r="O105" i="3"/>
  <c r="P105" i="3" s="1"/>
  <c r="D27" i="7"/>
  <c r="F27" i="7" s="1"/>
  <c r="AJ27" i="6"/>
  <c r="AL27" i="6" s="1"/>
  <c r="O27" i="3"/>
  <c r="P27" i="3" s="1"/>
  <c r="D93" i="7"/>
  <c r="F93" i="7" s="1"/>
  <c r="AJ93" i="6"/>
  <c r="AL93" i="6" s="1"/>
  <c r="O93" i="3"/>
  <c r="P93" i="3" s="1"/>
  <c r="D76" i="7"/>
  <c r="F76" i="7" s="1"/>
  <c r="AJ76" i="6"/>
  <c r="AL76" i="6" s="1"/>
  <c r="O76" i="3"/>
  <c r="P76" i="3" s="1"/>
  <c r="D29" i="7"/>
  <c r="F29" i="7" s="1"/>
  <c r="AJ29" i="6"/>
  <c r="AL29" i="6" s="1"/>
  <c r="O29" i="3"/>
  <c r="P29" i="3" s="1"/>
  <c r="D70" i="7"/>
  <c r="F70" i="7" s="1"/>
  <c r="AJ70" i="6"/>
  <c r="AL70" i="6" s="1"/>
  <c r="O70" i="3"/>
  <c r="P70" i="3" s="1"/>
  <c r="D43" i="7"/>
  <c r="F43" i="7" s="1"/>
  <c r="AJ43" i="6"/>
  <c r="AL43" i="6" s="1"/>
  <c r="O43" i="3"/>
  <c r="P43" i="3" s="1"/>
  <c r="D2" i="7"/>
  <c r="F2" i="7" s="1"/>
  <c r="AJ2" i="6"/>
  <c r="AL2" i="6" s="1"/>
  <c r="O2" i="3"/>
  <c r="P2" i="3" s="1"/>
  <c r="D100" i="7"/>
  <c r="F100" i="7" s="1"/>
  <c r="AJ100" i="6"/>
  <c r="AL100" i="6" s="1"/>
  <c r="O100" i="3"/>
  <c r="P100" i="3" s="1"/>
  <c r="D44" i="7"/>
  <c r="F44" i="7" s="1"/>
  <c r="AJ44" i="6"/>
  <c r="AL44" i="6" s="1"/>
  <c r="O44" i="3"/>
  <c r="P44" i="3" s="1"/>
  <c r="F23" i="17"/>
  <c r="D220" i="7"/>
  <c r="F220" i="7" s="1"/>
  <c r="AJ220" i="6"/>
  <c r="AL220" i="6" s="1"/>
  <c r="O220" i="3"/>
  <c r="P220" i="3" s="1"/>
  <c r="D204" i="7"/>
  <c r="F204" i="7" s="1"/>
  <c r="AJ204" i="6"/>
  <c r="AL204" i="6" s="1"/>
  <c r="O204" i="3"/>
  <c r="P204" i="3" s="1"/>
  <c r="D188" i="7"/>
  <c r="F188" i="7" s="1"/>
  <c r="AJ188" i="6"/>
  <c r="AL188" i="6" s="1"/>
  <c r="O188" i="3"/>
  <c r="P188" i="3" s="1"/>
  <c r="D172" i="7"/>
  <c r="F172" i="7" s="1"/>
  <c r="AJ172" i="6"/>
  <c r="AL172" i="6" s="1"/>
  <c r="O172" i="3"/>
  <c r="P172" i="3" s="1"/>
  <c r="D156" i="7"/>
  <c r="F156" i="7" s="1"/>
  <c r="AJ156" i="6"/>
  <c r="AL156" i="6" s="1"/>
  <c r="O156" i="3"/>
  <c r="P156" i="3" s="1"/>
  <c r="D140" i="7"/>
  <c r="F140" i="7" s="1"/>
  <c r="AJ140" i="6"/>
  <c r="AL140" i="6" s="1"/>
  <c r="O140" i="3"/>
  <c r="P140" i="3" s="1"/>
  <c r="D124" i="7"/>
  <c r="F124" i="7" s="1"/>
  <c r="AJ124" i="6"/>
  <c r="AL124" i="6" s="1"/>
  <c r="O124" i="3"/>
  <c r="P124" i="3" s="1"/>
  <c r="D108" i="7"/>
  <c r="F108" i="7" s="1"/>
  <c r="AJ108" i="6"/>
  <c r="AL108" i="6" s="1"/>
  <c r="O108" i="3"/>
  <c r="P108" i="3" s="1"/>
  <c r="D215" i="7"/>
  <c r="F215" i="7" s="1"/>
  <c r="AJ215" i="6"/>
  <c r="AL215" i="6" s="1"/>
  <c r="O215" i="3"/>
  <c r="P215" i="3" s="1"/>
  <c r="D199" i="7"/>
  <c r="F199" i="7" s="1"/>
  <c r="AJ199" i="6"/>
  <c r="AL199" i="6" s="1"/>
  <c r="O199" i="3"/>
  <c r="P199" i="3" s="1"/>
  <c r="D183" i="7"/>
  <c r="F183" i="7" s="1"/>
  <c r="AJ183" i="6"/>
  <c r="AL183" i="6" s="1"/>
  <c r="O183" i="3"/>
  <c r="P183" i="3" s="1"/>
  <c r="D167" i="7"/>
  <c r="F167" i="7" s="1"/>
  <c r="AJ167" i="6"/>
  <c r="AL167" i="6" s="1"/>
  <c r="O167" i="3"/>
  <c r="P167" i="3" s="1"/>
  <c r="D151" i="7"/>
  <c r="F151" i="7" s="1"/>
  <c r="AJ151" i="6"/>
  <c r="AL151" i="6" s="1"/>
  <c r="O151" i="3"/>
  <c r="P151" i="3" s="1"/>
  <c r="D135" i="7"/>
  <c r="F135" i="7" s="1"/>
  <c r="AJ135" i="6"/>
  <c r="AL135" i="6" s="1"/>
  <c r="O135" i="3"/>
  <c r="P135" i="3" s="1"/>
  <c r="D75" i="7"/>
  <c r="F75" i="7" s="1"/>
  <c r="AJ75" i="6"/>
  <c r="AL75" i="6" s="1"/>
  <c r="O75" i="3"/>
  <c r="P75" i="3" s="1"/>
  <c r="D17" i="7"/>
  <c r="F17" i="7" s="1"/>
  <c r="AJ17" i="6"/>
  <c r="AL17" i="6" s="1"/>
  <c r="O17" i="3"/>
  <c r="P17" i="3" s="1"/>
  <c r="D97" i="7"/>
  <c r="F97" i="7" s="1"/>
  <c r="AJ97" i="6"/>
  <c r="AL97" i="6" s="1"/>
  <c r="O97" i="3"/>
  <c r="P97" i="3" s="1"/>
  <c r="D62" i="7"/>
  <c r="F62" i="7" s="1"/>
  <c r="AJ62" i="6"/>
  <c r="AL62" i="6" s="1"/>
  <c r="O62" i="3"/>
  <c r="P62" i="3" s="1"/>
  <c r="D6" i="7"/>
  <c r="F6" i="7" s="1"/>
  <c r="AJ6" i="6"/>
  <c r="AL6" i="6" s="1"/>
  <c r="O6" i="3"/>
  <c r="P6" i="3" s="1"/>
  <c r="D92" i="7"/>
  <c r="F92" i="7" s="1"/>
  <c r="AJ92" i="6"/>
  <c r="AL92" i="6" s="1"/>
  <c r="O92" i="3"/>
  <c r="P92" i="3" s="1"/>
  <c r="D19" i="7"/>
  <c r="F19" i="7" s="1"/>
  <c r="AJ19" i="6"/>
  <c r="AL19" i="6" s="1"/>
  <c r="O19" i="3"/>
  <c r="P19" i="3" s="1"/>
  <c r="D90" i="7"/>
  <c r="F90" i="7" s="1"/>
  <c r="AJ90" i="6"/>
  <c r="AL90" i="6" s="1"/>
  <c r="O90" i="3"/>
  <c r="P90" i="3" s="1"/>
  <c r="D32" i="7"/>
  <c r="F32" i="7" s="1"/>
  <c r="AJ32" i="6"/>
  <c r="AL32" i="6" s="1"/>
  <c r="O32" i="3"/>
  <c r="P32" i="3" s="1"/>
  <c r="D21" i="7"/>
  <c r="F21" i="7" s="1"/>
  <c r="AJ21" i="6"/>
  <c r="AL21" i="6" s="1"/>
  <c r="O21" i="3"/>
  <c r="P21" i="3" s="1"/>
  <c r="D40" i="7"/>
  <c r="F40" i="7" s="1"/>
  <c r="AJ40" i="6"/>
  <c r="AL40" i="6" s="1"/>
  <c r="O40" i="3"/>
  <c r="P40" i="3" s="1"/>
  <c r="D81" i="7"/>
  <c r="F81" i="7" s="1"/>
  <c r="AJ81" i="6"/>
  <c r="AL81" i="6" s="1"/>
  <c r="O81" i="3"/>
  <c r="P81" i="3" s="1"/>
  <c r="D218" i="7"/>
  <c r="F218" i="7" s="1"/>
  <c r="AJ218" i="6"/>
  <c r="AL218" i="6" s="1"/>
  <c r="O218" i="3"/>
  <c r="P218" i="3" s="1"/>
  <c r="D202" i="7"/>
  <c r="F202" i="7" s="1"/>
  <c r="AJ202" i="6"/>
  <c r="AL202" i="6" s="1"/>
  <c r="O202" i="3"/>
  <c r="P202" i="3" s="1"/>
  <c r="D186" i="7"/>
  <c r="F186" i="7" s="1"/>
  <c r="AJ186" i="6"/>
  <c r="AL186" i="6" s="1"/>
  <c r="O186" i="3"/>
  <c r="P186" i="3" s="1"/>
  <c r="D170" i="7"/>
  <c r="F170" i="7" s="1"/>
  <c r="AJ170" i="6"/>
  <c r="AL170" i="6" s="1"/>
  <c r="O170" i="3"/>
  <c r="P170" i="3" s="1"/>
  <c r="D154" i="7"/>
  <c r="F154" i="7" s="1"/>
  <c r="AJ154" i="6"/>
  <c r="AL154" i="6" s="1"/>
  <c r="O154" i="3"/>
  <c r="P154" i="3" s="1"/>
  <c r="D138" i="7"/>
  <c r="F138" i="7" s="1"/>
  <c r="AJ138" i="6"/>
  <c r="AL138" i="6" s="1"/>
  <c r="O138" i="3"/>
  <c r="P138" i="3" s="1"/>
  <c r="D122" i="7"/>
  <c r="F122" i="7" s="1"/>
  <c r="AJ122" i="6"/>
  <c r="AL122" i="6" s="1"/>
  <c r="O122" i="3"/>
  <c r="P122" i="3" s="1"/>
  <c r="D106" i="7"/>
  <c r="F106" i="7" s="1"/>
  <c r="AJ106" i="6"/>
  <c r="AL106" i="6" s="1"/>
  <c r="O106" i="3"/>
  <c r="P106" i="3" s="1"/>
  <c r="D229" i="7"/>
  <c r="F229" i="7" s="1"/>
  <c r="AJ229" i="6"/>
  <c r="AL229" i="6" s="1"/>
  <c r="O229" i="3"/>
  <c r="P229" i="3" s="1"/>
  <c r="D213" i="7"/>
  <c r="F213" i="7" s="1"/>
  <c r="AJ213" i="6"/>
  <c r="AL213" i="6" s="1"/>
  <c r="O213" i="3"/>
  <c r="P213" i="3" s="1"/>
  <c r="D197" i="7"/>
  <c r="F197" i="7" s="1"/>
  <c r="AJ197" i="6"/>
  <c r="AL197" i="6" s="1"/>
  <c r="O197" i="3"/>
  <c r="P197" i="3" s="1"/>
  <c r="D181" i="7"/>
  <c r="F181" i="7" s="1"/>
  <c r="AJ181" i="6"/>
  <c r="AL181" i="6" s="1"/>
  <c r="O181" i="3"/>
  <c r="P181" i="3" s="1"/>
  <c r="D165" i="7"/>
  <c r="F165" i="7" s="1"/>
  <c r="AJ165" i="6"/>
  <c r="AL165" i="6" s="1"/>
  <c r="O165" i="3"/>
  <c r="P165" i="3" s="1"/>
  <c r="D149" i="7"/>
  <c r="F149" i="7" s="1"/>
  <c r="AJ149" i="6"/>
  <c r="AL149" i="6" s="1"/>
  <c r="O149" i="3"/>
  <c r="P149" i="3" s="1"/>
  <c r="D133" i="7"/>
  <c r="F133" i="7" s="1"/>
  <c r="AJ133" i="6"/>
  <c r="AL133" i="6" s="1"/>
  <c r="O133" i="3"/>
  <c r="P133" i="3" s="1"/>
  <c r="D99" i="7"/>
  <c r="F99" i="7" s="1"/>
  <c r="AJ99" i="6"/>
  <c r="AL99" i="6" s="1"/>
  <c r="O99" i="3"/>
  <c r="P99" i="3" s="1"/>
  <c r="D68" i="7"/>
  <c r="F68" i="7" s="1"/>
  <c r="AJ68" i="6"/>
  <c r="AL68" i="6" s="1"/>
  <c r="O68" i="3"/>
  <c r="P68" i="3" s="1"/>
  <c r="D9" i="7"/>
  <c r="F9" i="7" s="1"/>
  <c r="AJ9" i="6"/>
  <c r="AL9" i="6" s="1"/>
  <c r="O9" i="3"/>
  <c r="P9" i="3" s="1"/>
  <c r="D94" i="7"/>
  <c r="F94" i="7" s="1"/>
  <c r="AJ94" i="6"/>
  <c r="AL94" i="6" s="1"/>
  <c r="O94" i="3"/>
  <c r="P94" i="3" s="1"/>
  <c r="D127" i="7"/>
  <c r="F127" i="7" s="1"/>
  <c r="AJ127" i="6"/>
  <c r="AL127" i="6" s="1"/>
  <c r="O127" i="3"/>
  <c r="P127" i="3" s="1"/>
  <c r="D119" i="7"/>
  <c r="F119" i="7" s="1"/>
  <c r="AJ119" i="6"/>
  <c r="AL119" i="6" s="1"/>
  <c r="O119" i="3"/>
  <c r="P119" i="3" s="1"/>
  <c r="D111" i="7"/>
  <c r="F111" i="7" s="1"/>
  <c r="AJ111" i="6"/>
  <c r="AL111" i="6" s="1"/>
  <c r="O111" i="3"/>
  <c r="P111" i="3" s="1"/>
  <c r="D103" i="7"/>
  <c r="F103" i="7" s="1"/>
  <c r="AJ103" i="6"/>
  <c r="AL103" i="6" s="1"/>
  <c r="O103" i="3"/>
  <c r="P103" i="3" s="1"/>
  <c r="D24" i="7"/>
  <c r="F24" i="7" s="1"/>
  <c r="AJ24" i="6"/>
  <c r="AL24" i="6" s="1"/>
  <c r="O24" i="3"/>
  <c r="P24" i="3" s="1"/>
  <c r="D67" i="7"/>
  <c r="F67" i="7" s="1"/>
  <c r="AJ67" i="6"/>
  <c r="AL67" i="6" s="1"/>
  <c r="O67" i="3"/>
  <c r="P67" i="3" s="1"/>
  <c r="D61" i="7"/>
  <c r="F61" i="7" s="1"/>
  <c r="AJ61" i="6"/>
  <c r="AL61" i="6" s="1"/>
  <c r="O61" i="3"/>
  <c r="P61" i="3" s="1"/>
  <c r="D34" i="7"/>
  <c r="F34" i="7" s="1"/>
  <c r="AJ34" i="6"/>
  <c r="AL34" i="6" s="1"/>
  <c r="O34" i="3"/>
  <c r="P34" i="3" s="1"/>
  <c r="D74" i="7"/>
  <c r="F74" i="7" s="1"/>
  <c r="AJ74" i="6"/>
  <c r="AL74" i="6" s="1"/>
  <c r="O74" i="3"/>
  <c r="P74" i="3" s="1"/>
  <c r="D36" i="7"/>
  <c r="F36" i="7" s="1"/>
  <c r="AJ36" i="6"/>
  <c r="AL36" i="6" s="1"/>
  <c r="O36" i="3"/>
  <c r="P36" i="3" s="1"/>
  <c r="D60" i="7"/>
  <c r="F60" i="7" s="1"/>
  <c r="AJ60" i="6"/>
  <c r="AL60" i="6" s="1"/>
  <c r="O60" i="3"/>
  <c r="P60" i="3" s="1"/>
  <c r="D216" i="7"/>
  <c r="F216" i="7" s="1"/>
  <c r="AJ216" i="6"/>
  <c r="AL216" i="6" s="1"/>
  <c r="O216" i="3"/>
  <c r="P216" i="3" s="1"/>
  <c r="D200" i="7"/>
  <c r="F200" i="7" s="1"/>
  <c r="AJ200" i="6"/>
  <c r="AL200" i="6" s="1"/>
  <c r="O200" i="3"/>
  <c r="P200" i="3" s="1"/>
  <c r="D184" i="7"/>
  <c r="F184" i="7" s="1"/>
  <c r="AJ184" i="6"/>
  <c r="AL184" i="6" s="1"/>
  <c r="O184" i="3"/>
  <c r="P184" i="3" s="1"/>
  <c r="D168" i="7"/>
  <c r="F168" i="7" s="1"/>
  <c r="AJ168" i="6"/>
  <c r="AL168" i="6" s="1"/>
  <c r="O168" i="3"/>
  <c r="P168" i="3" s="1"/>
  <c r="D152" i="7"/>
  <c r="F152" i="7" s="1"/>
  <c r="AJ152" i="6"/>
  <c r="AL152" i="6" s="1"/>
  <c r="O152" i="3"/>
  <c r="P152" i="3" s="1"/>
  <c r="D136" i="7"/>
  <c r="F136" i="7" s="1"/>
  <c r="AJ136" i="6"/>
  <c r="AL136" i="6" s="1"/>
  <c r="O136" i="3"/>
  <c r="P136" i="3" s="1"/>
  <c r="D120" i="7"/>
  <c r="F120" i="7" s="1"/>
  <c r="AJ120" i="6"/>
  <c r="AL120" i="6" s="1"/>
  <c r="O120" i="3"/>
  <c r="P120" i="3" s="1"/>
  <c r="D104" i="7"/>
  <c r="F104" i="7" s="1"/>
  <c r="AJ104" i="6"/>
  <c r="AL104" i="6" s="1"/>
  <c r="O104" i="3"/>
  <c r="P104" i="3" s="1"/>
  <c r="D227" i="7"/>
  <c r="F227" i="7" s="1"/>
  <c r="AJ227" i="6"/>
  <c r="AL227" i="6" s="1"/>
  <c r="O227" i="3"/>
  <c r="P227" i="3" s="1"/>
  <c r="D211" i="7"/>
  <c r="F211" i="7" s="1"/>
  <c r="AJ211" i="6"/>
  <c r="AL211" i="6" s="1"/>
  <c r="O211" i="3"/>
  <c r="P211" i="3" s="1"/>
  <c r="D195" i="7"/>
  <c r="F195" i="7" s="1"/>
  <c r="AJ195" i="6"/>
  <c r="AL195" i="6" s="1"/>
  <c r="O195" i="3"/>
  <c r="P195" i="3" s="1"/>
  <c r="D179" i="7"/>
  <c r="F179" i="7" s="1"/>
  <c r="AJ179" i="6"/>
  <c r="AL179" i="6" s="1"/>
  <c r="O179" i="3"/>
  <c r="P179" i="3" s="1"/>
  <c r="D163" i="7"/>
  <c r="F163" i="7" s="1"/>
  <c r="AJ163" i="6"/>
  <c r="AL163" i="6" s="1"/>
  <c r="O163" i="3"/>
  <c r="P163" i="3" s="1"/>
  <c r="D147" i="7"/>
  <c r="F147" i="7" s="1"/>
  <c r="AJ147" i="6"/>
  <c r="AL147" i="6" s="1"/>
  <c r="O147" i="3"/>
  <c r="P147" i="3" s="1"/>
  <c r="D131" i="7"/>
  <c r="F131" i="7" s="1"/>
  <c r="AJ131" i="6"/>
  <c r="AL131" i="6" s="1"/>
  <c r="O131" i="3"/>
  <c r="P131" i="3" s="1"/>
  <c r="D96" i="7"/>
  <c r="F96" i="7" s="1"/>
  <c r="AJ96" i="6"/>
  <c r="AL96" i="6" s="1"/>
  <c r="O96" i="3"/>
  <c r="P96" i="3" s="1"/>
  <c r="D51" i="7"/>
  <c r="F51" i="7" s="1"/>
  <c r="AJ51" i="6"/>
  <c r="AL51" i="6" s="1"/>
  <c r="O51" i="3"/>
  <c r="P51" i="3" s="1"/>
  <c r="D82" i="7"/>
  <c r="F82" i="7" s="1"/>
  <c r="AJ82" i="6"/>
  <c r="AL82" i="6" s="1"/>
  <c r="O82" i="3"/>
  <c r="P82" i="3" s="1"/>
  <c r="D56" i="7"/>
  <c r="F56" i="7" s="1"/>
  <c r="AJ56" i="6"/>
  <c r="AL56" i="6" s="1"/>
  <c r="O56" i="3"/>
  <c r="P56" i="3" s="1"/>
  <c r="D28" i="7"/>
  <c r="F28" i="7" s="1"/>
  <c r="AJ28" i="6"/>
  <c r="AL28" i="6" s="1"/>
  <c r="O28" i="3"/>
  <c r="P28" i="3" s="1"/>
  <c r="D3" i="7"/>
  <c r="F3" i="7" s="1"/>
  <c r="AJ3" i="6"/>
  <c r="AL3" i="6" s="1"/>
  <c r="O3" i="3"/>
  <c r="P3" i="3" s="1"/>
  <c r="B5" i="20"/>
  <c r="O61" i="4"/>
  <c r="P61" i="4" s="1"/>
  <c r="D52" i="7"/>
  <c r="F52" i="7" s="1"/>
  <c r="AJ52" i="6"/>
  <c r="AL52" i="6" s="1"/>
  <c r="O52" i="3"/>
  <c r="P52" i="3" s="1"/>
  <c r="D230" i="7"/>
  <c r="F230" i="7" s="1"/>
  <c r="AJ230" i="6"/>
  <c r="AL230" i="6" s="1"/>
  <c r="O230" i="3"/>
  <c r="P230" i="3" s="1"/>
  <c r="D214" i="7"/>
  <c r="F214" i="7" s="1"/>
  <c r="AJ214" i="6"/>
  <c r="O214" i="3"/>
  <c r="P214" i="3" s="1"/>
  <c r="D198" i="7"/>
  <c r="F198" i="7" s="1"/>
  <c r="AJ198" i="6"/>
  <c r="AL198" i="6" s="1"/>
  <c r="O198" i="3"/>
  <c r="P198" i="3" s="1"/>
  <c r="D182" i="7"/>
  <c r="F182" i="7" s="1"/>
  <c r="AJ182" i="6"/>
  <c r="AL182" i="6" s="1"/>
  <c r="O182" i="3"/>
  <c r="P182" i="3" s="1"/>
  <c r="D166" i="7"/>
  <c r="F166" i="7" s="1"/>
  <c r="AJ166" i="6"/>
  <c r="AL166" i="6" s="1"/>
  <c r="O166" i="3"/>
  <c r="P166" i="3" s="1"/>
  <c r="D150" i="7"/>
  <c r="F150" i="7" s="1"/>
  <c r="AJ150" i="6"/>
  <c r="AL150" i="6" s="1"/>
  <c r="O150" i="3"/>
  <c r="P150" i="3" s="1"/>
  <c r="D134" i="7"/>
  <c r="F134" i="7" s="1"/>
  <c r="AJ134" i="6"/>
  <c r="AL134" i="6" s="1"/>
  <c r="O134" i="3"/>
  <c r="P134" i="3" s="1"/>
  <c r="D118" i="7"/>
  <c r="F118" i="7" s="1"/>
  <c r="AJ118" i="6"/>
  <c r="AL118" i="6" s="1"/>
  <c r="O118" i="3"/>
  <c r="P118" i="3" s="1"/>
  <c r="D102" i="7"/>
  <c r="F102" i="7" s="1"/>
  <c r="AJ102" i="6"/>
  <c r="AL102" i="6" s="1"/>
  <c r="O102" i="3"/>
  <c r="P102" i="3" s="1"/>
  <c r="D225" i="7"/>
  <c r="F225" i="7" s="1"/>
  <c r="AJ225" i="6"/>
  <c r="AL225" i="6" s="1"/>
  <c r="O225" i="3"/>
  <c r="P225" i="3" s="1"/>
  <c r="D209" i="7"/>
  <c r="F209" i="7" s="1"/>
  <c r="AJ209" i="6"/>
  <c r="AL209" i="6" s="1"/>
  <c r="O209" i="3"/>
  <c r="P209" i="3" s="1"/>
  <c r="D193" i="7"/>
  <c r="F193" i="7" s="1"/>
  <c r="AJ193" i="6"/>
  <c r="AL193" i="6" s="1"/>
  <c r="O193" i="3"/>
  <c r="P193" i="3" s="1"/>
  <c r="D177" i="7"/>
  <c r="F177" i="7" s="1"/>
  <c r="AJ177" i="6"/>
  <c r="AL177" i="6" s="1"/>
  <c r="O177" i="3"/>
  <c r="P177" i="3" s="1"/>
  <c r="D161" i="7"/>
  <c r="F161" i="7" s="1"/>
  <c r="AJ161" i="6"/>
  <c r="AL161" i="6" s="1"/>
  <c r="O161" i="3"/>
  <c r="P161" i="3" s="1"/>
  <c r="D145" i="7"/>
  <c r="F145" i="7" s="1"/>
  <c r="AJ145" i="6"/>
  <c r="AL145" i="6" s="1"/>
  <c r="O145" i="3"/>
  <c r="P145" i="3" s="1"/>
  <c r="D58" i="7"/>
  <c r="F58" i="7" s="1"/>
  <c r="AJ58" i="6"/>
  <c r="AL58" i="6" s="1"/>
  <c r="O58" i="3"/>
  <c r="P58" i="3" s="1"/>
  <c r="F87" i="6"/>
  <c r="I87" i="2"/>
  <c r="D45" i="7"/>
  <c r="F45" i="7" s="1"/>
  <c r="AJ45" i="6"/>
  <c r="AL45" i="6" s="1"/>
  <c r="O45" i="3"/>
  <c r="P45" i="3" s="1"/>
  <c r="D125" i="7"/>
  <c r="F125" i="7" s="1"/>
  <c r="AJ125" i="6"/>
  <c r="AL125" i="6" s="1"/>
  <c r="O125" i="3"/>
  <c r="P125" i="3" s="1"/>
  <c r="D117" i="7"/>
  <c r="F117" i="7" s="1"/>
  <c r="AJ117" i="6"/>
  <c r="AL117" i="6" s="1"/>
  <c r="O117" i="3"/>
  <c r="P117" i="3" s="1"/>
  <c r="D109" i="7"/>
  <c r="F109" i="7" s="1"/>
  <c r="AJ109" i="6"/>
  <c r="AL109" i="6" s="1"/>
  <c r="O109" i="3"/>
  <c r="P109" i="3" s="1"/>
  <c r="D91" i="7"/>
  <c r="F91" i="7" s="1"/>
  <c r="AJ91" i="6"/>
  <c r="AL91" i="6" s="1"/>
  <c r="O91" i="3"/>
  <c r="P91" i="3" s="1"/>
  <c r="D89" i="7"/>
  <c r="F89" i="7" s="1"/>
  <c r="AJ89" i="6"/>
  <c r="AL89" i="6" s="1"/>
  <c r="O89" i="3"/>
  <c r="P89" i="3" s="1"/>
  <c r="D26" i="7"/>
  <c r="F26" i="7" s="1"/>
  <c r="AJ26" i="6"/>
  <c r="AL26" i="6" s="1"/>
  <c r="O26" i="3"/>
  <c r="P26" i="3" s="1"/>
  <c r="D64" i="7"/>
  <c r="F64" i="7" s="1"/>
  <c r="AJ64" i="6"/>
  <c r="AL64" i="6" s="1"/>
  <c r="O64" i="3"/>
  <c r="P64" i="3" s="1"/>
  <c r="D101" i="7"/>
  <c r="F101" i="7" s="1"/>
  <c r="AJ101" i="6"/>
  <c r="AL101" i="6" s="1"/>
  <c r="O101" i="3"/>
  <c r="P101" i="3" s="1"/>
  <c r="D65" i="7"/>
  <c r="F65" i="7" s="1"/>
  <c r="AJ65" i="6"/>
  <c r="AL65" i="6" s="1"/>
  <c r="O65" i="3"/>
  <c r="P65" i="3" s="1"/>
  <c r="D20" i="7"/>
  <c r="F20" i="7" s="1"/>
  <c r="AJ20" i="6"/>
  <c r="AL20" i="6" s="1"/>
  <c r="O20" i="3"/>
  <c r="P20" i="3" s="1"/>
  <c r="D5" i="7"/>
  <c r="F5" i="7" s="1"/>
  <c r="AJ5" i="6"/>
  <c r="AL5" i="6" s="1"/>
  <c r="O5" i="3"/>
  <c r="P5" i="3" s="1"/>
  <c r="D228" i="7"/>
  <c r="F228" i="7" s="1"/>
  <c r="AJ228" i="6"/>
  <c r="AL228" i="6" s="1"/>
  <c r="O228" i="3"/>
  <c r="P228" i="3" s="1"/>
  <c r="D212" i="7"/>
  <c r="F212" i="7" s="1"/>
  <c r="AJ212" i="6"/>
  <c r="AL212" i="6" s="1"/>
  <c r="O212" i="3"/>
  <c r="P212" i="3" s="1"/>
  <c r="D196" i="7"/>
  <c r="F196" i="7" s="1"/>
  <c r="AJ196" i="6"/>
  <c r="AL196" i="6" s="1"/>
  <c r="O196" i="3"/>
  <c r="P196" i="3" s="1"/>
  <c r="D180" i="7"/>
  <c r="F180" i="7" s="1"/>
  <c r="AJ180" i="6"/>
  <c r="AL180" i="6" s="1"/>
  <c r="O180" i="3"/>
  <c r="P180" i="3" s="1"/>
  <c r="D164" i="7"/>
  <c r="F164" i="7" s="1"/>
  <c r="AJ164" i="6"/>
  <c r="AL164" i="6" s="1"/>
  <c r="O164" i="3"/>
  <c r="P164" i="3" s="1"/>
  <c r="D148" i="7"/>
  <c r="F148" i="7" s="1"/>
  <c r="AJ148" i="6"/>
  <c r="AL148" i="6" s="1"/>
  <c r="O148" i="3"/>
  <c r="P148" i="3" s="1"/>
  <c r="D132" i="7"/>
  <c r="F132" i="7" s="1"/>
  <c r="AJ132" i="6"/>
  <c r="AL132" i="6" s="1"/>
  <c r="O132" i="3"/>
  <c r="P132" i="3" s="1"/>
  <c r="D116" i="7"/>
  <c r="F116" i="7" s="1"/>
  <c r="AJ116" i="6"/>
  <c r="AL116" i="6" s="1"/>
  <c r="O116" i="3"/>
  <c r="P116" i="3" s="1"/>
  <c r="D223" i="7"/>
  <c r="F223" i="7" s="1"/>
  <c r="AJ223" i="6"/>
  <c r="AL223" i="6" s="1"/>
  <c r="O223" i="3"/>
  <c r="P223" i="3" s="1"/>
  <c r="D207" i="7"/>
  <c r="F207" i="7" s="1"/>
  <c r="AJ207" i="6"/>
  <c r="AL207" i="6" s="1"/>
  <c r="O207" i="3"/>
  <c r="P207" i="3" s="1"/>
  <c r="D191" i="7"/>
  <c r="F191" i="7" s="1"/>
  <c r="AJ191" i="6"/>
  <c r="AL191" i="6" s="1"/>
  <c r="O191" i="3"/>
  <c r="P191" i="3" s="1"/>
  <c r="D175" i="7"/>
  <c r="F175" i="7" s="1"/>
  <c r="AJ175" i="6"/>
  <c r="AL175" i="6" s="1"/>
  <c r="O175" i="3"/>
  <c r="P175" i="3" s="1"/>
  <c r="D159" i="7"/>
  <c r="F159" i="7" s="1"/>
  <c r="AJ159" i="6"/>
  <c r="AL159" i="6" s="1"/>
  <c r="O159" i="3"/>
  <c r="P159" i="3" s="1"/>
  <c r="D143" i="7"/>
  <c r="F143" i="7" s="1"/>
  <c r="AJ143" i="6"/>
  <c r="AL143" i="6" s="1"/>
  <c r="O143" i="3"/>
  <c r="P143" i="3" s="1"/>
  <c r="D42" i="7"/>
  <c r="F42" i="7" s="1"/>
  <c r="AJ42" i="6"/>
  <c r="AL42" i="6" s="1"/>
  <c r="O42" i="3"/>
  <c r="P42" i="3" s="1"/>
  <c r="D85" i="7"/>
  <c r="F85" i="7" s="1"/>
  <c r="AJ85" i="6"/>
  <c r="AL85" i="6" s="1"/>
  <c r="O85" i="3"/>
  <c r="P85" i="3" s="1"/>
  <c r="D38" i="7"/>
  <c r="F38" i="7" s="1"/>
  <c r="AJ38" i="6"/>
  <c r="AL38" i="6" s="1"/>
  <c r="O38" i="3"/>
  <c r="P38" i="3" s="1"/>
  <c r="D73" i="7"/>
  <c r="F73" i="7" s="1"/>
  <c r="AJ73" i="6"/>
  <c r="AL73" i="6" s="1"/>
  <c r="O73" i="3"/>
  <c r="P73" i="3" s="1"/>
  <c r="D88" i="7"/>
  <c r="F88" i="7" s="1"/>
  <c r="AJ88" i="6"/>
  <c r="AL88" i="6" s="1"/>
  <c r="O88" i="3"/>
  <c r="P88" i="3" s="1"/>
  <c r="D54" i="7"/>
  <c r="F54" i="7" s="1"/>
  <c r="AJ54" i="6"/>
  <c r="AL54" i="6" s="1"/>
  <c r="O54" i="3"/>
  <c r="P54" i="3" s="1"/>
  <c r="D86" i="7"/>
  <c r="F86" i="7" s="1"/>
  <c r="AJ86" i="6"/>
  <c r="AL86" i="6" s="1"/>
  <c r="O86" i="3"/>
  <c r="P86" i="3" s="1"/>
  <c r="D50" i="7"/>
  <c r="F50" i="7" s="1"/>
  <c r="AJ50" i="6"/>
  <c r="AL50" i="6" s="1"/>
  <c r="O50" i="3"/>
  <c r="P50" i="3" s="1"/>
  <c r="D98" i="7"/>
  <c r="F98" i="7" s="1"/>
  <c r="AJ98" i="6"/>
  <c r="AL98" i="6" s="1"/>
  <c r="O98" i="3"/>
  <c r="P98" i="3" s="1"/>
  <c r="D59" i="7"/>
  <c r="F59" i="7" s="1"/>
  <c r="AJ59" i="6"/>
  <c r="AL59" i="6" s="1"/>
  <c r="O59" i="3"/>
  <c r="P59" i="3" s="1"/>
  <c r="D12" i="7"/>
  <c r="F12" i="7" s="1"/>
  <c r="AJ12" i="6"/>
  <c r="AL12" i="6" s="1"/>
  <c r="O12" i="3"/>
  <c r="P12" i="3" s="1"/>
  <c r="D11" i="7"/>
  <c r="F11" i="7" s="1"/>
  <c r="AJ11" i="6"/>
  <c r="AL11" i="6" s="1"/>
  <c r="O11" i="3"/>
  <c r="P11" i="3" s="1"/>
  <c r="D8" i="7"/>
  <c r="F8" i="7" s="1"/>
  <c r="AJ8" i="6"/>
  <c r="AL8" i="6" s="1"/>
  <c r="O8" i="3"/>
  <c r="P8" i="3" s="1"/>
  <c r="K55" i="2" l="1"/>
  <c r="J55" i="2"/>
  <c r="Z114" i="6"/>
  <c r="G55" i="6"/>
  <c r="K231" i="2"/>
  <c r="J231" i="2"/>
  <c r="D79" i="7"/>
  <c r="F79" i="7" s="1"/>
  <c r="AJ79" i="6"/>
  <c r="AL79" i="6" s="1"/>
  <c r="O79" i="3"/>
  <c r="P79" i="3" s="1"/>
  <c r="F12" i="6"/>
  <c r="I12" i="2"/>
  <c r="F38" i="6"/>
  <c r="I38" i="2"/>
  <c r="F223" i="6"/>
  <c r="G223" i="6" s="1"/>
  <c r="I223" i="2"/>
  <c r="F228" i="6"/>
  <c r="G228" i="6" s="1"/>
  <c r="I228" i="2"/>
  <c r="F64" i="6"/>
  <c r="I64" i="2"/>
  <c r="J87" i="2"/>
  <c r="K87" i="2"/>
  <c r="F161" i="6"/>
  <c r="I161" i="2"/>
  <c r="F150" i="6"/>
  <c r="I150" i="2"/>
  <c r="F82" i="6"/>
  <c r="I82" i="2"/>
  <c r="F211" i="6"/>
  <c r="G211" i="6" s="1"/>
  <c r="I211" i="2"/>
  <c r="F200" i="6"/>
  <c r="G200" i="6" s="1"/>
  <c r="I200" i="2"/>
  <c r="F111" i="6"/>
  <c r="I111" i="2"/>
  <c r="F149" i="6"/>
  <c r="I149" i="2"/>
  <c r="F138" i="6"/>
  <c r="I138" i="2"/>
  <c r="F90" i="6"/>
  <c r="I90" i="2"/>
  <c r="F135" i="6"/>
  <c r="I135" i="2"/>
  <c r="F140" i="6"/>
  <c r="I140" i="2"/>
  <c r="F70" i="6"/>
  <c r="I70" i="2"/>
  <c r="F129" i="6"/>
  <c r="I129" i="2"/>
  <c r="F201" i="6"/>
  <c r="G201" i="6" s="1"/>
  <c r="I201" i="2"/>
  <c r="F206" i="6"/>
  <c r="G206" i="6" s="1"/>
  <c r="I206" i="2"/>
  <c r="F10" i="6"/>
  <c r="I10" i="2"/>
  <c r="F139" i="6"/>
  <c r="I139" i="2"/>
  <c r="F128" i="6"/>
  <c r="I128" i="2"/>
  <c r="F162" i="6"/>
  <c r="I162" i="2"/>
  <c r="F57" i="6"/>
  <c r="I57" i="2"/>
  <c r="F123" i="6"/>
  <c r="I123" i="2"/>
  <c r="F205" i="6"/>
  <c r="G205" i="6" s="1"/>
  <c r="I205" i="2"/>
  <c r="J23" i="2"/>
  <c r="K23" i="2"/>
  <c r="K53" i="2"/>
  <c r="J53" i="2"/>
  <c r="F50" i="6"/>
  <c r="I50" i="2"/>
  <c r="F143" i="6"/>
  <c r="I143" i="2"/>
  <c r="F148" i="6"/>
  <c r="I148" i="2"/>
  <c r="F91" i="6"/>
  <c r="I91" i="2"/>
  <c r="Z146" i="6"/>
  <c r="G87" i="6"/>
  <c r="F209" i="6"/>
  <c r="G209" i="6" s="1"/>
  <c r="I209" i="2"/>
  <c r="F198" i="6"/>
  <c r="G198" i="6" s="1"/>
  <c r="I198" i="2"/>
  <c r="F131" i="6"/>
  <c r="I131" i="2"/>
  <c r="F120" i="6"/>
  <c r="I120" i="2"/>
  <c r="F34" i="6"/>
  <c r="I34" i="2"/>
  <c r="F94" i="6"/>
  <c r="I94" i="2"/>
  <c r="F197" i="6"/>
  <c r="G197" i="6" s="1"/>
  <c r="I197" i="2"/>
  <c r="F186" i="6"/>
  <c r="G186" i="6" s="1"/>
  <c r="I186" i="2"/>
  <c r="F6" i="6"/>
  <c r="I6" i="2"/>
  <c r="F183" i="6"/>
  <c r="G183" i="6" s="1"/>
  <c r="I183" i="2"/>
  <c r="F188" i="6"/>
  <c r="G188" i="6" s="1"/>
  <c r="I188" i="2"/>
  <c r="F93" i="6"/>
  <c r="I93" i="2"/>
  <c r="F25" i="6"/>
  <c r="I25" i="2"/>
  <c r="F126" i="6"/>
  <c r="I126" i="2"/>
  <c r="F83" i="6"/>
  <c r="I83" i="2"/>
  <c r="F187" i="6"/>
  <c r="G187" i="6" s="1"/>
  <c r="I187" i="2"/>
  <c r="F176" i="6"/>
  <c r="G176" i="6" s="1"/>
  <c r="I176" i="2"/>
  <c r="F66" i="6"/>
  <c r="I66" i="2"/>
  <c r="F39" i="6"/>
  <c r="I39" i="2"/>
  <c r="F130" i="6"/>
  <c r="I130" i="2"/>
  <c r="G23" i="6"/>
  <c r="Z82" i="6"/>
  <c r="Z112" i="6"/>
  <c r="G53" i="6"/>
  <c r="F8" i="6"/>
  <c r="I8" i="2"/>
  <c r="F88" i="6"/>
  <c r="I88" i="2"/>
  <c r="F191" i="6"/>
  <c r="G191" i="6" s="1"/>
  <c r="I191" i="2"/>
  <c r="F196" i="6"/>
  <c r="G196" i="6" s="1"/>
  <c r="I196" i="2"/>
  <c r="F65" i="6"/>
  <c r="I65" i="2"/>
  <c r="F125" i="6"/>
  <c r="I125" i="2"/>
  <c r="F58" i="6"/>
  <c r="I58" i="2"/>
  <c r="F118" i="6"/>
  <c r="I118" i="2"/>
  <c r="F52" i="6"/>
  <c r="I52" i="2"/>
  <c r="F28" i="6"/>
  <c r="I28" i="2"/>
  <c r="F179" i="6"/>
  <c r="G179" i="6" s="1"/>
  <c r="I179" i="2"/>
  <c r="F168" i="6"/>
  <c r="I168" i="2"/>
  <c r="F24" i="6"/>
  <c r="I24" i="2"/>
  <c r="F99" i="6"/>
  <c r="I99" i="2"/>
  <c r="F106" i="6"/>
  <c r="I106" i="2"/>
  <c r="F21" i="6"/>
  <c r="I21" i="2"/>
  <c r="F17" i="6"/>
  <c r="I17" i="2"/>
  <c r="F108" i="6"/>
  <c r="I108" i="2"/>
  <c r="F2" i="6"/>
  <c r="I2" i="2"/>
  <c r="F113" i="6"/>
  <c r="I113" i="2"/>
  <c r="F169" i="6"/>
  <c r="I169" i="2"/>
  <c r="F174" i="6"/>
  <c r="G174" i="6" s="1"/>
  <c r="I174" i="2"/>
  <c r="F49" i="6"/>
  <c r="I49" i="2"/>
  <c r="F33" i="6"/>
  <c r="I33" i="2"/>
  <c r="F232" i="6"/>
  <c r="G232" i="6" s="1"/>
  <c r="I232" i="2"/>
  <c r="F224" i="6"/>
  <c r="G224" i="6" s="1"/>
  <c r="I224" i="2"/>
  <c r="F107" i="6"/>
  <c r="I107" i="2"/>
  <c r="F173" i="6"/>
  <c r="I173" i="2"/>
  <c r="F210" i="6"/>
  <c r="G210" i="6" s="1"/>
  <c r="I210" i="2"/>
  <c r="K48" i="2"/>
  <c r="J48" i="2"/>
  <c r="J71" i="2"/>
  <c r="K71" i="2"/>
  <c r="F59" i="6"/>
  <c r="I59" i="2"/>
  <c r="F85" i="6"/>
  <c r="I85" i="2"/>
  <c r="F116" i="6"/>
  <c r="I116" i="2"/>
  <c r="F26" i="6"/>
  <c r="I26" i="2"/>
  <c r="F177" i="6"/>
  <c r="G177" i="6" s="1"/>
  <c r="I177" i="2"/>
  <c r="F166" i="6"/>
  <c r="I166" i="2"/>
  <c r="F51" i="6"/>
  <c r="I51" i="2"/>
  <c r="F227" i="6"/>
  <c r="G227" i="6" s="1"/>
  <c r="I227" i="2"/>
  <c r="F216" i="6"/>
  <c r="G216" i="6" s="1"/>
  <c r="I216" i="2"/>
  <c r="F36" i="6"/>
  <c r="I36" i="2"/>
  <c r="F119" i="6"/>
  <c r="I119" i="2"/>
  <c r="F165" i="6"/>
  <c r="I165" i="2"/>
  <c r="F154" i="6"/>
  <c r="I154" i="2"/>
  <c r="F19" i="6"/>
  <c r="I19" i="2"/>
  <c r="F151" i="6"/>
  <c r="I151" i="2"/>
  <c r="F156" i="6"/>
  <c r="I156" i="2"/>
  <c r="F29" i="6"/>
  <c r="I29" i="2"/>
  <c r="F14" i="6"/>
  <c r="I14" i="2"/>
  <c r="F217" i="6"/>
  <c r="G217" i="6" s="1"/>
  <c r="I217" i="2"/>
  <c r="F222" i="6"/>
  <c r="G222" i="6" s="1"/>
  <c r="I222" i="2"/>
  <c r="F77" i="6"/>
  <c r="I77" i="2"/>
  <c r="F155" i="6"/>
  <c r="I155" i="2"/>
  <c r="F144" i="6"/>
  <c r="I144" i="2"/>
  <c r="F194" i="6"/>
  <c r="G194" i="6" s="1"/>
  <c r="I194" i="2"/>
  <c r="J15" i="2"/>
  <c r="K15" i="2"/>
  <c r="F18" i="6"/>
  <c r="I18" i="2"/>
  <c r="F30" i="6"/>
  <c r="I30" i="2"/>
  <c r="F221" i="6"/>
  <c r="G221" i="6" s="1"/>
  <c r="I221" i="2"/>
  <c r="Z107" i="6"/>
  <c r="G48" i="6"/>
  <c r="G71" i="6"/>
  <c r="Z130" i="6"/>
  <c r="F86" i="6"/>
  <c r="I86" i="2"/>
  <c r="F159" i="6"/>
  <c r="I159" i="2"/>
  <c r="F164" i="6"/>
  <c r="I164" i="2"/>
  <c r="F5" i="6"/>
  <c r="I5" i="2"/>
  <c r="F109" i="6"/>
  <c r="I109" i="2"/>
  <c r="F225" i="6"/>
  <c r="G225" i="6" s="1"/>
  <c r="I225" i="2"/>
  <c r="F214" i="6"/>
  <c r="I214" i="2"/>
  <c r="F147" i="6"/>
  <c r="I147" i="2"/>
  <c r="F136" i="6"/>
  <c r="I136" i="2"/>
  <c r="F61" i="6"/>
  <c r="I61" i="2"/>
  <c r="F9" i="6"/>
  <c r="I9" i="2"/>
  <c r="F213" i="6"/>
  <c r="G213" i="6" s="1"/>
  <c r="I213" i="2"/>
  <c r="F202" i="6"/>
  <c r="G202" i="6" s="1"/>
  <c r="I202" i="2"/>
  <c r="F81" i="6"/>
  <c r="I81" i="2"/>
  <c r="F62" i="6"/>
  <c r="I62" i="2"/>
  <c r="F199" i="6"/>
  <c r="G199" i="6" s="1"/>
  <c r="I199" i="2"/>
  <c r="F204" i="6"/>
  <c r="G204" i="6" s="1"/>
  <c r="I204" i="2"/>
  <c r="F44" i="6"/>
  <c r="I44" i="2"/>
  <c r="F27" i="6"/>
  <c r="I27" i="2"/>
  <c r="F137" i="6"/>
  <c r="I137" i="2"/>
  <c r="F142" i="6"/>
  <c r="I142" i="2"/>
  <c r="F16" i="6"/>
  <c r="I16" i="2"/>
  <c r="F35" i="6"/>
  <c r="I35" i="2"/>
  <c r="F203" i="6"/>
  <c r="G203" i="6" s="1"/>
  <c r="I203" i="2"/>
  <c r="F192" i="6"/>
  <c r="G192" i="6" s="1"/>
  <c r="I192" i="2"/>
  <c r="Z74" i="6"/>
  <c r="G15" i="6"/>
  <c r="F41" i="6"/>
  <c r="I41" i="2"/>
  <c r="F141" i="6"/>
  <c r="I141" i="2"/>
  <c r="F146" i="6"/>
  <c r="I146" i="2"/>
  <c r="J31" i="2"/>
  <c r="K31" i="2"/>
  <c r="J95" i="2"/>
  <c r="K95" i="2"/>
  <c r="F11" i="6"/>
  <c r="I11" i="2"/>
  <c r="F73" i="6"/>
  <c r="I73" i="2"/>
  <c r="F207" i="6"/>
  <c r="G207" i="6" s="1"/>
  <c r="I207" i="2"/>
  <c r="F212" i="6"/>
  <c r="G212" i="6" s="1"/>
  <c r="I212" i="2"/>
  <c r="F101" i="6"/>
  <c r="I101" i="2"/>
  <c r="F45" i="6"/>
  <c r="I45" i="2"/>
  <c r="F145" i="6"/>
  <c r="I145" i="2"/>
  <c r="F134" i="6"/>
  <c r="I134" i="2"/>
  <c r="AL214" i="6"/>
  <c r="B18" i="17" s="1"/>
  <c r="B16" i="17"/>
  <c r="F56" i="6"/>
  <c r="I56" i="2"/>
  <c r="F195" i="6"/>
  <c r="G195" i="6" s="1"/>
  <c r="I195" i="2"/>
  <c r="F184" i="6"/>
  <c r="G184" i="6" s="1"/>
  <c r="I184" i="2"/>
  <c r="F103" i="6"/>
  <c r="I103" i="2"/>
  <c r="F133" i="6"/>
  <c r="I133" i="2"/>
  <c r="F122" i="6"/>
  <c r="I122" i="2"/>
  <c r="F32" i="6"/>
  <c r="I32" i="2"/>
  <c r="F75" i="6"/>
  <c r="I75" i="2"/>
  <c r="F124" i="6"/>
  <c r="I124" i="2"/>
  <c r="F43" i="6"/>
  <c r="I43" i="2"/>
  <c r="F121" i="6"/>
  <c r="I121" i="2"/>
  <c r="F185" i="6"/>
  <c r="G185" i="6" s="1"/>
  <c r="I185" i="2"/>
  <c r="F190" i="6"/>
  <c r="G190" i="6" s="1"/>
  <c r="I190" i="2"/>
  <c r="F80" i="6"/>
  <c r="I80" i="2"/>
  <c r="F84" i="6"/>
  <c r="I84" i="2"/>
  <c r="F112" i="6"/>
  <c r="I112" i="2"/>
  <c r="F4" i="6"/>
  <c r="I4" i="2"/>
  <c r="F115" i="6"/>
  <c r="I115" i="2"/>
  <c r="F189" i="6"/>
  <c r="G189" i="6" s="1"/>
  <c r="I189" i="2"/>
  <c r="Z90" i="6"/>
  <c r="G31" i="6"/>
  <c r="Z154" i="6"/>
  <c r="G95" i="6"/>
  <c r="F98" i="6"/>
  <c r="I98" i="2"/>
  <c r="F42" i="6"/>
  <c r="I42" i="2"/>
  <c r="F132" i="6"/>
  <c r="I132" i="2"/>
  <c r="F89" i="6"/>
  <c r="I89" i="2"/>
  <c r="F193" i="6"/>
  <c r="G193" i="6" s="1"/>
  <c r="I193" i="2"/>
  <c r="F182" i="6"/>
  <c r="G182" i="6" s="1"/>
  <c r="I182" i="2"/>
  <c r="F96" i="6"/>
  <c r="I96" i="2"/>
  <c r="F104" i="6"/>
  <c r="I104" i="2"/>
  <c r="F60" i="6"/>
  <c r="I60" i="2"/>
  <c r="F74" i="6"/>
  <c r="I74" i="2"/>
  <c r="F127" i="6"/>
  <c r="I127" i="2"/>
  <c r="F181" i="6"/>
  <c r="G181" i="6" s="1"/>
  <c r="I181" i="2"/>
  <c r="F170" i="6"/>
  <c r="I170" i="2"/>
  <c r="F92" i="6"/>
  <c r="I92" i="2"/>
  <c r="F167" i="6"/>
  <c r="I167" i="2"/>
  <c r="F172" i="6"/>
  <c r="I172" i="2"/>
  <c r="F76" i="6"/>
  <c r="I76" i="2"/>
  <c r="F69" i="6"/>
  <c r="I69" i="2"/>
  <c r="F110" i="6"/>
  <c r="I110" i="2"/>
  <c r="F37" i="6"/>
  <c r="I37" i="2"/>
  <c r="F171" i="6"/>
  <c r="I171" i="2"/>
  <c r="F160" i="6"/>
  <c r="I160" i="2"/>
  <c r="F226" i="6"/>
  <c r="G226" i="6" s="1"/>
  <c r="I226" i="2"/>
  <c r="F47" i="6"/>
  <c r="I47" i="2"/>
  <c r="F78" i="6"/>
  <c r="I78" i="2"/>
  <c r="F114" i="6"/>
  <c r="I114" i="2"/>
  <c r="J7" i="2"/>
  <c r="K7" i="2"/>
  <c r="J63" i="2"/>
  <c r="K63" i="2"/>
  <c r="K46" i="2"/>
  <c r="J46" i="2"/>
  <c r="F54" i="6"/>
  <c r="I54" i="2"/>
  <c r="F175" i="6"/>
  <c r="G175" i="6" s="1"/>
  <c r="I175" i="2"/>
  <c r="F180" i="6"/>
  <c r="G180" i="6" s="1"/>
  <c r="I180" i="2"/>
  <c r="F20" i="6"/>
  <c r="I20" i="2"/>
  <c r="F117" i="6"/>
  <c r="I117" i="2"/>
  <c r="F102" i="6"/>
  <c r="I102" i="2"/>
  <c r="F230" i="6"/>
  <c r="G230" i="6" s="1"/>
  <c r="I230" i="2"/>
  <c r="F3" i="6"/>
  <c r="I3" i="2"/>
  <c r="F163" i="6"/>
  <c r="I163" i="2"/>
  <c r="F152" i="6"/>
  <c r="I152" i="2"/>
  <c r="F67" i="6"/>
  <c r="I67" i="2"/>
  <c r="F68" i="6"/>
  <c r="I68" i="2"/>
  <c r="F229" i="6"/>
  <c r="G229" i="6" s="1"/>
  <c r="I229" i="2"/>
  <c r="F218" i="6"/>
  <c r="G218" i="6" s="1"/>
  <c r="I218" i="2"/>
  <c r="F40" i="6"/>
  <c r="I40" i="2"/>
  <c r="F97" i="6"/>
  <c r="I97" i="2"/>
  <c r="F215" i="6"/>
  <c r="G215" i="6" s="1"/>
  <c r="I215" i="2"/>
  <c r="F220" i="6"/>
  <c r="G220" i="6" s="1"/>
  <c r="I220" i="2"/>
  <c r="F100" i="6"/>
  <c r="I100" i="2"/>
  <c r="F105" i="6"/>
  <c r="I105" i="2"/>
  <c r="F153" i="6"/>
  <c r="I153" i="2"/>
  <c r="F158" i="6"/>
  <c r="I158" i="2"/>
  <c r="F13" i="6"/>
  <c r="I13" i="2"/>
  <c r="F22" i="6"/>
  <c r="I22" i="2"/>
  <c r="F219" i="6"/>
  <c r="G219" i="6" s="1"/>
  <c r="I219" i="2"/>
  <c r="F208" i="6"/>
  <c r="G208" i="6" s="1"/>
  <c r="I208" i="2"/>
  <c r="F72" i="6"/>
  <c r="I72" i="2"/>
  <c r="F157" i="6"/>
  <c r="I157" i="2"/>
  <c r="F178" i="6"/>
  <c r="G178" i="6" s="1"/>
  <c r="I178" i="2"/>
  <c r="G7" i="6"/>
  <c r="Z66" i="6"/>
  <c r="Z122" i="6"/>
  <c r="G63" i="6"/>
  <c r="Z105" i="6"/>
  <c r="G46" i="6"/>
  <c r="F79" i="6" l="1"/>
  <c r="I79" i="2"/>
  <c r="B3" i="20" s="1"/>
  <c r="J208" i="2"/>
  <c r="K208" i="2"/>
  <c r="K158" i="2"/>
  <c r="J158" i="2"/>
  <c r="J220" i="2"/>
  <c r="K220" i="2"/>
  <c r="K218" i="2"/>
  <c r="J218" i="2"/>
  <c r="K152" i="2"/>
  <c r="J152" i="2"/>
  <c r="K102" i="2"/>
  <c r="J102" i="2"/>
  <c r="K175" i="2"/>
  <c r="J175" i="2"/>
  <c r="K226" i="2"/>
  <c r="J226" i="2"/>
  <c r="K110" i="2"/>
  <c r="J110" i="2"/>
  <c r="J167" i="2"/>
  <c r="K167" i="2"/>
  <c r="J127" i="2"/>
  <c r="K127" i="2"/>
  <c r="K96" i="2"/>
  <c r="J96" i="2"/>
  <c r="K132" i="2"/>
  <c r="J132" i="2"/>
  <c r="K112" i="2"/>
  <c r="J112" i="2"/>
  <c r="K185" i="2"/>
  <c r="J185" i="2"/>
  <c r="J75" i="2"/>
  <c r="K75" i="2"/>
  <c r="J103" i="2"/>
  <c r="K103" i="2"/>
  <c r="K101" i="2"/>
  <c r="J101" i="2"/>
  <c r="J11" i="2"/>
  <c r="K11" i="2"/>
  <c r="K141" i="2"/>
  <c r="J141" i="2"/>
  <c r="K203" i="2"/>
  <c r="J203" i="2"/>
  <c r="K137" i="2"/>
  <c r="J137" i="2"/>
  <c r="K199" i="2"/>
  <c r="J199" i="2"/>
  <c r="K213" i="2"/>
  <c r="J213" i="2"/>
  <c r="J147" i="2"/>
  <c r="K147" i="2"/>
  <c r="K5" i="2"/>
  <c r="J5" i="2"/>
  <c r="K18" i="2"/>
  <c r="J18" i="2"/>
  <c r="J155" i="2"/>
  <c r="K155" i="2"/>
  <c r="K14" i="2"/>
  <c r="J14" i="2"/>
  <c r="J19" i="2"/>
  <c r="K19" i="2"/>
  <c r="K36" i="2"/>
  <c r="J36" i="2"/>
  <c r="K166" i="2"/>
  <c r="J166" i="2"/>
  <c r="K85" i="2"/>
  <c r="J85" i="2"/>
  <c r="K210" i="2"/>
  <c r="J210" i="2"/>
  <c r="J224" i="2"/>
  <c r="K224" i="2"/>
  <c r="K174" i="2"/>
  <c r="J174" i="2"/>
  <c r="K108" i="2"/>
  <c r="J108" i="2"/>
  <c r="J99" i="2"/>
  <c r="K99" i="2"/>
  <c r="K28" i="2"/>
  <c r="J28" i="2"/>
  <c r="K125" i="2"/>
  <c r="J125" i="2"/>
  <c r="K88" i="2"/>
  <c r="J88" i="2"/>
  <c r="K130" i="2"/>
  <c r="J130" i="2"/>
  <c r="K176" i="2"/>
  <c r="J176" i="2"/>
  <c r="K25" i="2"/>
  <c r="J25" i="2"/>
  <c r="K6" i="2"/>
  <c r="J6" i="2"/>
  <c r="K34" i="2"/>
  <c r="J34" i="2"/>
  <c r="K209" i="2"/>
  <c r="J209" i="2"/>
  <c r="J143" i="2"/>
  <c r="K143" i="2"/>
  <c r="K205" i="2"/>
  <c r="J205" i="2"/>
  <c r="K128" i="2"/>
  <c r="J128" i="2"/>
  <c r="K201" i="2"/>
  <c r="J201" i="2"/>
  <c r="J135" i="2"/>
  <c r="K135" i="2"/>
  <c r="J111" i="2"/>
  <c r="K111" i="2"/>
  <c r="K150" i="2"/>
  <c r="J150" i="2"/>
  <c r="J228" i="2"/>
  <c r="K228" i="2"/>
  <c r="Z217" i="6"/>
  <c r="G158" i="6"/>
  <c r="Z211" i="6"/>
  <c r="G152" i="6"/>
  <c r="Z161" i="6"/>
  <c r="G102" i="6"/>
  <c r="Z169" i="6"/>
  <c r="G110" i="6"/>
  <c r="Z226" i="6"/>
  <c r="G167" i="6"/>
  <c r="Z186" i="6"/>
  <c r="G127" i="6"/>
  <c r="Z155" i="6"/>
  <c r="G96" i="6"/>
  <c r="Z191" i="6"/>
  <c r="G132" i="6"/>
  <c r="Z171" i="6"/>
  <c r="G112" i="6"/>
  <c r="Z134" i="6"/>
  <c r="G75" i="6"/>
  <c r="Z162" i="6"/>
  <c r="G103" i="6"/>
  <c r="Z160" i="6"/>
  <c r="G101" i="6"/>
  <c r="G11" i="6"/>
  <c r="Z70" i="6"/>
  <c r="Z200" i="6"/>
  <c r="G141" i="6"/>
  <c r="Z196" i="6"/>
  <c r="G137" i="6"/>
  <c r="Z206" i="6"/>
  <c r="G147" i="6"/>
  <c r="G5" i="6"/>
  <c r="Z64" i="6"/>
  <c r="Z77" i="6"/>
  <c r="G18" i="6"/>
  <c r="Z214" i="6"/>
  <c r="G155" i="6"/>
  <c r="Z73" i="6"/>
  <c r="G14" i="6"/>
  <c r="G19" i="6"/>
  <c r="Z78" i="6"/>
  <c r="Z95" i="6"/>
  <c r="G36" i="6"/>
  <c r="Z225" i="6"/>
  <c r="G166" i="6"/>
  <c r="Z144" i="6"/>
  <c r="G85" i="6"/>
  <c r="Z167" i="6"/>
  <c r="G108" i="6"/>
  <c r="Z158" i="6"/>
  <c r="G99" i="6"/>
  <c r="Z87" i="6"/>
  <c r="G28" i="6"/>
  <c r="Z184" i="6"/>
  <c r="G125" i="6"/>
  <c r="Z147" i="6"/>
  <c r="G88" i="6"/>
  <c r="Z189" i="6"/>
  <c r="G130" i="6"/>
  <c r="Z84" i="6"/>
  <c r="G25" i="6"/>
  <c r="Z65" i="6"/>
  <c r="G6" i="6"/>
  <c r="Z93" i="6"/>
  <c r="G34" i="6"/>
  <c r="Z202" i="6"/>
  <c r="G143" i="6"/>
  <c r="Z187" i="6"/>
  <c r="G128" i="6"/>
  <c r="Z194" i="6"/>
  <c r="G135" i="6"/>
  <c r="Z170" i="6"/>
  <c r="G111" i="6"/>
  <c r="Z209" i="6"/>
  <c r="G150" i="6"/>
  <c r="J178" i="2"/>
  <c r="K178" i="2"/>
  <c r="K219" i="2"/>
  <c r="J219" i="2"/>
  <c r="K153" i="2"/>
  <c r="J153" i="2"/>
  <c r="K215" i="2"/>
  <c r="J215" i="2"/>
  <c r="K229" i="2"/>
  <c r="J229" i="2"/>
  <c r="J163" i="2"/>
  <c r="K163" i="2"/>
  <c r="K117" i="2"/>
  <c r="J117" i="2"/>
  <c r="K54" i="2"/>
  <c r="J54" i="2"/>
  <c r="K114" i="2"/>
  <c r="J114" i="2"/>
  <c r="K160" i="2"/>
  <c r="J160" i="2"/>
  <c r="K69" i="2"/>
  <c r="J69" i="2"/>
  <c r="K92" i="2"/>
  <c r="J92" i="2"/>
  <c r="K74" i="2"/>
  <c r="J74" i="2"/>
  <c r="K182" i="2"/>
  <c r="J182" i="2"/>
  <c r="K42" i="2"/>
  <c r="J42" i="2"/>
  <c r="K189" i="2"/>
  <c r="J189" i="2"/>
  <c r="K84" i="2"/>
  <c r="J84" i="2"/>
  <c r="K121" i="2"/>
  <c r="J121" i="2"/>
  <c r="K32" i="2"/>
  <c r="J32" i="2"/>
  <c r="K184" i="2"/>
  <c r="J184" i="2"/>
  <c r="K134" i="2"/>
  <c r="J134" i="2"/>
  <c r="J212" i="2"/>
  <c r="K212" i="2"/>
  <c r="K41" i="2"/>
  <c r="J41" i="2"/>
  <c r="J35" i="2"/>
  <c r="K35" i="2"/>
  <c r="J27" i="2"/>
  <c r="K27" i="2"/>
  <c r="K62" i="2"/>
  <c r="J62" i="2"/>
  <c r="K9" i="2"/>
  <c r="J9" i="2"/>
  <c r="K214" i="2"/>
  <c r="J214" i="2"/>
  <c r="K164" i="2"/>
  <c r="J164" i="2"/>
  <c r="K77" i="2"/>
  <c r="J77" i="2"/>
  <c r="K29" i="2"/>
  <c r="J29" i="2"/>
  <c r="K154" i="2"/>
  <c r="J154" i="2"/>
  <c r="J216" i="2"/>
  <c r="K216" i="2"/>
  <c r="K177" i="2"/>
  <c r="J177" i="2"/>
  <c r="J59" i="2"/>
  <c r="K59" i="2"/>
  <c r="K173" i="2"/>
  <c r="J173" i="2"/>
  <c r="J232" i="2"/>
  <c r="K232" i="2"/>
  <c r="K169" i="2"/>
  <c r="J169" i="2"/>
  <c r="K17" i="2"/>
  <c r="J17" i="2"/>
  <c r="K24" i="2"/>
  <c r="J24" i="2"/>
  <c r="K52" i="2"/>
  <c r="J52" i="2"/>
  <c r="K65" i="2"/>
  <c r="J65" i="2"/>
  <c r="K8" i="2"/>
  <c r="J8" i="2"/>
  <c r="J39" i="2"/>
  <c r="K39" i="2"/>
  <c r="K187" i="2"/>
  <c r="J187" i="2"/>
  <c r="K93" i="2"/>
  <c r="J93" i="2"/>
  <c r="K186" i="2"/>
  <c r="J186" i="2"/>
  <c r="K120" i="2"/>
  <c r="J120" i="2"/>
  <c r="K50" i="2"/>
  <c r="J50" i="2"/>
  <c r="J123" i="2"/>
  <c r="K123" i="2"/>
  <c r="J139" i="2"/>
  <c r="K139" i="2"/>
  <c r="K129" i="2"/>
  <c r="J129" i="2"/>
  <c r="K90" i="2"/>
  <c r="J90" i="2"/>
  <c r="J200" i="2"/>
  <c r="K200" i="2"/>
  <c r="K161" i="2"/>
  <c r="J161" i="2"/>
  <c r="K223" i="2"/>
  <c r="J223" i="2"/>
  <c r="Z212" i="6"/>
  <c r="G153" i="6"/>
  <c r="Z222" i="6"/>
  <c r="G163" i="6"/>
  <c r="Z176" i="6"/>
  <c r="G117" i="6"/>
  <c r="Z113" i="6"/>
  <c r="G54" i="6"/>
  <c r="Z173" i="6"/>
  <c r="G114" i="6"/>
  <c r="Z219" i="6"/>
  <c r="G160" i="6"/>
  <c r="Z128" i="6"/>
  <c r="G69" i="6"/>
  <c r="Z151" i="6"/>
  <c r="G92" i="6"/>
  <c r="G74" i="6"/>
  <c r="Z133" i="6"/>
  <c r="Z101" i="6"/>
  <c r="G42" i="6"/>
  <c r="Z143" i="6"/>
  <c r="G84" i="6"/>
  <c r="Z180" i="6"/>
  <c r="G121" i="6"/>
  <c r="G32" i="6"/>
  <c r="Z91" i="6"/>
  <c r="Z193" i="6"/>
  <c r="G134" i="6"/>
  <c r="Z100" i="6"/>
  <c r="G41" i="6"/>
  <c r="G35" i="6"/>
  <c r="Z94" i="6"/>
  <c r="G27" i="6"/>
  <c r="Z86" i="6"/>
  <c r="Z121" i="6"/>
  <c r="G62" i="6"/>
  <c r="Z68" i="6"/>
  <c r="G9" i="6"/>
  <c r="G214" i="6"/>
  <c r="B10" i="17"/>
  <c r="O3" i="17" s="1"/>
  <c r="Z223" i="6"/>
  <c r="G164" i="6"/>
  <c r="G77" i="6"/>
  <c r="Z136" i="6"/>
  <c r="G29" i="6"/>
  <c r="Z88" i="6"/>
  <c r="Z213" i="6"/>
  <c r="G154" i="6"/>
  <c r="G59" i="6"/>
  <c r="Z118" i="6"/>
  <c r="Z232" i="6"/>
  <c r="G173" i="6"/>
  <c r="Z228" i="6"/>
  <c r="G169" i="6"/>
  <c r="Z76" i="6"/>
  <c r="G17" i="6"/>
  <c r="G24" i="6"/>
  <c r="Z83" i="6"/>
  <c r="Z111" i="6"/>
  <c r="G52" i="6"/>
  <c r="Z124" i="6"/>
  <c r="G65" i="6"/>
  <c r="G8" i="6"/>
  <c r="Z67" i="6"/>
  <c r="Z98" i="6"/>
  <c r="G39" i="6"/>
  <c r="Z152" i="6"/>
  <c r="G93" i="6"/>
  <c r="Z179" i="6"/>
  <c r="G120" i="6"/>
  <c r="Z109" i="6"/>
  <c r="G50" i="6"/>
  <c r="Z182" i="6"/>
  <c r="G123" i="6"/>
  <c r="Z198" i="6"/>
  <c r="G139" i="6"/>
  <c r="Z188" i="6"/>
  <c r="G129" i="6"/>
  <c r="Z149" i="6"/>
  <c r="G90" i="6"/>
  <c r="Z220" i="6"/>
  <c r="G161" i="6"/>
  <c r="K157" i="2"/>
  <c r="J157" i="2"/>
  <c r="K22" i="2"/>
  <c r="J22" i="2"/>
  <c r="K105" i="2"/>
  <c r="J105" i="2"/>
  <c r="K97" i="2"/>
  <c r="J97" i="2"/>
  <c r="K68" i="2"/>
  <c r="J68" i="2"/>
  <c r="J3" i="2"/>
  <c r="K3" i="2"/>
  <c r="K20" i="2"/>
  <c r="J20" i="2"/>
  <c r="K78" i="2"/>
  <c r="J78" i="2"/>
  <c r="J171" i="2"/>
  <c r="K171" i="2"/>
  <c r="K76" i="2"/>
  <c r="J76" i="2"/>
  <c r="K170" i="2"/>
  <c r="J170" i="2"/>
  <c r="K60" i="2"/>
  <c r="J60" i="2"/>
  <c r="K193" i="2"/>
  <c r="J193" i="2"/>
  <c r="K98" i="2"/>
  <c r="J98" i="2"/>
  <c r="J115" i="2"/>
  <c r="K115" i="2"/>
  <c r="K80" i="2"/>
  <c r="J80" i="2"/>
  <c r="J43" i="2"/>
  <c r="K43" i="2"/>
  <c r="K122" i="2"/>
  <c r="J122" i="2"/>
  <c r="K195" i="2"/>
  <c r="J195" i="2"/>
  <c r="K145" i="2"/>
  <c r="J145" i="2"/>
  <c r="K207" i="2"/>
  <c r="J207" i="2"/>
  <c r="K16" i="2"/>
  <c r="J16" i="2"/>
  <c r="K44" i="2"/>
  <c r="J44" i="2"/>
  <c r="K81" i="2"/>
  <c r="J81" i="2"/>
  <c r="K61" i="2"/>
  <c r="J61" i="2"/>
  <c r="K225" i="2"/>
  <c r="J225" i="2"/>
  <c r="J159" i="2"/>
  <c r="K159" i="2"/>
  <c r="K221" i="2"/>
  <c r="J221" i="2"/>
  <c r="K194" i="2"/>
  <c r="J194" i="2"/>
  <c r="K222" i="2"/>
  <c r="J222" i="2"/>
  <c r="K156" i="2"/>
  <c r="J156" i="2"/>
  <c r="K165" i="2"/>
  <c r="J165" i="2"/>
  <c r="K227" i="2"/>
  <c r="J227" i="2"/>
  <c r="K26" i="2"/>
  <c r="J26" i="2"/>
  <c r="J107" i="2"/>
  <c r="K107" i="2"/>
  <c r="K33" i="2"/>
  <c r="J33" i="2"/>
  <c r="K113" i="2"/>
  <c r="J113" i="2"/>
  <c r="K21" i="2"/>
  <c r="J21" i="2"/>
  <c r="K168" i="2"/>
  <c r="J168" i="2"/>
  <c r="K118" i="2"/>
  <c r="J118" i="2"/>
  <c r="K196" i="2"/>
  <c r="J196" i="2"/>
  <c r="K66" i="2"/>
  <c r="J66" i="2"/>
  <c r="J83" i="2"/>
  <c r="K83" i="2"/>
  <c r="K188" i="2"/>
  <c r="J188" i="2"/>
  <c r="K197" i="2"/>
  <c r="J197" i="2"/>
  <c r="J131" i="2"/>
  <c r="K131" i="2"/>
  <c r="J91" i="2"/>
  <c r="K91" i="2"/>
  <c r="K57" i="2"/>
  <c r="J57" i="2"/>
  <c r="K10" i="2"/>
  <c r="J10" i="2"/>
  <c r="K70" i="2"/>
  <c r="J70" i="2"/>
  <c r="K138" i="2"/>
  <c r="J138" i="2"/>
  <c r="K211" i="2"/>
  <c r="J211" i="2"/>
  <c r="K38" i="2"/>
  <c r="J38" i="2"/>
  <c r="Z216" i="6"/>
  <c r="G157" i="6"/>
  <c r="Z81" i="6"/>
  <c r="G22" i="6"/>
  <c r="Z164" i="6"/>
  <c r="G105" i="6"/>
  <c r="Z156" i="6"/>
  <c r="G97" i="6"/>
  <c r="Z127" i="6"/>
  <c r="G68" i="6"/>
  <c r="G3" i="6"/>
  <c r="Z62" i="6"/>
  <c r="Z79" i="6"/>
  <c r="G20" i="6"/>
  <c r="Z137" i="6"/>
  <c r="G78" i="6"/>
  <c r="Z230" i="6"/>
  <c r="G171" i="6"/>
  <c r="Z135" i="6"/>
  <c r="G76" i="6"/>
  <c r="Z229" i="6"/>
  <c r="G170" i="6"/>
  <c r="Z119" i="6"/>
  <c r="G60" i="6"/>
  <c r="Z157" i="6"/>
  <c r="G98" i="6"/>
  <c r="Z174" i="6"/>
  <c r="G115" i="6"/>
  <c r="Z139" i="6"/>
  <c r="G80" i="6"/>
  <c r="G43" i="6"/>
  <c r="Z102" i="6"/>
  <c r="Z181" i="6"/>
  <c r="G122" i="6"/>
  <c r="Z204" i="6"/>
  <c r="G145" i="6"/>
  <c r="G16" i="6"/>
  <c r="Z75" i="6"/>
  <c r="Z103" i="6"/>
  <c r="G44" i="6"/>
  <c r="Z140" i="6"/>
  <c r="G81" i="6"/>
  <c r="Z120" i="6"/>
  <c r="G61" i="6"/>
  <c r="Z218" i="6"/>
  <c r="G159" i="6"/>
  <c r="Z215" i="6"/>
  <c r="G156" i="6"/>
  <c r="Z224" i="6"/>
  <c r="G165" i="6"/>
  <c r="G26" i="6"/>
  <c r="Z85" i="6"/>
  <c r="Z166" i="6"/>
  <c r="G107" i="6"/>
  <c r="Z92" i="6"/>
  <c r="G33" i="6"/>
  <c r="Z172" i="6"/>
  <c r="G113" i="6"/>
  <c r="G21" i="6"/>
  <c r="Z80" i="6"/>
  <c r="Z227" i="6"/>
  <c r="G168" i="6"/>
  <c r="Z177" i="6"/>
  <c r="G118" i="6"/>
  <c r="Z125" i="6"/>
  <c r="G66" i="6"/>
  <c r="Z142" i="6"/>
  <c r="G83" i="6"/>
  <c r="Z190" i="6"/>
  <c r="G131" i="6"/>
  <c r="Z150" i="6"/>
  <c r="G91" i="6"/>
  <c r="Z116" i="6"/>
  <c r="G57" i="6"/>
  <c r="G10" i="6"/>
  <c r="Z69" i="6"/>
  <c r="Z129" i="6"/>
  <c r="G70" i="6"/>
  <c r="Z197" i="6"/>
  <c r="G138" i="6"/>
  <c r="Z97" i="6"/>
  <c r="G38" i="6"/>
  <c r="K72" i="2"/>
  <c r="J72" i="2"/>
  <c r="K13" i="2"/>
  <c r="J13" i="2"/>
  <c r="K100" i="2"/>
  <c r="J100" i="2"/>
  <c r="K40" i="2"/>
  <c r="J40" i="2"/>
  <c r="J67" i="2"/>
  <c r="K67" i="2"/>
  <c r="K230" i="2"/>
  <c r="J230" i="2"/>
  <c r="K180" i="2"/>
  <c r="J180" i="2"/>
  <c r="J47" i="2"/>
  <c r="K47" i="2"/>
  <c r="K37" i="2"/>
  <c r="J37" i="2"/>
  <c r="K172" i="2"/>
  <c r="J172" i="2"/>
  <c r="K181" i="2"/>
  <c r="J181" i="2"/>
  <c r="K104" i="2"/>
  <c r="J104" i="2"/>
  <c r="K89" i="2"/>
  <c r="J89" i="2"/>
  <c r="K4" i="2"/>
  <c r="J4" i="2"/>
  <c r="K190" i="2"/>
  <c r="J190" i="2"/>
  <c r="K124" i="2"/>
  <c r="J124" i="2"/>
  <c r="K133" i="2"/>
  <c r="J133" i="2"/>
  <c r="K56" i="2"/>
  <c r="J56" i="2"/>
  <c r="K45" i="2"/>
  <c r="J45" i="2"/>
  <c r="K73" i="2"/>
  <c r="J73" i="2"/>
  <c r="K146" i="2"/>
  <c r="J146" i="2"/>
  <c r="K192" i="2"/>
  <c r="J192" i="2"/>
  <c r="K142" i="2"/>
  <c r="J142" i="2"/>
  <c r="J204" i="2"/>
  <c r="K204" i="2"/>
  <c r="K202" i="2"/>
  <c r="J202" i="2"/>
  <c r="K136" i="2"/>
  <c r="J136" i="2"/>
  <c r="K109" i="2"/>
  <c r="J109" i="2"/>
  <c r="K86" i="2"/>
  <c r="J86" i="2"/>
  <c r="K30" i="2"/>
  <c r="J30" i="2"/>
  <c r="K144" i="2"/>
  <c r="J144" i="2"/>
  <c r="K217" i="2"/>
  <c r="J217" i="2"/>
  <c r="J151" i="2"/>
  <c r="K151" i="2"/>
  <c r="J119" i="2"/>
  <c r="K119" i="2"/>
  <c r="J51" i="2"/>
  <c r="K51" i="2"/>
  <c r="K116" i="2"/>
  <c r="J116" i="2"/>
  <c r="K49" i="2"/>
  <c r="J49" i="2"/>
  <c r="K2" i="2"/>
  <c r="J2" i="2"/>
  <c r="K106" i="2"/>
  <c r="J106" i="2"/>
  <c r="K179" i="2"/>
  <c r="J179" i="2"/>
  <c r="K58" i="2"/>
  <c r="J58" i="2"/>
  <c r="K191" i="2"/>
  <c r="J191" i="2"/>
  <c r="K126" i="2"/>
  <c r="J126" i="2"/>
  <c r="K183" i="2"/>
  <c r="J183" i="2"/>
  <c r="K94" i="2"/>
  <c r="J94" i="2"/>
  <c r="K198" i="2"/>
  <c r="J198" i="2"/>
  <c r="K148" i="2"/>
  <c r="J148" i="2"/>
  <c r="K162" i="2"/>
  <c r="J162" i="2"/>
  <c r="K206" i="2"/>
  <c r="J206" i="2"/>
  <c r="K140" i="2"/>
  <c r="J140" i="2"/>
  <c r="K149" i="2"/>
  <c r="J149" i="2"/>
  <c r="K82" i="2"/>
  <c r="J82" i="2"/>
  <c r="K64" i="2"/>
  <c r="J64" i="2"/>
  <c r="K12" i="2"/>
  <c r="J12" i="2"/>
  <c r="Z131" i="6"/>
  <c r="G72" i="6"/>
  <c r="G13" i="6"/>
  <c r="Z72" i="6"/>
  <c r="Z159" i="6"/>
  <c r="G100" i="6"/>
  <c r="Z99" i="6"/>
  <c r="G40" i="6"/>
  <c r="Z126" i="6"/>
  <c r="G67" i="6"/>
  <c r="Z106" i="6"/>
  <c r="G47" i="6"/>
  <c r="Z96" i="6"/>
  <c r="G37" i="6"/>
  <c r="Z231" i="6"/>
  <c r="G172" i="6"/>
  <c r="Z163" i="6"/>
  <c r="G104" i="6"/>
  <c r="Z148" i="6"/>
  <c r="G89" i="6"/>
  <c r="Z63" i="6"/>
  <c r="G4" i="6"/>
  <c r="Z183" i="6"/>
  <c r="G124" i="6"/>
  <c r="Z192" i="6"/>
  <c r="G133" i="6"/>
  <c r="Z115" i="6"/>
  <c r="G56" i="6"/>
  <c r="Z104" i="6"/>
  <c r="G45" i="6"/>
  <c r="Z132" i="6"/>
  <c r="G73" i="6"/>
  <c r="Z205" i="6"/>
  <c r="G146" i="6"/>
  <c r="Z201" i="6"/>
  <c r="G142" i="6"/>
  <c r="Z195" i="6"/>
  <c r="G136" i="6"/>
  <c r="Z168" i="6"/>
  <c r="G109" i="6"/>
  <c r="Z145" i="6"/>
  <c r="G86" i="6"/>
  <c r="Z89" i="6"/>
  <c r="G30" i="6"/>
  <c r="Z203" i="6"/>
  <c r="G144" i="6"/>
  <c r="Z210" i="6"/>
  <c r="G151" i="6"/>
  <c r="Z178" i="6"/>
  <c r="G119" i="6"/>
  <c r="G51" i="6"/>
  <c r="Z110" i="6"/>
  <c r="Z175" i="6"/>
  <c r="G116" i="6"/>
  <c r="Z108" i="6"/>
  <c r="G49" i="6"/>
  <c r="Z61" i="6"/>
  <c r="G2" i="6"/>
  <c r="Z165" i="6"/>
  <c r="G106" i="6"/>
  <c r="Z117" i="6"/>
  <c r="G58" i="6"/>
  <c r="Z185" i="6"/>
  <c r="G126" i="6"/>
  <c r="Z153" i="6"/>
  <c r="G94" i="6"/>
  <c r="Z207" i="6"/>
  <c r="G148" i="6"/>
  <c r="Z221" i="6"/>
  <c r="G162" i="6"/>
  <c r="Z199" i="6"/>
  <c r="G140" i="6"/>
  <c r="Z208" i="6"/>
  <c r="G149" i="6"/>
  <c r="G82" i="6"/>
  <c r="Z141" i="6"/>
  <c r="Z123" i="6"/>
  <c r="G64" i="6"/>
  <c r="Z71" i="6"/>
  <c r="G12" i="6"/>
  <c r="J79" i="2" l="1"/>
  <c r="K79" i="2"/>
  <c r="Z138" i="6"/>
  <c r="G79" i="6"/>
</calcChain>
</file>

<file path=xl/sharedStrings.xml><?xml version="1.0" encoding="utf-8"?>
<sst xmlns="http://schemas.openxmlformats.org/spreadsheetml/2006/main" count="16631" uniqueCount="1688">
  <si>
    <t>QSTSS Students Growth Dashboard</t>
  </si>
  <si>
    <t>Purpose</t>
  </si>
  <si>
    <t>Show student growth pre-QSTSS, during QSTSS, and at graduation / university destination.</t>
  </si>
  <si>
    <t>Internal longitudinal source</t>
  </si>
  <si>
    <t>Panel_Data_QSTSS Marks analysis.xlsx (3 cohorts, 4 years each).</t>
  </si>
  <si>
    <t>Pre-QSTSS baseline source</t>
  </si>
  <si>
    <t>QID-matched admissions baseline source. Attached file includes Classes of 2024 and 2025; Class of 2023 remains formula-ready but requires a 2023 admissions source file to populate.</t>
  </si>
  <si>
    <t>Graduation / destination source</t>
  </si>
  <si>
    <t>University admission files for Classes of 2023, 2024, and 2025.</t>
  </si>
  <si>
    <t>External readiness source</t>
  </si>
  <si>
    <t>SAT from university admission files; school-level SAT / IELTS / AP trend from attached reports.</t>
  </si>
  <si>
    <t>How to use</t>
  </si>
  <si>
    <t>Start with Dashboard_Executive. Use Student_Profile to select a QID and view baseline -&gt; QSTSS trajectory -&gt; graduation outcomes.</t>
  </si>
  <si>
    <t>Important note</t>
  </si>
  <si>
    <t>Teacher-level and student-level engagement fields are included as structured sheets, but only the indicators supported by uploaded evidence are populated.</t>
  </si>
  <si>
    <t>Manual baseline update workflow</t>
  </si>
  <si>
    <t>Admissions_2024_2025 is rebuilt in Student_Master QID order. Baseline_Entry, Student_Master, Student_Growth, Cognitive_Profile, Student_Profile, and dashboard lookups now use XLOOKUP with error handling.</t>
  </si>
  <si>
    <t>Admissions_2024_2025 editable columns</t>
  </si>
  <si>
    <t>D:W (prior school through source).</t>
  </si>
  <si>
    <t>Calculated fields</t>
  </si>
  <si>
    <t>Baseline_Entry K, M, N, O, P, Q are formula-driven from admission inputs and CAT4 subscales.</t>
  </si>
  <si>
    <t>Baseline_Composite logic</t>
  </si>
  <si>
    <t>AVERAGE(APTIS_%, Math_%, CAT4_%).</t>
  </si>
  <si>
    <t>Student_Master baseline</t>
  </si>
  <si>
    <t>Column I now looks up Baseline_Composite from Baseline_Entry.</t>
  </si>
  <si>
    <t>Student_Growth baseline + CAT4</t>
  </si>
  <si>
    <t>Columns F, G, AJ:AL and participation counts are formula-driven.</t>
  </si>
  <si>
    <t>Cognitive_Profile baseline</t>
  </si>
  <si>
    <t>Baseline CAT4 and subscale columns now look up from Baseline_Entry by QID.</t>
  </si>
  <si>
    <t>Final rebuild note</t>
  </si>
  <si>
    <t>Baseline CAT4 and baseline composite now use admission-source CAT4 where available. For Class of 2025 cognitive domains, the uploaded admission file lacked CAT4 domain breakdown, so the earliest available CAT4 file was used as a proxy to keep student cognitive charts functional.</t>
  </si>
  <si>
    <t>University and Major source refreshed from attached cohort workbook on separate cohort sheets.</t>
  </si>
  <si>
    <t>Student_Profile, Dashboard_Executive, and all chart sheets were rebuilt and standardized for publication-ready presentation.</t>
  </si>
  <si>
    <t>Student_Profile University, Major, Sponsor, Final Secondary %, and SAT Total now resolve directly from University_Exit by QID.</t>
  </si>
  <si>
    <t>Enhancements added in this version</t>
  </si>
  <si>
    <t>1. Student_Profile now supports search using either QID or student name via paired input fields and a resolved QID helper.</t>
  </si>
  <si>
    <t>2. CAT4_Current_Master refreshed from CAT4 all grade levels.xlsx to populate current cognitive values, including Class of 2022 where available.</t>
  </si>
  <si>
    <t>3. Automatic cognitive classification and evidence-style interpretation have been added in Student_Profile and Cognitive_Profile.</t>
  </si>
  <si>
    <t>4. New sheet Cognia_Evidence_Page provides a cohort-level evidence snapshot with KPIs, summaries, and charts.</t>
  </si>
  <si>
    <t>Cohort</t>
  </si>
  <si>
    <t>QID</t>
  </si>
  <si>
    <t>Student_Name</t>
  </si>
  <si>
    <t>Entry_Year</t>
  </si>
  <si>
    <t>Exit_Year</t>
  </si>
  <si>
    <t>Entry_Overall</t>
  </si>
  <si>
    <t>Exit_Overall</t>
  </si>
  <si>
    <t>Gain_Overall</t>
  </si>
  <si>
    <t>Baseline_Composite</t>
  </si>
  <si>
    <t>Baseline_Available_Flag</t>
  </si>
  <si>
    <t>Starter_Group</t>
  </si>
  <si>
    <t>Entry_Band</t>
  </si>
  <si>
    <t>Exit_Band</t>
  </si>
  <si>
    <t>Band_Movement</t>
  </si>
  <si>
    <t>University</t>
  </si>
  <si>
    <t>Major</t>
  </si>
  <si>
    <t>STEM_Major_Flag</t>
  </si>
  <si>
    <t>Direct_Admission_Flag</t>
  </si>
  <si>
    <t>Final_Secondary_%</t>
  </si>
  <si>
    <t>SAT_Total</t>
  </si>
  <si>
    <t>Sponsor</t>
  </si>
  <si>
    <t>Class of 2022</t>
  </si>
  <si>
    <t>30463404774</t>
  </si>
  <si>
    <t>حسن اسماعيل على العمادى</t>
  </si>
  <si>
    <t>2018/2019</t>
  </si>
  <si>
    <t>2021/2022</t>
  </si>
  <si>
    <t>80-89</t>
  </si>
  <si>
    <t>90+</t>
  </si>
  <si>
    <t>30463400105</t>
  </si>
  <si>
    <t>سيف احمد محمد السليطى</t>
  </si>
  <si>
    <t>30463401069</t>
  </si>
  <si>
    <t>سيف على ابراهيم المهندى</t>
  </si>
  <si>
    <t>30463402074</t>
  </si>
  <si>
    <t>عبدالرحمن عبدالعزيز اسماعيل الهاشمى</t>
  </si>
  <si>
    <t>30463400747</t>
  </si>
  <si>
    <t>عبدالرحمن عبدالله عزالدين المطوع</t>
  </si>
  <si>
    <t>30463402384</t>
  </si>
  <si>
    <t>عبدالرحمن محمد سعد السليطى</t>
  </si>
  <si>
    <t>30363404443</t>
  </si>
  <si>
    <t>عبدالعزيز صلاح على الانشائى</t>
  </si>
  <si>
    <t>30463404428</t>
  </si>
  <si>
    <t>عبدالعزيز على يوسف التميمى</t>
  </si>
  <si>
    <t>30463400925</t>
  </si>
  <si>
    <t>عبدالله خالد احمد النصر</t>
  </si>
  <si>
    <t>30463404499</t>
  </si>
  <si>
    <t>عبدالله على راشد النجدى</t>
  </si>
  <si>
    <t>30463404313</t>
  </si>
  <si>
    <t>غانم عبدالله سالم المرى</t>
  </si>
  <si>
    <t>30463401470</t>
  </si>
  <si>
    <t>ماجد عبدالله ماجد السويدى</t>
  </si>
  <si>
    <t>30363404478</t>
  </si>
  <si>
    <t>مبارك حسن سعد العبدالله</t>
  </si>
  <si>
    <t>30563400552</t>
  </si>
  <si>
    <t>محمد سعد محمد التميمى</t>
  </si>
  <si>
    <t>30563403982</t>
  </si>
  <si>
    <t>ناصر عيسى على الانصارى</t>
  </si>
  <si>
    <t>30463400939</t>
  </si>
  <si>
    <t>احمد خالد احمد الزمان</t>
  </si>
  <si>
    <t>30463400595</t>
  </si>
  <si>
    <t>جاسم سلطان بخيت المسلم</t>
  </si>
  <si>
    <t>70-79</t>
  </si>
  <si>
    <t>30463402763</t>
  </si>
  <si>
    <t>جاسم محمد ابراهيم عبدالله</t>
  </si>
  <si>
    <t>30463403471</t>
  </si>
  <si>
    <t>راشد سالم راشد العذبه</t>
  </si>
  <si>
    <t>30563400167</t>
  </si>
  <si>
    <t>سعيد راشد مهنا الدوسرى</t>
  </si>
  <si>
    <t>30463403644</t>
  </si>
  <si>
    <t>عبدالله حمد محمد المرى</t>
  </si>
  <si>
    <t>30463404494</t>
  </si>
  <si>
    <t>عبدالله عبدالعزيز عبدالله محمود</t>
  </si>
  <si>
    <t>30463403680</t>
  </si>
  <si>
    <t>محمد حمد حمدان المهندى</t>
  </si>
  <si>
    <t>30463402625</t>
  </si>
  <si>
    <t>محمد عبدالله سلطان الكعبى</t>
  </si>
  <si>
    <t>30363406225</t>
  </si>
  <si>
    <t>مشعل مسلم عبدالله الدوسرى</t>
  </si>
  <si>
    <t>30463400322</t>
  </si>
  <si>
    <t>ابراهيم ناصر ابراهيم بوهندى</t>
  </si>
  <si>
    <t>30463404794</t>
  </si>
  <si>
    <t>حمد عبدالعزيز محمد الحر</t>
  </si>
  <si>
    <t>&lt;70</t>
  </si>
  <si>
    <t>30563402354</t>
  </si>
  <si>
    <t>خالد على حسين النعمه</t>
  </si>
  <si>
    <t>30463405363</t>
  </si>
  <si>
    <t>سلطان ناصر على البدر</t>
  </si>
  <si>
    <t>30463402304</t>
  </si>
  <si>
    <t>عبدالعزيز مرشد عبدالعزيز المهندى</t>
  </si>
  <si>
    <t>30463406004</t>
  </si>
  <si>
    <t>عبدالله حسن مهدى الحداد</t>
  </si>
  <si>
    <t>30463402327</t>
  </si>
  <si>
    <t>عبدالله عبدالرحمن يوسف محمود</t>
  </si>
  <si>
    <t>30463400255</t>
  </si>
  <si>
    <t>عبدالله عبدالرحيم ابراهيم الجناحي</t>
  </si>
  <si>
    <t>30463405350</t>
  </si>
  <si>
    <t>عبدالله محمد عبدالله باوزير</t>
  </si>
  <si>
    <t>30563404014</t>
  </si>
  <si>
    <t>على سلطان مبارك المعاضيد</t>
  </si>
  <si>
    <t>30563400206</t>
  </si>
  <si>
    <t>عمر عبدالله على الحمادى</t>
  </si>
  <si>
    <t>30463402995</t>
  </si>
  <si>
    <t>عيسى حمد محسن العجى</t>
  </si>
  <si>
    <t>30563401033</t>
  </si>
  <si>
    <t>محمد خالد محمد الحردان</t>
  </si>
  <si>
    <t>30488600227</t>
  </si>
  <si>
    <t>ناصر عبدالرحيم جاسم الحوري</t>
  </si>
  <si>
    <t>30463403712</t>
  </si>
  <si>
    <t>احمد بدر احمد الانصارى</t>
  </si>
  <si>
    <t>30463404766</t>
  </si>
  <si>
    <t>جاسم محمد احمد اليافعى</t>
  </si>
  <si>
    <t>30463401329</t>
  </si>
  <si>
    <t>خالد احمد شاهين العجلان</t>
  </si>
  <si>
    <t>30463401909</t>
  </si>
  <si>
    <t>راشد محمد احمد الجلهم</t>
  </si>
  <si>
    <t>30463404982</t>
  </si>
  <si>
    <t>راشد محمد عبدالله السبيعى</t>
  </si>
  <si>
    <t>30563405988</t>
  </si>
  <si>
    <t>سلطان محمد على المعاضيد</t>
  </si>
  <si>
    <t>30463400334</t>
  </si>
  <si>
    <t>عبدالله خالد احمد الفخرو</t>
  </si>
  <si>
    <t>30463403382</t>
  </si>
  <si>
    <t>فالح حسين مشلح الدوسرى</t>
  </si>
  <si>
    <t>30563403000</t>
  </si>
  <si>
    <t>فهد سعدون صباح الكوارى</t>
  </si>
  <si>
    <t>30463405369</t>
  </si>
  <si>
    <t>فهد ناصر محمد اليافعى</t>
  </si>
  <si>
    <t>30463406360</t>
  </si>
  <si>
    <t>محمد عبدالرحمن حديد السقطري</t>
  </si>
  <si>
    <t>30463402149</t>
  </si>
  <si>
    <t>موسى سعيد عبدالله المطوع</t>
  </si>
  <si>
    <t>30463401541</t>
  </si>
  <si>
    <t>يوسف معاذ عبده ابراهيم</t>
  </si>
  <si>
    <t>30463406560</t>
  </si>
  <si>
    <t>راشد سالم راشد المرى</t>
  </si>
  <si>
    <t>30563402452</t>
  </si>
  <si>
    <t>سعود عبدالرحمن على الملك</t>
  </si>
  <si>
    <t>30463404512</t>
  </si>
  <si>
    <t>فهد علي فهد الشهواني</t>
  </si>
  <si>
    <t>30463404031</t>
  </si>
  <si>
    <t>محمد خالد محمد التميمى</t>
  </si>
  <si>
    <t>30463403147</t>
  </si>
  <si>
    <t>محمد عبدالعزيز على العمادى</t>
  </si>
  <si>
    <t>30563400245</t>
  </si>
  <si>
    <t>ناصر عبدالله ابراهيم شهبيك</t>
  </si>
  <si>
    <t>30463403015</t>
  </si>
  <si>
    <t>نصار طارق حسين نصار</t>
  </si>
  <si>
    <t>Class of 2023</t>
  </si>
  <si>
    <t>30563405617</t>
  </si>
  <si>
    <t>ابراهيم احمد ابراهيم البدر</t>
  </si>
  <si>
    <t>2019/2020</t>
  </si>
  <si>
    <t>2022/2023</t>
  </si>
  <si>
    <t>30563400001</t>
  </si>
  <si>
    <t>جاسم محمد دغش الدوسرى</t>
  </si>
  <si>
    <t>30563403466</t>
  </si>
  <si>
    <t>حارب طارق حارب المهندى</t>
  </si>
  <si>
    <t>30563405656</t>
  </si>
  <si>
    <t>سلطان حسن احمد ابوهندى</t>
  </si>
  <si>
    <t>30563401334</t>
  </si>
  <si>
    <t>سلطان عيد سلطان المهندى</t>
  </si>
  <si>
    <t>30563404818</t>
  </si>
  <si>
    <t>عبدالعزيز خالد ابراهيم الحمادى</t>
  </si>
  <si>
    <t>30563400872</t>
  </si>
  <si>
    <t>عبدالله جبر احمد الحجاجى</t>
  </si>
  <si>
    <t>30563405476</t>
  </si>
  <si>
    <t>عبدالله نايف ناصر النعيمى</t>
  </si>
  <si>
    <t>30663401667</t>
  </si>
  <si>
    <t>على يوسف صالح المهندى</t>
  </si>
  <si>
    <t>30663400377</t>
  </si>
  <si>
    <t>عمر سعد ابراهيم البدر</t>
  </si>
  <si>
    <t>30663404073</t>
  </si>
  <si>
    <t>فيصل احمد سالم المسلمانى</t>
  </si>
  <si>
    <t>30563400581</t>
  </si>
  <si>
    <t>محمد جاسم عبدالله البوعينين</t>
  </si>
  <si>
    <t>30563402803</t>
  </si>
  <si>
    <t>محمد خميس ماجد الخليفى</t>
  </si>
  <si>
    <t>30563405358</t>
  </si>
  <si>
    <t>محمد سعيد عبدالله الحداد</t>
  </si>
  <si>
    <t>30563405777</t>
  </si>
  <si>
    <t>محمد عبدالله سعد السليطى</t>
  </si>
  <si>
    <t>30663403521</t>
  </si>
  <si>
    <t>محمد عدنان على الانصارى</t>
  </si>
  <si>
    <t>30663404167</t>
  </si>
  <si>
    <t>محمد غانم سيف النعيمى</t>
  </si>
  <si>
    <t>30563405218</t>
  </si>
  <si>
    <t>أحمد خالد احمد الهيل</t>
  </si>
  <si>
    <t>30663404953</t>
  </si>
  <si>
    <t>حسن محمد حسن المالكى</t>
  </si>
  <si>
    <t>30663403300</t>
  </si>
  <si>
    <t>حمد عبدالله زيد طالب</t>
  </si>
  <si>
    <t>30563404150</t>
  </si>
  <si>
    <t>حمد محمد على الانصارى</t>
  </si>
  <si>
    <t>30563404248</t>
  </si>
  <si>
    <t>حمد ناصر على مراد</t>
  </si>
  <si>
    <t>30563400308</t>
  </si>
  <si>
    <t>صالح ناصر سعد النعيمى</t>
  </si>
  <si>
    <t>30663400376</t>
  </si>
  <si>
    <t>عبدالله سعد ابراهيم البدر</t>
  </si>
  <si>
    <t>30563405584</t>
  </si>
  <si>
    <t>عبدالله عبدالرحمن محمد الحمادى</t>
  </si>
  <si>
    <t>30536400091</t>
  </si>
  <si>
    <t>عبدالله محمد عبدالله المراغي</t>
  </si>
  <si>
    <t>30563400922</t>
  </si>
  <si>
    <t>علي احمد محمد الجمالي</t>
  </si>
  <si>
    <t>30563403733</t>
  </si>
  <si>
    <t>علي راشد على البوعينين</t>
  </si>
  <si>
    <t>30663402646</t>
  </si>
  <si>
    <t>غانم راشد محمد النعيمى</t>
  </si>
  <si>
    <t>30563404386</t>
  </si>
  <si>
    <t>محمد عادل محمد اليافعى</t>
  </si>
  <si>
    <t>30563402667</t>
  </si>
  <si>
    <t>منصور سيف منصور الخالدى</t>
  </si>
  <si>
    <t>30563405881</t>
  </si>
  <si>
    <t>ناصر سعيد عثمان باوزير</t>
  </si>
  <si>
    <t>30563402191</t>
  </si>
  <si>
    <t>ناصر على احمد قمبر</t>
  </si>
  <si>
    <t>30563402232</t>
  </si>
  <si>
    <t>نايف عبدالله عبدالقادر الجيلاني</t>
  </si>
  <si>
    <t>30563401178</t>
  </si>
  <si>
    <t>جابر ناصر حسن البوعينين</t>
  </si>
  <si>
    <t>30563403307</t>
  </si>
  <si>
    <t>سعد عبدالعزيز سعد بوقراره</t>
  </si>
  <si>
    <t>30563403079</t>
  </si>
  <si>
    <t>صالح زيد محمد شاجع</t>
  </si>
  <si>
    <t>30563404218</t>
  </si>
  <si>
    <t>عبدالرحمن محمد عبدالله المرى</t>
  </si>
  <si>
    <t>30563401789</t>
  </si>
  <si>
    <t>عبدالله اسماعيل محمد حسين</t>
  </si>
  <si>
    <t>30563404670</t>
  </si>
  <si>
    <t>عبدالله على عبدالله الشيبه</t>
  </si>
  <si>
    <t>30563404796</t>
  </si>
  <si>
    <t>فهد محمد حسن عبدالله</t>
  </si>
  <si>
    <t>30563405391</t>
  </si>
  <si>
    <t>محمد غانم محمد المحمودي</t>
  </si>
  <si>
    <t>30563406257</t>
  </si>
  <si>
    <t>محمد ناصر بدر البدر</t>
  </si>
  <si>
    <t>30563400415</t>
  </si>
  <si>
    <t>ناصر محمد عجيل العجيل</t>
  </si>
  <si>
    <t>30563402884</t>
  </si>
  <si>
    <t>يوسف احمد محمد البدر</t>
  </si>
  <si>
    <t>30563404507</t>
  </si>
  <si>
    <t>تركى خالد احمد السندى</t>
  </si>
  <si>
    <t>30563403995</t>
  </si>
  <si>
    <t>حسن احمد رضا القصابي</t>
  </si>
  <si>
    <t>30563402937</t>
  </si>
  <si>
    <t>عبدالعزيز على ناصر اليافعى</t>
  </si>
  <si>
    <t>30563404918</t>
  </si>
  <si>
    <t>عبدالله محمد عبدالله العبيدلى</t>
  </si>
  <si>
    <t>30563406669</t>
  </si>
  <si>
    <t>فهد محمد مفتاح المهندى</t>
  </si>
  <si>
    <t>30563404213</t>
  </si>
  <si>
    <t>فيصل عبدالله فالح الشمرى</t>
  </si>
  <si>
    <t>30563400160</t>
  </si>
  <si>
    <t>فيصل عبدالله ناصر الحجاجى</t>
  </si>
  <si>
    <t>30563402682</t>
  </si>
  <si>
    <t>محمد احمد برهان الهاشمى</t>
  </si>
  <si>
    <t>30663404568</t>
  </si>
  <si>
    <t>محمد راشد محمد المرى</t>
  </si>
  <si>
    <t>30563401453</t>
  </si>
  <si>
    <t>محمد صالح محمد الكربى</t>
  </si>
  <si>
    <t>Class of 2024</t>
  </si>
  <si>
    <t>30663401831</t>
  </si>
  <si>
    <t>أحمد عبدالعزيز أحمد الملا</t>
  </si>
  <si>
    <t>2020/2021</t>
  </si>
  <si>
    <t>2023/2024</t>
  </si>
  <si>
    <t>30663406453</t>
  </si>
  <si>
    <t>تركى حامد أحمد الشيب</t>
  </si>
  <si>
    <t>30763400144</t>
  </si>
  <si>
    <t>خالد فهد محمد حسين</t>
  </si>
  <si>
    <t>30663402879</t>
  </si>
  <si>
    <t>سعود خالد سعيد القاضي</t>
  </si>
  <si>
    <t>30763402819</t>
  </si>
  <si>
    <t>سعود عبدالعزيز عبدالله عسكر</t>
  </si>
  <si>
    <t>30663406053</t>
  </si>
  <si>
    <t>سلطان علي محمد العبيدلي</t>
  </si>
  <si>
    <t>30763404744</t>
  </si>
  <si>
    <t>صالح غانم محمد المحمودي</t>
  </si>
  <si>
    <t>30663405182</t>
  </si>
  <si>
    <t>عبدالرحمن حمد عبدالرحمن خليل</t>
  </si>
  <si>
    <t>30663401952</t>
  </si>
  <si>
    <t>عبدالرحمن عيسى علي الأنصاري</t>
  </si>
  <si>
    <t>30763402175</t>
  </si>
  <si>
    <t>عبدالرحمن فهد عبدالرحمن الهيدوس</t>
  </si>
  <si>
    <t>30663404558</t>
  </si>
  <si>
    <t>عبدالله إبراهيم عبدالله العلي</t>
  </si>
  <si>
    <t>30663402230</t>
  </si>
  <si>
    <t>محمد حمد حسن السليطي</t>
  </si>
  <si>
    <t>30663403570</t>
  </si>
  <si>
    <t>محمد هلال إبراهيم الجديع</t>
  </si>
  <si>
    <t>30663404363</t>
  </si>
  <si>
    <t>محمد يوسف محمد الخليفي</t>
  </si>
  <si>
    <t>30663406697</t>
  </si>
  <si>
    <t>يوسف راشد محمد المناعي</t>
  </si>
  <si>
    <t>30663402103</t>
  </si>
  <si>
    <t>أحمد جمال محمد اليافعي</t>
  </si>
  <si>
    <t>30763400870</t>
  </si>
  <si>
    <t>أحمد عامر محمد الجابري</t>
  </si>
  <si>
    <t>30663404801</t>
  </si>
  <si>
    <t>حسن ثاني عيسى الحداد</t>
  </si>
  <si>
    <t>30663400332</t>
  </si>
  <si>
    <t>حسين أحمد حسين درعان</t>
  </si>
  <si>
    <t>30663404928</t>
  </si>
  <si>
    <t>حمد حسن علي المنصوري</t>
  </si>
  <si>
    <t>30663405255</t>
  </si>
  <si>
    <t>حمد راشد محمد لبده</t>
  </si>
  <si>
    <t>30763400209</t>
  </si>
  <si>
    <t>خالد محمد عبدالفتاح النجار</t>
  </si>
  <si>
    <t>30663402225</t>
  </si>
  <si>
    <t>راشد خليفه راشد الكواري</t>
  </si>
  <si>
    <t>30663403152</t>
  </si>
  <si>
    <t>سعود عبدالله سالم البكري</t>
  </si>
  <si>
    <t>30763405516</t>
  </si>
  <si>
    <t>عبدالرحمن علي محمد الجاسم</t>
  </si>
  <si>
    <t>30663400652</t>
  </si>
  <si>
    <t>عبدالله عبدالعزيز عبده العماري</t>
  </si>
  <si>
    <t>30663403650</t>
  </si>
  <si>
    <t>عبدالله علي إبراهيم المالكي</t>
  </si>
  <si>
    <t>30663405537</t>
  </si>
  <si>
    <t>محمد حمد محمد الهاجري</t>
  </si>
  <si>
    <t>30663401624</t>
  </si>
  <si>
    <t>محمد عبدالحميد محمود الملا</t>
  </si>
  <si>
    <t>30663405734</t>
  </si>
  <si>
    <t>محمد عبدالمنعم إبراهيم العويناتي</t>
  </si>
  <si>
    <t>30663404607</t>
  </si>
  <si>
    <t>أحمد أحمد علي حميد</t>
  </si>
  <si>
    <t>30763406225</t>
  </si>
  <si>
    <t>أحمد خليفه أحمد الجابري</t>
  </si>
  <si>
    <t>30763402395</t>
  </si>
  <si>
    <t>أحمد عيسى أحمد النصر</t>
  </si>
  <si>
    <t>30663403535</t>
  </si>
  <si>
    <t>جاسم سلطان جاسم المسلماني</t>
  </si>
  <si>
    <t>30663403964</t>
  </si>
  <si>
    <t>جاسم محمد ثاني المعاضيد</t>
  </si>
  <si>
    <t>30663403372</t>
  </si>
  <si>
    <t>حسن سعيد حمد السليطي</t>
  </si>
  <si>
    <t>30663400979</t>
  </si>
  <si>
    <t>طلال علي عبدالله الحداد</t>
  </si>
  <si>
    <t>30663402208</t>
  </si>
  <si>
    <t>طلال عيسى علي غانم</t>
  </si>
  <si>
    <t>30663404255</t>
  </si>
  <si>
    <t>عبدالعزيز عبدالله حسن الأنصاري</t>
  </si>
  <si>
    <t>30663406454</t>
  </si>
  <si>
    <t>فهد عامر محمد المومني</t>
  </si>
  <si>
    <t>30763402649</t>
  </si>
  <si>
    <t>محسن محمد حبيب خلفان</t>
  </si>
  <si>
    <t>30663406800</t>
  </si>
  <si>
    <t>محمد أحمد محمد الساده</t>
  </si>
  <si>
    <t>30663406351</t>
  </si>
  <si>
    <t>محمد عبدالعزيز عبدالرحمن سعد</t>
  </si>
  <si>
    <t>30663403590</t>
  </si>
  <si>
    <t>محمد علي أحمد الملا</t>
  </si>
  <si>
    <t>30663403612</t>
  </si>
  <si>
    <t>أحمد علي عبدالله الحداد</t>
  </si>
  <si>
    <t>30663405115</t>
  </si>
  <si>
    <t>أحمد عيسى عبدالله السويدي</t>
  </si>
  <si>
    <t>30763403974</t>
  </si>
  <si>
    <t>تركي حمد عبدالمولى الذبحاني</t>
  </si>
  <si>
    <t>30663406434</t>
  </si>
  <si>
    <t>تميم محمد شمس العبدالقادر</t>
  </si>
  <si>
    <t>30663402490</t>
  </si>
  <si>
    <t>سالم بخيت محمد المري</t>
  </si>
  <si>
    <t>30663405286</t>
  </si>
  <si>
    <t>سلطان ناصر سلطان المالكي</t>
  </si>
  <si>
    <t>30763401237</t>
  </si>
  <si>
    <t>طالب سعيد طالب دهمان</t>
  </si>
  <si>
    <t>30663405389</t>
  </si>
  <si>
    <t>عبدالرحمن محمد عبدالرحمن العبدالله</t>
  </si>
  <si>
    <t>30763401485</t>
  </si>
  <si>
    <t>عبدالعزيز خالد محمد الحردان</t>
  </si>
  <si>
    <t>30663403257</t>
  </si>
  <si>
    <t>عبدالعزيز فواز جمعان الكندي</t>
  </si>
  <si>
    <t>30663401892</t>
  </si>
  <si>
    <t>عبدالله حمد مبارك النابت</t>
  </si>
  <si>
    <t>30763401922</t>
  </si>
  <si>
    <t>عبدالله فهد فضل اليافعي</t>
  </si>
  <si>
    <t>30763403530</t>
  </si>
  <si>
    <t>علي فهد علي الكعبي</t>
  </si>
  <si>
    <t>30663405371</t>
  </si>
  <si>
    <t>فيصل أحمد محمد الزياره</t>
  </si>
  <si>
    <t>30663401514</t>
  </si>
  <si>
    <t>محمد جاسم محمد الحمادي</t>
  </si>
  <si>
    <t>Class of 2025</t>
  </si>
  <si>
    <t>30863400252</t>
  </si>
  <si>
    <t>خالد عبدالرحمن مبارك الكبيسي</t>
  </si>
  <si>
    <t>2024/2025</t>
  </si>
  <si>
    <t>30763405583</t>
  </si>
  <si>
    <t>خالد مبارك هزاع الخيارين</t>
  </si>
  <si>
    <t>30763407219</t>
  </si>
  <si>
    <t>سعد صلاح أحمد الحمادي</t>
  </si>
  <si>
    <t>30863403469</t>
  </si>
  <si>
    <t>سعد ناصر سعد الكواري</t>
  </si>
  <si>
    <t>30763406978</t>
  </si>
  <si>
    <t>سعود أحمد مهنا الرميحي</t>
  </si>
  <si>
    <t>30663402904</t>
  </si>
  <si>
    <t>سلمان يوسف سلمان المضاحكة</t>
  </si>
  <si>
    <t>30763401791</t>
  </si>
  <si>
    <t>طالب مشعل طالب المري</t>
  </si>
  <si>
    <t>30763405378</t>
  </si>
  <si>
    <t>عبدالعزيز حمد جابر الجابر</t>
  </si>
  <si>
    <t>30863400621</t>
  </si>
  <si>
    <t>عبدالعزيز عبدالله عبدالعزيز خشابي</t>
  </si>
  <si>
    <t>30763406181</t>
  </si>
  <si>
    <t>عبدالله حسين عبدالله الحداد</t>
  </si>
  <si>
    <t>30763400356</t>
  </si>
  <si>
    <t>علي مبارك حسن بوجلوف</t>
  </si>
  <si>
    <t>30736400078</t>
  </si>
  <si>
    <t>عمر محمد عبدالله العمادي</t>
  </si>
  <si>
    <t>30663406442</t>
  </si>
  <si>
    <t>محمد عبدالله خليل المفتاح</t>
  </si>
  <si>
    <t>30763404357</t>
  </si>
  <si>
    <t>محمد فيصل عبدالواحد الحمادي</t>
  </si>
  <si>
    <t>30763402603</t>
  </si>
  <si>
    <t>تميم محمود عبدالعزيز الأنصاري</t>
  </si>
  <si>
    <t>30763406690</t>
  </si>
  <si>
    <t>جابر سلطان محمد الكعبي</t>
  </si>
  <si>
    <t>30763404452</t>
  </si>
  <si>
    <t>جاسم خالد يوسف الدربستي</t>
  </si>
  <si>
    <t>30763405262</t>
  </si>
  <si>
    <t>حسن أحمد محمد الجمالي</t>
  </si>
  <si>
    <t>30763403473</t>
  </si>
  <si>
    <t>حمد أحمد محمد العرقبان</t>
  </si>
  <si>
    <t>30763403134</t>
  </si>
  <si>
    <t>حمد عبدالحميد محمود الملا</t>
  </si>
  <si>
    <t>30763404154</t>
  </si>
  <si>
    <t>حمد عبدالعزيز محمد السميطي</t>
  </si>
  <si>
    <t>30763404597</t>
  </si>
  <si>
    <t>خالد عبدالله فهد الدوسري</t>
  </si>
  <si>
    <t>30663404711</t>
  </si>
  <si>
    <t>خالد على راشد السليطي</t>
  </si>
  <si>
    <t>30763401354</t>
  </si>
  <si>
    <t>ظافر فهد ظافر الدوسري</t>
  </si>
  <si>
    <t>30763403146</t>
  </si>
  <si>
    <t>عبدالحافظ سامى عبدالحافظ اليافعي</t>
  </si>
  <si>
    <t>30763401169</t>
  </si>
  <si>
    <t>عيسى خالد عيسى الكبيسي</t>
  </si>
  <si>
    <t>30863402949</t>
  </si>
  <si>
    <t>محمد خالد محمد العبيدلي</t>
  </si>
  <si>
    <t>30763403436</t>
  </si>
  <si>
    <t>نايف حمد محسن العجي</t>
  </si>
  <si>
    <t>30763403342</t>
  </si>
  <si>
    <t>نواف عيسى علي غانم</t>
  </si>
  <si>
    <t>30763405156</t>
  </si>
  <si>
    <t>أبوبكر نوح عبدالواحد عثمان</t>
  </si>
  <si>
    <t>30763401648</t>
  </si>
  <si>
    <t>إبراهيم علي حسن علي</t>
  </si>
  <si>
    <t>30763404577</t>
  </si>
  <si>
    <t>بدر عبدالرحمن صالح الزمان</t>
  </si>
  <si>
    <t>30863400365</t>
  </si>
  <si>
    <t>بندر طلال جمعة القطيطي</t>
  </si>
  <si>
    <t>30763405121</t>
  </si>
  <si>
    <t>جبر عبدالله أحمد الزيارة</t>
  </si>
  <si>
    <t>30763406686</t>
  </si>
  <si>
    <t>خليفة ناصر راشد الشهراني</t>
  </si>
  <si>
    <t>30763403945</t>
  </si>
  <si>
    <t>سلطان عبدالعزيز علي الأنصاري</t>
  </si>
  <si>
    <t>30863400727</t>
  </si>
  <si>
    <t>سيف أسامة محمد المومني</t>
  </si>
  <si>
    <t>30763402300</t>
  </si>
  <si>
    <t>عامر عزان عبدالله الكثيري</t>
  </si>
  <si>
    <t>30863403069</t>
  </si>
  <si>
    <t>عبدالله حميد عبدالله المكي</t>
  </si>
  <si>
    <t>30763403766</t>
  </si>
  <si>
    <t>علي أحمد يوسف المالكي</t>
  </si>
  <si>
    <t>30863400040</t>
  </si>
  <si>
    <t>محمد جابر حسن الجابر</t>
  </si>
  <si>
    <t>30763403403</t>
  </si>
  <si>
    <t>محمد علي محمد يوسف</t>
  </si>
  <si>
    <t>30763406209</t>
  </si>
  <si>
    <t>محمد مبارك مسفر الهاجري</t>
  </si>
  <si>
    <t>30763401665</t>
  </si>
  <si>
    <t>نواف عبدالعزيز علي الدليل</t>
  </si>
  <si>
    <t>30763404129</t>
  </si>
  <si>
    <t>جاسم عبدالله إبراهيم شهبيك</t>
  </si>
  <si>
    <t>30763404809</t>
  </si>
  <si>
    <t>جاسم عيسى عبدالله الشامري</t>
  </si>
  <si>
    <t>30763401527</t>
  </si>
  <si>
    <t>راشد عبدالله راشد القاشوطي</t>
  </si>
  <si>
    <t>30763403207</t>
  </si>
  <si>
    <t>سعيد فرهود هادي الهاجري</t>
  </si>
  <si>
    <t>30863400695</t>
  </si>
  <si>
    <t>عبدالله خليفة سليمان العبدالله</t>
  </si>
  <si>
    <t>30863400128</t>
  </si>
  <si>
    <t>عبدالله سامي محمد الرواشدة</t>
  </si>
  <si>
    <t>30763405426</t>
  </si>
  <si>
    <t>علي حمد عبدالواحد الحمادي</t>
  </si>
  <si>
    <t>30863403214</t>
  </si>
  <si>
    <t>عمر أيمن هاشم المشهداني</t>
  </si>
  <si>
    <t>30863402023</t>
  </si>
  <si>
    <t>فرحان عادل دريعان الشمري</t>
  </si>
  <si>
    <t>30763407139</t>
  </si>
  <si>
    <t>فهد جاسم أحمد التميمي</t>
  </si>
  <si>
    <t>30763405258</t>
  </si>
  <si>
    <t>محمد خالد حمد المري</t>
  </si>
  <si>
    <t>30763407003</t>
  </si>
  <si>
    <t>محمد راشد محمد النعيمي</t>
  </si>
  <si>
    <t>30763402295</t>
  </si>
  <si>
    <t>نواف جمال عبده العماري</t>
  </si>
  <si>
    <t>30763400655</t>
  </si>
  <si>
    <t>هزاع عطاالله محمد أبوشريدة</t>
  </si>
  <si>
    <t>Prior_School</t>
  </si>
  <si>
    <t>Curriculum</t>
  </si>
  <si>
    <t>English_Prior</t>
  </si>
  <si>
    <t>Science_Prior</t>
  </si>
  <si>
    <t>Math_Prior</t>
  </si>
  <si>
    <t>APTIS_Band</t>
  </si>
  <si>
    <t>APTIS_Score</t>
  </si>
  <si>
    <t>APTIS_%</t>
  </si>
  <si>
    <t>Math_Screening_Entry</t>
  </si>
  <si>
    <t>Math_%</t>
  </si>
  <si>
    <t>Baseline_CAT4_Overall</t>
  </si>
  <si>
    <t>CAT4_%</t>
  </si>
  <si>
    <t>Profile</t>
  </si>
  <si>
    <t>Baseline_Verbal_SAS</t>
  </si>
  <si>
    <t>Baseline_Quantitative_SAS</t>
  </si>
  <si>
    <t>Baseline_Nonverbal_SAS</t>
  </si>
  <si>
    <t>Baseline_Spatial_SAS</t>
  </si>
  <si>
    <t>Assigned_Class</t>
  </si>
  <si>
    <t>Baseline_Source</t>
  </si>
  <si>
    <t>2022 admissions (name-matched to QID); outcomes</t>
  </si>
  <si>
    <t>Ibrahim Ahmed Al Bader</t>
  </si>
  <si>
    <t>Umar ibn Al-Khattab Preparatory School for Boys</t>
  </si>
  <si>
    <t>General</t>
  </si>
  <si>
    <t>B1</t>
  </si>
  <si>
    <t>2023 admissions; 2019 accepted list; CAT new students</t>
  </si>
  <si>
    <t>Jassim Mohammed Al Dosari</t>
  </si>
  <si>
    <t>Doha Preparatory School for Boys</t>
  </si>
  <si>
    <t>Hareb Tariq Al Muhannadi</t>
  </si>
  <si>
    <t>Abu Bakr as-Siddiq Preparatory School for Boys</t>
  </si>
  <si>
    <t>B2</t>
  </si>
  <si>
    <t>Sultan Hassan Abu Hindi</t>
  </si>
  <si>
    <t>Sultan Eid Al Muhannadi</t>
  </si>
  <si>
    <t>Abdulaziz Khalid Al Hammadi</t>
  </si>
  <si>
    <t>Doha British School</t>
  </si>
  <si>
    <t>British</t>
  </si>
  <si>
    <t>Step 5</t>
  </si>
  <si>
    <t>Abdulla Jabor Alhajajy</t>
  </si>
  <si>
    <t>Khalid Bin Ahmad Preparatory School for Boys</t>
  </si>
  <si>
    <t>Abdulla Nayef Al Nuaimi</t>
  </si>
  <si>
    <t>Khalid ibn al-Walid Preparatory School for Boys</t>
  </si>
  <si>
    <t>Ali Yousuf Al Mohannadi</t>
  </si>
  <si>
    <t>Omar Saad Al Bader</t>
  </si>
  <si>
    <t>Faisal Ahmad Al Maslamani</t>
  </si>
  <si>
    <t>Al Maha English School - Pri - Boys</t>
  </si>
  <si>
    <t>Mohammed Jassem Al Buainain</t>
  </si>
  <si>
    <t>Abd al-Rahman Bin Jassim Preparatory School for Boys</t>
  </si>
  <si>
    <t>Mohammed Khamis Al Khulaifi</t>
  </si>
  <si>
    <t>Al-Ahnaf ibn Qays Preparatory School for Boys</t>
  </si>
  <si>
    <t>Mohammed Saed Al Hadad</t>
  </si>
  <si>
    <t>Mohammed Abdulla Al Sulaiti</t>
  </si>
  <si>
    <t>Mohammed Adnan Al Ansari</t>
  </si>
  <si>
    <t>Mohammed Ghanem Al Naimi</t>
  </si>
  <si>
    <t>Ahmad Khalid Al Hail</t>
  </si>
  <si>
    <t>Hassan Mohamed Al Malki</t>
  </si>
  <si>
    <t>Hamad Abdulla Al Talib</t>
  </si>
  <si>
    <t>Hamad Mohamed Al Ansari</t>
  </si>
  <si>
    <t>Al Jazeera Academy - KG Pri Prep Sec - Mixed</t>
  </si>
  <si>
    <t>Hamad Nasser Murad</t>
  </si>
  <si>
    <t>Saleh Naser Al Nuaimi</t>
  </si>
  <si>
    <t>The Gulf English School - Pri Prep Sec - Mixed</t>
  </si>
  <si>
    <t>IB,British</t>
  </si>
  <si>
    <t>4a</t>
  </si>
  <si>
    <t>Abdulla Saad Al Bader</t>
  </si>
  <si>
    <t>Abdulla Abdulrahman Alhammadi</t>
  </si>
  <si>
    <t>Abdulla Mohammed Almaraghi</t>
  </si>
  <si>
    <t>Ali Ahmad Jamali</t>
  </si>
  <si>
    <t>Ali Rashid Alboainain</t>
  </si>
  <si>
    <t>C</t>
  </si>
  <si>
    <t>Ghanim Rashid Al Naimi</t>
  </si>
  <si>
    <t>Al-Furqan Private Prep - Boys</t>
  </si>
  <si>
    <t>SEC Curriculium</t>
  </si>
  <si>
    <t>Mohammed Adel Alyafei</t>
  </si>
  <si>
    <t>Abu Ubaydah Preparatory School for Boys</t>
  </si>
  <si>
    <t>Mansoor Saif Al Khaldi</t>
  </si>
  <si>
    <t>Nasser Saeed Bawazir</t>
  </si>
  <si>
    <t>Nasser Ali Qamber</t>
  </si>
  <si>
    <t>Nayef Abdulla Saleh</t>
  </si>
  <si>
    <t>Jaber Nasser Al Boenain</t>
  </si>
  <si>
    <t>Saad Abdulaziz Buqarara</t>
  </si>
  <si>
    <t>Saleh Zaid Shajea</t>
  </si>
  <si>
    <t>Al-Imam Al-Shafi'i Preparatory School for Boys</t>
  </si>
  <si>
    <t>عبدالرحمن محمد عبدالله ال نشيره المرى</t>
  </si>
  <si>
    <t>2023 admissions; CAT4 2022/2023 fallback domains</t>
  </si>
  <si>
    <t>Abdulla Ismail Hussain</t>
  </si>
  <si>
    <t>Abdulla Ali Al Shaiba</t>
  </si>
  <si>
    <t>Fahad Mohammed Abdulla</t>
  </si>
  <si>
    <t>Mohammed Ghanim Al Mahmoudi</t>
  </si>
  <si>
    <t>Ibn Khaldun Preparatory School for Boys</t>
  </si>
  <si>
    <t>Mohammed Nasser Al Bader</t>
  </si>
  <si>
    <t>Nasser Mohammed Al Ejail</t>
  </si>
  <si>
    <t>Yousef Ahmad Al Badr</t>
  </si>
  <si>
    <t>Turki Khalid Alsanadi</t>
  </si>
  <si>
    <t>Qatar Leadership Academy - Pri Prep Sec - Boys</t>
  </si>
  <si>
    <t>American,IB</t>
  </si>
  <si>
    <t>Hassan Ahmed Larri</t>
  </si>
  <si>
    <t>Abdulaziz Ali Alyafei</t>
  </si>
  <si>
    <t>Abdulla Mohamed Al Obaidli</t>
  </si>
  <si>
    <t>Fahad Mohammed Al Mohannadi</t>
  </si>
  <si>
    <t>Abdullah Bin Ali Al-Missned Preparatory School for Boys</t>
  </si>
  <si>
    <t>Faisal Abdulla Alshamari</t>
  </si>
  <si>
    <t>Faisal Abdulla Al Hajjaji</t>
  </si>
  <si>
    <t>Mohammed Ahmad Al Hashemi</t>
  </si>
  <si>
    <t>Al-Razi Preparatory School for Boys</t>
  </si>
  <si>
    <t>Mohammed Rashid Al Marri</t>
  </si>
  <si>
    <t>Mohammed Saleh Al Kurbi</t>
  </si>
  <si>
    <t>Smaisima Preparatory School for Boys</t>
  </si>
  <si>
    <t>AHMED ABDULAZIZ A A AL-MULLA</t>
  </si>
  <si>
    <t>2024 admissions; 2024 accepted list</t>
  </si>
  <si>
    <t>TURKI HAMED A A AL-SHEEB</t>
  </si>
  <si>
    <t>KHALID FAHAD M I HUSSAIN</t>
  </si>
  <si>
    <t>SAOUD KHALED S A EL-KADY</t>
  </si>
  <si>
    <t>SAOUD ABDULAZIZ A M ASKAR</t>
  </si>
  <si>
    <t>SULTAN ALI M A AL-OBAIDLI</t>
  </si>
  <si>
    <t>SALEH GHANIM M A AL-MAHMOUDI</t>
  </si>
  <si>
    <t>ABDULRAHMAN HAMAD A M KHALIL</t>
  </si>
  <si>
    <t>ABDULRAHMAN ESSA A H AL-ANSARI</t>
  </si>
  <si>
    <t>ABDULRAHMAN FAHAD A A AL-HEIDOUS</t>
  </si>
  <si>
    <t>ABDULLA IBRAHIM A M AL-ALI</t>
  </si>
  <si>
    <t>MOHAMMED HAMAD H H AL-SULAITI</t>
  </si>
  <si>
    <t>MOHAMMED HELAL I M AL-JEDAIA</t>
  </si>
  <si>
    <t>MOHAMMED YOUSUF M A AL-KHULAIFI</t>
  </si>
  <si>
    <t>YOUSEF RASHID M A AL-MANNAI</t>
  </si>
  <si>
    <t>AHMED JAMAL M S ALYAFEI</t>
  </si>
  <si>
    <t>AHMAD AMER M S AL-JABRI</t>
  </si>
  <si>
    <t>HASSAN THANI E TH AL-HADDAD</t>
  </si>
  <si>
    <t>HUSAIN AHMED H S DARAAN</t>
  </si>
  <si>
    <t>HAMAD HASSAN A A AL-MANSUORI</t>
  </si>
  <si>
    <t>HAMAD RASHID M H LABDA</t>
  </si>
  <si>
    <t>KHALID MOHAMED A M AL-NAJJAR</t>
  </si>
  <si>
    <t>RASHID KHALIFA R A AL-KUWARI</t>
  </si>
  <si>
    <t>SAOUD ABDULLA S A AL-BIKRI</t>
  </si>
  <si>
    <t>ABDULRAHMAN ALI M J AL-JASSIM</t>
  </si>
  <si>
    <t>ABDULLA ABDULAZIZ A A AL-AMARI</t>
  </si>
  <si>
    <t>ABDULLA ALI I A AL-MALKI</t>
  </si>
  <si>
    <t>MOHAMMED HAMAD M F ALHAJRI</t>
  </si>
  <si>
    <t>MOHAMMED ABDULHAMEED M A AL-MULLA</t>
  </si>
  <si>
    <t>MOHAMMED A.MONIM I A ALAWAINATI</t>
  </si>
  <si>
    <t>AHMAD AHMED A M HUMAID</t>
  </si>
  <si>
    <t>AHMAD KHALIFA A M ALJABRI</t>
  </si>
  <si>
    <t>AHMAD ESSA A A AL-NASSR</t>
  </si>
  <si>
    <t>JASSIM SULTAN J N AL-MOSLAMANI</t>
  </si>
  <si>
    <t>JASSEM MOHD T J AL-MAADEAD</t>
  </si>
  <si>
    <t>HASSAN SAEED H S AL-SULAITI</t>
  </si>
  <si>
    <t>TALAL ALI A E AL-HADDAD</t>
  </si>
  <si>
    <t>TALAL EISA A I GHANEM</t>
  </si>
  <si>
    <t>ABDULAZIZ ABDULLA H A AL-ANSARI</t>
  </si>
  <si>
    <t>FAHAD AMER M H ALMOMANI</t>
  </si>
  <si>
    <t>MOHSIN MOHAMMAD H J KHALFAN</t>
  </si>
  <si>
    <t>MOHAMMED AHMAD M B AL-SADA</t>
  </si>
  <si>
    <t>MOHAMMED A.AZIZ A S AL-SAAD</t>
  </si>
  <si>
    <t>MOHAMMED ALI A M AL-MULLA</t>
  </si>
  <si>
    <t>AHMAD ALI A S AL HADDAD</t>
  </si>
  <si>
    <t>AHMAD EISA A S AL-SUWAIDI</t>
  </si>
  <si>
    <t>TURKI HAMAD A O AL-THABHANI</t>
  </si>
  <si>
    <t>TAMEEM MOHAMMED S M AL-ABDULQADER</t>
  </si>
  <si>
    <t>SALEM BAKHIT M A AL-MARRI</t>
  </si>
  <si>
    <t>SULTAN NASSER S M AL-MALKI</t>
  </si>
  <si>
    <t>TALEB SAEED T H DAHMAN</t>
  </si>
  <si>
    <t>ABDULRAHMAN MOHAMMED A M AL-ABDULLA</t>
  </si>
  <si>
    <t>ABDULAZIZ KHALID M A AL-HARDAN</t>
  </si>
  <si>
    <t>ABDULAZIZ FAWAZ J O BA-METREF</t>
  </si>
  <si>
    <t>ABDULLA HAMAD M D AL-NABIT</t>
  </si>
  <si>
    <t>ABDULLA FAHAD F S ALYAFEI</t>
  </si>
  <si>
    <t>ALI FAHAD A H ALKAABI</t>
  </si>
  <si>
    <t>FAISAL AHMED M A AL-ZEYARA</t>
  </si>
  <si>
    <t>MOHAMMED JASSIM M M AL-HAMMADI</t>
  </si>
  <si>
    <t>KHALID ABDULRAHMAN M N AL-KUBAISI</t>
  </si>
  <si>
    <t>AlHayat Universal School - KG Pri - Mixed</t>
  </si>
  <si>
    <t>Int.</t>
  </si>
  <si>
    <t>9A</t>
  </si>
  <si>
    <t>2025 accepted list; CAT4 2022/2023 proxy domains</t>
  </si>
  <si>
    <t>KHALID MOBARAK H A AL-KHAYARIN</t>
  </si>
  <si>
    <t>9B</t>
  </si>
  <si>
    <t>SAAD SALAH A M ALHAMMADI</t>
  </si>
  <si>
    <t>Qatar Finland international School</t>
  </si>
  <si>
    <t>9D</t>
  </si>
  <si>
    <t>SAAD NASSER S S AL-KUWARI</t>
  </si>
  <si>
    <t>MOE</t>
  </si>
  <si>
    <t>9C</t>
  </si>
  <si>
    <t>SAOUD AHMED M A AL-RUMAIHI</t>
  </si>
  <si>
    <t>SALMAN YOUSUF S A AL-MUDAHKA</t>
  </si>
  <si>
    <t>Nord Anglia International School- AL Khor</t>
  </si>
  <si>
    <t>TALEB MASHEL T A AL-MARRI</t>
  </si>
  <si>
    <t>ABDULAZIZ HAMAD J H AL-JABER</t>
  </si>
  <si>
    <t>ABDULAZIZ ABDULLA A A KHASHABI</t>
  </si>
  <si>
    <t>CAT4 2022/2023 proxy domains</t>
  </si>
  <si>
    <t>ALI MUBARAK H A BUJALOOF</t>
  </si>
  <si>
    <t>OMAR MOHAMMED A I AL-EMADI</t>
  </si>
  <si>
    <t>Ali ibn Abi Talib Preparatory School for Boys</t>
  </si>
  <si>
    <t>MOHAMMED ABDULLA K E AL-MUFTAH</t>
  </si>
  <si>
    <t>Vision International school</t>
  </si>
  <si>
    <t>MOHAMMED FAISAL A A AL-HAMADI</t>
  </si>
  <si>
    <t>JABER SULTAN M J AL-KAABI</t>
  </si>
  <si>
    <t>Newton International SchoolÂ  Mixed - Alqitifia</t>
  </si>
  <si>
    <t>JASSIM KHALED Y I ALDERBESTI</t>
  </si>
  <si>
    <t>Qatar Academy Private-KG Pri Prep Sec-Mixed</t>
  </si>
  <si>
    <t>HASSAN AHMAD M A AL-JAMALI</t>
  </si>
  <si>
    <t>HAMAD AHMAD M A ALARQABAN</t>
  </si>
  <si>
    <t>HAMAD ABDULHAMEED M A AL-MULLA</t>
  </si>
  <si>
    <t>AlHammad International developed School-K Pi Pp Se</t>
  </si>
  <si>
    <t>HAMAD ABDULAZIZ M M AL-SUMAITI</t>
  </si>
  <si>
    <t>Qatar Academy Sidra</t>
  </si>
  <si>
    <t>KHALID ABDULLA F A AL-DOSARI</t>
  </si>
  <si>
    <t>Al-Yarmouk Preparatory School for Boys</t>
  </si>
  <si>
    <t>Khalid Ali R A AlSulaiti</t>
  </si>
  <si>
    <t>ABDULHAFIZ SAMI A SH ALYAFEI</t>
  </si>
  <si>
    <t>Al Khor International School - British Curriculum</t>
  </si>
  <si>
    <t>Essa Khalid E G Al-Kubaisi</t>
  </si>
  <si>
    <t>MOHAMMED KHALID M A AL-OBAIDLI</t>
  </si>
  <si>
    <t>NAYEF HAMAD M A AL-EJJI</t>
  </si>
  <si>
    <t>ABUBAKER NOUH A A OTHMAN</t>
  </si>
  <si>
    <t>IBRAHIM ALI H A ALI</t>
  </si>
  <si>
    <t>Qatar Academy Al-Wakra</t>
  </si>
  <si>
    <t>BADER ABDULRAHMAN S A AL-ZAMAN</t>
  </si>
  <si>
    <t>BANDER TALAL J A AL-QUTAITI</t>
  </si>
  <si>
    <t>KHALIFA NASSER R S AL-SHAHRANI</t>
  </si>
  <si>
    <t>SULTAN A.AZIZ A H ALANSARI</t>
  </si>
  <si>
    <t>SAIF OSAMA M S AL-MOMANI</t>
  </si>
  <si>
    <t>Abdulla Humaid A M Al-Macki</t>
  </si>
  <si>
    <t>Newton International Academy</t>
  </si>
  <si>
    <t>MOHAMMED JABIR H A AL-JABIR</t>
  </si>
  <si>
    <t>Noor Al Khaleej International School-KG Pi Pep-Mix</t>
  </si>
  <si>
    <t>Mohammad Ali M M Yousef</t>
  </si>
  <si>
    <t>Qatar Leadership Academy</t>
  </si>
  <si>
    <t>JASSIM ABDULLA I A SHAHBIK</t>
  </si>
  <si>
    <t>American Academy School - Althamama branch</t>
  </si>
  <si>
    <t>JASSIM ESSA A D AL-SHAMIRI</t>
  </si>
  <si>
    <t>Newton International School-KG Pri Prep Sec-Mixed</t>
  </si>
  <si>
    <t>RASHID ABDULLA R K AL-QASHOTI</t>
  </si>
  <si>
    <t>Hamza ibn Abdul-Muttalib Preparatory School for Boys</t>
  </si>
  <si>
    <t>SAEED FARHOUD H A AL-HAJRI</t>
  </si>
  <si>
    <t>Edison International Academy-Muraikh</t>
  </si>
  <si>
    <t>ABDULLA KHALIFA S F AL-ABDULLA</t>
  </si>
  <si>
    <t>The English Modern School-KG Pri Prep Sec-Mixed</t>
  </si>
  <si>
    <t>ABDULLA SAMI M A ALRAWASHDA</t>
  </si>
  <si>
    <t>Al Rayyan Private School Boys â€“ Girls</t>
  </si>
  <si>
    <t>ALI HAMAD A A AL-HAMADI</t>
  </si>
  <si>
    <t>OMER AYMAN H M AL-MUSHADDANI</t>
  </si>
  <si>
    <t>FARHAN ADEL D A AL-SHAMARI</t>
  </si>
  <si>
    <t>Compass International - Khalifa</t>
  </si>
  <si>
    <t>FAHAD JASSEM A J AL-TAMIMI</t>
  </si>
  <si>
    <t>MOHAMMED KHALID H M AL-MARRI</t>
  </si>
  <si>
    <t>MOHAMMED RASHID M J AL-NAIMI</t>
  </si>
  <si>
    <t>NAWAF JAMAL A A AL-AMMARI</t>
  </si>
  <si>
    <t>HAZZA ATALLA M H ABUSHAREEDA</t>
  </si>
  <si>
    <t>Academic_Year</t>
  </si>
  <si>
    <t>Year_Order</t>
  </si>
  <si>
    <t>Curriculum_Phase</t>
  </si>
  <si>
    <t>RAW</t>
  </si>
  <si>
    <t>NSIS</t>
  </si>
  <si>
    <t>STEM</t>
  </si>
  <si>
    <t>English</t>
  </si>
  <si>
    <t>Math</t>
  </si>
  <si>
    <t>Overall_Internal</t>
  </si>
  <si>
    <t>Foundation / Entry</t>
  </si>
  <si>
    <t>Developing</t>
  </si>
  <si>
    <t>Advanced</t>
  </si>
  <si>
    <t>Graduation</t>
  </si>
  <si>
    <t>Development</t>
  </si>
  <si>
    <t>Consolidation</t>
  </si>
  <si>
    <t>Graduation / Exit</t>
  </si>
  <si>
    <t>Entry_RAW</t>
  </si>
  <si>
    <t>Exit_RAW</t>
  </si>
  <si>
    <t>Gain_RAW</t>
  </si>
  <si>
    <t>Entry_NSIS</t>
  </si>
  <si>
    <t>Exit_NSIS</t>
  </si>
  <si>
    <t>Gain_NSIS</t>
  </si>
  <si>
    <t>Entry_STEM</t>
  </si>
  <si>
    <t>Exit_STEM</t>
  </si>
  <si>
    <t>Gain_STEM</t>
  </si>
  <si>
    <t>Entry_English</t>
  </si>
  <si>
    <t>Exit_English</t>
  </si>
  <si>
    <t>Gain_English</t>
  </si>
  <si>
    <t>Entry_Math</t>
  </si>
  <si>
    <t>Exit_Math</t>
  </si>
  <si>
    <t>Gain_Math</t>
  </si>
  <si>
    <t>Current_Mean_SAS</t>
  </si>
  <si>
    <t>CAT4_Growth</t>
  </si>
  <si>
    <t>Projects_Count</t>
  </si>
  <si>
    <t>Competitions_Count</t>
  </si>
  <si>
    <t>Awards_Count</t>
  </si>
  <si>
    <t>Activities_Count</t>
  </si>
  <si>
    <t>Low starter</t>
  </si>
  <si>
    <t>Middle starter</t>
  </si>
  <si>
    <t>Baseline_Profile</t>
  </si>
  <si>
    <t>Current_Profile</t>
  </si>
  <si>
    <t>Current_Verbal_SAS</t>
  </si>
  <si>
    <t>Verbal_Growth</t>
  </si>
  <si>
    <t>Current_Quantitative_SAS</t>
  </si>
  <si>
    <t>Quantitative_Growth</t>
  </si>
  <si>
    <t>Current_Nonverbal_SAS</t>
  </si>
  <si>
    <t>Nonverbal_Growth</t>
  </si>
  <si>
    <t>Current_Spatial_SAS</t>
  </si>
  <si>
    <t>Spatial_Growth</t>
  </si>
  <si>
    <t>Current_CAT4_Grade</t>
  </si>
  <si>
    <t>Auto_Profile_Class</t>
  </si>
  <si>
    <t>AI_Interpretation</t>
  </si>
  <si>
    <t>Latest_Competition_Year</t>
  </si>
  <si>
    <t>State_Summary</t>
  </si>
  <si>
    <t>No student-level participation file attached for Class of 2022</t>
  </si>
  <si>
    <t>12; 7</t>
  </si>
  <si>
    <t>11; IAPE046; register</t>
  </si>
  <si>
    <t>10; IAPE048</t>
  </si>
  <si>
    <t>6; IAPE068; register</t>
  </si>
  <si>
    <t>08; register</t>
  </si>
  <si>
    <t>06; IAPE096</t>
  </si>
  <si>
    <t>register</t>
  </si>
  <si>
    <t>6; IAPE068; IAPE072</t>
  </si>
  <si>
    <t>Not complete</t>
  </si>
  <si>
    <t>IBPE058; register</t>
  </si>
  <si>
    <t>03; new students/title</t>
  </si>
  <si>
    <t>IAPE072</t>
  </si>
  <si>
    <t>IBBC094; submitted</t>
  </si>
  <si>
    <t>3; IAPE045; register</t>
  </si>
  <si>
    <t>Round 1</t>
  </si>
  <si>
    <t>06; IAPE096; Registered</t>
  </si>
  <si>
    <t>04; 2; IABC073; using PICO</t>
  </si>
  <si>
    <t>submitted</t>
  </si>
  <si>
    <t>9; Registered; postponed</t>
  </si>
  <si>
    <t>15; FINALS; IAPE092</t>
  </si>
  <si>
    <t>9; postponed</t>
  </si>
  <si>
    <t>Registered</t>
  </si>
  <si>
    <t>Under Process</t>
  </si>
  <si>
    <t>4; IAPE059; Ready</t>
  </si>
  <si>
    <t>01; 1; IAPE050; Registered</t>
  </si>
  <si>
    <t>05</t>
  </si>
  <si>
    <t>IABC067</t>
  </si>
  <si>
    <t>07</t>
  </si>
  <si>
    <t>5; IBPE062; register</t>
  </si>
  <si>
    <t>15; IAPE092</t>
  </si>
  <si>
    <t>11; IAPE046; Ready; Register; register</t>
  </si>
  <si>
    <t>new students/title</t>
  </si>
  <si>
    <t>Not complete; Under Process</t>
  </si>
  <si>
    <t>01; 1; IAPE050; Registered; Under Process</t>
  </si>
  <si>
    <t>IAPE063</t>
  </si>
  <si>
    <t>NOT QUALIFIED TO FINALS; Register</t>
  </si>
  <si>
    <t>Register; Registered</t>
  </si>
  <si>
    <t>6; IAPE068</t>
  </si>
  <si>
    <t>Registered; Round 1; Under Process</t>
  </si>
  <si>
    <t>5; IBPE062; Under Process; register</t>
  </si>
  <si>
    <t>45/50</t>
  </si>
  <si>
    <t>Register; Registered; Under Process</t>
  </si>
  <si>
    <t>9; NOT QUALIFIED TO FINALS; Next Stage; Under Process; postponed</t>
  </si>
  <si>
    <t>12; 44/50; 5/12_12:00; 7; Final List</t>
  </si>
  <si>
    <t>IAPE046; Participated ; Register; Registered; register</t>
  </si>
  <si>
    <t>Register</t>
  </si>
  <si>
    <t>FINALS; Not completed</t>
  </si>
  <si>
    <t>NOT QUALIFIED TO FINALS</t>
  </si>
  <si>
    <t>09; Attand; Not complete</t>
  </si>
  <si>
    <t>43/50; 5/12_12:30; Final List; NOT AWARDED; NOT QUALIFIED TO FINALS</t>
  </si>
  <si>
    <t>Registered; submitted</t>
  </si>
  <si>
    <t xml:space="preserve">IAPE072; Mohammed Faisal A A Al-hamadi; NOT QUALIFIED TO FINALS; Participated </t>
  </si>
  <si>
    <t>NOT QUALIFIED TO FINALS; Register; Under Process</t>
  </si>
  <si>
    <t>Not completed</t>
  </si>
  <si>
    <t>17; NOT AWARDED; Ready; Register; Registered</t>
  </si>
  <si>
    <t>NOT AWARDED</t>
  </si>
  <si>
    <t>17; 44/50; Final List; Register; Registered</t>
  </si>
  <si>
    <t>Final List</t>
  </si>
  <si>
    <t>01; 1; 14; Attand; IAPE050</t>
  </si>
  <si>
    <t>5; 6/12_10:30; Attand; IBPE062; Next Stage</t>
  </si>
  <si>
    <t>Attand; Participated ; Registered</t>
  </si>
  <si>
    <t xml:space="preserve">13; 21/4/2025; 83/100; Next Stage; Participated </t>
  </si>
  <si>
    <t>6/12_10:30; Next Stage; Register; Under Process; علي حمد الحمادي</t>
  </si>
  <si>
    <t>6/12_10:30; NOT QUALIFIED TO FINALS; Register</t>
  </si>
  <si>
    <t>Participated ; Registered</t>
  </si>
  <si>
    <t>04; 2; Attand; IABC073; Mohammed Faisal A A Al-hamadi</t>
  </si>
  <si>
    <t>06; 44/50; Final List; IAPE096; NOT AWARDED</t>
  </si>
  <si>
    <t>14; 43/50; 5/12_12:30; Final List; NOT QUALIFIED TO FINALS</t>
  </si>
  <si>
    <t>3; IAPE045; Register; register</t>
  </si>
  <si>
    <t>13; 21/4/2025; 5/12_12:00; 83/100; NOT QUALIFIED TO FINALS</t>
  </si>
  <si>
    <t>5/12_12:00; Final List; Participated ; Register; Registered</t>
  </si>
  <si>
    <t>4; 45/50; IAPE059; Ready</t>
  </si>
  <si>
    <t>09; 5/12_12:30; Attand; Final List; NOT QUALIFIED TO FINALS</t>
  </si>
  <si>
    <t>Final List; Register; active participation; cancelled</t>
  </si>
  <si>
    <t>44/50; Final Last; Final List; NOT QUALIFIED TO FINALS; Next Stage</t>
  </si>
  <si>
    <t>Attand</t>
  </si>
  <si>
    <t>Name_En</t>
  </si>
  <si>
    <t>Country</t>
  </si>
  <si>
    <t>SAT_Math</t>
  </si>
  <si>
    <t>SAT_En</t>
  </si>
  <si>
    <t>Hassan Ismail A A Al-emadi</t>
  </si>
  <si>
    <t>University of Liverpool</t>
  </si>
  <si>
    <t>UK</t>
  </si>
  <si>
    <t>Electrical Engineering</t>
  </si>
  <si>
    <t>Qatar Energy</t>
  </si>
  <si>
    <t>Saif Ahmad M J Al-sulaiti</t>
  </si>
  <si>
    <t>Qatar University</t>
  </si>
  <si>
    <t>Qatar</t>
  </si>
  <si>
    <t>Computer Science</t>
  </si>
  <si>
    <t>خاص/ مجاني</t>
  </si>
  <si>
    <t>Saif Ali I A Al-mohannadi</t>
  </si>
  <si>
    <t>Electric and Electronic Engineering</t>
  </si>
  <si>
    <t>Abdulrahman A.aziz E A Al-hashemi</t>
  </si>
  <si>
    <t>Texas A&amp;M University Qatar</t>
  </si>
  <si>
    <t>Mechanical Engineering</t>
  </si>
  <si>
    <t>Abdulrahman Abdulla E M Almutawaa</t>
  </si>
  <si>
    <t>Ministry of Education</t>
  </si>
  <si>
    <t>Abdulrahman Mohammed S Y Al-sulaiti</t>
  </si>
  <si>
    <t>Abdulaziz Salah A M Al-anshaei</t>
  </si>
  <si>
    <t>Chemical engineering</t>
  </si>
  <si>
    <t>Abdulaziz Ali Y J Al-tamimi</t>
  </si>
  <si>
    <t>Shell</t>
  </si>
  <si>
    <t>Abdulla Khalid A M Al-nasr</t>
  </si>
  <si>
    <t>Swansea University</t>
  </si>
  <si>
    <t>Abdulla Ali R N Al-najdi</t>
  </si>
  <si>
    <t>Ghanim Abdulla S G Al-marri</t>
  </si>
  <si>
    <t>Petroleum Engineering</t>
  </si>
  <si>
    <t>Majid Abdulla M M Al-sowaidi</t>
  </si>
  <si>
    <t>Mechanical engineering</t>
  </si>
  <si>
    <t>Mubarak Hassan S E Al-abdulla</t>
  </si>
  <si>
    <t>University of Doha for Science and Technology</t>
  </si>
  <si>
    <t>Mohammed Saad M A Al-tamimi</t>
  </si>
  <si>
    <t>Newcastle University</t>
  </si>
  <si>
    <t>Marine engineering</t>
  </si>
  <si>
    <t>Nasser Issa A H Alansari</t>
  </si>
  <si>
    <t>Computer Engineering</t>
  </si>
  <si>
    <t>وزارة الداخلية</t>
  </si>
  <si>
    <t>Ahmad Khalid A A Alzaman</t>
  </si>
  <si>
    <t>Petrolium Engineering</t>
  </si>
  <si>
    <t>Jassim Sultan B S Al-mesalam</t>
  </si>
  <si>
    <t>International Relation</t>
  </si>
  <si>
    <t>وزارة الدفاع</t>
  </si>
  <si>
    <t>Jassim Mohd I M Abdulla</t>
  </si>
  <si>
    <t>University of Central Lancashire</t>
  </si>
  <si>
    <t>Fire Engineering</t>
  </si>
  <si>
    <t>Rashid Salem R S Al-adba</t>
  </si>
  <si>
    <t>Cyber Security</t>
  </si>
  <si>
    <t>Saeed Rashid M A Al-dosari</t>
  </si>
  <si>
    <t>الكلية العسكرية</t>
  </si>
  <si>
    <t>مرشح ضابط</t>
  </si>
  <si>
    <t>Abdulla Hamad M A Al-marri</t>
  </si>
  <si>
    <t>طيار</t>
  </si>
  <si>
    <t>Abdulla Abdulaziz A A Al-mahmoud</t>
  </si>
  <si>
    <t>Carnegie Mellon University Qatar</t>
  </si>
  <si>
    <t>Mohammed Hamad H M Al-muhannadi</t>
  </si>
  <si>
    <t>Mohammed Abdulla S K Al-kaabi</t>
  </si>
  <si>
    <t>Meshaal Mosallam A M Al-dosari</t>
  </si>
  <si>
    <t>Ibrahim Nasser I A Buhendi</t>
  </si>
  <si>
    <t>University Of Strathclyde</t>
  </si>
  <si>
    <t>Uk</t>
  </si>
  <si>
    <t>Hamad Abdulaziz M Y Al-horr</t>
  </si>
  <si>
    <t>Civil Engineering</t>
  </si>
  <si>
    <t>Khalid Ali H M Al-naama</t>
  </si>
  <si>
    <t>Sultan Nasser A N Al-bader</t>
  </si>
  <si>
    <t>Abdulaziz Morshid A A Al-mohannadi</t>
  </si>
  <si>
    <t>Electrical and Electronic engineering</t>
  </si>
  <si>
    <t>Abdulla Hassan M Y Alhaddad</t>
  </si>
  <si>
    <t>Abdulla Abdulrahman Y A Mahmoud</t>
  </si>
  <si>
    <t>Abdulla A.rahim I H Al-janahi</t>
  </si>
  <si>
    <t>Mechatronics engineering</t>
  </si>
  <si>
    <t>Abdulla Mohammed A S Bawazir</t>
  </si>
  <si>
    <t>Ali Sultan M A Al-maadeed</t>
  </si>
  <si>
    <t>Omar Abdulla A S Al-hammadi</t>
  </si>
  <si>
    <t>Essa Hamad M A Al-ejji</t>
  </si>
  <si>
    <t>Mohammed Khalid M A Al-hardan</t>
  </si>
  <si>
    <t>Nasser Abdulraheem J M Alhuri</t>
  </si>
  <si>
    <t>Ahmad Bader A A Al-ansari</t>
  </si>
  <si>
    <t>Jassim Mohammed A A Alyafei</t>
  </si>
  <si>
    <t>Khalid Ahmed S I Al-ajlan</t>
  </si>
  <si>
    <t>Rashid Mohd A A Al-jalham</t>
  </si>
  <si>
    <t>Rashid Mohamed A S Al-subaiey</t>
  </si>
  <si>
    <t>Sultan Mohamed A A Al-maadid</t>
  </si>
  <si>
    <t>CS/Electrical Engineering</t>
  </si>
  <si>
    <t>Abdulla Khalid A A Al-fakhroo</t>
  </si>
  <si>
    <t>Faleh Hussain M A Al-dosari</t>
  </si>
  <si>
    <t>Fahad Saadoun S A Al-kuwari</t>
  </si>
  <si>
    <t>Enviromental Studies</t>
  </si>
  <si>
    <t>Fahad Nasser M A Alyafei</t>
  </si>
  <si>
    <t>Fire &amp; safety Engineering</t>
  </si>
  <si>
    <t>Mohammed A.rahman H M Al-saqatri</t>
  </si>
  <si>
    <t>Medicine</t>
  </si>
  <si>
    <t>Mousa Saeed A H Al-mutawa</t>
  </si>
  <si>
    <t>الكلية البحرية العسكرية في بولندا</t>
  </si>
  <si>
    <t>Poland</t>
  </si>
  <si>
    <t>Yousef Moaz A N Ibrahim</t>
  </si>
  <si>
    <t>Rashid Salem R D Almarri</t>
  </si>
  <si>
    <t>Saoud A-rahman A M Al-malik</t>
  </si>
  <si>
    <t>Fahad Ali F A Al-shahwani</t>
  </si>
  <si>
    <t>Aston University</t>
  </si>
  <si>
    <t>Mohammed Khalid M I Altamimi</t>
  </si>
  <si>
    <t>Mohammed A.aziz A A Al-emadi</t>
  </si>
  <si>
    <t>Nasser Abdulla I A Shahbik</t>
  </si>
  <si>
    <t>Nassar Tariq H M Nassar</t>
  </si>
  <si>
    <t>Univeristy of Brunel</t>
  </si>
  <si>
    <t>Genetic</t>
  </si>
  <si>
    <t>Ibrahim Ahmed I B Al-bader</t>
  </si>
  <si>
    <t>Univerity of Manchaster</t>
  </si>
  <si>
    <t>Jassim Mohammed D M Al-dosari</t>
  </si>
  <si>
    <t>Electrial Engineering</t>
  </si>
  <si>
    <t>لا يوجد</t>
  </si>
  <si>
    <t>Hareb Tariq H M Al-muhannadi</t>
  </si>
  <si>
    <t>Sultan Hassan A A Abu-hindi</t>
  </si>
  <si>
    <t>Swansea Univeristy</t>
  </si>
  <si>
    <t>Sultan Eid S A Al-muhannadi</t>
  </si>
  <si>
    <t>Abdulaziz Khalid E A Al-hammadi</t>
  </si>
  <si>
    <t>Liverpool</t>
  </si>
  <si>
    <t>Abdulla Jabor A M Alhajajy</t>
  </si>
  <si>
    <t>Abdulla Nayef N A Al-nuaimi</t>
  </si>
  <si>
    <t>DePaul University</t>
  </si>
  <si>
    <t>USA</t>
  </si>
  <si>
    <t>الجيش</t>
  </si>
  <si>
    <t>Ali Yousuf S A Al-mohannadi</t>
  </si>
  <si>
    <t>Omar Saad E H Al-bader</t>
  </si>
  <si>
    <t>Uinversity of sheffiled</t>
  </si>
  <si>
    <t>Faisal Ahmad S F Al-maslamani</t>
  </si>
  <si>
    <t>Strathclyde Univerity</t>
  </si>
  <si>
    <t>Mohammed Jassem A A Al-buainain</t>
  </si>
  <si>
    <t>Mohammed Khamis M K Al-khulaifi</t>
  </si>
  <si>
    <t>Mohammed Saed A H Al-hadad</t>
  </si>
  <si>
    <t>القطرية للطيران</t>
  </si>
  <si>
    <t>Qatar Airways</t>
  </si>
  <si>
    <t>Mohammed Abdulla S A Al-sulaiti</t>
  </si>
  <si>
    <t>Blackpool and the Fylde College</t>
  </si>
  <si>
    <t>Mohammed Adnan A H Al-ansari</t>
  </si>
  <si>
    <t>Mohammed Ghanem S R Al-naimi</t>
  </si>
  <si>
    <t>Ahmad Khalid A S Al-hail</t>
  </si>
  <si>
    <t>University of Nottingham</t>
  </si>
  <si>
    <t>Hassan Mohamed H I Al-malki</t>
  </si>
  <si>
    <t>Hamad Abdulla Z R Al-talib</t>
  </si>
  <si>
    <t>Hamad Mohamed A H Al-ansari</t>
  </si>
  <si>
    <t>Hamad Nasser A M Murad</t>
  </si>
  <si>
    <t>Saleh Naser S N Al-nuaimi</t>
  </si>
  <si>
    <t>Abdulla Saad E H Al-bader</t>
  </si>
  <si>
    <t>Univerity of Sheffiled</t>
  </si>
  <si>
    <t>Abdulla Abdulrahman M A Alhammadi</t>
  </si>
  <si>
    <t>Abdulla Mohammed A M Almaraghi</t>
  </si>
  <si>
    <t>Cardiff University</t>
  </si>
  <si>
    <t>Ali Ahmad M A Al-jamali</t>
  </si>
  <si>
    <t>Ali Rashid A A Alboainain</t>
  </si>
  <si>
    <t>Ghanim Rashid M J Al-naimi</t>
  </si>
  <si>
    <t>Mohammed Adel M A Alyafei</t>
  </si>
  <si>
    <t>سنة اول تاسيسي</t>
  </si>
  <si>
    <t>Mansoor Saif M A Al-khaldi</t>
  </si>
  <si>
    <t>Nasser Saeed O A Bawazir</t>
  </si>
  <si>
    <t>Nasser Ali A A Qamber</t>
  </si>
  <si>
    <t>الجسر الاكاديمي</t>
  </si>
  <si>
    <t>تأسيسي</t>
  </si>
  <si>
    <t>Nayef Abdulla A H Al-jilani</t>
  </si>
  <si>
    <t>Jaber Nasser H H Al-boenain</t>
  </si>
  <si>
    <t>Saad Abdulaziz S A Buqarara</t>
  </si>
  <si>
    <t>Saleh Zaid M H Shajea</t>
  </si>
  <si>
    <t>Abdulrahman Mohammed A A Al-marri</t>
  </si>
  <si>
    <t>Abdulla Ismail M Y Hussain</t>
  </si>
  <si>
    <t>Abdulla Ali A H Al-shaiba</t>
  </si>
  <si>
    <t>computer Engineering</t>
  </si>
  <si>
    <t>Fahad Mohammed H M Abdulla</t>
  </si>
  <si>
    <t>Qatar Ebergy</t>
  </si>
  <si>
    <t>Mohammed Ghanim M A Al-mahmoudi</t>
  </si>
  <si>
    <t>Mohammed Nasser B I Al-bader</t>
  </si>
  <si>
    <t>Nasser Mohammed E M Al-ejail</t>
  </si>
  <si>
    <t>Information Technology</t>
  </si>
  <si>
    <t>وزارة الخالية</t>
  </si>
  <si>
    <t>Yousef Ahmad M B Al-badr</t>
  </si>
  <si>
    <t>Turki Khalid A A Alsanadi</t>
  </si>
  <si>
    <t>Weill Conrell</t>
  </si>
  <si>
    <t>Hassan Ahmedreda B M Al-qassabi</t>
  </si>
  <si>
    <t>Abdulaziz Ali N A Alyafei</t>
  </si>
  <si>
    <t>Northumbria University</t>
  </si>
  <si>
    <t>Networking/Cyber Security</t>
  </si>
  <si>
    <t>Abdulla Mohamed A A Al-obaidli</t>
  </si>
  <si>
    <t>Fahad Mohammed M A Al-mohannadi</t>
  </si>
  <si>
    <t>Faisal Abdulla F F Alshamari</t>
  </si>
  <si>
    <t>Faisal Abdulla N A Al-hajjaji</t>
  </si>
  <si>
    <t>Mohammed Ahmad B M Al-hashemi</t>
  </si>
  <si>
    <t>Mohammed Rashid M A Al-marri</t>
  </si>
  <si>
    <t>Mohammed Saleh M H Al-kurbi</t>
  </si>
  <si>
    <t>Ahmed Abdulaziz A A Al-mulla</t>
  </si>
  <si>
    <t>University Of Birmingham</t>
  </si>
  <si>
    <t>Electrical &amp; ُElectronic Engineering</t>
  </si>
  <si>
    <t>Turki Hamed A A Al-sheeb</t>
  </si>
  <si>
    <t>Khalid Fahad M I Hussain</t>
  </si>
  <si>
    <t>Virginia Tech</t>
  </si>
  <si>
    <t>Chemical Engineering</t>
  </si>
  <si>
    <t>Saoud Khaled S A El-kady</t>
  </si>
  <si>
    <t>Saoud Abdulaziz A M Askar</t>
  </si>
  <si>
    <t>University of Birmingham</t>
  </si>
  <si>
    <t>Sultan Ali M A Al-obaidli</t>
  </si>
  <si>
    <t>Saleh Ghanim M A Al-mahmoudi</t>
  </si>
  <si>
    <t>Abdulrahman Hamad A M Khalil</t>
  </si>
  <si>
    <t>مرشح ظابط</t>
  </si>
  <si>
    <t>Abdulrahman Essa A H Al-ansari</t>
  </si>
  <si>
    <t>Abdulrahman Fahad A A Al-heidous</t>
  </si>
  <si>
    <t>Doha University for Science &amp; Technology</t>
  </si>
  <si>
    <t>Abdulla Ibrahim A M Al-ali</t>
  </si>
  <si>
    <t>Mohammed Hamad H H Al-sulaiti</t>
  </si>
  <si>
    <t>Mohammed Helal I M Al-jedaia</t>
  </si>
  <si>
    <t>Mohammed Yousuf M A Al-khulaifi</t>
  </si>
  <si>
    <t>Yousef Rashid M A Al-mannai</t>
  </si>
  <si>
    <t>Qatar arm forces</t>
  </si>
  <si>
    <t>Ahmed Jamal M S Alyafei</t>
  </si>
  <si>
    <t>Ahmad Amer M S Al-jabri</t>
  </si>
  <si>
    <t>Ministry Of Education</t>
  </si>
  <si>
    <t>Hassan Thani E Th Al-haddad</t>
  </si>
  <si>
    <t>Husain Ahmed H S Daraan</t>
  </si>
  <si>
    <t>خدمة وطنية</t>
  </si>
  <si>
    <t>Hamad Hassan A A Al-mansuori</t>
  </si>
  <si>
    <t>WEILL CORNELL MEDICINE</t>
  </si>
  <si>
    <t>Hamad Rashid M H Labda</t>
  </si>
  <si>
    <t>Carnegie Mellon University</t>
  </si>
  <si>
    <t>Khalid Mohamed A M Al-najjar</t>
  </si>
  <si>
    <t>University of Manchester</t>
  </si>
  <si>
    <t>Rashid Khalifa R A Al-kuwari</t>
  </si>
  <si>
    <t>Saoud Abdulla S A Al-bikri</t>
  </si>
  <si>
    <t>Abdulrahman Ali M J Al-jassim</t>
  </si>
  <si>
    <t>Royal College of Surgeons in Ireland</t>
  </si>
  <si>
    <t>Abdulla Abdulaziz A A Al-amari</t>
  </si>
  <si>
    <t>Abdulla Ali I A Al-malki</t>
  </si>
  <si>
    <t>Mohammed Hamad M F Alhajri</t>
  </si>
  <si>
    <t>Mohammed Abdulhameed M A Al-mulla</t>
  </si>
  <si>
    <t>Queen Mary University of London</t>
  </si>
  <si>
    <t>Oryx GTL Limited</t>
  </si>
  <si>
    <t>Mohammed A.monim I A Alawainati</t>
  </si>
  <si>
    <t>Self-sponsored</t>
  </si>
  <si>
    <t>Ahmad Ahmed A M Humaid</t>
  </si>
  <si>
    <t>Ahmad Khalifa A M Aljabri</t>
  </si>
  <si>
    <t>Ahmad Essa A A Al-nassr</t>
  </si>
  <si>
    <t>Lusail University</t>
  </si>
  <si>
    <t>Law</t>
  </si>
  <si>
    <t>Jassim Sultan J N Al-moslamani</t>
  </si>
  <si>
    <t>Jassem Mohd T J Al-maadead</t>
  </si>
  <si>
    <t>Hassan Saeed H S Al-sulaiti</t>
  </si>
  <si>
    <t>Information Technology System</t>
  </si>
  <si>
    <t>Talal Ali A E Al-haddad</t>
  </si>
  <si>
    <t>Talal Eisa A I Ghanem</t>
  </si>
  <si>
    <t>0</t>
  </si>
  <si>
    <t>Abdulaziz Abdulla H A Al-ansari</t>
  </si>
  <si>
    <t>Fahad Amer M H Almomani</t>
  </si>
  <si>
    <t>University of Tulsa</t>
  </si>
  <si>
    <t>Mohsin Mohammad H J Khalfan</t>
  </si>
  <si>
    <t>Mohammed Ahmad M B Al-sada</t>
  </si>
  <si>
    <t>Mohammed A.aziz A S Al-saad</t>
  </si>
  <si>
    <t>Mohammed Ali A M Al-mulla</t>
  </si>
  <si>
    <t>Ahmad Ali A S Al-haddad</t>
  </si>
  <si>
    <t>Ahmad Eisa A S Al-suwaidi</t>
  </si>
  <si>
    <t>Turki Hamad A O Al-thabhani</t>
  </si>
  <si>
    <t>Tameem Mohammed S M Al-abdulqader</t>
  </si>
  <si>
    <t>الذكاء الاصطناعي</t>
  </si>
  <si>
    <t>Salem Bakhit M A Al-marri</t>
  </si>
  <si>
    <t>وزارة الرفاع</t>
  </si>
  <si>
    <t>Sultan Nasser S M Al-malki</t>
  </si>
  <si>
    <t>Taleb Saeed T H Dahman</t>
  </si>
  <si>
    <t>Abdulrahman Mohammed A M Al-abdulla</t>
  </si>
  <si>
    <t>Abdulaziz Khalid M A Al-hardan</t>
  </si>
  <si>
    <t>Abdulaziz Fawaz J O Al-kendi</t>
  </si>
  <si>
    <t>Virginia Commonwealth University</t>
  </si>
  <si>
    <t>Dentistry</t>
  </si>
  <si>
    <t>Abdulla Hamad M D Al-nabit</t>
  </si>
  <si>
    <t>Abdulla Fahad F S Alyafei</t>
  </si>
  <si>
    <t>PennState University</t>
  </si>
  <si>
    <t>Ali Fahad A H Alkaabi</t>
  </si>
  <si>
    <t>Qatar Univeristy</t>
  </si>
  <si>
    <t>Faisal Ahmed M A Al-zeyara</t>
  </si>
  <si>
    <t>Mohammed Jassim M M Al-hammadi</t>
  </si>
  <si>
    <t>Khalid Abdulrahman M N Al-kubaisi</t>
  </si>
  <si>
    <t>Khalid Mobarak H A Al-khayarin</t>
  </si>
  <si>
    <t>Saad Salah A M Alhammadi</t>
  </si>
  <si>
    <t>Saad Nasser S S Al-kuwari</t>
  </si>
  <si>
    <t>Saoud Ahmed M A Al-rumaihi</t>
  </si>
  <si>
    <t>Salman Yousuf S A Al-mudahka</t>
  </si>
  <si>
    <t>University of Leeds</t>
  </si>
  <si>
    <t>Taleb Mashel T A Al-marri</t>
  </si>
  <si>
    <t>Abdulaziz Hamad J H Al-jaber</t>
  </si>
  <si>
    <t>Abdulaziz Abdulla A A Khashabi</t>
  </si>
  <si>
    <t>Abdulla Hussain A A Al-haddad</t>
  </si>
  <si>
    <t>Ali Mubarak H A Bujaloof</t>
  </si>
  <si>
    <t>Architectural Engineering</t>
  </si>
  <si>
    <t>Omar Mohammed A I Al-emadi</t>
  </si>
  <si>
    <t>George Washington University</t>
  </si>
  <si>
    <t>Mohammed Abdulla K E Al-muftah</t>
  </si>
  <si>
    <t>Mohammed Faisal A A Al-hamadi</t>
  </si>
  <si>
    <t>Tameem Mahmoud A A Al-ansari</t>
  </si>
  <si>
    <t>Jaber Sultan M J Al-kaabi</t>
  </si>
  <si>
    <t>Jassim Khaled Y I Alderbesti</t>
  </si>
  <si>
    <t>Hassan Ahmad M A Al-jamali</t>
  </si>
  <si>
    <t>Hamad Bin Khalifa University</t>
  </si>
  <si>
    <t>Hamad Ahmad M A Alarqaban</t>
  </si>
  <si>
    <t>Hamad Abdulhameed M A Al-mulla</t>
  </si>
  <si>
    <t>Hamad Abdulaziz M M Al-sumaiti</t>
  </si>
  <si>
    <t>Khalid Abdulla F A Al-dosari</t>
  </si>
  <si>
    <t>Khalid Ali R A Alsulaiti</t>
  </si>
  <si>
    <t>Dafer Fahad D H Al-dosari</t>
  </si>
  <si>
    <t>Abdulhafiz Sami A Sh Alyafei</t>
  </si>
  <si>
    <t>Essa Khalid E G Al-kubaisi</t>
  </si>
  <si>
    <t>Mohammed Khalid M A Al-obaidli</t>
  </si>
  <si>
    <t>Nayef Hamad M A Al-ejji</t>
  </si>
  <si>
    <t>Nawaf Eisa A I Ghanem</t>
  </si>
  <si>
    <t>Abubaker Nouh A A Othman</t>
  </si>
  <si>
    <t>General Medicine</t>
  </si>
  <si>
    <t>Ibrahim Ali H A Ali</t>
  </si>
  <si>
    <t>Weill Cornell Medicine – Qatar</t>
  </si>
  <si>
    <t>Bader Abdulrahman S A Al-zaman</t>
  </si>
  <si>
    <t>Bander Talal J A Al-qutaiti</t>
  </si>
  <si>
    <t>Jabor Abdulla A A Al-zeyara</t>
  </si>
  <si>
    <t>Khalifa Nasser R S Al-shahrani</t>
  </si>
  <si>
    <t>Sultan A.aziz A H Alansari</t>
  </si>
  <si>
    <t>Electrical and Electronics Engineering</t>
  </si>
  <si>
    <t>Saif Osama M S Al-momani</t>
  </si>
  <si>
    <t>Amer Azzan A A Al-kathairi</t>
  </si>
  <si>
    <t>Abdulla Humaid A M Al-macki</t>
  </si>
  <si>
    <t>Ali Ahmad Yousif Al-Malki</t>
  </si>
  <si>
    <t>Mohammed Jabir H A Al-jabir</t>
  </si>
  <si>
    <t>Mohammed Ali M H Yousuf</t>
  </si>
  <si>
    <t>Mohammed Mubarak M A Al-hajri</t>
  </si>
  <si>
    <t>Nawaf A.aziz A A Al-delayel</t>
  </si>
  <si>
    <t>Doha university</t>
  </si>
  <si>
    <t>Jassim Abdulla I A Shahbik</t>
  </si>
  <si>
    <t>Jassim Essa A D Al-shamiri</t>
  </si>
  <si>
    <t>Rashid Abdulla R K Al-qashoti</t>
  </si>
  <si>
    <t>Saeed Farhoud H A Al-hajri</t>
  </si>
  <si>
    <t>Abdulla Khalifa S F Al-abdulla</t>
  </si>
  <si>
    <t>Abdulla Sami M A Alrawashda</t>
  </si>
  <si>
    <t>Ali Hamad A A Al-hamadi</t>
  </si>
  <si>
    <t>Omer Ayman H M Al-mushaddani</t>
  </si>
  <si>
    <t>Farhan Adel D A Al-shamari</t>
  </si>
  <si>
    <t>Fahad Jassem A J Al-tamimi</t>
  </si>
  <si>
    <t>Mohammed Khalid H M Al-marri</t>
  </si>
  <si>
    <t>Mohammed Rashid M J Al-naimi</t>
  </si>
  <si>
    <t>University Of Sheffield</t>
  </si>
  <si>
    <t>Biomedical Engineering</t>
  </si>
  <si>
    <t>Nawaf Jamal A A Al-ammari</t>
  </si>
  <si>
    <t>Hazza Atalla M H Abushareeda</t>
  </si>
  <si>
    <t>Whole-School External Readiness &amp; Outcomes Trend</t>
  </si>
  <si>
    <t>SAT_Avg</t>
  </si>
  <si>
    <t>IELTS_Avg</t>
  </si>
  <si>
    <t>AP_Avg</t>
  </si>
  <si>
    <t>%90plus</t>
  </si>
  <si>
    <t>Overall_Achievement_%</t>
  </si>
  <si>
    <t>Direct_Admission_%</t>
  </si>
  <si>
    <t>STEM_Admission_%</t>
  </si>
  <si>
    <t>Cohort Growth Summary</t>
  </si>
  <si>
    <t>Students</t>
  </si>
  <si>
    <t>Entry_RAW_Avg</t>
  </si>
  <si>
    <t>Exit_RAW_Avg</t>
  </si>
  <si>
    <t>Gain_RAW_Avg</t>
  </si>
  <si>
    <t>%Improved_RAW</t>
  </si>
  <si>
    <t>Entry_NSIS_Avg</t>
  </si>
  <si>
    <t>Exit_NSIS_Avg</t>
  </si>
  <si>
    <t>Gain_NSIS_Avg</t>
  </si>
  <si>
    <t>%Improved_NSIS</t>
  </si>
  <si>
    <t>Entry_STEM_Avg</t>
  </si>
  <si>
    <t>Exit_STEM_Avg</t>
  </si>
  <si>
    <t>Gain_STEM_Avg</t>
  </si>
  <si>
    <t>%Improved_STEM</t>
  </si>
  <si>
    <t>Entry_English_Avg</t>
  </si>
  <si>
    <t>Exit_English_Avg</t>
  </si>
  <si>
    <t>Gain_English_Avg</t>
  </si>
  <si>
    <t>%Improved_English</t>
  </si>
  <si>
    <t>Entry_Math_Avg</t>
  </si>
  <si>
    <t>Exit_Math_Avg</t>
  </si>
  <si>
    <t>Gain_Math_Avg</t>
  </si>
  <si>
    <t>%Improved_Math</t>
  </si>
  <si>
    <t>Entry_Overall_Avg</t>
  </si>
  <si>
    <t>Exit_Overall_Avg</t>
  </si>
  <si>
    <t>Gain_Overall_Avg</t>
  </si>
  <si>
    <t>%Improved_Overall</t>
  </si>
  <si>
    <t>Baseline_Avg</t>
  </si>
  <si>
    <t>Final_Secondary_Avg</t>
  </si>
  <si>
    <t>RAW_Avg</t>
  </si>
  <si>
    <t>NSIS_Avg</t>
  </si>
  <si>
    <t>STEM_Avg</t>
  </si>
  <si>
    <t>English_Avg</t>
  </si>
  <si>
    <t>Math_Avg</t>
  </si>
  <si>
    <t>Overall_Avg</t>
  </si>
  <si>
    <t>Subject Growth (Entry vs Exit)</t>
  </si>
  <si>
    <t>Subject</t>
  </si>
  <si>
    <t>Entry_Avg</t>
  </si>
  <si>
    <t>Exit_Avg</t>
  </si>
  <si>
    <t>Gain_Avg</t>
  </si>
  <si>
    <t>%Improved</t>
  </si>
  <si>
    <t>Min_Gain</t>
  </si>
  <si>
    <t>Max_Gain</t>
  </si>
  <si>
    <t>Movement &amp; Equity</t>
  </si>
  <si>
    <t>Starter Group</t>
  </si>
  <si>
    <t>Count</t>
  </si>
  <si>
    <t>Avg_Baseline</t>
  </si>
  <si>
    <t>Avg_Gain</t>
  </si>
  <si>
    <t>Avg_Exit</t>
  </si>
  <si>
    <t>High starter</t>
  </si>
  <si>
    <t>Teacher / Curriculum Phase Reference</t>
  </si>
  <si>
    <t>Grade_Band</t>
  </si>
  <si>
    <t>Subject_Group</t>
  </si>
  <si>
    <t>Assessment_Model</t>
  </si>
  <si>
    <t>Weighting / Notes</t>
  </si>
  <si>
    <t>AP_Aligned</t>
  </si>
  <si>
    <t>Teacher_Name</t>
  </si>
  <si>
    <t>Data_Status</t>
  </si>
  <si>
    <t>Grade 9</t>
  </si>
  <si>
    <t>Core academic subjects</t>
  </si>
  <si>
    <t>Continuous + summative</t>
  </si>
  <si>
    <t>50% continuous + 50% summative</t>
  </si>
  <si>
    <t>No</t>
  </si>
  <si>
    <t>Policy-derived; teacher file not attached</t>
  </si>
  <si>
    <t>Grade 10</t>
  </si>
  <si>
    <t>Grade 11</t>
  </si>
  <si>
    <t>Core and science pathway</t>
  </si>
  <si>
    <t>Partial</t>
  </si>
  <si>
    <t>Grade 12</t>
  </si>
  <si>
    <t>Graduation / AP readiness</t>
  </si>
  <si>
    <t>AP Biology / Chem / Physics / Calculus / CSA / English</t>
  </si>
  <si>
    <t>Semester marks + AP exam</t>
  </si>
  <si>
    <t>40/60 semester framework; AP external exam in May</t>
  </si>
  <si>
    <t>Yes</t>
  </si>
  <si>
    <t>Specialised Lab Applications</t>
  </si>
  <si>
    <t>Performance-based continuous assessment</t>
  </si>
  <si>
    <t>70% ongoing lab + 30% final project</t>
  </si>
  <si>
    <t>Engagement Indicators Available from Uploaded Evidence</t>
  </si>
  <si>
    <t>Competitions</t>
  </si>
  <si>
    <t>Achievements</t>
  </si>
  <si>
    <t>Participating_Students</t>
  </si>
  <si>
    <t>Student-level attendance / homework / intervention fields</t>
  </si>
  <si>
    <t>Template only - not attached in uploaded files</t>
  </si>
  <si>
    <t>Suggested columns: Attendance %, HW completion, Tier support, ISIP, competition participation</t>
  </si>
  <si>
    <t>Achievement Category</t>
  </si>
  <si>
    <t>Robotics &amp; Programming</t>
  </si>
  <si>
    <t>Scientific Research</t>
  </si>
  <si>
    <t>Literature &amp; Debates</t>
  </si>
  <si>
    <t>Arts &amp; Sports</t>
  </si>
  <si>
    <t>Academic Excellence</t>
  </si>
  <si>
    <t>QSTSS Student Growth Profile</t>
  </si>
  <si>
    <t>Resolved QID</t>
  </si>
  <si>
    <t>Search using either QID or name</t>
  </si>
  <si>
    <t>Enter QID</t>
  </si>
  <si>
    <t>Or Enter Student Name</t>
  </si>
  <si>
    <t>Stage</t>
  </si>
  <si>
    <t>Score</t>
  </si>
  <si>
    <t>Metric</t>
  </si>
  <si>
    <t>Baseline</t>
  </si>
  <si>
    <t>Current</t>
  </si>
  <si>
    <t>Selected Student</t>
  </si>
  <si>
    <t>Pre-QSTSS</t>
  </si>
  <si>
    <t>Verbal SAS</t>
  </si>
  <si>
    <t>Entry</t>
  </si>
  <si>
    <t>Quantitative SAS</t>
  </si>
  <si>
    <t>Exit</t>
  </si>
  <si>
    <t>Non-verbal SAS</t>
  </si>
  <si>
    <t>Final secondary</t>
  </si>
  <si>
    <t>Spatial SAS</t>
  </si>
  <si>
    <t>Performance Journey</t>
  </si>
  <si>
    <t>Pre-QSTSS baseline</t>
  </si>
  <si>
    <t>Entry overall</t>
  </si>
  <si>
    <t>Exit overall</t>
  </si>
  <si>
    <t>Gain overall</t>
  </si>
  <si>
    <t>Final secondary %</t>
  </si>
  <si>
    <t>SAT total</t>
  </si>
  <si>
    <t>Baseline CAT4</t>
  </si>
  <si>
    <t>Current Mean SAS</t>
  </si>
  <si>
    <t>CAT4 Growth</t>
  </si>
  <si>
    <t>Cognitive Abilities</t>
  </si>
  <si>
    <t>Cognitive Insight</t>
  </si>
  <si>
    <t>Baseline profile</t>
  </si>
  <si>
    <t>Auto classification</t>
  </si>
  <si>
    <t>Current profile</t>
  </si>
  <si>
    <t>Dominant domain</t>
  </si>
  <si>
    <t>Growth note</t>
  </si>
  <si>
    <t>Interpretation</t>
  </si>
  <si>
    <t>Current CAT4 grade</t>
  </si>
  <si>
    <t>Projects, Competitions, Activities</t>
  </si>
  <si>
    <t>Projects count</t>
  </si>
  <si>
    <t>Competitions count</t>
  </si>
  <si>
    <t>Awards count</t>
  </si>
  <si>
    <t>Activities count</t>
  </si>
  <si>
    <t>Latest competition year</t>
  </si>
  <si>
    <t>State summary</t>
  </si>
  <si>
    <t>QSTSS Growth Dashboard | Pre-QSTSS → During QSTSS → Graduation &amp; University Readiness</t>
  </si>
  <si>
    <t>Integrated evidence from admission baselines, internal growth, CAT4, participation, and university outcomes.</t>
  </si>
  <si>
    <t>Students tracked</t>
  </si>
  <si>
    <t>Cohorts</t>
  </si>
  <si>
    <t>Avg baseline</t>
  </si>
  <si>
    <t>Avg entry</t>
  </si>
  <si>
    <t>Avg exit</t>
  </si>
  <si>
    <t>Avg gain</t>
  </si>
  <si>
    <t>% improved</t>
  </si>
  <si>
    <t>Direct admission %</t>
  </si>
  <si>
    <t>STEM major %</t>
  </si>
  <si>
    <t>Avg SAT</t>
  </si>
  <si>
    <t>Avg CAT4 growth</t>
  </si>
  <si>
    <t>Final Secondary</t>
  </si>
  <si>
    <t>Whole-school growth</t>
  </si>
  <si>
    <t>Cohort growth</t>
  </si>
  <si>
    <t>Movement &amp; equity</t>
  </si>
  <si>
    <t>Gain</t>
  </si>
  <si>
    <t>Subject growth</t>
  </si>
  <si>
    <t>External readiness &amp; outcomes</t>
  </si>
  <si>
    <t>Participation &amp; cognitive growth</t>
  </si>
  <si>
    <t>Source file</t>
  </si>
  <si>
    <t>Use in dashboard</t>
  </si>
  <si>
    <t>QSTSS_Next_Generation_Growth_Dashboard_CAT4_completed.xlsx</t>
  </si>
  <si>
    <t>Base dashboard workbook used for final rebuild</t>
  </si>
  <si>
    <t>admission results for the second batch (2023 garduates).xlsx</t>
  </si>
  <si>
    <t>Class of 2023 admission baseline (APTIS / screening / CAT4 overall)</t>
  </si>
  <si>
    <t>CAT Results for new students.xlsx</t>
  </si>
  <si>
    <t>Class of 2023 CAT4 cognitive baseline domains by QID</t>
  </si>
  <si>
    <t>القائمة النهائية للطلبة 28.2.2019.xlsx</t>
  </si>
  <si>
    <t>Class of 2023 prior-school / curriculum / English prior fields</t>
  </si>
  <si>
    <t>admission results for the 3rd batch 2024 garduates.xls</t>
  </si>
  <si>
    <t>Class of 2024 admission baseline including CAT4 domains</t>
  </si>
  <si>
    <t>Classes  of 2024 AND 2025 Accepted Students.xlsx</t>
  </si>
  <si>
    <t>Class of 2024/2025 accepted students and Class of 2025 admission baseline</t>
  </si>
  <si>
    <t>CAT4 all grade levels 2022.2023.xlsx</t>
  </si>
  <si>
    <t>Current CAT4 / cognitive profile source and fallback domains where admission-domain file was unavailable</t>
  </si>
  <si>
    <t>All Batches results- 15.01.2025.xlsx</t>
  </si>
  <si>
    <t>Latest university, sponsor, country, final result, SAT, IELTS outcomes by QID</t>
  </si>
  <si>
    <t>كشف الخريجين الدفعة الثانية 2023 9-03.xlsx</t>
  </si>
  <si>
    <t>Detailed Class of 2023 graduate outcome fallback data</t>
  </si>
  <si>
    <t>CAT4 all grade levels.xlsx</t>
  </si>
  <si>
    <t>Added as 2021/2022 CAT4 source and fallback lookup by QID</t>
  </si>
  <si>
    <t>QSTSS_Final_Dashboard_with_Class_2022.xlsx</t>
  </si>
  <si>
    <t>Base workbook extended and formula-repaired; Student Profile updated with name search</t>
  </si>
  <si>
    <t>Check</t>
  </si>
  <si>
    <t>Value</t>
  </si>
  <si>
    <t>Admissions baseline matched</t>
  </si>
  <si>
    <t>Current CAT4 matched</t>
  </si>
  <si>
    <t>Class of 2023 CAT4 matched</t>
  </si>
  <si>
    <t>Class of 2024 CAT4 matched</t>
  </si>
  <si>
    <t>Class of 2025 CAT4 matched</t>
  </si>
  <si>
    <t>Rows in Student_Growth</t>
  </si>
  <si>
    <t>2023 baseline-domain fallbacks</t>
  </si>
  <si>
    <t>2025 missing admission rows</t>
  </si>
  <si>
    <t>Source_Sheet</t>
  </si>
  <si>
    <t>Year_Level</t>
  </si>
  <si>
    <t>Class_Section</t>
  </si>
  <si>
    <t>CAT4_Source_File</t>
  </si>
  <si>
    <t>G10</t>
  </si>
  <si>
    <t>Extreme spatial bias</t>
  </si>
  <si>
    <t>Mild spatial bias</t>
  </si>
  <si>
    <t>DAFER FAHAD D H AL-DOSARI</t>
  </si>
  <si>
    <t>Moderate spatial bias</t>
  </si>
  <si>
    <t>No bias</t>
  </si>
  <si>
    <t>NAWAF A.AZIZ A A AL-DELAYEL</t>
  </si>
  <si>
    <t>AMER AZZAN A A AL-KATHAIRI</t>
  </si>
  <si>
    <t>Mild verbal bias</t>
  </si>
  <si>
    <t>HAMAD ABDULLA H A ALSHAHWANI</t>
  </si>
  <si>
    <t>Moderate verbal bias</t>
  </si>
  <si>
    <t xml:space="preserve">MOHAMMED Mubarak Al hajiry </t>
  </si>
  <si>
    <t>TAMEEM OBAY S M ELSETTAWY</t>
  </si>
  <si>
    <t>G11</t>
  </si>
  <si>
    <t>ABDULAZIZ FAWAZ J O AL-KENDI</t>
  </si>
  <si>
    <t>AHMAD ALI A S AL-HADDAD</t>
  </si>
  <si>
    <t>JASSIM MOHAMMED D M AL-DOSARI</t>
  </si>
  <si>
    <t>G12</t>
  </si>
  <si>
    <t>MOHAMMED JASSEM A A AL-BUAINAIN</t>
  </si>
  <si>
    <t>MOHAMMED KHAMIS M K AL-KHULAIFI</t>
  </si>
  <si>
    <t>MOHAMMED SAED A H AL-HADAD</t>
  </si>
  <si>
    <t>SULTAN HASSAN A A ABU-HINDI</t>
  </si>
  <si>
    <t>ABDULLA NAYEF N A AL-NUAIMI</t>
  </si>
  <si>
    <t>ABDULAZIZ KHALID E A AL-HAMMADI</t>
  </si>
  <si>
    <t>IBRAHIM AHMED I B AL-BADER</t>
  </si>
  <si>
    <t>ALI YOUSUF S A AL-MOHANNADI</t>
  </si>
  <si>
    <t>FAISAL AHMAD S F AL-MASLAMANI</t>
  </si>
  <si>
    <t>SULTAN EID S A AL-MUHANNADI</t>
  </si>
  <si>
    <t>HAREB TARIQ H M AL-MUHANNADI</t>
  </si>
  <si>
    <t>MOHAMMED ADNAN A H AL-ANSARI</t>
  </si>
  <si>
    <t>OMAR SAAD E H AL-BADER</t>
  </si>
  <si>
    <t>MOHAMMED GHANEM S R AL-NAIMI</t>
  </si>
  <si>
    <t>MOHAMMED ABDULLA S A AL-SULAITI</t>
  </si>
  <si>
    <t>ABDULLA JABOR A M ALHAJAJY</t>
  </si>
  <si>
    <t>ALI AHMAD M A JAMALI</t>
  </si>
  <si>
    <t>ABDULLA MOHAMMED A M ALMARAGHI</t>
  </si>
  <si>
    <t>AHMAD KHALID A S AL-HAIL</t>
  </si>
  <si>
    <t>MANSOOR SAIF M A AL-KHALDI</t>
  </si>
  <si>
    <t>NAYEF ABDULLA A H AL-JILANI</t>
  </si>
  <si>
    <t>ABDULLA ABDULRAHMAN M A ALHAMMADI</t>
  </si>
  <si>
    <t>ABDULLA SAAD E H AL-BADER</t>
  </si>
  <si>
    <t>HAMAD MOHAMED A H AL-ANSARI</t>
  </si>
  <si>
    <t>NASSER ALI A A QAMBER</t>
  </si>
  <si>
    <t>NASSER SAEED O A BAWAZIR</t>
  </si>
  <si>
    <t>MOHAMMED ADEL M A ALYAFEI</t>
  </si>
  <si>
    <t>HASSAN MOHAMED H I AL-MALKI</t>
  </si>
  <si>
    <t>ALI RASHID A A ALBOAINAIN</t>
  </si>
  <si>
    <t>GHANIM RASHID M J AL-NAIMI</t>
  </si>
  <si>
    <t>HAMAD ABDULLA Z R AL-TALIB</t>
  </si>
  <si>
    <t>SALEH NASER S N AL-NUAIMI</t>
  </si>
  <si>
    <t>HAMAD NASSER A M MURAD</t>
  </si>
  <si>
    <t>MOHAMMED NASSER B I AL-BADER</t>
  </si>
  <si>
    <t>SAAD ABDULAZIZ S A BUQARARA</t>
  </si>
  <si>
    <t>ABDULLA ISMAIL M Y HUSSAIN</t>
  </si>
  <si>
    <t>MOHAMMED GHANIM M A AL-MAHMOUDI</t>
  </si>
  <si>
    <t>SALEH ZAID M H SHAJEA</t>
  </si>
  <si>
    <t>YOUSEF AHMAD M B AL-BADR</t>
  </si>
  <si>
    <t>ABDULLA ALI A H AL-SHAIBA</t>
  </si>
  <si>
    <t>FAHAD MOHAMMED H M ABDULLA</t>
  </si>
  <si>
    <t>JABER NASSER H H AL-BOENAIN</t>
  </si>
  <si>
    <t>NASSER MOHAMMED E M AL-EJAIL</t>
  </si>
  <si>
    <t>ABDULAZIZ ALI N A ALYAFEI</t>
  </si>
  <si>
    <t>FAISAL ABDULLA F F ALSHAMARI</t>
  </si>
  <si>
    <t>MOHAMMED SALEH M H AL-KURBI</t>
  </si>
  <si>
    <t>TURKI KHALID A A ALSANADI</t>
  </si>
  <si>
    <t>ABDULLA MOHAMED A A AL-OBAIDLI</t>
  </si>
  <si>
    <t>FAHAD MOHAMMED M A AL-MOHANNADI</t>
  </si>
  <si>
    <t>HASSAN AHMEDREDA B M AL-QASSABI</t>
  </si>
  <si>
    <t>MOHAMMED RASHID M A AL-MARRI</t>
  </si>
  <si>
    <t>FAISAL ABDULLA N A AL-HAJJAJI</t>
  </si>
  <si>
    <t>MOHAMMED AHMAD B M AL-HASHEMI</t>
  </si>
  <si>
    <t>30863406328</t>
  </si>
  <si>
    <t>Sultan Mohammed H M Abdulla</t>
  </si>
  <si>
    <t>G9</t>
  </si>
  <si>
    <t>30863401834</t>
  </si>
  <si>
    <t>Hamad Salem A A Al-marri</t>
  </si>
  <si>
    <t>30963403409</t>
  </si>
  <si>
    <t>Mohammed Saleh S M Al-jamoozi</t>
  </si>
  <si>
    <t>30863404326</t>
  </si>
  <si>
    <t>Abdulrahman Khalifa J K Al-hitmi</t>
  </si>
  <si>
    <t>30863407649</t>
  </si>
  <si>
    <t>Ghalib Saleh M H Shajea</t>
  </si>
  <si>
    <t>30963401355</t>
  </si>
  <si>
    <t>Hamad Khalid H M Al-kuwari</t>
  </si>
  <si>
    <t>30963402880</t>
  </si>
  <si>
    <t>Mohammed Abdulla M A Al-obaidli</t>
  </si>
  <si>
    <t>30863400446</t>
  </si>
  <si>
    <t>Ali Abdulrahman A A Zyara</t>
  </si>
  <si>
    <t>30863400443</t>
  </si>
  <si>
    <t>Ibrahim Jassim M A Al-ansari</t>
  </si>
  <si>
    <t>30763405885</t>
  </si>
  <si>
    <t>Saoud Khalid M A Al-fadli</t>
  </si>
  <si>
    <t>30863401574</t>
  </si>
  <si>
    <t>Abdulla Saed H M Al-naemi</t>
  </si>
  <si>
    <t>30863404022</t>
  </si>
  <si>
    <t>Khalid Ahmed M A Al-naama</t>
  </si>
  <si>
    <t>30963406552</t>
  </si>
  <si>
    <t>Jassim Omar M M Al-fadaaq</t>
  </si>
  <si>
    <t>30863404488</t>
  </si>
  <si>
    <t>Ali Ahmad M Y Al-fakhroo</t>
  </si>
  <si>
    <t>30963402002</t>
  </si>
  <si>
    <t>Abdulla A.rahman A A Aldarhem</t>
  </si>
  <si>
    <t>30963400873</t>
  </si>
  <si>
    <t>Majid Hamad M A Al-malki</t>
  </si>
  <si>
    <t>30863404619</t>
  </si>
  <si>
    <t>Saeed Ali S A Almarri</t>
  </si>
  <si>
    <t>30863400267</t>
  </si>
  <si>
    <t>Mohammed Hussain M A Al-haddad</t>
  </si>
  <si>
    <t>30863400590</t>
  </si>
  <si>
    <t>Jassim Fahad J M Al Mutawa</t>
  </si>
  <si>
    <t>30963404954</t>
  </si>
  <si>
    <t>Hassan Sultan H A Al-maadeed</t>
  </si>
  <si>
    <t>30863406075</t>
  </si>
  <si>
    <t>Nawaf Yousif A M Ameen</t>
  </si>
  <si>
    <t>30863407299</t>
  </si>
  <si>
    <t>Mohammed Abdulla M K Al-meraikhi</t>
  </si>
  <si>
    <t>30863403335</t>
  </si>
  <si>
    <t>Fahad Hamad I M Al-sulaiti</t>
  </si>
  <si>
    <t>30863402499</t>
  </si>
  <si>
    <t>Yousef Hassen E A Al-asmakh</t>
  </si>
  <si>
    <t>30863404546</t>
  </si>
  <si>
    <t>Mohammed Ghaith M A Al-kuwari</t>
  </si>
  <si>
    <t>30963401822</t>
  </si>
  <si>
    <t>Khalid Eisa A S Al-suwaidi</t>
  </si>
  <si>
    <t>30863403882</t>
  </si>
  <si>
    <t>Abdulaziz Mohammed M Z Al-meraikhi</t>
  </si>
  <si>
    <t>30863401289</t>
  </si>
  <si>
    <t>Omar Hamad B S Mashan</t>
  </si>
  <si>
    <t>30863401290</t>
  </si>
  <si>
    <t>Jaber Ejayan M E Al-ahbabi</t>
  </si>
  <si>
    <t>30963403222</t>
  </si>
  <si>
    <t>Hassan Ahmad M A Al-emadi</t>
  </si>
  <si>
    <t>30763401152</t>
  </si>
  <si>
    <t>Ali Hassan A A Al-mohannadi</t>
  </si>
  <si>
    <t>30863404821</t>
  </si>
  <si>
    <t>Jassim Abdulla A A Alyafei</t>
  </si>
  <si>
    <t>30863406771</t>
  </si>
  <si>
    <t>Khalid Abdulla A A Alyafei</t>
  </si>
  <si>
    <t>30763404570</t>
  </si>
  <si>
    <t>Saad Faisal R A Al-hbabi</t>
  </si>
  <si>
    <t>30963402140</t>
  </si>
  <si>
    <t>Ali Nasser A N Allatifi</t>
  </si>
  <si>
    <t>30863403267</t>
  </si>
  <si>
    <t>Ghanim Hassan A H Al-jaber</t>
  </si>
  <si>
    <t>30863404897</t>
  </si>
  <si>
    <t>Mohammed Abdulaziz M A Al-jehani</t>
  </si>
  <si>
    <t>30963402728</t>
  </si>
  <si>
    <t>Mohammed Ismail D A Mashhadi</t>
  </si>
  <si>
    <t>30963405019</t>
  </si>
  <si>
    <t>Faisal Khalil I A Al-haidous</t>
  </si>
  <si>
    <t>30863406947</t>
  </si>
  <si>
    <t>Faisal Khalifa A A Alyafei</t>
  </si>
  <si>
    <t>30863407412</t>
  </si>
  <si>
    <t>Rashid Mohammed R A Al-behaih</t>
  </si>
  <si>
    <t>30863407247</t>
  </si>
  <si>
    <t>Abdulrahman Hamad A M Al-kuwari</t>
  </si>
  <si>
    <t>30763407286</t>
  </si>
  <si>
    <t>Fahad Masaad H A Alkorbi</t>
  </si>
  <si>
    <t>30963401222</t>
  </si>
  <si>
    <t>Hassan Mahdi A M Al-haddad</t>
  </si>
  <si>
    <t>30863406648</t>
  </si>
  <si>
    <t>Hussain Mohammed A B Alsayed</t>
  </si>
  <si>
    <t>30863402455</t>
  </si>
  <si>
    <t>Abdulrahman Jassim N A Al-khelaifi</t>
  </si>
  <si>
    <t>30963401773</t>
  </si>
  <si>
    <t>Mohammed Abdulla M A Al-hothi</t>
  </si>
  <si>
    <t>30863406115</t>
  </si>
  <si>
    <t>Abdulla Mubarak S J Alnaemi</t>
  </si>
  <si>
    <t>Extreme verbal bias</t>
  </si>
  <si>
    <t>30863405624</t>
  </si>
  <si>
    <t>Abdulrahman Khalid M I Al-maraghi</t>
  </si>
  <si>
    <t>30863400749</t>
  </si>
  <si>
    <t>Khalid Ismail M S Almansouri</t>
  </si>
  <si>
    <t>30863402759</t>
  </si>
  <si>
    <t>Mohammed Abdulla M H Al-amri</t>
  </si>
  <si>
    <t>30863401541</t>
  </si>
  <si>
    <t>Hassan Aref H T Ebrahim</t>
  </si>
  <si>
    <t>30863400936</t>
  </si>
  <si>
    <t>Abdulla Mohamed A M Alshammari</t>
  </si>
  <si>
    <t>30963404250</t>
  </si>
  <si>
    <t>Mohammed Ali M A Alyafei</t>
  </si>
  <si>
    <t>30863405469</t>
  </si>
  <si>
    <t>Ghanim Ibrahim G M Al-badr</t>
  </si>
  <si>
    <t>30863407639</t>
  </si>
  <si>
    <t>Hamad Moaz A N Ibrahim</t>
  </si>
  <si>
    <t>30963407480</t>
  </si>
  <si>
    <t>Faraj Mesfer H M Al-kurbi</t>
  </si>
  <si>
    <t>30863405355</t>
  </si>
  <si>
    <t>Khalid Sami S M Al-aji</t>
  </si>
  <si>
    <t>30863403278</t>
  </si>
  <si>
    <t>Ali Hamad A B Almohannadi</t>
  </si>
  <si>
    <t>30963402705</t>
  </si>
  <si>
    <t>Turki Khalid A S Shamlan</t>
  </si>
  <si>
    <t>30963400836</t>
  </si>
  <si>
    <t>Ali Saoud A I Al-zeyara</t>
  </si>
  <si>
    <t>30863406051</t>
  </si>
  <si>
    <t>Ahmad Mohamed A M El-sidig</t>
  </si>
  <si>
    <t>30863404207</t>
  </si>
  <si>
    <t>Mohammed Abdulaziz H A Ali</t>
  </si>
  <si>
    <t>30763404037</t>
  </si>
  <si>
    <t>30763403206</t>
  </si>
  <si>
    <t>A</t>
  </si>
  <si>
    <t>B</t>
  </si>
  <si>
    <t>D</t>
  </si>
  <si>
    <t>QSTSS Student Progress Dashboard | Cohort Growth, Internal Achievement, and Evidence Narrative</t>
  </si>
  <si>
    <t>Cohort selector</t>
  </si>
  <si>
    <t>Methodology</t>
  </si>
  <si>
    <t>RAW = summative paper tests only.</t>
  </si>
  <si>
    <t>Avg NSIS Gain</t>
  </si>
  <si>
    <t>Avg Math Gain</t>
  </si>
  <si>
    <t>% Improved in NSIS</t>
  </si>
  <si>
    <t>Avg STEM Gain</t>
  </si>
  <si>
    <t>CA_Est = NSIS - 0.463×RAW.</t>
  </si>
  <si>
    <t>Missing entry values are excluded from gain calculations.</t>
  </si>
  <si>
    <t>Year profile (selected cohort)</t>
  </si>
  <si>
    <t>Cohort comparison (final averages)</t>
  </si>
  <si>
    <t>Year_Index</t>
  </si>
  <si>
    <t>Avg_RAW</t>
  </si>
  <si>
    <t>Avg_NSIS</t>
  </si>
  <si>
    <t>Avg_STEM</t>
  </si>
  <si>
    <t>Avg_English</t>
  </si>
  <si>
    <t>Avg_Math</t>
  </si>
  <si>
    <t>Avg_CA_Est</t>
  </si>
  <si>
    <t>Final_NSIS</t>
  </si>
  <si>
    <t>Final_Math</t>
  </si>
  <si>
    <t>Entry vs exit average</t>
  </si>
  <si>
    <t>CA Est</t>
  </si>
  <si>
    <t>Average gain and improvement rate</t>
  </si>
  <si>
    <t>Improved_%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</si>
</sst>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font>
    <font>
      <b/>
      <sz val="16"/>
      <color rgb="FFFFFFFF"/>
      <name val="Calibri"/>
    </font>
    <font>
      <b/>
      <sz val="11"/>
      <color rgb="FFFFFFFF"/>
      <name val="Calibri"/>
    </font>
    <font>
      <b/>
      <sz val="11"/>
      <name val="Calibri"/>
    </font>
    <font>
      <b/>
      <sz val="12"/>
      <color rgb="FFFFFFFF"/>
      <name val="Calibri"/>
    </font>
    <font>
      <b/>
      <sz val="13"/>
      <color rgb="FFFFFFFF"/>
      <name val="Calibri"/>
    </font>
    <font>
      <b/>
      <sz val="11"/>
      <color rgb="FF1F3A5F"/>
      <name val="Calibri"/>
    </font>
    <font>
      <i/>
      <sz val="11"/>
      <color rgb="FF1F3A5F"/>
      <name val="Calibri"/>
    </font>
    <font>
      <b/>
      <sz val="10"/>
      <color rgb="FFFFFFFF"/>
      <name val="Calibri"/>
    </font>
    <font>
      <b/>
      <sz val="15"/>
      <color rgb="FF115E59"/>
      <name val="Calibri"/>
    </font>
    <font>
      <b/>
      <sz val="11"/>
      <color rgb="FFFFFFFF"/>
      <name val="Calibri"/>
    </font>
    <font>
      <b/>
      <sz val="11"/>
      <color rgb="FFFFFFFF"/>
      <name val="Calibri"/>
    </font>
    <font>
      <b/>
      <sz val="11"/>
      <color rgb="FF1F2937"/>
      <name val="Calibri"/>
    </font>
    <font>
      <b/>
      <sz val="11"/>
      <color rgb="FF1F3B64"/>
      <name val="Calibri"/>
    </font>
    <font>
      <b/>
      <sz val="13"/>
      <color rgb="FF1F3B64"/>
      <name val="Calibri"/>
    </font>
    <font>
      <i/>
      <sz val="9"/>
      <color rgb="FF666666"/>
      <name val="Calibri"/>
    </font>
    <font>
      <b/>
      <sz val="11"/>
      <color rgb="FF1F1F1F"/>
      <name val="Calibri"/>
    </font>
    <font>
      <b/>
      <sz val="16"/>
      <color rgb="FF0A6F6F"/>
      <name val="Calibri"/>
    </font>
    <font>
      <sz val="11"/>
      <name val="Calibri"/>
    </font>
    <font>
      <sz val="11"/>
      <color theme="1"/>
      <name val="Calibri"/>
    </font>
    <font>
      <b/>
      <sz val="10"/>
      <name val="Calibri"/>
    </font>
    <font>
      <b/>
      <sz val="16"/>
      <color rgb="FFFFFFFF"/>
      <name val="Calibri"/>
    </font>
  </fonts>
  <fills count="18">
    <fill>
      <patternFill patternType="none"/>
    </fill>
    <fill>
      <patternFill patternType="gray125"/>
    </fill>
    <fill>
      <patternFill patternType="solid">
        <fgColor rgb="FF1F4E78"/>
      </patternFill>
    </fill>
    <fill>
      <patternFill patternType="solid">
        <fgColor rgb="FF4F81BD"/>
      </patternFill>
    </fill>
    <fill>
      <patternFill patternType="solid">
        <fgColor rgb="FFFAFCFE"/>
      </patternFill>
    </fill>
    <fill>
      <patternFill patternType="solid">
        <fgColor rgb="FFFCE5CD"/>
      </patternFill>
    </fill>
    <fill>
      <patternFill patternType="solid">
        <fgColor rgb="FFF7FBFF"/>
      </patternFill>
    </fill>
    <fill>
      <patternFill patternType="solid">
        <fgColor rgb="FF0F766E"/>
      </patternFill>
    </fill>
    <fill>
      <patternFill patternType="solid">
        <fgColor rgb="FF115E59"/>
      </patternFill>
    </fill>
    <fill>
      <patternFill patternType="solid">
        <fgColor rgb="FF1F3A5F"/>
      </patternFill>
    </fill>
    <fill>
      <patternFill patternType="solid">
        <fgColor rgb="FFC59A2E"/>
      </patternFill>
    </fill>
    <fill>
      <patternFill patternType="solid">
        <fgColor rgb="FFE6FFFB"/>
      </patternFill>
    </fill>
    <fill>
      <patternFill patternType="solid">
        <fgColor rgb="FF0F766E"/>
      </patternFill>
    </fill>
    <fill>
      <patternFill patternType="solid">
        <fgColor rgb="FFFFF2CC"/>
      </patternFill>
    </fill>
    <fill>
      <patternFill patternType="solid">
        <fgColor rgb="FFD9EAD3"/>
      </patternFill>
    </fill>
    <fill>
      <patternFill patternType="solid">
        <fgColor rgb="FFD9E2F3"/>
      </patternFill>
    </fill>
    <fill>
      <patternFill patternType="solid">
        <fgColor theme="9" tint="0.79995117038483843"/>
        <bgColor indexed="65"/>
      </patternFill>
    </fill>
    <fill>
      <patternFill patternType="solid">
        <fgColor rgb="FFFFFF00"/>
      </patternFill>
    </fill>
  </fills>
  <borders count="33">
    <border>
      <left/>
      <right/>
      <top/>
      <bottom/>
      <diagonal/>
    </border>
    <border>
      <left style="thin">
        <color rgb="FFB7C9D6"/>
      </left>
      <right style="thin">
        <color rgb="FFB7C9D6"/>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D1D5DB"/>
      </left>
      <right style="thin">
        <color rgb="FFD1D5DB"/>
      </right>
      <top style="thin">
        <color rgb="FFD1D5DB"/>
      </top>
      <bottom style="thin">
        <color rgb="FFD1D5DB"/>
      </bottom>
      <diagonal/>
    </border>
    <border>
      <left style="medium">
        <color rgb="FF0F766E"/>
      </left>
      <right style="medium">
        <color rgb="FF0F766E"/>
      </right>
      <top style="medium">
        <color rgb="FF0F766E"/>
      </top>
      <bottom style="medium">
        <color rgb="FF0F766E"/>
      </bottom>
      <diagonal/>
    </border>
    <border>
      <left style="thin">
        <color rgb="FF7F7F7F"/>
      </left>
      <right style="thin">
        <color rgb="FF7F7F7F"/>
      </right>
      <top style="thin">
        <color rgb="FF7F7F7F"/>
      </top>
      <bottom style="thin">
        <color rgb="FF7F7F7F"/>
      </bottom>
      <diagonal/>
    </border>
    <border>
      <left/>
      <right/>
      <top style="medium">
        <color rgb="FF0F766E"/>
      </top>
      <bottom style="medium">
        <color rgb="FF0F766E"/>
      </bottom>
      <diagonal/>
    </border>
    <border>
      <left/>
      <right style="medium">
        <color rgb="FF0F766E"/>
      </right>
      <top style="medium">
        <color rgb="FF0F766E"/>
      </top>
      <bottom style="medium">
        <color rgb="FF0F766E"/>
      </bottom>
      <diagonal/>
    </border>
    <border>
      <left style="thin">
        <color rgb="FFA6A6A6"/>
      </left>
      <right style="thin">
        <color rgb="FFA6A6A6"/>
      </right>
      <top style="thin">
        <color rgb="FFA6A6A6"/>
      </top>
      <bottom style="thin">
        <color rgb="FFA6A6A6"/>
      </bottom>
      <diagonal/>
    </border>
    <border>
      <left style="thin">
        <color rgb="FFD0D0D0"/>
      </left>
      <right style="thin">
        <color rgb="FFD0D0D0"/>
      </right>
      <top style="thin">
        <color rgb="FFD0D0D0"/>
      </top>
      <bottom style="thin">
        <color rgb="FFD0D0D0"/>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D1D5DB"/>
      </left>
      <right style="thin">
        <color rgb="FFD1D5DB"/>
      </right>
      <top style="thin">
        <color rgb="FFD1D5DB"/>
      </top>
      <bottom/>
      <diagonal/>
    </border>
    <border>
      <left/>
      <right/>
      <top/>
      <bottom style="thin">
        <color theme="3" tint="0.59996337778862885"/>
      </bottom>
      <diagonal/>
    </border>
    <border>
      <left style="thin">
        <color rgb="FFB7C9D6"/>
      </left>
      <right style="thin">
        <color rgb="FFB7C9D6"/>
      </right>
      <top style="thin">
        <color rgb="FFB7C9D6"/>
      </top>
      <bottom/>
      <diagonal/>
    </border>
    <border>
      <left style="thin">
        <color theme="3" tint="0.59996337778862885"/>
      </left>
      <right/>
      <top style="thin">
        <color theme="3" tint="0.59996337778862885"/>
      </top>
      <bottom style="thin">
        <color theme="3" tint="0.59996337778862885"/>
      </bottom>
      <diagonal/>
    </border>
    <border>
      <left/>
      <right style="thin">
        <color theme="3" tint="0.59996337778862885"/>
      </right>
      <top style="thin">
        <color theme="3" tint="0.59996337778862885"/>
      </top>
      <bottom style="thin">
        <color theme="3" tint="0.59996337778862885"/>
      </bottom>
      <diagonal/>
    </border>
    <border>
      <left style="thin">
        <color rgb="FFB7C9D6"/>
      </left>
      <right/>
      <top style="thin">
        <color rgb="FFB7C9D6"/>
      </top>
      <bottom style="thin">
        <color rgb="FFB7C9D6"/>
      </bottom>
      <diagonal/>
    </border>
    <border>
      <left style="thin">
        <color rgb="FFD1D5DB"/>
      </left>
      <right/>
      <top style="thin">
        <color rgb="FFD1D5DB"/>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bottom/>
      <diagonal/>
    </border>
    <border>
      <left/>
      <right style="thin">
        <color rgb="FFD0D0D0"/>
      </right>
      <top/>
      <bottom/>
      <diagonal/>
    </border>
    <border>
      <left style="thin">
        <color rgb="FFD0D0D0"/>
      </left>
      <right/>
      <top/>
      <bottom style="thin">
        <color rgb="FFD0D0D0"/>
      </bottom>
      <diagonal/>
    </border>
    <border>
      <left/>
      <right/>
      <top/>
      <bottom style="thin">
        <color rgb="FFD0D0D0"/>
      </bottom>
      <diagonal/>
    </border>
    <border>
      <left/>
      <right style="thin">
        <color rgb="FFD0D0D0"/>
      </right>
      <top/>
      <bottom style="thin">
        <color rgb="FFD0D0D0"/>
      </bottom>
      <diagonal/>
    </border>
  </borders>
  <cellStyleXfs count="1">
    <xf numFmtId="0" fontId="0" fillId="0" borderId="0"/>
  </cellStyleXfs>
  <cellXfs count="93">
    <xf numFmtId="0" fontId="0" fillId="0" borderId="0" xfId="0"/>
    <xf numFmtId="0" fontId="2" fillId="3" borderId="1" xfId="0" applyFont="1" applyFill="1" applyBorder="1" applyAlignment="1">
      <alignment horizontal="center" vertical="center" wrapText="1"/>
    </xf>
    <xf numFmtId="0" fontId="0" fillId="4" borderId="1" xfId="0" applyFill="1" applyBorder="1" applyAlignment="1">
      <alignment vertical="center"/>
    </xf>
    <xf numFmtId="0" fontId="0" fillId="0" borderId="1" xfId="0" applyBorder="1" applyAlignment="1">
      <alignment vertical="center"/>
    </xf>
    <xf numFmtId="0" fontId="2" fillId="2" borderId="1" xfId="0" applyFont="1" applyFill="1" applyBorder="1" applyAlignment="1">
      <alignment horizontal="center" vertical="center" wrapText="1"/>
    </xf>
    <xf numFmtId="2" fontId="0" fillId="4" borderId="1" xfId="0" applyNumberFormat="1" applyFill="1" applyBorder="1" applyAlignment="1">
      <alignment vertical="center"/>
    </xf>
    <xf numFmtId="1" fontId="0" fillId="4" borderId="1" xfId="0" applyNumberFormat="1" applyFill="1" applyBorder="1" applyAlignment="1">
      <alignment vertical="center"/>
    </xf>
    <xf numFmtId="2" fontId="0" fillId="0" borderId="1" xfId="0" applyNumberFormat="1" applyBorder="1" applyAlignment="1">
      <alignment vertical="center"/>
    </xf>
    <xf numFmtId="164" fontId="0" fillId="0" borderId="1" xfId="0" applyNumberFormat="1" applyBorder="1" applyAlignment="1">
      <alignment vertical="center"/>
    </xf>
    <xf numFmtId="164" fontId="0" fillId="4" borderId="1" xfId="0" applyNumberFormat="1" applyFill="1" applyBorder="1" applyAlignment="1">
      <alignment vertical="center"/>
    </xf>
    <xf numFmtId="0" fontId="0" fillId="5" borderId="1" xfId="0" applyFill="1" applyBorder="1"/>
    <xf numFmtId="0" fontId="2" fillId="7" borderId="4" xfId="0" applyFont="1" applyFill="1" applyBorder="1" applyAlignment="1">
      <alignment horizontal="center" vertical="center" wrapText="1"/>
    </xf>
    <xf numFmtId="0" fontId="5" fillId="8" borderId="5" xfId="0" applyFont="1" applyFill="1" applyBorder="1" applyAlignment="1">
      <alignment horizontal="left" vertical="center"/>
    </xf>
    <xf numFmtId="0" fontId="5" fillId="8" borderId="5" xfId="0" applyFont="1" applyFill="1" applyBorder="1" applyAlignment="1">
      <alignment horizontal="center" vertical="center"/>
    </xf>
    <xf numFmtId="0" fontId="6" fillId="0" borderId="0" xfId="0" applyFont="1"/>
    <xf numFmtId="0" fontId="2" fillId="10" borderId="4"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5" fillId="9" borderId="5" xfId="0" applyFont="1" applyFill="1" applyBorder="1" applyAlignment="1">
      <alignment horizontal="left" vertical="center"/>
    </xf>
    <xf numFmtId="0" fontId="5" fillId="9" borderId="5" xfId="0" applyFont="1" applyFill="1" applyBorder="1" applyAlignment="1">
      <alignment horizontal="center" vertical="center"/>
    </xf>
    <xf numFmtId="0" fontId="7" fillId="0" borderId="0" xfId="0" applyFont="1"/>
    <xf numFmtId="0" fontId="8" fillId="7" borderId="5" xfId="0" applyFont="1" applyFill="1" applyBorder="1" applyAlignment="1">
      <alignment horizontal="center" vertical="center" wrapText="1"/>
    </xf>
    <xf numFmtId="0" fontId="9" fillId="11" borderId="5" xfId="0" applyFont="1" applyFill="1" applyBorder="1" applyAlignment="1">
      <alignment horizontal="center" vertical="center" wrapText="1"/>
    </xf>
    <xf numFmtId="165" fontId="9" fillId="11" borderId="5" xfId="0" applyNumberFormat="1" applyFont="1" applyFill="1" applyBorder="1" applyAlignment="1">
      <alignment horizontal="center" vertical="center" wrapText="1"/>
    </xf>
    <xf numFmtId="9" fontId="9" fillId="11" borderId="5" xfId="0" applyNumberFormat="1" applyFont="1" applyFill="1" applyBorder="1" applyAlignment="1">
      <alignment horizontal="center" vertical="center" wrapText="1"/>
    </xf>
    <xf numFmtId="1" fontId="9" fillId="11" borderId="5" xfId="0" applyNumberFormat="1" applyFont="1" applyFill="1" applyBorder="1" applyAlignment="1">
      <alignment horizontal="center" vertical="center" wrapText="1"/>
    </xf>
    <xf numFmtId="0" fontId="10" fillId="12" borderId="0" xfId="0" applyFont="1" applyFill="1" applyAlignment="1">
      <alignment horizontal="center" vertical="center"/>
    </xf>
    <xf numFmtId="1" fontId="0" fillId="0" borderId="0" xfId="0" applyNumberFormat="1"/>
    <xf numFmtId="0" fontId="2" fillId="12" borderId="4" xfId="0" applyFont="1" applyFill="1" applyBorder="1" applyAlignment="1">
      <alignment horizontal="center" vertical="center" wrapText="1"/>
    </xf>
    <xf numFmtId="0" fontId="11" fillId="2" borderId="0" xfId="0" applyFont="1" applyFill="1" applyAlignment="1">
      <alignment horizontal="center" vertical="center"/>
    </xf>
    <xf numFmtId="0" fontId="13" fillId="0" borderId="0" xfId="0" applyFont="1" applyAlignment="1">
      <alignment horizontal="left" vertical="center"/>
    </xf>
    <xf numFmtId="0" fontId="14" fillId="8" borderId="5" xfId="0" applyFont="1" applyFill="1" applyBorder="1" applyAlignment="1">
      <alignment horizontal="center" vertical="center"/>
    </xf>
    <xf numFmtId="0" fontId="11" fillId="12" borderId="0" xfId="0" applyFont="1" applyFill="1"/>
    <xf numFmtId="0" fontId="15" fillId="0" borderId="0" xfId="0" applyFont="1"/>
    <xf numFmtId="0" fontId="12" fillId="13" borderId="6" xfId="0" applyFont="1" applyFill="1" applyBorder="1" applyAlignment="1">
      <alignment horizontal="center" vertical="center"/>
    </xf>
    <xf numFmtId="0" fontId="16" fillId="6" borderId="9" xfId="0" applyFont="1" applyFill="1" applyBorder="1"/>
    <xf numFmtId="0" fontId="0" fillId="6" borderId="9" xfId="0" applyFill="1" applyBorder="1" applyAlignment="1">
      <alignment vertical="top" wrapText="1"/>
    </xf>
    <xf numFmtId="0" fontId="0" fillId="6" borderId="9" xfId="0" applyFill="1" applyBorder="1"/>
    <xf numFmtId="0" fontId="16" fillId="0" borderId="0" xfId="0" applyFont="1"/>
    <xf numFmtId="0" fontId="11" fillId="12" borderId="0" xfId="0" applyFont="1" applyFill="1" applyAlignment="1">
      <alignment horizontal="center" vertical="center"/>
    </xf>
    <xf numFmtId="0" fontId="0" fillId="13" borderId="0" xfId="0" applyFill="1"/>
    <xf numFmtId="0" fontId="3" fillId="15" borderId="10" xfId="0" applyFont="1" applyFill="1" applyBorder="1"/>
    <xf numFmtId="0" fontId="0" fillId="0" borderId="10" xfId="0" applyBorder="1"/>
    <xf numFmtId="0" fontId="0" fillId="0" borderId="10" xfId="0" applyBorder="1" applyAlignment="1">
      <alignment horizontal="center"/>
    </xf>
    <xf numFmtId="9" fontId="0" fillId="0" borderId="10" xfId="0" applyNumberFormat="1" applyBorder="1" applyAlignment="1">
      <alignment horizontal="center"/>
    </xf>
    <xf numFmtId="2" fontId="0" fillId="0" borderId="0" xfId="0" applyNumberFormat="1"/>
    <xf numFmtId="0" fontId="19" fillId="0" borderId="0" xfId="0" applyFont="1"/>
    <xf numFmtId="0" fontId="2" fillId="7" borderId="12" xfId="0" applyFont="1" applyFill="1" applyBorder="1" applyAlignment="1">
      <alignment horizontal="center" vertical="center" wrapText="1"/>
    </xf>
    <xf numFmtId="0" fontId="0" fillId="0" borderId="11" xfId="0" applyBorder="1"/>
    <xf numFmtId="0" fontId="0" fillId="0" borderId="13" xfId="0" applyBorder="1"/>
    <xf numFmtId="0" fontId="2" fillId="3" borderId="14" xfId="0" applyFont="1" applyFill="1" applyBorder="1" applyAlignment="1">
      <alignment horizontal="center" vertical="center" wrapText="1"/>
    </xf>
    <xf numFmtId="0" fontId="0" fillId="4" borderId="11" xfId="0" applyFill="1" applyBorder="1" applyAlignment="1">
      <alignment vertical="center"/>
    </xf>
    <xf numFmtId="0" fontId="0" fillId="0" borderId="11" xfId="0" applyBorder="1" applyAlignment="1">
      <alignment vertical="center"/>
    </xf>
    <xf numFmtId="0" fontId="0" fillId="0" borderId="11" xfId="0" applyBorder="1" applyAlignment="1">
      <alignment wrapText="1"/>
    </xf>
    <xf numFmtId="0" fontId="3" fillId="0" borderId="11" xfId="0" applyFont="1" applyBorder="1"/>
    <xf numFmtId="0" fontId="0" fillId="4" borderId="11" xfId="0" applyFill="1" applyBorder="1" applyAlignment="1">
      <alignment vertical="center" wrapText="1"/>
    </xf>
    <xf numFmtId="0" fontId="0" fillId="0" borderId="11" xfId="0" applyBorder="1" applyAlignment="1">
      <alignment vertical="center" wrapText="1"/>
    </xf>
    <xf numFmtId="0" fontId="19" fillId="0" borderId="11" xfId="0" applyFont="1" applyBorder="1" applyAlignment="1">
      <alignment vertical="center" wrapText="1"/>
    </xf>
    <xf numFmtId="0" fontId="2" fillId="7" borderId="18" xfId="0" applyFont="1" applyFill="1" applyBorder="1" applyAlignment="1">
      <alignment horizontal="center" vertical="center" wrapText="1"/>
    </xf>
    <xf numFmtId="0" fontId="0" fillId="0" borderId="15" xfId="0" applyBorder="1" applyAlignment="1">
      <alignment horizontal="center"/>
    </xf>
    <xf numFmtId="0" fontId="0" fillId="17" borderId="0" xfId="0" applyFill="1"/>
    <xf numFmtId="0" fontId="0" fillId="0" borderId="11" xfId="0" applyBorder="1" applyAlignment="1">
      <alignment horizontal="left" wrapText="1"/>
    </xf>
    <xf numFmtId="0" fontId="0" fillId="0" borderId="16" xfId="0" applyBorder="1"/>
    <xf numFmtId="0" fontId="21" fillId="2" borderId="17" xfId="0" applyFont="1" applyFill="1" applyBorder="1" applyAlignment="1">
      <alignment horizontal="center" vertical="center"/>
    </xf>
    <xf numFmtId="0" fontId="0" fillId="0" borderId="2" xfId="0" applyBorder="1"/>
    <xf numFmtId="0" fontId="1" fillId="2" borderId="1" xfId="0" applyFont="1" applyFill="1" applyBorder="1" applyAlignment="1">
      <alignment horizontal="center" vertical="center"/>
    </xf>
    <xf numFmtId="0" fontId="0" fillId="0" borderId="3" xfId="0" applyBorder="1"/>
    <xf numFmtId="0" fontId="20" fillId="16" borderId="9" xfId="0" applyFont="1" applyFill="1" applyBorder="1" applyAlignment="1">
      <alignment vertical="top" wrapText="1"/>
    </xf>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4" fillId="2" borderId="5" xfId="0" applyFont="1" applyFill="1" applyBorder="1" applyAlignment="1">
      <alignment horizontal="center"/>
    </xf>
    <xf numFmtId="0" fontId="0" fillId="0" borderId="7" xfId="0" applyBorder="1"/>
    <xf numFmtId="0" fontId="0" fillId="0" borderId="8" xfId="0" applyBorder="1"/>
    <xf numFmtId="0" fontId="11" fillId="2" borderId="10" xfId="0" applyFont="1" applyFill="1" applyBorder="1" applyAlignment="1">
      <alignment horizontal="center"/>
    </xf>
    <xf numFmtId="0" fontId="0" fillId="0" borderId="26" xfId="0" applyBorder="1"/>
    <xf numFmtId="0" fontId="0" fillId="0" borderId="27" xfId="0" applyBorder="1"/>
    <xf numFmtId="0" fontId="11" fillId="12" borderId="0" xfId="0" applyFont="1" applyFill="1" applyAlignment="1">
      <alignment horizontal="center"/>
    </xf>
    <xf numFmtId="0" fontId="0" fillId="0" borderId="0" xfId="0"/>
    <xf numFmtId="0" fontId="17" fillId="14" borderId="0" xfId="0" applyFont="1" applyFill="1" applyAlignment="1">
      <alignment horizontal="center"/>
    </xf>
    <xf numFmtId="0" fontId="0" fillId="0" borderId="0" xfId="0" applyAlignment="1">
      <alignment wrapText="1"/>
    </xf>
    <xf numFmtId="0" fontId="11" fillId="2" borderId="0" xfId="0" applyFont="1" applyFill="1"/>
    <xf numFmtId="0" fontId="1" fillId="2" borderId="0" xfId="0" applyFont="1" applyFill="1" applyAlignment="1">
      <alignment horizontal="left"/>
    </xf>
    <xf numFmtId="0" fontId="18" fillId="6" borderId="10" xfId="0" applyFont="1" applyFill="1" applyBorder="1" applyAlignment="1">
      <alignment horizontal="center"/>
    </xf>
    <xf numFmtId="0" fontId="0" fillId="0" borderId="24" xfId="0" applyBorder="1"/>
    <xf numFmtId="0" fontId="0" fillId="0" borderId="25"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9" fontId="17" fillId="14"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External Readiness Trend</a:t>
            </a:r>
          </a:p>
        </c:rich>
      </c:tx>
      <c:overlay val="0"/>
    </c:title>
    <c:autoTitleDeleted val="0"/>
    <c:plotArea>
      <c:layout/>
      <c:lineChart>
        <c:grouping val="standard"/>
        <c:varyColors val="0"/>
        <c:ser>
          <c:idx val="0"/>
          <c:order val="0"/>
          <c:tx>
            <c:strRef>
              <c:f>External_Schoolwide!$B$2</c:f>
              <c:strCache>
                <c:ptCount val="1"/>
                <c:pt idx="0">
                  <c:v>SAT_Avg</c:v>
                </c:pt>
              </c:strCache>
            </c:strRef>
          </c:tx>
          <c:spPr>
            <a:ln w="22000">
              <a:solidFill>
                <a:srgbClr val="5B9BD5"/>
              </a:solidFill>
              <a:prstDash val="solid"/>
            </a:ln>
          </c:spPr>
          <c:marker>
            <c:symbol val="none"/>
          </c:marker>
          <c:cat>
            <c:strRef>
              <c:f>External_Schoolwide!$A$3:$A$7</c:f>
              <c:strCache>
                <c:ptCount val="5"/>
                <c:pt idx="0">
                  <c:v>2020/2021</c:v>
                </c:pt>
                <c:pt idx="1">
                  <c:v>2021/2022</c:v>
                </c:pt>
                <c:pt idx="2">
                  <c:v>2022/2023</c:v>
                </c:pt>
                <c:pt idx="3">
                  <c:v>2023/2024</c:v>
                </c:pt>
                <c:pt idx="4">
                  <c:v>2024/2025</c:v>
                </c:pt>
              </c:strCache>
            </c:strRef>
          </c:cat>
          <c:val>
            <c:numRef>
              <c:f>External_Schoolwide!$B$3:$B$7</c:f>
              <c:numCache>
                <c:formatCode>0.00</c:formatCode>
                <c:ptCount val="5"/>
                <c:pt idx="0">
                  <c:v>1012</c:v>
                </c:pt>
                <c:pt idx="1">
                  <c:v>995</c:v>
                </c:pt>
                <c:pt idx="2">
                  <c:v>1062</c:v>
                </c:pt>
                <c:pt idx="3">
                  <c:v>1073</c:v>
                </c:pt>
                <c:pt idx="4">
                  <c:v>1143</c:v>
                </c:pt>
              </c:numCache>
            </c:numRef>
          </c:val>
          <c:smooth val="0"/>
          <c:extLst>
            <c:ext xmlns:c16="http://schemas.microsoft.com/office/drawing/2014/chart" uri="{C3380CC4-5D6E-409C-BE32-E72D297353CC}">
              <c16:uniqueId val="{00000000-ABA6-4FDB-8454-D2654DABD142}"/>
            </c:ext>
          </c:extLst>
        </c:ser>
        <c:ser>
          <c:idx val="1"/>
          <c:order val="1"/>
          <c:tx>
            <c:strRef>
              <c:f>External_Schoolwide!$C$2</c:f>
              <c:strCache>
                <c:ptCount val="1"/>
                <c:pt idx="0">
                  <c:v>IELTS_Avg</c:v>
                </c:pt>
              </c:strCache>
            </c:strRef>
          </c:tx>
          <c:spPr>
            <a:ln w="22000">
              <a:solidFill>
                <a:srgbClr val="0F766E"/>
              </a:solidFill>
              <a:prstDash val="solid"/>
            </a:ln>
          </c:spPr>
          <c:marker>
            <c:symbol val="none"/>
          </c:marker>
          <c:cat>
            <c:strRef>
              <c:f>External_Schoolwide!$A$3:$A$7</c:f>
              <c:strCache>
                <c:ptCount val="5"/>
                <c:pt idx="0">
                  <c:v>2020/2021</c:v>
                </c:pt>
                <c:pt idx="1">
                  <c:v>2021/2022</c:v>
                </c:pt>
                <c:pt idx="2">
                  <c:v>2022/2023</c:v>
                </c:pt>
                <c:pt idx="3">
                  <c:v>2023/2024</c:v>
                </c:pt>
                <c:pt idx="4">
                  <c:v>2024/2025</c:v>
                </c:pt>
              </c:strCache>
            </c:strRef>
          </c:cat>
          <c:val>
            <c:numRef>
              <c:f>External_Schoolwide!$C$3:$C$7</c:f>
              <c:numCache>
                <c:formatCode>0.00</c:formatCode>
                <c:ptCount val="5"/>
                <c:pt idx="0">
                  <c:v>6.4</c:v>
                </c:pt>
                <c:pt idx="1">
                  <c:v>6.5</c:v>
                </c:pt>
                <c:pt idx="2">
                  <c:v>6.5</c:v>
                </c:pt>
                <c:pt idx="3">
                  <c:v>6.76</c:v>
                </c:pt>
                <c:pt idx="4">
                  <c:v>6.87</c:v>
                </c:pt>
              </c:numCache>
            </c:numRef>
          </c:val>
          <c:smooth val="0"/>
          <c:extLst>
            <c:ext xmlns:c16="http://schemas.microsoft.com/office/drawing/2014/chart" uri="{C3380CC4-5D6E-409C-BE32-E72D297353CC}">
              <c16:uniqueId val="{00000001-ABA6-4FDB-8454-D2654DABD142}"/>
            </c:ext>
          </c:extLst>
        </c:ser>
        <c:ser>
          <c:idx val="2"/>
          <c:order val="2"/>
          <c:tx>
            <c:strRef>
              <c:f>External_Schoolwide!$D$2</c:f>
              <c:strCache>
                <c:ptCount val="1"/>
                <c:pt idx="0">
                  <c:v>AP_Avg</c:v>
                </c:pt>
              </c:strCache>
            </c:strRef>
          </c:tx>
          <c:spPr>
            <a:ln w="22000">
              <a:solidFill>
                <a:srgbClr val="ED7D31"/>
              </a:solidFill>
              <a:prstDash val="solid"/>
            </a:ln>
          </c:spPr>
          <c:marker>
            <c:symbol val="none"/>
          </c:marker>
          <c:cat>
            <c:strRef>
              <c:f>External_Schoolwide!$A$3:$A$7</c:f>
              <c:strCache>
                <c:ptCount val="5"/>
                <c:pt idx="0">
                  <c:v>2020/2021</c:v>
                </c:pt>
                <c:pt idx="1">
                  <c:v>2021/2022</c:v>
                </c:pt>
                <c:pt idx="2">
                  <c:v>2022/2023</c:v>
                </c:pt>
                <c:pt idx="3">
                  <c:v>2023/2024</c:v>
                </c:pt>
                <c:pt idx="4">
                  <c:v>2024/2025</c:v>
                </c:pt>
              </c:strCache>
            </c:strRef>
          </c:cat>
          <c:val>
            <c:numRef>
              <c:f>External_Schoolwide!$D$3:$D$7</c:f>
              <c:numCache>
                <c:formatCode>0.00</c:formatCode>
                <c:ptCount val="5"/>
                <c:pt idx="0">
                  <c:v>2.4</c:v>
                </c:pt>
                <c:pt idx="1">
                  <c:v>3.17</c:v>
                </c:pt>
                <c:pt idx="2">
                  <c:v>2.95</c:v>
                </c:pt>
                <c:pt idx="3">
                  <c:v>2.7</c:v>
                </c:pt>
                <c:pt idx="4">
                  <c:v>3.22</c:v>
                </c:pt>
              </c:numCache>
            </c:numRef>
          </c:val>
          <c:smooth val="0"/>
          <c:extLst>
            <c:ext xmlns:c16="http://schemas.microsoft.com/office/drawing/2014/chart" uri="{C3380CC4-5D6E-409C-BE32-E72D297353CC}">
              <c16:uniqueId val="{00000002-ABA6-4FDB-8454-D2654DABD14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0"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Outcome Rates</a:t>
            </a:r>
          </a:p>
        </c:rich>
      </c:tx>
      <c:overlay val="0"/>
    </c:title>
    <c:autoTitleDeleted val="0"/>
    <c:plotArea>
      <c:layout/>
      <c:barChart>
        <c:barDir val="col"/>
        <c:grouping val="clustered"/>
        <c:varyColors val="0"/>
        <c:ser>
          <c:idx val="0"/>
          <c:order val="0"/>
          <c:tx>
            <c:strRef>
              <c:f>External_Schoolwide!$E$2</c:f>
              <c:strCache>
                <c:ptCount val="1"/>
                <c:pt idx="0">
                  <c:v>%90plus</c:v>
                </c:pt>
              </c:strCache>
            </c:strRef>
          </c:tx>
          <c:spPr>
            <a:solidFill>
              <a:srgbClr val="4F81BD"/>
            </a:solidFill>
            <a:ln>
              <a:noFill/>
              <a:prstDash val="solid"/>
            </a:ln>
          </c:spPr>
          <c:invertIfNegative val="1"/>
          <c:cat>
            <c:strRef>
              <c:f>External_Schoolwide!$A$3:$A$7</c:f>
              <c:strCache>
                <c:ptCount val="5"/>
                <c:pt idx="0">
                  <c:v>2020/2021</c:v>
                </c:pt>
                <c:pt idx="1">
                  <c:v>2021/2022</c:v>
                </c:pt>
                <c:pt idx="2">
                  <c:v>2022/2023</c:v>
                </c:pt>
                <c:pt idx="3">
                  <c:v>2023/2024</c:v>
                </c:pt>
                <c:pt idx="4">
                  <c:v>2024/2025</c:v>
                </c:pt>
              </c:strCache>
            </c:strRef>
          </c:cat>
          <c:val>
            <c:numRef>
              <c:f>External_Schoolwide!$E$3:$E$7</c:f>
              <c:numCache>
                <c:formatCode>0.00</c:formatCode>
                <c:ptCount val="5"/>
                <c:pt idx="1">
                  <c:v>57</c:v>
                </c:pt>
                <c:pt idx="2">
                  <c:v>76</c:v>
                </c:pt>
                <c:pt idx="3">
                  <c:v>67</c:v>
                </c:pt>
                <c:pt idx="4">
                  <c:v>66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259E-422B-BD2F-5C593161B8D3}"/>
            </c:ext>
          </c:extLst>
        </c:ser>
        <c:ser>
          <c:idx val="1"/>
          <c:order val="1"/>
          <c:tx>
            <c:strRef>
              <c:f>External_Schoolwide!$F$2</c:f>
              <c:strCache>
                <c:ptCount val="1"/>
                <c:pt idx="0">
                  <c:v>Overall_Achievement_%</c:v>
                </c:pt>
              </c:strCache>
            </c:strRef>
          </c:tx>
          <c:spPr>
            <a:solidFill>
              <a:srgbClr val="C0504D"/>
            </a:solidFill>
            <a:ln>
              <a:noFill/>
              <a:prstDash val="solid"/>
            </a:ln>
          </c:spPr>
          <c:invertIfNegative val="1"/>
          <c:cat>
            <c:strRef>
              <c:f>External_Schoolwide!$A$3:$A$7</c:f>
              <c:strCache>
                <c:ptCount val="5"/>
                <c:pt idx="0">
                  <c:v>2020/2021</c:v>
                </c:pt>
                <c:pt idx="1">
                  <c:v>2021/2022</c:v>
                </c:pt>
                <c:pt idx="2">
                  <c:v>2022/2023</c:v>
                </c:pt>
                <c:pt idx="3">
                  <c:v>2023/2024</c:v>
                </c:pt>
                <c:pt idx="4">
                  <c:v>2024/2025</c:v>
                </c:pt>
              </c:strCache>
            </c:strRef>
          </c:cat>
          <c:val>
            <c:numRef>
              <c:f>External_Schoolwide!$F$3:$F$7</c:f>
              <c:numCache>
                <c:formatCode>0.00</c:formatCode>
                <c:ptCount val="5"/>
                <c:pt idx="1">
                  <c:v>90</c:v>
                </c:pt>
                <c:pt idx="2">
                  <c:v>93</c:v>
                </c:pt>
                <c:pt idx="3">
                  <c:v>92</c:v>
                </c:pt>
                <c:pt idx="4">
                  <c:v>91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259E-422B-BD2F-5C593161B8D3}"/>
            </c:ext>
          </c:extLst>
        </c:ser>
        <c:ser>
          <c:idx val="2"/>
          <c:order val="2"/>
          <c:tx>
            <c:strRef>
              <c:f>External_Schoolwide!$G$2</c:f>
              <c:strCache>
                <c:ptCount val="1"/>
                <c:pt idx="0">
                  <c:v>Direct_Admission_%</c:v>
                </c:pt>
              </c:strCache>
            </c:strRef>
          </c:tx>
          <c:spPr>
            <a:solidFill>
              <a:srgbClr val="9BBB59"/>
            </a:solidFill>
            <a:ln>
              <a:noFill/>
              <a:prstDash val="solid"/>
            </a:ln>
          </c:spPr>
          <c:invertIfNegative val="1"/>
          <c:cat>
            <c:strRef>
              <c:f>External_Schoolwide!$A$3:$A$7</c:f>
              <c:strCache>
                <c:ptCount val="5"/>
                <c:pt idx="0">
                  <c:v>2020/2021</c:v>
                </c:pt>
                <c:pt idx="1">
                  <c:v>2021/2022</c:v>
                </c:pt>
                <c:pt idx="2">
                  <c:v>2022/2023</c:v>
                </c:pt>
                <c:pt idx="3">
                  <c:v>2023/2024</c:v>
                </c:pt>
                <c:pt idx="4">
                  <c:v>2024/2025</c:v>
                </c:pt>
              </c:strCache>
            </c:strRef>
          </c:cat>
          <c:val>
            <c:numRef>
              <c:f>External_Schoolwide!$G$3:$G$7</c:f>
              <c:numCache>
                <c:formatCode>0.00</c:formatCode>
                <c:ptCount val="5"/>
                <c:pt idx="1">
                  <c:v>93</c:v>
                </c:pt>
                <c:pt idx="2">
                  <c:v>100</c:v>
                </c:pt>
                <c:pt idx="3">
                  <c:v>100</c:v>
                </c:pt>
                <c:pt idx="4">
                  <c:v>100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259E-422B-BD2F-5C593161B8D3}"/>
            </c:ext>
          </c:extLst>
        </c:ser>
        <c:ser>
          <c:idx val="3"/>
          <c:order val="3"/>
          <c:tx>
            <c:strRef>
              <c:f>External_Schoolwide!$H$2</c:f>
              <c:strCache>
                <c:ptCount val="1"/>
                <c:pt idx="0">
                  <c:v>STEM_Admission_%</c:v>
                </c:pt>
              </c:strCache>
            </c:strRef>
          </c:tx>
          <c:spPr>
            <a:solidFill>
              <a:srgbClr val="8064A2"/>
            </a:solidFill>
            <a:ln>
              <a:noFill/>
              <a:prstDash val="solid"/>
            </a:ln>
          </c:spPr>
          <c:invertIfNegative val="1"/>
          <c:cat>
            <c:strRef>
              <c:f>External_Schoolwide!$A$3:$A$7</c:f>
              <c:strCache>
                <c:ptCount val="5"/>
                <c:pt idx="0">
                  <c:v>2020/2021</c:v>
                </c:pt>
                <c:pt idx="1">
                  <c:v>2021/2022</c:v>
                </c:pt>
                <c:pt idx="2">
                  <c:v>2022/2023</c:v>
                </c:pt>
                <c:pt idx="3">
                  <c:v>2023/2024</c:v>
                </c:pt>
                <c:pt idx="4">
                  <c:v>2024/2025</c:v>
                </c:pt>
              </c:strCache>
            </c:strRef>
          </c:cat>
          <c:val>
            <c:numRef>
              <c:f>External_Schoolwide!$H$3:$H$7</c:f>
              <c:numCache>
                <c:formatCode>0.00</c:formatCode>
                <c:ptCount val="5"/>
                <c:pt idx="1">
                  <c:v>93</c:v>
                </c:pt>
                <c:pt idx="2">
                  <c:v>100</c:v>
                </c:pt>
                <c:pt idx="3">
                  <c:v>100</c:v>
                </c:pt>
                <c:pt idx="4">
                  <c:v>100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3-259E-422B-BD2F-5C593161B8D3}"/>
            </c:ext>
          </c:extLst>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0"/>
        <c:majorTickMark val="none"/>
        <c:minorTickMark val="none"/>
        <c:tickLblPos val="nextTo"/>
        <c:spPr>
          <a:ln w="9525">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15000"/>
                  <a:lumOff val="85000"/>
                </a:schemeClr>
              </a:solidFill>
              <a:prstDash val="solid"/>
            </a:ln>
          </c:spPr>
        </c:majorGridlines>
        <c:numFmt formatCode="0.00" sourceLinked="1"/>
        <c:majorTickMark val="none"/>
        <c:minorTickMark val="none"/>
        <c:tickLblPos val="nextTo"/>
        <c:spPr>
          <a:ln>
            <a:no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between"/>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Average Gain by Cohort</a:t>
            </a:r>
          </a:p>
        </c:rich>
      </c:tx>
      <c:overlay val="0"/>
    </c:title>
    <c:autoTitleDeleted val="0"/>
    <c:plotArea>
      <c:layout/>
      <c:barChart>
        <c:barDir val="col"/>
        <c:grouping val="clustered"/>
        <c:varyColors val="0"/>
        <c:ser>
          <c:idx val="0"/>
          <c:order val="0"/>
          <c:tx>
            <c:strRef>
              <c:f>Cohort_Growth!$E$2</c:f>
              <c:strCache>
                <c:ptCount val="1"/>
                <c:pt idx="0">
                  <c:v>Gain_RAW_Avg</c:v>
                </c:pt>
              </c:strCache>
            </c:strRef>
          </c:tx>
          <c:spPr>
            <a:solidFill>
              <a:srgbClr val="0F766E"/>
            </a:solidFill>
            <a:ln w="12000">
              <a:solidFill>
                <a:srgbClr val="0F766E"/>
              </a:solidFill>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Cohort_Growth!$A$3:$A$6</c:f>
              <c:strCache>
                <c:ptCount val="4"/>
                <c:pt idx="0">
                  <c:v>Class of 2022</c:v>
                </c:pt>
                <c:pt idx="1">
                  <c:v>Class of 2023</c:v>
                </c:pt>
                <c:pt idx="2">
                  <c:v>Class of 2024</c:v>
                </c:pt>
                <c:pt idx="3">
                  <c:v>Class of 2025</c:v>
                </c:pt>
              </c:strCache>
            </c:strRef>
          </c:cat>
          <c:val>
            <c:numRef>
              <c:f>Cohort_Growth!$E$3:$E$6</c:f>
              <c:numCache>
                <c:formatCode>0.00</c:formatCode>
                <c:ptCount val="4"/>
                <c:pt idx="0">
                  <c:v>4.5571186440677964</c:v>
                </c:pt>
                <c:pt idx="1">
                  <c:v>9.0969090909090884</c:v>
                </c:pt>
                <c:pt idx="2">
                  <c:v>3.5977966101694911</c:v>
                </c:pt>
                <c:pt idx="3">
                  <c:v>3.5227586206896531</c:v>
                </c:pt>
              </c:numCache>
            </c:numRef>
          </c:val>
          <c:extLst>
            <c:ext xmlns:c14="http://schemas.microsoft.com/office/drawing/2007/8/2/chart" uri="{6F2FDCE9-48DA-4B69-8628-5D25D57E5C99}">
              <c14:invertSolidFillFmt>
                <c14:spPr xmlns:c14="http://schemas.microsoft.com/office/drawing/2007/8/2/chart">
                  <a:solidFill>
                    <a:srgbClr val="FFFFFF"/>
                  </a:solidFill>
                  <a:ln w="12000">
                    <a:solidFill>
                      <a:srgbClr val="0F766E"/>
                    </a:solidFill>
                    <a:prstDash val="solid"/>
                  </a:ln>
                </c14:spPr>
              </c14:invertSolidFillFmt>
            </c:ext>
            <c:ext xmlns:c16="http://schemas.microsoft.com/office/drawing/2014/chart" uri="{C3380CC4-5D6E-409C-BE32-E72D297353CC}">
              <c16:uniqueId val="{00000000-4594-473B-9262-DEFF7DCF0F60}"/>
            </c:ext>
          </c:extLst>
        </c:ser>
        <c:dLbls>
          <c:showLegendKey val="0"/>
          <c:showVal val="1"/>
          <c:showCatName val="0"/>
          <c:showSerName val="0"/>
          <c:showPercent val="0"/>
          <c:showBubbleSize val="0"/>
        </c:dLbls>
        <c:gapWidth val="60"/>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0"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Cohort Overall Trajectories</a:t>
            </a:r>
          </a:p>
        </c:rich>
      </c:tx>
      <c:overlay val="0"/>
    </c:title>
    <c:autoTitleDeleted val="0"/>
    <c:plotArea>
      <c:layout/>
      <c:lineChart>
        <c:grouping val="standard"/>
        <c:varyColors val="0"/>
        <c:ser>
          <c:idx val="0"/>
          <c:order val="0"/>
          <c:tx>
            <c:strRef>
              <c:f>Cohort_Trajectories!$L$1</c:f>
              <c:strCache>
                <c:ptCount val="1"/>
                <c:pt idx="0">
                  <c:v>Class of 2022</c:v>
                </c:pt>
              </c:strCache>
            </c:strRef>
          </c:tx>
          <c:spPr>
            <a:ln w="24000">
              <a:solidFill>
                <a:srgbClr val="5B9BD5"/>
              </a:solidFill>
              <a:prstDash val="solid"/>
            </a:ln>
          </c:spPr>
          <c:marker>
            <c:symbol val="none"/>
          </c:marker>
          <c:cat>
            <c:numRef>
              <c:f>Cohort_Trajectories!$K$2:$K$5</c:f>
              <c:numCache>
                <c:formatCode>General</c:formatCode>
                <c:ptCount val="4"/>
                <c:pt idx="0">
                  <c:v>1</c:v>
                </c:pt>
                <c:pt idx="1">
                  <c:v>2</c:v>
                </c:pt>
                <c:pt idx="2">
                  <c:v>3</c:v>
                </c:pt>
                <c:pt idx="3">
                  <c:v>4</c:v>
                </c:pt>
              </c:numCache>
            </c:numRef>
          </c:cat>
          <c:val>
            <c:numRef>
              <c:f>Cohort_Trajectories!$L$2:$L$5</c:f>
              <c:numCache>
                <c:formatCode>General</c:formatCode>
                <c:ptCount val="4"/>
                <c:pt idx="0">
                  <c:v>85.404677966101687</c:v>
                </c:pt>
                <c:pt idx="1">
                  <c:v>88.490440677966106</c:v>
                </c:pt>
                <c:pt idx="2">
                  <c:v>86.382033898305082</c:v>
                </c:pt>
                <c:pt idx="3">
                  <c:v>92.348203389830516</c:v>
                </c:pt>
              </c:numCache>
            </c:numRef>
          </c:val>
          <c:smooth val="0"/>
          <c:extLst>
            <c:ext xmlns:c16="http://schemas.microsoft.com/office/drawing/2014/chart" uri="{C3380CC4-5D6E-409C-BE32-E72D297353CC}">
              <c16:uniqueId val="{00000000-505C-449C-8E94-7CB9A2A319B1}"/>
            </c:ext>
          </c:extLst>
        </c:ser>
        <c:ser>
          <c:idx val="1"/>
          <c:order val="1"/>
          <c:tx>
            <c:strRef>
              <c:f>Cohort_Trajectories!$M$1</c:f>
              <c:strCache>
                <c:ptCount val="1"/>
                <c:pt idx="0">
                  <c:v>Class of 2023</c:v>
                </c:pt>
              </c:strCache>
            </c:strRef>
          </c:tx>
          <c:spPr>
            <a:ln w="24000">
              <a:solidFill>
                <a:srgbClr val="0F766E"/>
              </a:solidFill>
              <a:prstDash val="solid"/>
            </a:ln>
          </c:spPr>
          <c:marker>
            <c:symbol val="none"/>
          </c:marker>
          <c:cat>
            <c:numRef>
              <c:f>Cohort_Trajectories!$K$2:$K$5</c:f>
              <c:numCache>
                <c:formatCode>General</c:formatCode>
                <c:ptCount val="4"/>
                <c:pt idx="0">
                  <c:v>1</c:v>
                </c:pt>
                <c:pt idx="1">
                  <c:v>2</c:v>
                </c:pt>
                <c:pt idx="2">
                  <c:v>3</c:v>
                </c:pt>
                <c:pt idx="3">
                  <c:v>4</c:v>
                </c:pt>
              </c:numCache>
            </c:numRef>
          </c:cat>
          <c:val>
            <c:numRef>
              <c:f>Cohort_Trajectories!$M$2:$M$5</c:f>
              <c:numCache>
                <c:formatCode>General</c:formatCode>
                <c:ptCount val="4"/>
                <c:pt idx="0">
                  <c:v>80.06225454545455</c:v>
                </c:pt>
                <c:pt idx="1">
                  <c:v>85.360945454545458</c:v>
                </c:pt>
                <c:pt idx="2">
                  <c:v>87.635563636363628</c:v>
                </c:pt>
                <c:pt idx="3">
                  <c:v>91.893745454545467</c:v>
                </c:pt>
              </c:numCache>
            </c:numRef>
          </c:val>
          <c:smooth val="0"/>
          <c:extLst>
            <c:ext xmlns:c16="http://schemas.microsoft.com/office/drawing/2014/chart" uri="{C3380CC4-5D6E-409C-BE32-E72D297353CC}">
              <c16:uniqueId val="{00000001-505C-449C-8E94-7CB9A2A319B1}"/>
            </c:ext>
          </c:extLst>
        </c:ser>
        <c:ser>
          <c:idx val="2"/>
          <c:order val="2"/>
          <c:tx>
            <c:strRef>
              <c:f>Cohort_Trajectories!$N$1</c:f>
              <c:strCache>
                <c:ptCount val="1"/>
                <c:pt idx="0">
                  <c:v>Class of 2024</c:v>
                </c:pt>
              </c:strCache>
            </c:strRef>
          </c:tx>
          <c:spPr>
            <a:ln w="24000">
              <a:solidFill>
                <a:srgbClr val="ED7D31"/>
              </a:solidFill>
              <a:prstDash val="solid"/>
            </a:ln>
          </c:spPr>
          <c:marker>
            <c:symbol val="none"/>
          </c:marker>
          <c:cat>
            <c:numRef>
              <c:f>Cohort_Trajectories!$K$2:$K$5</c:f>
              <c:numCache>
                <c:formatCode>General</c:formatCode>
                <c:ptCount val="4"/>
                <c:pt idx="0">
                  <c:v>1</c:v>
                </c:pt>
                <c:pt idx="1">
                  <c:v>2</c:v>
                </c:pt>
                <c:pt idx="2">
                  <c:v>3</c:v>
                </c:pt>
                <c:pt idx="3">
                  <c:v>4</c:v>
                </c:pt>
              </c:numCache>
            </c:numRef>
          </c:cat>
          <c:val>
            <c:numRef>
              <c:f>Cohort_Trajectories!$N$2:$N$5</c:f>
              <c:numCache>
                <c:formatCode>General</c:formatCode>
                <c:ptCount val="4"/>
                <c:pt idx="0">
                  <c:v>83.500067796610182</c:v>
                </c:pt>
                <c:pt idx="1">
                  <c:v>86.81606779661017</c:v>
                </c:pt>
                <c:pt idx="2">
                  <c:v>90.343050847457619</c:v>
                </c:pt>
                <c:pt idx="3">
                  <c:v>89.174101694915265</c:v>
                </c:pt>
              </c:numCache>
            </c:numRef>
          </c:val>
          <c:smooth val="0"/>
          <c:extLst>
            <c:ext xmlns:c16="http://schemas.microsoft.com/office/drawing/2014/chart" uri="{C3380CC4-5D6E-409C-BE32-E72D297353CC}">
              <c16:uniqueId val="{00000002-505C-449C-8E94-7CB9A2A319B1}"/>
            </c:ext>
          </c:extLst>
        </c:ser>
        <c:ser>
          <c:idx val="3"/>
          <c:order val="3"/>
          <c:tx>
            <c:strRef>
              <c:f>Cohort_Trajectories!$O$1</c:f>
              <c:strCache>
                <c:ptCount val="1"/>
                <c:pt idx="0">
                  <c:v>Class of 2025</c:v>
                </c:pt>
              </c:strCache>
            </c:strRef>
          </c:tx>
          <c:spPr>
            <a:ln w="24000">
              <a:solidFill>
                <a:srgbClr val="ED7D31"/>
              </a:solidFill>
              <a:prstDash val="solid"/>
            </a:ln>
          </c:spPr>
          <c:marker>
            <c:symbol val="none"/>
          </c:marker>
          <c:cat>
            <c:numRef>
              <c:f>Cohort_Trajectories!$K$2:$K$5</c:f>
              <c:numCache>
                <c:formatCode>General</c:formatCode>
                <c:ptCount val="4"/>
                <c:pt idx="0">
                  <c:v>1</c:v>
                </c:pt>
                <c:pt idx="1">
                  <c:v>2</c:v>
                </c:pt>
                <c:pt idx="2">
                  <c:v>3</c:v>
                </c:pt>
                <c:pt idx="3">
                  <c:v>4</c:v>
                </c:pt>
              </c:numCache>
            </c:numRef>
          </c:cat>
          <c:val>
            <c:numRef>
              <c:f>Cohort_Trajectories!$O$2:$O$5</c:f>
              <c:numCache>
                <c:formatCode>General</c:formatCode>
                <c:ptCount val="4"/>
                <c:pt idx="0">
                  <c:v>86.008965517241364</c:v>
                </c:pt>
                <c:pt idx="1">
                  <c:v>90.626241379310343</c:v>
                </c:pt>
                <c:pt idx="2">
                  <c:v>89.136206896551727</c:v>
                </c:pt>
                <c:pt idx="3">
                  <c:v>91.195655172413794</c:v>
                </c:pt>
              </c:numCache>
            </c:numRef>
          </c:val>
          <c:smooth val="0"/>
          <c:extLst>
            <c:ext xmlns:c16="http://schemas.microsoft.com/office/drawing/2014/chart" uri="{C3380CC4-5D6E-409C-BE32-E72D297353CC}">
              <c16:uniqueId val="{00000003-505C-449C-8E94-7CB9A2A319B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General"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Entry vs Exit by Subject</a:t>
            </a:r>
          </a:p>
        </c:rich>
      </c:tx>
      <c:overlay val="0"/>
    </c:title>
    <c:autoTitleDeleted val="0"/>
    <c:plotArea>
      <c:layout/>
      <c:barChart>
        <c:barDir val="bar"/>
        <c:grouping val="clustered"/>
        <c:varyColors val="0"/>
        <c:ser>
          <c:idx val="0"/>
          <c:order val="0"/>
          <c:tx>
            <c:strRef>
              <c:f>Subject_Growth!$B$2</c:f>
              <c:strCache>
                <c:ptCount val="1"/>
                <c:pt idx="0">
                  <c:v>Entry_Avg</c:v>
                </c:pt>
              </c:strCache>
            </c:strRef>
          </c:tx>
          <c:spPr>
            <a:solidFill>
              <a:srgbClr val="5B9BD5"/>
            </a:solidFill>
            <a:ln w="12000">
              <a:solidFill>
                <a:srgbClr val="5B9BD5"/>
              </a:solidFill>
              <a:prstDash val="solid"/>
            </a:ln>
          </c:spPr>
          <c:invertIfNegative val="1"/>
          <c:cat>
            <c:strRef>
              <c:f>Subject_Growth!$A$3:$A$7</c:f>
              <c:strCache>
                <c:ptCount val="5"/>
                <c:pt idx="0">
                  <c:v>RAW</c:v>
                </c:pt>
                <c:pt idx="1">
                  <c:v>NSIS</c:v>
                </c:pt>
                <c:pt idx="2">
                  <c:v>STEM</c:v>
                </c:pt>
                <c:pt idx="3">
                  <c:v>English</c:v>
                </c:pt>
                <c:pt idx="4">
                  <c:v>Math</c:v>
                </c:pt>
              </c:strCache>
            </c:strRef>
          </c:cat>
          <c:val>
            <c:numRef>
              <c:f>Subject_Growth!$B$3:$B$7</c:f>
              <c:numCache>
                <c:formatCode>0.00</c:formatCode>
                <c:ptCount val="5"/>
                <c:pt idx="0">
                  <c:v>83.092034632034611</c:v>
                </c:pt>
                <c:pt idx="1">
                  <c:v>86.247878787878761</c:v>
                </c:pt>
                <c:pt idx="2">
                  <c:v>83.521645021645028</c:v>
                </c:pt>
                <c:pt idx="3">
                  <c:v>85.569264069264065</c:v>
                </c:pt>
                <c:pt idx="4">
                  <c:v>80.55887445887447</c:v>
                </c:pt>
              </c:numCache>
            </c:numRef>
          </c:val>
          <c:extLst>
            <c:ext xmlns:c14="http://schemas.microsoft.com/office/drawing/2007/8/2/chart" uri="{6F2FDCE9-48DA-4B69-8628-5D25D57E5C99}">
              <c14:invertSolidFillFmt>
                <c14:spPr xmlns:c14="http://schemas.microsoft.com/office/drawing/2007/8/2/chart">
                  <a:solidFill>
                    <a:srgbClr val="FFFFFF"/>
                  </a:solidFill>
                  <a:ln w="12000">
                    <a:solidFill>
                      <a:srgbClr val="5B9BD5"/>
                    </a:solidFill>
                    <a:prstDash val="solid"/>
                  </a:ln>
                </c14:spPr>
              </c14:invertSolidFillFmt>
            </c:ext>
            <c:ext xmlns:c16="http://schemas.microsoft.com/office/drawing/2014/chart" uri="{C3380CC4-5D6E-409C-BE32-E72D297353CC}">
              <c16:uniqueId val="{00000000-4D15-4CB2-AA0E-A21CACFAA9B7}"/>
            </c:ext>
          </c:extLst>
        </c:ser>
        <c:ser>
          <c:idx val="1"/>
          <c:order val="1"/>
          <c:tx>
            <c:strRef>
              <c:f>Subject_Growth!$C$2</c:f>
              <c:strCache>
                <c:ptCount val="1"/>
                <c:pt idx="0">
                  <c:v>Exit_Avg</c:v>
                </c:pt>
              </c:strCache>
            </c:strRef>
          </c:tx>
          <c:spPr>
            <a:solidFill>
              <a:srgbClr val="0F766E"/>
            </a:solidFill>
            <a:ln w="12000">
              <a:solidFill>
                <a:srgbClr val="0F766E"/>
              </a:solidFill>
              <a:prstDash val="solid"/>
            </a:ln>
          </c:spPr>
          <c:invertIfNegative val="1"/>
          <c:cat>
            <c:strRef>
              <c:f>Subject_Growth!$A$3:$A$7</c:f>
              <c:strCache>
                <c:ptCount val="5"/>
                <c:pt idx="0">
                  <c:v>RAW</c:v>
                </c:pt>
                <c:pt idx="1">
                  <c:v>NSIS</c:v>
                </c:pt>
                <c:pt idx="2">
                  <c:v>STEM</c:v>
                </c:pt>
                <c:pt idx="3">
                  <c:v>English</c:v>
                </c:pt>
                <c:pt idx="4">
                  <c:v>Math</c:v>
                </c:pt>
              </c:strCache>
            </c:strRef>
          </c:cat>
          <c:val>
            <c:numRef>
              <c:f>Subject_Growth!$C$3:$C$7</c:f>
              <c:numCache>
                <c:formatCode>0.00</c:formatCode>
                <c:ptCount val="5"/>
                <c:pt idx="0">
                  <c:v>88.225324675324686</c:v>
                </c:pt>
                <c:pt idx="1">
                  <c:v>91.614935064935082</c:v>
                </c:pt>
                <c:pt idx="2">
                  <c:v>92.670995670995666</c:v>
                </c:pt>
                <c:pt idx="3">
                  <c:v>90.770562770562776</c:v>
                </c:pt>
                <c:pt idx="4">
                  <c:v>92.417748917748924</c:v>
                </c:pt>
              </c:numCache>
            </c:numRef>
          </c:val>
          <c:extLst>
            <c:ext xmlns:c14="http://schemas.microsoft.com/office/drawing/2007/8/2/chart" uri="{6F2FDCE9-48DA-4B69-8628-5D25D57E5C99}">
              <c14:invertSolidFillFmt>
                <c14:spPr xmlns:c14="http://schemas.microsoft.com/office/drawing/2007/8/2/chart">
                  <a:solidFill>
                    <a:srgbClr val="FFFFFF"/>
                  </a:solidFill>
                  <a:ln w="12000">
                    <a:solidFill>
                      <a:srgbClr val="0F766E"/>
                    </a:solidFill>
                    <a:prstDash val="solid"/>
                  </a:ln>
                </c14:spPr>
              </c14:invertSolidFillFmt>
            </c:ext>
            <c:ext xmlns:c16="http://schemas.microsoft.com/office/drawing/2014/chart" uri="{C3380CC4-5D6E-409C-BE32-E72D297353CC}">
              <c16:uniqueId val="{00000001-4D15-4CB2-AA0E-A21CACFAA9B7}"/>
            </c:ext>
          </c:extLst>
        </c:ser>
        <c:dLbls>
          <c:showLegendKey val="0"/>
          <c:showVal val="0"/>
          <c:showCatName val="0"/>
          <c:showSerName val="0"/>
          <c:showPercent val="0"/>
          <c:showBubbleSize val="0"/>
        </c:dLbls>
        <c:gapWidth val="45"/>
        <c:axId val="48650112"/>
        <c:axId val="48672768"/>
      </c:barChart>
      <c:catAx>
        <c:axId val="48650112"/>
        <c:scaling>
          <c:orientation val="minMax"/>
        </c:scaling>
        <c:delete val="0"/>
        <c:axPos val="l"/>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numFmt formatCode="0.00"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Average Gain by Subject</a:t>
            </a:r>
          </a:p>
        </c:rich>
      </c:tx>
      <c:overlay val="0"/>
    </c:title>
    <c:autoTitleDeleted val="0"/>
    <c:plotArea>
      <c:layout/>
      <c:barChart>
        <c:barDir val="col"/>
        <c:grouping val="clustered"/>
        <c:varyColors val="0"/>
        <c:ser>
          <c:idx val="0"/>
          <c:order val="0"/>
          <c:tx>
            <c:strRef>
              <c:f>Subject_Growth!$D$2</c:f>
              <c:strCache>
                <c:ptCount val="1"/>
                <c:pt idx="0">
                  <c:v>Gain_Avg</c:v>
                </c:pt>
              </c:strCache>
            </c:strRef>
          </c:tx>
          <c:spPr>
            <a:solidFill>
              <a:srgbClr val="ED7D31"/>
            </a:solidFill>
            <a:ln w="12000">
              <a:solidFill>
                <a:srgbClr val="ED7D31"/>
              </a:solidFill>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Subject_Growth!$A$3:$A$7</c:f>
              <c:strCache>
                <c:ptCount val="5"/>
                <c:pt idx="0">
                  <c:v>RAW</c:v>
                </c:pt>
                <c:pt idx="1">
                  <c:v>NSIS</c:v>
                </c:pt>
                <c:pt idx="2">
                  <c:v>STEM</c:v>
                </c:pt>
                <c:pt idx="3">
                  <c:v>English</c:v>
                </c:pt>
                <c:pt idx="4">
                  <c:v>Math</c:v>
                </c:pt>
              </c:strCache>
            </c:strRef>
          </c:cat>
          <c:val>
            <c:numRef>
              <c:f>Subject_Growth!$D$3:$D$7</c:f>
              <c:numCache>
                <c:formatCode>0.00</c:formatCode>
                <c:ptCount val="5"/>
                <c:pt idx="0">
                  <c:v>5.1332900432900423</c:v>
                </c:pt>
                <c:pt idx="1">
                  <c:v>5.3670562770562764</c:v>
                </c:pt>
                <c:pt idx="2">
                  <c:v>9.1493506493506498</c:v>
                </c:pt>
                <c:pt idx="3">
                  <c:v>5.2012987012987013</c:v>
                </c:pt>
                <c:pt idx="4">
                  <c:v>11.85887445887446</c:v>
                </c:pt>
              </c:numCache>
            </c:numRef>
          </c:val>
          <c:extLst>
            <c:ext xmlns:c14="http://schemas.microsoft.com/office/drawing/2007/8/2/chart" uri="{6F2FDCE9-48DA-4B69-8628-5D25D57E5C99}">
              <c14:invertSolidFillFmt>
                <c14:spPr xmlns:c14="http://schemas.microsoft.com/office/drawing/2007/8/2/chart">
                  <a:solidFill>
                    <a:srgbClr val="FFFFFF"/>
                  </a:solidFill>
                  <a:ln w="12000">
                    <a:solidFill>
                      <a:srgbClr val="ED7D31"/>
                    </a:solidFill>
                    <a:prstDash val="solid"/>
                  </a:ln>
                </c14:spPr>
              </c14:invertSolidFillFmt>
            </c:ext>
            <c:ext xmlns:c16="http://schemas.microsoft.com/office/drawing/2014/chart" uri="{C3380CC4-5D6E-409C-BE32-E72D297353CC}">
              <c16:uniqueId val="{00000000-CA66-4E10-9DA0-60B9474B0125}"/>
            </c:ext>
          </c:extLst>
        </c:ser>
        <c:dLbls>
          <c:showLegendKey val="0"/>
          <c:showVal val="1"/>
          <c:showCatName val="0"/>
          <c:showSerName val="0"/>
          <c:showPercent val="0"/>
          <c:showBubbleSize val="0"/>
        </c:dLbls>
        <c:gapWidth val="50"/>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0"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Band Movement Matrix</a:t>
            </a:r>
          </a:p>
        </c:rich>
      </c:tx>
      <c:overlay val="0"/>
    </c:title>
    <c:autoTitleDeleted val="0"/>
    <c:plotArea>
      <c:layout/>
      <c:barChart>
        <c:barDir val="bar"/>
        <c:grouping val="clustered"/>
        <c:varyColors val="0"/>
        <c:ser>
          <c:idx val="0"/>
          <c:order val="0"/>
          <c:tx>
            <c:strRef>
              <c:f>Movement_Equity!$B$2</c:f>
              <c:strCache>
                <c:ptCount val="1"/>
                <c:pt idx="0">
                  <c:v>&lt;70</c:v>
                </c:pt>
              </c:strCache>
            </c:strRef>
          </c:tx>
          <c:spPr>
            <a:solidFill>
              <a:srgbClr val="1F4E79"/>
            </a:solidFill>
            <a:ln w="9000">
              <a:solidFill>
                <a:srgbClr val="1F4E79"/>
              </a:solidFill>
              <a:prstDash val="solid"/>
            </a:ln>
          </c:spPr>
          <c:invertIfNegative val="1"/>
          <c:cat>
            <c:strRef>
              <c:f>Movement_Equity!$A$3:$A$6</c:f>
              <c:strCache>
                <c:ptCount val="4"/>
                <c:pt idx="0">
                  <c:v>&lt;70</c:v>
                </c:pt>
                <c:pt idx="1">
                  <c:v>70-79</c:v>
                </c:pt>
                <c:pt idx="2">
                  <c:v>80-89</c:v>
                </c:pt>
                <c:pt idx="3">
                  <c:v>90+</c:v>
                </c:pt>
              </c:strCache>
            </c:strRef>
          </c:cat>
          <c:val>
            <c:numRef>
              <c:f>Movement_Equity!$B$3:$B$6</c:f>
              <c:numCache>
                <c:formatCode>General</c:formatCode>
                <c:ptCount val="4"/>
                <c:pt idx="0">
                  <c:v>0</c:v>
                </c:pt>
                <c:pt idx="1">
                  <c:v>2</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w="9000">
                    <a:solidFill>
                      <a:srgbClr val="1F4E79"/>
                    </a:solidFill>
                    <a:prstDash val="solid"/>
                  </a:ln>
                </c14:spPr>
              </c14:invertSolidFillFmt>
            </c:ext>
            <c:ext xmlns:c16="http://schemas.microsoft.com/office/drawing/2014/chart" uri="{C3380CC4-5D6E-409C-BE32-E72D297353CC}">
              <c16:uniqueId val="{00000000-AF8C-45E7-8549-45F3749401E5}"/>
            </c:ext>
          </c:extLst>
        </c:ser>
        <c:ser>
          <c:idx val="1"/>
          <c:order val="1"/>
          <c:tx>
            <c:strRef>
              <c:f>Movement_Equity!$C$2</c:f>
              <c:strCache>
                <c:ptCount val="1"/>
                <c:pt idx="0">
                  <c:v>70-79</c:v>
                </c:pt>
              </c:strCache>
            </c:strRef>
          </c:tx>
          <c:spPr>
            <a:solidFill>
              <a:srgbClr val="5B9BD5"/>
            </a:solidFill>
            <a:ln w="9000">
              <a:solidFill>
                <a:srgbClr val="5B9BD5"/>
              </a:solidFill>
              <a:prstDash val="solid"/>
            </a:ln>
          </c:spPr>
          <c:invertIfNegative val="1"/>
          <c:cat>
            <c:strRef>
              <c:f>Movement_Equity!$A$3:$A$6</c:f>
              <c:strCache>
                <c:ptCount val="4"/>
                <c:pt idx="0">
                  <c:v>&lt;70</c:v>
                </c:pt>
                <c:pt idx="1">
                  <c:v>70-79</c:v>
                </c:pt>
                <c:pt idx="2">
                  <c:v>80-89</c:v>
                </c:pt>
                <c:pt idx="3">
                  <c:v>90+</c:v>
                </c:pt>
              </c:strCache>
            </c:strRef>
          </c:cat>
          <c:val>
            <c:numRef>
              <c:f>Movement_Equity!$C$3:$C$6</c:f>
              <c:numCache>
                <c:formatCode>General</c:formatCode>
                <c:ptCount val="4"/>
                <c:pt idx="0">
                  <c:v>2</c:v>
                </c:pt>
                <c:pt idx="1">
                  <c:v>4</c:v>
                </c:pt>
                <c:pt idx="2">
                  <c:v>4</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w="9000">
                    <a:solidFill>
                      <a:srgbClr val="5B9BD5"/>
                    </a:solidFill>
                    <a:prstDash val="solid"/>
                  </a:ln>
                </c14:spPr>
              </c14:invertSolidFillFmt>
            </c:ext>
            <c:ext xmlns:c16="http://schemas.microsoft.com/office/drawing/2014/chart" uri="{C3380CC4-5D6E-409C-BE32-E72D297353CC}">
              <c16:uniqueId val="{00000001-AF8C-45E7-8549-45F3749401E5}"/>
            </c:ext>
          </c:extLst>
        </c:ser>
        <c:ser>
          <c:idx val="2"/>
          <c:order val="2"/>
          <c:tx>
            <c:strRef>
              <c:f>Movement_Equity!$D$2</c:f>
              <c:strCache>
                <c:ptCount val="1"/>
                <c:pt idx="0">
                  <c:v>80-89</c:v>
                </c:pt>
              </c:strCache>
            </c:strRef>
          </c:tx>
          <c:spPr>
            <a:solidFill>
              <a:srgbClr val="0F766E"/>
            </a:solidFill>
            <a:ln w="9000">
              <a:solidFill>
                <a:srgbClr val="0F766E"/>
              </a:solidFill>
              <a:prstDash val="solid"/>
            </a:ln>
          </c:spPr>
          <c:invertIfNegative val="1"/>
          <c:cat>
            <c:strRef>
              <c:f>Movement_Equity!$A$3:$A$6</c:f>
              <c:strCache>
                <c:ptCount val="4"/>
                <c:pt idx="0">
                  <c:v>&lt;70</c:v>
                </c:pt>
                <c:pt idx="1">
                  <c:v>70-79</c:v>
                </c:pt>
                <c:pt idx="2">
                  <c:v>80-89</c:v>
                </c:pt>
                <c:pt idx="3">
                  <c:v>90+</c:v>
                </c:pt>
              </c:strCache>
            </c:strRef>
          </c:cat>
          <c:val>
            <c:numRef>
              <c:f>Movement_Equity!$D$3:$D$6</c:f>
              <c:numCache>
                <c:formatCode>General</c:formatCode>
                <c:ptCount val="4"/>
                <c:pt idx="0">
                  <c:v>1</c:v>
                </c:pt>
                <c:pt idx="1">
                  <c:v>21</c:v>
                </c:pt>
                <c:pt idx="2">
                  <c:v>42</c:v>
                </c:pt>
                <c:pt idx="3">
                  <c:v>8</c:v>
                </c:pt>
              </c:numCache>
            </c:numRef>
          </c:val>
          <c:extLst>
            <c:ext xmlns:c14="http://schemas.microsoft.com/office/drawing/2007/8/2/chart" uri="{6F2FDCE9-48DA-4B69-8628-5D25D57E5C99}">
              <c14:invertSolidFillFmt>
                <c14:spPr xmlns:c14="http://schemas.microsoft.com/office/drawing/2007/8/2/chart">
                  <a:solidFill>
                    <a:srgbClr val="FFFFFF"/>
                  </a:solidFill>
                  <a:ln w="9000">
                    <a:solidFill>
                      <a:srgbClr val="0F766E"/>
                    </a:solidFill>
                    <a:prstDash val="solid"/>
                  </a:ln>
                </c14:spPr>
              </c14:invertSolidFillFmt>
            </c:ext>
            <c:ext xmlns:c16="http://schemas.microsoft.com/office/drawing/2014/chart" uri="{C3380CC4-5D6E-409C-BE32-E72D297353CC}">
              <c16:uniqueId val="{00000002-AF8C-45E7-8549-45F3749401E5}"/>
            </c:ext>
          </c:extLst>
        </c:ser>
        <c:ser>
          <c:idx val="3"/>
          <c:order val="3"/>
          <c:tx>
            <c:strRef>
              <c:f>Movement_Equity!$E$2</c:f>
              <c:strCache>
                <c:ptCount val="1"/>
                <c:pt idx="0">
                  <c:v>90+</c:v>
                </c:pt>
              </c:strCache>
            </c:strRef>
          </c:tx>
          <c:spPr>
            <a:solidFill>
              <a:srgbClr val="70AD47"/>
            </a:solidFill>
            <a:ln w="9000">
              <a:solidFill>
                <a:srgbClr val="70AD47"/>
              </a:solidFill>
              <a:prstDash val="solid"/>
            </a:ln>
          </c:spPr>
          <c:invertIfNegative val="1"/>
          <c:cat>
            <c:strRef>
              <c:f>Movement_Equity!$A$3:$A$6</c:f>
              <c:strCache>
                <c:ptCount val="4"/>
                <c:pt idx="0">
                  <c:v>&lt;70</c:v>
                </c:pt>
                <c:pt idx="1">
                  <c:v>70-79</c:v>
                </c:pt>
                <c:pt idx="2">
                  <c:v>80-89</c:v>
                </c:pt>
                <c:pt idx="3">
                  <c:v>90+</c:v>
                </c:pt>
              </c:strCache>
            </c:strRef>
          </c:cat>
          <c:val>
            <c:numRef>
              <c:f>Movement_Equity!$E$3:$E$6</c:f>
              <c:numCache>
                <c:formatCode>General</c:formatCode>
                <c:ptCount val="4"/>
                <c:pt idx="0">
                  <c:v>4</c:v>
                </c:pt>
                <c:pt idx="1">
                  <c:v>24</c:v>
                </c:pt>
                <c:pt idx="2">
                  <c:v>73</c:v>
                </c:pt>
                <c:pt idx="3">
                  <c:v>46</c:v>
                </c:pt>
              </c:numCache>
            </c:numRef>
          </c:val>
          <c:extLst>
            <c:ext xmlns:c14="http://schemas.microsoft.com/office/drawing/2007/8/2/chart" uri="{6F2FDCE9-48DA-4B69-8628-5D25D57E5C99}">
              <c14:invertSolidFillFmt>
                <c14:spPr xmlns:c14="http://schemas.microsoft.com/office/drawing/2007/8/2/chart">
                  <a:solidFill>
                    <a:srgbClr val="FFFFFF"/>
                  </a:solidFill>
                  <a:ln w="9000">
                    <a:solidFill>
                      <a:srgbClr val="70AD47"/>
                    </a:solidFill>
                    <a:prstDash val="solid"/>
                  </a:ln>
                </c14:spPr>
              </c14:invertSolidFillFmt>
            </c:ext>
            <c:ext xmlns:c16="http://schemas.microsoft.com/office/drawing/2014/chart" uri="{C3380CC4-5D6E-409C-BE32-E72D297353CC}">
              <c16:uniqueId val="{00000003-AF8C-45E7-8549-45F3749401E5}"/>
            </c:ext>
          </c:extLst>
        </c:ser>
        <c:dLbls>
          <c:showLegendKey val="0"/>
          <c:showVal val="0"/>
          <c:showCatName val="0"/>
          <c:showSerName val="0"/>
          <c:showPercent val="0"/>
          <c:showBubbleSize val="0"/>
        </c:dLbls>
        <c:gapWidth val="35"/>
        <c:axId val="48650112"/>
        <c:axId val="48672768"/>
      </c:barChart>
      <c:catAx>
        <c:axId val="48650112"/>
        <c:scaling>
          <c:orientation val="minMax"/>
        </c:scaling>
        <c:delete val="0"/>
        <c:axPos val="l"/>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numFmt formatCode="General"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Starter Group Gain Profile</a:t>
            </a:r>
          </a:p>
        </c:rich>
      </c:tx>
      <c:overlay val="0"/>
    </c:title>
    <c:autoTitleDeleted val="0"/>
    <c:plotArea>
      <c:layout/>
      <c:barChart>
        <c:barDir val="col"/>
        <c:grouping val="clustered"/>
        <c:varyColors val="0"/>
        <c:ser>
          <c:idx val="0"/>
          <c:order val="0"/>
          <c:tx>
            <c:strRef>
              <c:f>Movement_Equity!$C$9</c:f>
              <c:strCache>
                <c:ptCount val="1"/>
                <c:pt idx="0">
                  <c:v>Avg_Baseline</c:v>
                </c:pt>
              </c:strCache>
            </c:strRef>
          </c:tx>
          <c:spPr>
            <a:solidFill>
              <a:srgbClr val="0F766E"/>
            </a:solidFill>
            <a:ln w="9000">
              <a:solidFill>
                <a:srgbClr val="0F766E"/>
              </a:solidFill>
              <a:prstDash val="solid"/>
            </a:ln>
          </c:spPr>
          <c:invertIfNegative val="1"/>
          <c:cat>
            <c:strRef>
              <c:f>Movement_Equity!$A$10:$A$12</c:f>
              <c:strCache>
                <c:ptCount val="3"/>
                <c:pt idx="0">
                  <c:v>Low starter</c:v>
                </c:pt>
                <c:pt idx="1">
                  <c:v>Middle starter</c:v>
                </c:pt>
                <c:pt idx="2">
                  <c:v>High starter</c:v>
                </c:pt>
              </c:strCache>
            </c:strRef>
          </c:cat>
          <c:val>
            <c:numRef>
              <c:f>Movement_Equity!$C$10:$C$12</c:f>
              <c:numCache>
                <c:formatCode>0.00</c:formatCode>
                <c:ptCount val="3"/>
                <c:pt idx="0">
                  <c:v>59.633333333333333</c:v>
                </c:pt>
                <c:pt idx="1">
                  <c:v>72.409523809523805</c:v>
                </c:pt>
              </c:numCache>
            </c:numRef>
          </c:val>
          <c:extLst>
            <c:ext xmlns:c14="http://schemas.microsoft.com/office/drawing/2007/8/2/chart" uri="{6F2FDCE9-48DA-4B69-8628-5D25D57E5C99}">
              <c14:invertSolidFillFmt>
                <c14:spPr xmlns:c14="http://schemas.microsoft.com/office/drawing/2007/8/2/chart">
                  <a:solidFill>
                    <a:srgbClr val="FFFFFF"/>
                  </a:solidFill>
                  <a:ln w="9000">
                    <a:solidFill>
                      <a:srgbClr val="0F766E"/>
                    </a:solidFill>
                    <a:prstDash val="solid"/>
                  </a:ln>
                </c14:spPr>
              </c14:invertSolidFillFmt>
            </c:ext>
            <c:ext xmlns:c16="http://schemas.microsoft.com/office/drawing/2014/chart" uri="{C3380CC4-5D6E-409C-BE32-E72D297353CC}">
              <c16:uniqueId val="{00000000-C865-4E1D-80F9-9F4A06CA71D0}"/>
            </c:ext>
          </c:extLst>
        </c:ser>
        <c:ser>
          <c:idx val="1"/>
          <c:order val="1"/>
          <c:tx>
            <c:strRef>
              <c:f>Movement_Equity!$D$9</c:f>
              <c:strCache>
                <c:ptCount val="1"/>
                <c:pt idx="0">
                  <c:v>Avg_Gain</c:v>
                </c:pt>
              </c:strCache>
            </c:strRef>
          </c:tx>
          <c:spPr>
            <a:solidFill>
              <a:srgbClr val="1F4E79"/>
            </a:solidFill>
            <a:ln w="9000">
              <a:solidFill>
                <a:srgbClr val="1F4E79"/>
              </a:solidFill>
              <a:prstDash val="solid"/>
            </a:ln>
          </c:spPr>
          <c:invertIfNegative val="1"/>
          <c:cat>
            <c:strRef>
              <c:f>Movement_Equity!$A$10:$A$12</c:f>
              <c:strCache>
                <c:ptCount val="3"/>
                <c:pt idx="0">
                  <c:v>Low starter</c:v>
                </c:pt>
                <c:pt idx="1">
                  <c:v>Middle starter</c:v>
                </c:pt>
                <c:pt idx="2">
                  <c:v>High starter</c:v>
                </c:pt>
              </c:strCache>
            </c:strRef>
          </c:cat>
          <c:val>
            <c:numRef>
              <c:f>Movement_Equity!$D$10:$D$12</c:f>
              <c:numCache>
                <c:formatCode>0.0%</c:formatCode>
                <c:ptCount val="3"/>
                <c:pt idx="0">
                  <c:v>7.9209999999999967</c:v>
                </c:pt>
                <c:pt idx="1">
                  <c:v>-0.31771428571428217</c:v>
                </c:pt>
              </c:numCache>
            </c:numRef>
          </c:val>
          <c:extLst>
            <c:ext xmlns:c14="http://schemas.microsoft.com/office/drawing/2007/8/2/chart" uri="{6F2FDCE9-48DA-4B69-8628-5D25D57E5C99}">
              <c14:invertSolidFillFmt>
                <c14:spPr xmlns:c14="http://schemas.microsoft.com/office/drawing/2007/8/2/chart">
                  <a:solidFill>
                    <a:srgbClr val="FFFFFF"/>
                  </a:solidFill>
                  <a:ln w="9000">
                    <a:solidFill>
                      <a:srgbClr val="1F4E79"/>
                    </a:solidFill>
                    <a:prstDash val="solid"/>
                  </a:ln>
                </c14:spPr>
              </c14:invertSolidFillFmt>
            </c:ext>
            <c:ext xmlns:c16="http://schemas.microsoft.com/office/drawing/2014/chart" uri="{C3380CC4-5D6E-409C-BE32-E72D297353CC}">
              <c16:uniqueId val="{00000001-C865-4E1D-80F9-9F4A06CA71D0}"/>
            </c:ext>
          </c:extLst>
        </c:ser>
        <c:ser>
          <c:idx val="2"/>
          <c:order val="2"/>
          <c:tx>
            <c:strRef>
              <c:f>Movement_Equity!$E$9</c:f>
              <c:strCache>
                <c:ptCount val="1"/>
                <c:pt idx="0">
                  <c:v>%Improved</c:v>
                </c:pt>
              </c:strCache>
            </c:strRef>
          </c:tx>
          <c:spPr>
            <a:solidFill>
              <a:srgbClr val="ED7D31"/>
            </a:solidFill>
            <a:ln w="9000">
              <a:solidFill>
                <a:srgbClr val="ED7D31"/>
              </a:solidFill>
              <a:prstDash val="solid"/>
            </a:ln>
          </c:spPr>
          <c:invertIfNegative val="1"/>
          <c:cat>
            <c:strRef>
              <c:f>Movement_Equity!$A$10:$A$12</c:f>
              <c:strCache>
                <c:ptCount val="3"/>
                <c:pt idx="0">
                  <c:v>Low starter</c:v>
                </c:pt>
                <c:pt idx="1">
                  <c:v>Middle starter</c:v>
                </c:pt>
                <c:pt idx="2">
                  <c:v>High starter</c:v>
                </c:pt>
              </c:strCache>
            </c:strRef>
          </c:cat>
          <c:val>
            <c:numRef>
              <c:f>Movement_Equity!$E$10:$E$12</c:f>
              <c:numCache>
                <c:formatCode>0.00</c:formatCode>
                <c:ptCount val="3"/>
                <c:pt idx="0">
                  <c:v>0.92307692307692313</c:v>
                </c:pt>
                <c:pt idx="1">
                  <c:v>0.5714285714285714</c:v>
                </c:pt>
              </c:numCache>
            </c:numRef>
          </c:val>
          <c:extLst>
            <c:ext xmlns:c14="http://schemas.microsoft.com/office/drawing/2007/8/2/chart" uri="{6F2FDCE9-48DA-4B69-8628-5D25D57E5C99}">
              <c14:invertSolidFillFmt>
                <c14:spPr xmlns:c14="http://schemas.microsoft.com/office/drawing/2007/8/2/chart">
                  <a:solidFill>
                    <a:srgbClr val="FFFFFF"/>
                  </a:solidFill>
                  <a:ln w="9000">
                    <a:solidFill>
                      <a:srgbClr val="ED7D31"/>
                    </a:solidFill>
                    <a:prstDash val="solid"/>
                  </a:ln>
                </c14:spPr>
              </c14:invertSolidFillFmt>
            </c:ext>
            <c:ext xmlns:c16="http://schemas.microsoft.com/office/drawing/2014/chart" uri="{C3380CC4-5D6E-409C-BE32-E72D297353CC}">
              <c16:uniqueId val="{00000002-C865-4E1D-80F9-9F4A06CA71D0}"/>
            </c:ext>
          </c:extLst>
        </c:ser>
        <c:ser>
          <c:idx val="3"/>
          <c:order val="3"/>
          <c:tx>
            <c:strRef>
              <c:f>Movement_Equity!$F$9</c:f>
              <c:strCache>
                <c:ptCount val="1"/>
                <c:pt idx="0">
                  <c:v>Avg_Exit</c:v>
                </c:pt>
              </c:strCache>
            </c:strRef>
          </c:tx>
          <c:spPr>
            <a:solidFill>
              <a:srgbClr val="70AD47"/>
            </a:solidFill>
            <a:ln w="9000">
              <a:solidFill>
                <a:srgbClr val="70AD47"/>
              </a:solidFill>
              <a:prstDash val="solid"/>
            </a:ln>
          </c:spPr>
          <c:invertIfNegative val="1"/>
          <c:cat>
            <c:strRef>
              <c:f>Movement_Equity!$A$10:$A$12</c:f>
              <c:strCache>
                <c:ptCount val="3"/>
                <c:pt idx="0">
                  <c:v>Low starter</c:v>
                </c:pt>
                <c:pt idx="1">
                  <c:v>Middle starter</c:v>
                </c:pt>
                <c:pt idx="2">
                  <c:v>High starter</c:v>
                </c:pt>
              </c:strCache>
            </c:strRef>
          </c:cat>
          <c:val>
            <c:numRef>
              <c:f>Movement_Equity!$F$10:$F$12</c:f>
              <c:numCache>
                <c:formatCode>0.0%</c:formatCode>
                <c:ptCount val="3"/>
                <c:pt idx="0">
                  <c:v>92.420538461538484</c:v>
                </c:pt>
                <c:pt idx="1">
                  <c:v>91.810857142857145</c:v>
                </c:pt>
              </c:numCache>
            </c:numRef>
          </c:val>
          <c:extLst>
            <c:ext xmlns:c14="http://schemas.microsoft.com/office/drawing/2007/8/2/chart" uri="{6F2FDCE9-48DA-4B69-8628-5D25D57E5C99}">
              <c14:invertSolidFillFmt>
                <c14:spPr xmlns:c14="http://schemas.microsoft.com/office/drawing/2007/8/2/chart">
                  <a:solidFill>
                    <a:srgbClr val="FFFFFF"/>
                  </a:solidFill>
                  <a:ln w="9000">
                    <a:solidFill>
                      <a:srgbClr val="70AD47"/>
                    </a:solidFill>
                    <a:prstDash val="solid"/>
                  </a:ln>
                </c14:spPr>
              </c14:invertSolidFillFmt>
            </c:ext>
            <c:ext xmlns:c16="http://schemas.microsoft.com/office/drawing/2014/chart" uri="{C3380CC4-5D6E-409C-BE32-E72D297353CC}">
              <c16:uniqueId val="{00000003-C865-4E1D-80F9-9F4A06CA71D0}"/>
            </c:ext>
          </c:extLst>
        </c:ser>
        <c:dLbls>
          <c:showLegendKey val="0"/>
          <c:showVal val="0"/>
          <c:showCatName val="0"/>
          <c:showSerName val="0"/>
          <c:showPercent val="0"/>
          <c:showBubbleSize val="0"/>
        </c:dLbls>
        <c:gapWidth val="45"/>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0"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Competitions, Achievements &amp; Participation</a:t>
            </a:r>
          </a:p>
        </c:rich>
      </c:tx>
      <c:overlay val="0"/>
    </c:title>
    <c:autoTitleDeleted val="0"/>
    <c:plotArea>
      <c:layout/>
      <c:barChart>
        <c:barDir val="col"/>
        <c:grouping val="clustered"/>
        <c:varyColors val="0"/>
        <c:ser>
          <c:idx val="0"/>
          <c:order val="0"/>
          <c:tx>
            <c:strRef>
              <c:f>Engagement_Indicators!$B$2</c:f>
              <c:strCache>
                <c:ptCount val="1"/>
                <c:pt idx="0">
                  <c:v>Competitions</c:v>
                </c:pt>
              </c:strCache>
            </c:strRef>
          </c:tx>
          <c:spPr>
            <a:solidFill>
              <a:srgbClr val="1F4E79"/>
            </a:solidFill>
            <a:ln w="10000">
              <a:solidFill>
                <a:srgbClr val="1F4E79"/>
              </a:solidFill>
              <a:prstDash val="solid"/>
            </a:ln>
          </c:spPr>
          <c:invertIfNegative val="1"/>
          <c:cat>
            <c:strRef>
              <c:f>Engagement_Indicators!$A$3:$A$7</c:f>
              <c:strCache>
                <c:ptCount val="5"/>
                <c:pt idx="0">
                  <c:v>2018/2019</c:v>
                </c:pt>
                <c:pt idx="1">
                  <c:v>2019/2020</c:v>
                </c:pt>
                <c:pt idx="2">
                  <c:v>2020/2021</c:v>
                </c:pt>
                <c:pt idx="3">
                  <c:v>2021/2022</c:v>
                </c:pt>
                <c:pt idx="4">
                  <c:v>2022/2023</c:v>
                </c:pt>
              </c:strCache>
            </c:strRef>
          </c:cat>
          <c:val>
            <c:numRef>
              <c:f>Engagement_Indicators!$B$3:$B$7</c:f>
              <c:numCache>
                <c:formatCode>General</c:formatCode>
                <c:ptCount val="5"/>
                <c:pt idx="0">
                  <c:v>14</c:v>
                </c:pt>
                <c:pt idx="1">
                  <c:v>13</c:v>
                </c:pt>
                <c:pt idx="2">
                  <c:v>14</c:v>
                </c:pt>
                <c:pt idx="3">
                  <c:v>23</c:v>
                </c:pt>
                <c:pt idx="4">
                  <c:v>32</c:v>
                </c:pt>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1F4E79"/>
                    </a:solidFill>
                    <a:prstDash val="solid"/>
                  </a:ln>
                </c14:spPr>
              </c14:invertSolidFillFmt>
            </c:ext>
            <c:ext xmlns:c16="http://schemas.microsoft.com/office/drawing/2014/chart" uri="{C3380CC4-5D6E-409C-BE32-E72D297353CC}">
              <c16:uniqueId val="{00000000-4374-4508-8E6F-1BA8E50CA7F3}"/>
            </c:ext>
          </c:extLst>
        </c:ser>
        <c:ser>
          <c:idx val="1"/>
          <c:order val="1"/>
          <c:tx>
            <c:strRef>
              <c:f>Engagement_Indicators!$C$2</c:f>
              <c:strCache>
                <c:ptCount val="1"/>
                <c:pt idx="0">
                  <c:v>Achievements</c:v>
                </c:pt>
              </c:strCache>
            </c:strRef>
          </c:tx>
          <c:spPr>
            <a:solidFill>
              <a:srgbClr val="0F766E"/>
            </a:solidFill>
            <a:ln w="10000">
              <a:solidFill>
                <a:srgbClr val="0F766E"/>
              </a:solidFill>
              <a:prstDash val="solid"/>
            </a:ln>
          </c:spPr>
          <c:invertIfNegative val="1"/>
          <c:cat>
            <c:strRef>
              <c:f>Engagement_Indicators!$A$3:$A$7</c:f>
              <c:strCache>
                <c:ptCount val="5"/>
                <c:pt idx="0">
                  <c:v>2018/2019</c:v>
                </c:pt>
                <c:pt idx="1">
                  <c:v>2019/2020</c:v>
                </c:pt>
                <c:pt idx="2">
                  <c:v>2020/2021</c:v>
                </c:pt>
                <c:pt idx="3">
                  <c:v>2021/2022</c:v>
                </c:pt>
                <c:pt idx="4">
                  <c:v>2022/2023</c:v>
                </c:pt>
              </c:strCache>
            </c:strRef>
          </c:cat>
          <c:val>
            <c:numRef>
              <c:f>Engagement_Indicators!$C$3:$C$7</c:f>
              <c:numCache>
                <c:formatCode>General</c:formatCode>
                <c:ptCount val="5"/>
                <c:pt idx="0">
                  <c:v>21</c:v>
                </c:pt>
                <c:pt idx="1">
                  <c:v>23</c:v>
                </c:pt>
                <c:pt idx="2">
                  <c:v>32</c:v>
                </c:pt>
                <c:pt idx="3">
                  <c:v>61</c:v>
                </c:pt>
                <c:pt idx="4">
                  <c:v>68</c:v>
                </c:pt>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0F766E"/>
                    </a:solidFill>
                    <a:prstDash val="solid"/>
                  </a:ln>
                </c14:spPr>
              </c14:invertSolidFillFmt>
            </c:ext>
            <c:ext xmlns:c16="http://schemas.microsoft.com/office/drawing/2014/chart" uri="{C3380CC4-5D6E-409C-BE32-E72D297353CC}">
              <c16:uniqueId val="{00000001-4374-4508-8E6F-1BA8E50CA7F3}"/>
            </c:ext>
          </c:extLst>
        </c:ser>
        <c:ser>
          <c:idx val="2"/>
          <c:order val="2"/>
          <c:tx>
            <c:strRef>
              <c:f>Engagement_Indicators!$D$2</c:f>
              <c:strCache>
                <c:ptCount val="1"/>
                <c:pt idx="0">
                  <c:v>Participating_Students</c:v>
                </c:pt>
              </c:strCache>
            </c:strRef>
          </c:tx>
          <c:spPr>
            <a:solidFill>
              <a:srgbClr val="ED7D31"/>
            </a:solidFill>
            <a:ln w="10000">
              <a:solidFill>
                <a:srgbClr val="ED7D31"/>
              </a:solidFill>
              <a:prstDash val="solid"/>
            </a:ln>
          </c:spPr>
          <c:invertIfNegative val="1"/>
          <c:cat>
            <c:strRef>
              <c:f>Engagement_Indicators!$A$3:$A$7</c:f>
              <c:strCache>
                <c:ptCount val="5"/>
                <c:pt idx="0">
                  <c:v>2018/2019</c:v>
                </c:pt>
                <c:pt idx="1">
                  <c:v>2019/2020</c:v>
                </c:pt>
                <c:pt idx="2">
                  <c:v>2020/2021</c:v>
                </c:pt>
                <c:pt idx="3">
                  <c:v>2021/2022</c:v>
                </c:pt>
                <c:pt idx="4">
                  <c:v>2022/2023</c:v>
                </c:pt>
              </c:strCache>
            </c:strRef>
          </c:cat>
          <c:val>
            <c:numRef>
              <c:f>Engagement_Indicators!$D$3:$D$7</c:f>
              <c:numCache>
                <c:formatCode>General</c:formatCode>
                <c:ptCount val="5"/>
                <c:pt idx="0">
                  <c:v>50</c:v>
                </c:pt>
                <c:pt idx="1">
                  <c:v>52</c:v>
                </c:pt>
                <c:pt idx="2">
                  <c:v>61</c:v>
                </c:pt>
                <c:pt idx="3">
                  <c:v>123</c:v>
                </c:pt>
                <c:pt idx="4">
                  <c:v>180</c:v>
                </c:pt>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ED7D31"/>
                    </a:solidFill>
                    <a:prstDash val="solid"/>
                  </a:ln>
                </c14:spPr>
              </c14:invertSolidFillFmt>
            </c:ext>
            <c:ext xmlns:c16="http://schemas.microsoft.com/office/drawing/2014/chart" uri="{C3380CC4-5D6E-409C-BE32-E72D297353CC}">
              <c16:uniqueId val="{00000002-4374-4508-8E6F-1BA8E50CA7F3}"/>
            </c:ext>
          </c:extLst>
        </c:ser>
        <c:dLbls>
          <c:showLegendKey val="0"/>
          <c:showVal val="0"/>
          <c:showCatName val="0"/>
          <c:showSerName val="0"/>
          <c:showPercent val="0"/>
          <c:showBubbleSize val="0"/>
        </c:dLbls>
        <c:gapWidth val="45"/>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General"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4-Year QSTSS Subject Trajectory</a:t>
            </a:r>
          </a:p>
        </c:rich>
      </c:tx>
      <c:overlay val="0"/>
    </c:title>
    <c:autoTitleDeleted val="0"/>
    <c:plotArea>
      <c:layout/>
      <c:lineChart>
        <c:grouping val="standard"/>
        <c:varyColors val="0"/>
        <c:ser>
          <c:idx val="0"/>
          <c:order val="0"/>
          <c:tx>
            <c:strRef>
              <c:f>Student_Profile!$I$2</c:f>
              <c:strCache>
                <c:ptCount val="1"/>
                <c:pt idx="0">
                  <c:v>RAW</c:v>
                </c:pt>
              </c:strCache>
            </c:strRef>
          </c:tx>
          <c:spPr>
            <a:ln w="22000">
              <a:solidFill>
                <a:srgbClr val="5B9BD5"/>
              </a:solidFill>
              <a:prstDash val="solid"/>
            </a:ln>
          </c:spPr>
          <c:marker>
            <c:symbol val="none"/>
          </c:marker>
          <c:cat>
            <c:numRef>
              <c:f>Student_Profile!$H$3:$H$6</c:f>
              <c:numCache>
                <c:formatCode>General</c:formatCode>
                <c:ptCount val="4"/>
                <c:pt idx="0">
                  <c:v>1</c:v>
                </c:pt>
                <c:pt idx="1">
                  <c:v>2</c:v>
                </c:pt>
                <c:pt idx="2">
                  <c:v>3</c:v>
                </c:pt>
                <c:pt idx="3">
                  <c:v>4</c:v>
                </c:pt>
              </c:numCache>
            </c:numRef>
          </c:cat>
          <c:val>
            <c:numRef>
              <c:f>Student_Profile!$I$3:$I$6</c:f>
              <c:numCache>
                <c:formatCode>General</c:formatCode>
                <c:ptCount val="4"/>
                <c:pt idx="0">
                  <c:v>77.61</c:v>
                </c:pt>
                <c:pt idx="1">
                  <c:v>81.36</c:v>
                </c:pt>
                <c:pt idx="2">
                  <c:v>86.15</c:v>
                </c:pt>
                <c:pt idx="3">
                  <c:v>90.19</c:v>
                </c:pt>
              </c:numCache>
            </c:numRef>
          </c:val>
          <c:smooth val="0"/>
          <c:extLst>
            <c:ext xmlns:c16="http://schemas.microsoft.com/office/drawing/2014/chart" uri="{C3380CC4-5D6E-409C-BE32-E72D297353CC}">
              <c16:uniqueId val="{00000000-27D5-474B-9A15-4C9194733821}"/>
            </c:ext>
          </c:extLst>
        </c:ser>
        <c:ser>
          <c:idx val="1"/>
          <c:order val="1"/>
          <c:tx>
            <c:strRef>
              <c:f>Student_Profile!$J$2</c:f>
              <c:strCache>
                <c:ptCount val="1"/>
                <c:pt idx="0">
                  <c:v>NSIS</c:v>
                </c:pt>
              </c:strCache>
            </c:strRef>
          </c:tx>
          <c:spPr>
            <a:ln w="22000">
              <a:solidFill>
                <a:srgbClr val="C0504D"/>
              </a:solidFill>
              <a:prstDash val="solid"/>
            </a:ln>
          </c:spPr>
          <c:marker>
            <c:symbol val="none"/>
          </c:marker>
          <c:cat>
            <c:numRef>
              <c:f>Student_Profile!$H$3:$H$6</c:f>
              <c:numCache>
                <c:formatCode>General</c:formatCode>
                <c:ptCount val="4"/>
                <c:pt idx="0">
                  <c:v>1</c:v>
                </c:pt>
                <c:pt idx="1">
                  <c:v>2</c:v>
                </c:pt>
                <c:pt idx="2">
                  <c:v>3</c:v>
                </c:pt>
                <c:pt idx="3">
                  <c:v>4</c:v>
                </c:pt>
              </c:numCache>
            </c:numRef>
          </c:cat>
          <c:val>
            <c:numRef>
              <c:f>Student_Profile!$J$3:$J$6</c:f>
              <c:numCache>
                <c:formatCode>General</c:formatCode>
                <c:ptCount val="4"/>
                <c:pt idx="0">
                  <c:v>81.61</c:v>
                </c:pt>
                <c:pt idx="1">
                  <c:v>83.36</c:v>
                </c:pt>
                <c:pt idx="2">
                  <c:v>90.15</c:v>
                </c:pt>
                <c:pt idx="3">
                  <c:v>94.19</c:v>
                </c:pt>
              </c:numCache>
            </c:numRef>
          </c:val>
          <c:smooth val="0"/>
          <c:extLst>
            <c:ext xmlns:c16="http://schemas.microsoft.com/office/drawing/2014/chart" uri="{C3380CC4-5D6E-409C-BE32-E72D297353CC}">
              <c16:uniqueId val="{00000001-27D5-474B-9A15-4C9194733821}"/>
            </c:ext>
          </c:extLst>
        </c:ser>
        <c:ser>
          <c:idx val="2"/>
          <c:order val="2"/>
          <c:tx>
            <c:strRef>
              <c:f>Student_Profile!$K$2</c:f>
              <c:strCache>
                <c:ptCount val="1"/>
                <c:pt idx="0">
                  <c:v>STEM</c:v>
                </c:pt>
              </c:strCache>
            </c:strRef>
          </c:tx>
          <c:spPr>
            <a:ln w="22000">
              <a:solidFill>
                <a:srgbClr val="70AD47"/>
              </a:solidFill>
              <a:prstDash val="solid"/>
            </a:ln>
          </c:spPr>
          <c:marker>
            <c:symbol val="none"/>
          </c:marker>
          <c:cat>
            <c:numRef>
              <c:f>Student_Profile!$H$3:$H$6</c:f>
              <c:numCache>
                <c:formatCode>General</c:formatCode>
                <c:ptCount val="4"/>
                <c:pt idx="0">
                  <c:v>1</c:v>
                </c:pt>
                <c:pt idx="1">
                  <c:v>2</c:v>
                </c:pt>
                <c:pt idx="2">
                  <c:v>3</c:v>
                </c:pt>
                <c:pt idx="3">
                  <c:v>4</c:v>
                </c:pt>
              </c:numCache>
            </c:numRef>
          </c:cat>
          <c:val>
            <c:numRef>
              <c:f>Student_Profile!$K$3:$K$6</c:f>
              <c:numCache>
                <c:formatCode>General</c:formatCode>
                <c:ptCount val="4"/>
                <c:pt idx="0">
                  <c:v>82</c:v>
                </c:pt>
                <c:pt idx="1">
                  <c:v>76</c:v>
                </c:pt>
                <c:pt idx="2">
                  <c:v>84</c:v>
                </c:pt>
                <c:pt idx="3">
                  <c:v>96</c:v>
                </c:pt>
              </c:numCache>
            </c:numRef>
          </c:val>
          <c:smooth val="0"/>
          <c:extLst>
            <c:ext xmlns:c16="http://schemas.microsoft.com/office/drawing/2014/chart" uri="{C3380CC4-5D6E-409C-BE32-E72D297353CC}">
              <c16:uniqueId val="{00000002-27D5-474B-9A15-4C9194733821}"/>
            </c:ext>
          </c:extLst>
        </c:ser>
        <c:ser>
          <c:idx val="3"/>
          <c:order val="3"/>
          <c:tx>
            <c:strRef>
              <c:f>Student_Profile!$L$2</c:f>
              <c:strCache>
                <c:ptCount val="1"/>
                <c:pt idx="0">
                  <c:v>English</c:v>
                </c:pt>
              </c:strCache>
            </c:strRef>
          </c:tx>
          <c:spPr>
            <a:ln w="22000">
              <a:solidFill>
                <a:srgbClr val="8064A2"/>
              </a:solidFill>
              <a:prstDash val="solid"/>
            </a:ln>
          </c:spPr>
          <c:marker>
            <c:symbol val="none"/>
          </c:marker>
          <c:cat>
            <c:numRef>
              <c:f>Student_Profile!$H$3:$H$6</c:f>
              <c:numCache>
                <c:formatCode>General</c:formatCode>
                <c:ptCount val="4"/>
                <c:pt idx="0">
                  <c:v>1</c:v>
                </c:pt>
                <c:pt idx="1">
                  <c:v>2</c:v>
                </c:pt>
                <c:pt idx="2">
                  <c:v>3</c:v>
                </c:pt>
                <c:pt idx="3">
                  <c:v>4</c:v>
                </c:pt>
              </c:numCache>
            </c:numRef>
          </c:cat>
          <c:val>
            <c:numRef>
              <c:f>Student_Profile!$L$3:$L$6</c:f>
              <c:numCache>
                <c:formatCode>General</c:formatCode>
                <c:ptCount val="4"/>
                <c:pt idx="0">
                  <c:v>81</c:v>
                </c:pt>
                <c:pt idx="1">
                  <c:v>67</c:v>
                </c:pt>
                <c:pt idx="2">
                  <c:v>93.5</c:v>
                </c:pt>
                <c:pt idx="3">
                  <c:v>93</c:v>
                </c:pt>
              </c:numCache>
            </c:numRef>
          </c:val>
          <c:smooth val="0"/>
          <c:extLst>
            <c:ext xmlns:c16="http://schemas.microsoft.com/office/drawing/2014/chart" uri="{C3380CC4-5D6E-409C-BE32-E72D297353CC}">
              <c16:uniqueId val="{00000003-27D5-474B-9A15-4C9194733821}"/>
            </c:ext>
          </c:extLst>
        </c:ser>
        <c:ser>
          <c:idx val="4"/>
          <c:order val="4"/>
          <c:tx>
            <c:strRef>
              <c:f>Student_Profile!$M$2</c:f>
              <c:strCache>
                <c:ptCount val="1"/>
                <c:pt idx="0">
                  <c:v>Math</c:v>
                </c:pt>
              </c:strCache>
            </c:strRef>
          </c:tx>
          <c:spPr>
            <a:ln w="22000">
              <a:solidFill>
                <a:srgbClr val="0F766E"/>
              </a:solidFill>
              <a:prstDash val="solid"/>
            </a:ln>
          </c:spPr>
          <c:marker>
            <c:symbol val="none"/>
          </c:marker>
          <c:cat>
            <c:numRef>
              <c:f>Student_Profile!$H$3:$H$6</c:f>
              <c:numCache>
                <c:formatCode>General</c:formatCode>
                <c:ptCount val="4"/>
                <c:pt idx="0">
                  <c:v>1</c:v>
                </c:pt>
                <c:pt idx="1">
                  <c:v>2</c:v>
                </c:pt>
                <c:pt idx="2">
                  <c:v>3</c:v>
                </c:pt>
                <c:pt idx="3">
                  <c:v>4</c:v>
                </c:pt>
              </c:numCache>
            </c:numRef>
          </c:cat>
          <c:val>
            <c:numRef>
              <c:f>Student_Profile!$M$3:$M$6</c:f>
              <c:numCache>
                <c:formatCode>General</c:formatCode>
                <c:ptCount val="4"/>
                <c:pt idx="0">
                  <c:v>71.099999999999994</c:v>
                </c:pt>
                <c:pt idx="1">
                  <c:v>79.3</c:v>
                </c:pt>
                <c:pt idx="2">
                  <c:v>83.5</c:v>
                </c:pt>
                <c:pt idx="3">
                  <c:v>88.5</c:v>
                </c:pt>
              </c:numCache>
            </c:numRef>
          </c:val>
          <c:smooth val="0"/>
          <c:extLst>
            <c:ext xmlns:c16="http://schemas.microsoft.com/office/drawing/2014/chart" uri="{C3380CC4-5D6E-409C-BE32-E72D297353CC}">
              <c16:uniqueId val="{00000004-27D5-474B-9A15-4C919473382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General"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Pre-QSTSS to Graduation</a:t>
            </a:r>
          </a:p>
        </c:rich>
      </c:tx>
      <c:overlay val="0"/>
    </c:title>
    <c:autoTitleDeleted val="0"/>
    <c:plotArea>
      <c:layout/>
      <c:barChart>
        <c:barDir val="bar"/>
        <c:grouping val="clustered"/>
        <c:varyColors val="0"/>
        <c:ser>
          <c:idx val="0"/>
          <c:order val="0"/>
          <c:tx>
            <c:strRef>
              <c:f>Student_Profile!$O$2</c:f>
              <c:strCache>
                <c:ptCount val="1"/>
                <c:pt idx="0">
                  <c:v>Score</c:v>
                </c:pt>
              </c:strCache>
            </c:strRef>
          </c:tx>
          <c:spPr>
            <a:solidFill>
              <a:srgbClr val="5B9BD5"/>
            </a:solidFill>
            <a:ln w="12000">
              <a:solidFill>
                <a:srgbClr val="5B9BD5"/>
              </a:solidFill>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Student_Profile!$N$3:$N$6</c:f>
              <c:strCache>
                <c:ptCount val="4"/>
                <c:pt idx="0">
                  <c:v>Pre-QSTSS</c:v>
                </c:pt>
                <c:pt idx="1">
                  <c:v>Entry</c:v>
                </c:pt>
                <c:pt idx="2">
                  <c:v>Exit</c:v>
                </c:pt>
                <c:pt idx="3">
                  <c:v>Final secondary</c:v>
                </c:pt>
              </c:strCache>
            </c:strRef>
          </c:cat>
          <c:val>
            <c:numRef>
              <c:f>Student_Profile!$O$3:$O$6</c:f>
              <c:numCache>
                <c:formatCode>General</c:formatCode>
                <c:ptCount val="4"/>
                <c:pt idx="0">
                  <c:v>50.535211267605632</c:v>
                </c:pt>
                <c:pt idx="1">
                  <c:v>78.664000000000016</c:v>
                </c:pt>
                <c:pt idx="2">
                  <c:v>92.376000000000005</c:v>
                </c:pt>
                <c:pt idx="3">
                  <c:v>94.19</c:v>
                </c:pt>
              </c:numCache>
            </c:numRef>
          </c:val>
          <c:extLst>
            <c:ext xmlns:c14="http://schemas.microsoft.com/office/drawing/2007/8/2/chart" uri="{6F2FDCE9-48DA-4B69-8628-5D25D57E5C99}">
              <c14:invertSolidFillFmt>
                <c14:spPr xmlns:c14="http://schemas.microsoft.com/office/drawing/2007/8/2/chart">
                  <a:solidFill>
                    <a:srgbClr val="FFFFFF"/>
                  </a:solidFill>
                  <a:ln w="12000">
                    <a:solidFill>
                      <a:srgbClr val="5B9BD5"/>
                    </a:solidFill>
                    <a:prstDash val="solid"/>
                  </a:ln>
                </c14:spPr>
              </c14:invertSolidFillFmt>
            </c:ext>
            <c:ext xmlns:c16="http://schemas.microsoft.com/office/drawing/2014/chart" uri="{C3380CC4-5D6E-409C-BE32-E72D297353CC}">
              <c16:uniqueId val="{00000000-ED6C-4F9A-8E53-5FB03A24C0D1}"/>
            </c:ext>
          </c:extLst>
        </c:ser>
        <c:dLbls>
          <c:showLegendKey val="0"/>
          <c:showVal val="1"/>
          <c:showCatName val="0"/>
          <c:showSerName val="0"/>
          <c:showPercent val="0"/>
          <c:showBubbleSize val="0"/>
        </c:dLbls>
        <c:gapWidth val="60"/>
        <c:axId val="48650112"/>
        <c:axId val="48672768"/>
      </c:barChart>
      <c:catAx>
        <c:axId val="48650112"/>
        <c:scaling>
          <c:orientation val="minMax"/>
        </c:scaling>
        <c:delete val="0"/>
        <c:axPos val="l"/>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numFmt formatCode="General"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Cognitive Profile</a:t>
            </a:r>
          </a:p>
        </c:rich>
      </c:tx>
      <c:overlay val="0"/>
    </c:title>
    <c:autoTitleDeleted val="0"/>
    <c:plotArea>
      <c:layout/>
      <c:radarChart>
        <c:radarStyle val="marker"/>
        <c:varyColors val="1"/>
        <c:ser>
          <c:idx val="0"/>
          <c:order val="0"/>
          <c:tx>
            <c:strRef>
              <c:f>Student_Profile!$R$2</c:f>
              <c:strCache>
                <c:ptCount val="1"/>
                <c:pt idx="0">
                  <c:v>Baseline</c:v>
                </c:pt>
              </c:strCache>
            </c:strRef>
          </c:tx>
          <c:spPr>
            <a:ln w="26000">
              <a:solidFill>
                <a:srgbClr val="5B9BD5"/>
              </a:solidFill>
              <a:prstDash val="solid"/>
            </a:ln>
          </c:spPr>
          <c:marker>
            <c:symbol val="circle"/>
            <c:size val="7"/>
            <c:spPr>
              <a:ln>
                <a:prstDash val="solid"/>
              </a:ln>
            </c:spPr>
          </c:marker>
          <c:cat>
            <c:strRef>
              <c:f>Student_Profile!$Q$3:$Q$6</c:f>
              <c:strCache>
                <c:ptCount val="4"/>
                <c:pt idx="0">
                  <c:v>Verbal SAS</c:v>
                </c:pt>
                <c:pt idx="1">
                  <c:v>Quantitative SAS</c:v>
                </c:pt>
                <c:pt idx="2">
                  <c:v>Non-verbal SAS</c:v>
                </c:pt>
                <c:pt idx="3">
                  <c:v>Spatial SAS</c:v>
                </c:pt>
              </c:strCache>
            </c:strRef>
          </c:cat>
          <c:val>
            <c:numRef>
              <c:f>Student_Profile!$R$3:$R$6</c:f>
              <c:numCache>
                <c:formatCode>General</c:formatCode>
                <c:ptCount val="4"/>
                <c:pt idx="0">
                  <c:v>85</c:v>
                </c:pt>
                <c:pt idx="1">
                  <c:v>90</c:v>
                </c:pt>
                <c:pt idx="2">
                  <c:v>97</c:v>
                </c:pt>
                <c:pt idx="3">
                  <c:v>111</c:v>
                </c:pt>
              </c:numCache>
            </c:numRef>
          </c:val>
          <c:extLst>
            <c:ext xmlns:c16="http://schemas.microsoft.com/office/drawing/2014/chart" uri="{C3380CC4-5D6E-409C-BE32-E72D297353CC}">
              <c16:uniqueId val="{00000000-6E65-4AC0-8A22-5FF8AA45B898}"/>
            </c:ext>
          </c:extLst>
        </c:ser>
        <c:ser>
          <c:idx val="1"/>
          <c:order val="1"/>
          <c:tx>
            <c:strRef>
              <c:f>Student_Profile!$S$2</c:f>
              <c:strCache>
                <c:ptCount val="1"/>
                <c:pt idx="0">
                  <c:v>Current</c:v>
                </c:pt>
              </c:strCache>
            </c:strRef>
          </c:tx>
          <c:spPr>
            <a:ln w="26000">
              <a:solidFill>
                <a:srgbClr val="C0504D"/>
              </a:solidFill>
              <a:prstDash val="solid"/>
            </a:ln>
          </c:spPr>
          <c:marker>
            <c:symbol val="circle"/>
            <c:size val="7"/>
            <c:spPr>
              <a:ln>
                <a:prstDash val="solid"/>
              </a:ln>
            </c:spPr>
          </c:marker>
          <c:cat>
            <c:strRef>
              <c:f>Student_Profile!$Q$3:$Q$6</c:f>
              <c:strCache>
                <c:ptCount val="4"/>
                <c:pt idx="0">
                  <c:v>Verbal SAS</c:v>
                </c:pt>
                <c:pt idx="1">
                  <c:v>Quantitative SAS</c:v>
                </c:pt>
                <c:pt idx="2">
                  <c:v>Non-verbal SAS</c:v>
                </c:pt>
                <c:pt idx="3">
                  <c:v>Spatial SAS</c:v>
                </c:pt>
              </c:strCache>
            </c:strRef>
          </c:cat>
          <c:val>
            <c:numRef>
              <c:f>Student_Profile!$S$3:$S$6</c:f>
              <c:numCache>
                <c:formatCode>General</c:formatCode>
                <c:ptCount val="4"/>
                <c:pt idx="0">
                  <c:v>85</c:v>
                </c:pt>
                <c:pt idx="1">
                  <c:v>90</c:v>
                </c:pt>
                <c:pt idx="2">
                  <c:v>97</c:v>
                </c:pt>
                <c:pt idx="3">
                  <c:v>111</c:v>
                </c:pt>
              </c:numCache>
            </c:numRef>
          </c:val>
          <c:extLst>
            <c:ext xmlns:c16="http://schemas.microsoft.com/office/drawing/2014/chart" uri="{C3380CC4-5D6E-409C-BE32-E72D297353CC}">
              <c16:uniqueId val="{00000001-6E65-4AC0-8A22-5FF8AA45B898}"/>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1"/>
        <c:axPos val="l"/>
        <c:majorGridlines/>
        <c:numFmt formatCode="General"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Baseline vs Entry vs Exit vs Graduation</a:t>
            </a:r>
          </a:p>
        </c:rich>
      </c:tx>
      <c:overlay val="0"/>
    </c:title>
    <c:autoTitleDeleted val="0"/>
    <c:plotArea>
      <c:layout/>
      <c:barChart>
        <c:barDir val="bar"/>
        <c:grouping val="clustered"/>
        <c:varyColors val="0"/>
        <c:ser>
          <c:idx val="0"/>
          <c:order val="0"/>
          <c:spPr>
            <a:solidFill>
              <a:srgbClr val="5B9BD5"/>
            </a:solidFill>
            <a:ln w="12000">
              <a:solidFill>
                <a:srgbClr val="5B9BD5"/>
              </a:solidFill>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Dashboard_Executive!$V$2:$V$5</c:f>
              <c:strCache>
                <c:ptCount val="4"/>
                <c:pt idx="0">
                  <c:v>Baseline</c:v>
                </c:pt>
                <c:pt idx="1">
                  <c:v>Entry</c:v>
                </c:pt>
                <c:pt idx="2">
                  <c:v>Exit</c:v>
                </c:pt>
                <c:pt idx="3">
                  <c:v>Final Secondary</c:v>
                </c:pt>
              </c:strCache>
            </c:strRef>
          </c:cat>
          <c:val>
            <c:numRef>
              <c:f>Dashboard_Executive!$W$2:$W$5</c:f>
              <c:numCache>
                <c:formatCode>0.00</c:formatCode>
                <c:ptCount val="4"/>
                <c:pt idx="0">
                  <c:v>61.149152542372867</c:v>
                </c:pt>
                <c:pt idx="1">
                  <c:v>83.797939393939401</c:v>
                </c:pt>
                <c:pt idx="2">
                  <c:v>91.139913419913412</c:v>
                </c:pt>
                <c:pt idx="3">
                  <c:v>93.162711864406774</c:v>
                </c:pt>
              </c:numCache>
            </c:numRef>
          </c:val>
          <c:extLst>
            <c:ext xmlns:c14="http://schemas.microsoft.com/office/drawing/2007/8/2/chart" uri="{6F2FDCE9-48DA-4B69-8628-5D25D57E5C99}">
              <c14:invertSolidFillFmt>
                <c14:spPr xmlns:c14="http://schemas.microsoft.com/office/drawing/2007/8/2/chart">
                  <a:solidFill>
                    <a:srgbClr val="FFFFFF"/>
                  </a:solidFill>
                  <a:ln w="12000">
                    <a:solidFill>
                      <a:srgbClr val="5B9BD5"/>
                    </a:solidFill>
                    <a:prstDash val="solid"/>
                  </a:ln>
                </c14:spPr>
              </c14:invertSolidFillFmt>
            </c:ext>
            <c:ext xmlns:c16="http://schemas.microsoft.com/office/drawing/2014/chart" uri="{C3380CC4-5D6E-409C-BE32-E72D297353CC}">
              <c16:uniqueId val="{00000000-781A-43B8-B977-C4C37AB1B582}"/>
            </c:ext>
          </c:extLst>
        </c:ser>
        <c:dLbls>
          <c:showLegendKey val="0"/>
          <c:showVal val="1"/>
          <c:showCatName val="0"/>
          <c:showSerName val="0"/>
          <c:showPercent val="0"/>
          <c:showBubbleSize val="0"/>
        </c:dLbls>
        <c:gapWidth val="50"/>
        <c:axId val="48650112"/>
        <c:axId val="48672768"/>
      </c:barChart>
      <c:catAx>
        <c:axId val="48650112"/>
        <c:scaling>
          <c:orientation val="minMax"/>
        </c:scaling>
        <c:delete val="0"/>
        <c:axPos val="l"/>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numFmt formatCode="0.00" sourceLinked="1"/>
        <c:majorTickMark val="none"/>
        <c:minorTickMark val="none"/>
        <c:tickLblPos val="nextTo"/>
        <c:crossAx val="48650112"/>
        <c:crosses val="autoZero"/>
        <c:crossBetween val="between"/>
      </c:valAx>
    </c:plotArea>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Average Gain by Graduating Class</a:t>
            </a:r>
          </a:p>
        </c:rich>
      </c:tx>
      <c:overlay val="0"/>
    </c:title>
    <c:autoTitleDeleted val="0"/>
    <c:plotArea>
      <c:layout/>
      <c:barChart>
        <c:barDir val="col"/>
        <c:grouping val="clustered"/>
        <c:varyColors val="0"/>
        <c:ser>
          <c:idx val="0"/>
          <c:order val="0"/>
          <c:spPr>
            <a:solidFill>
              <a:srgbClr val="0F766E"/>
            </a:solidFill>
            <a:ln w="12000">
              <a:solidFill>
                <a:srgbClr val="0F766E"/>
              </a:solidFill>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Dashboard_Executive!$Y$2:$Y$5</c:f>
              <c:strCache>
                <c:ptCount val="4"/>
                <c:pt idx="0">
                  <c:v>Class of 2022</c:v>
                </c:pt>
                <c:pt idx="1">
                  <c:v>Class of 2023</c:v>
                </c:pt>
                <c:pt idx="2">
                  <c:v>Class of 2024</c:v>
                </c:pt>
                <c:pt idx="3">
                  <c:v>Class of 2025</c:v>
                </c:pt>
              </c:strCache>
            </c:strRef>
          </c:cat>
          <c:val>
            <c:numRef>
              <c:f>Dashboard_Executive!$Z$2:$Z$5</c:f>
              <c:numCache>
                <c:formatCode>0.00</c:formatCode>
                <c:ptCount val="4"/>
                <c:pt idx="0">
                  <c:v>6.9435254237288113</c:v>
                </c:pt>
                <c:pt idx="1">
                  <c:v>11.83149090909091</c:v>
                </c:pt>
                <c:pt idx="2">
                  <c:v>5.6740338983050824</c:v>
                </c:pt>
                <c:pt idx="3">
                  <c:v>5.1866896551724144</c:v>
                </c:pt>
              </c:numCache>
            </c:numRef>
          </c:val>
          <c:extLst>
            <c:ext xmlns:c14="http://schemas.microsoft.com/office/drawing/2007/8/2/chart" uri="{6F2FDCE9-48DA-4B69-8628-5D25D57E5C99}">
              <c14:invertSolidFillFmt>
                <c14:spPr xmlns:c14="http://schemas.microsoft.com/office/drawing/2007/8/2/chart">
                  <a:solidFill>
                    <a:srgbClr val="FFFFFF"/>
                  </a:solidFill>
                  <a:ln w="12000">
                    <a:solidFill>
                      <a:srgbClr val="0F766E"/>
                    </a:solidFill>
                    <a:prstDash val="solid"/>
                  </a:ln>
                </c14:spPr>
              </c14:invertSolidFillFmt>
            </c:ext>
            <c:ext xmlns:c16="http://schemas.microsoft.com/office/drawing/2014/chart" uri="{C3380CC4-5D6E-409C-BE32-E72D297353CC}">
              <c16:uniqueId val="{00000000-2922-409A-9CFC-4B98FDF1E6FA}"/>
            </c:ext>
          </c:extLst>
        </c:ser>
        <c:dLbls>
          <c:showLegendKey val="0"/>
          <c:showVal val="1"/>
          <c:showCatName val="0"/>
          <c:showSerName val="0"/>
          <c:showPercent val="0"/>
          <c:showBubbleSize val="0"/>
        </c:dLbls>
        <c:gapWidth val="60"/>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0" sourceLinked="1"/>
        <c:majorTickMark val="none"/>
        <c:minorTickMark val="none"/>
        <c:tickLblPos val="nextTo"/>
        <c:crossAx val="48650112"/>
        <c:crosses val="autoZero"/>
        <c:crossBetween val="between"/>
      </c:valAx>
    </c:plotArea>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Low vs Middle vs High Starters</a:t>
            </a:r>
          </a:p>
        </c:rich>
      </c:tx>
      <c:overlay val="0"/>
    </c:title>
    <c:autoTitleDeleted val="0"/>
    <c:plotArea>
      <c:layout/>
      <c:barChart>
        <c:barDir val="bar"/>
        <c:grouping val="clustered"/>
        <c:varyColors val="0"/>
        <c:ser>
          <c:idx val="0"/>
          <c:order val="0"/>
          <c:spPr>
            <a:solidFill>
              <a:srgbClr val="ED7D31"/>
            </a:solidFill>
            <a:ln w="12000">
              <a:solidFill>
                <a:srgbClr val="ED7D31"/>
              </a:solidFill>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Dashboard_Executive!$AP$2:$AP$4</c:f>
              <c:strCache>
                <c:ptCount val="3"/>
                <c:pt idx="0">
                  <c:v>Low starter</c:v>
                </c:pt>
                <c:pt idx="1">
                  <c:v>Middle starter</c:v>
                </c:pt>
                <c:pt idx="2">
                  <c:v>High starter</c:v>
                </c:pt>
              </c:strCache>
            </c:strRef>
          </c:cat>
          <c:val>
            <c:numRef>
              <c:f>Dashboard_Executive!$AQ$2:$AQ$4</c:f>
              <c:numCache>
                <c:formatCode>General</c:formatCode>
                <c:ptCount val="3"/>
                <c:pt idx="0">
                  <c:v>7.9209999999999967</c:v>
                </c:pt>
                <c:pt idx="1">
                  <c:v>-0.31771428571428217</c:v>
                </c:pt>
              </c:numCache>
            </c:numRef>
          </c:val>
          <c:extLst>
            <c:ext xmlns:c14="http://schemas.microsoft.com/office/drawing/2007/8/2/chart" uri="{6F2FDCE9-48DA-4B69-8628-5D25D57E5C99}">
              <c14:invertSolidFillFmt>
                <c14:spPr xmlns:c14="http://schemas.microsoft.com/office/drawing/2007/8/2/chart">
                  <a:solidFill>
                    <a:srgbClr val="FFFFFF"/>
                  </a:solidFill>
                  <a:ln w="12000">
                    <a:solidFill>
                      <a:srgbClr val="ED7D31"/>
                    </a:solidFill>
                    <a:prstDash val="solid"/>
                  </a:ln>
                </c14:spPr>
              </c14:invertSolidFillFmt>
            </c:ext>
            <c:ext xmlns:c16="http://schemas.microsoft.com/office/drawing/2014/chart" uri="{C3380CC4-5D6E-409C-BE32-E72D297353CC}">
              <c16:uniqueId val="{00000000-3117-42A3-90A5-7667C2E9AC85}"/>
            </c:ext>
          </c:extLst>
        </c:ser>
        <c:dLbls>
          <c:showLegendKey val="0"/>
          <c:showVal val="1"/>
          <c:showCatName val="0"/>
          <c:showSerName val="0"/>
          <c:showPercent val="0"/>
          <c:showBubbleSize val="0"/>
        </c:dLbls>
        <c:gapWidth val="55"/>
        <c:axId val="48650112"/>
        <c:axId val="48672768"/>
      </c:barChart>
      <c:catAx>
        <c:axId val="48650112"/>
        <c:scaling>
          <c:orientation val="minMax"/>
        </c:scaling>
        <c:delete val="0"/>
        <c:axPos val="l"/>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numFmt formatCode="General" sourceLinked="1"/>
        <c:majorTickMark val="none"/>
        <c:minorTickMark val="none"/>
        <c:tickLblPos val="nextTo"/>
        <c:crossAx val="48650112"/>
        <c:crosses val="autoZero"/>
        <c:crossBetween val="between"/>
      </c:valAx>
    </c:plotArea>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Subject Entry / Exit / Gain</a:t>
            </a:r>
          </a:p>
        </c:rich>
      </c:tx>
      <c:overlay val="0"/>
    </c:title>
    <c:autoTitleDeleted val="0"/>
    <c:plotArea>
      <c:layout/>
      <c:barChart>
        <c:barDir val="bar"/>
        <c:grouping val="clustered"/>
        <c:varyColors val="0"/>
        <c:ser>
          <c:idx val="0"/>
          <c:order val="0"/>
          <c:tx>
            <c:strRef>
              <c:f>Dashboard_Executive!$W$11</c:f>
              <c:strCache>
                <c:ptCount val="1"/>
                <c:pt idx="0">
                  <c:v>Entry</c:v>
                </c:pt>
              </c:strCache>
            </c:strRef>
          </c:tx>
          <c:spPr>
            <a:solidFill>
              <a:srgbClr val="5B9BD5"/>
            </a:solidFill>
            <a:ln w="10000">
              <a:solidFill>
                <a:srgbClr val="5B9BD5"/>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Dashboard_Executive!$V$12:$V$16</c:f>
              <c:strCache>
                <c:ptCount val="5"/>
                <c:pt idx="0">
                  <c:v>RAW</c:v>
                </c:pt>
                <c:pt idx="1">
                  <c:v>NSIS</c:v>
                </c:pt>
                <c:pt idx="2">
                  <c:v>STEM</c:v>
                </c:pt>
                <c:pt idx="3">
                  <c:v>English</c:v>
                </c:pt>
                <c:pt idx="4">
                  <c:v>Math</c:v>
                </c:pt>
              </c:strCache>
            </c:strRef>
          </c:cat>
          <c:val>
            <c:numRef>
              <c:f>Dashboard_Executive!$W$12:$W$16</c:f>
              <c:numCache>
                <c:formatCode>0.00</c:formatCode>
                <c:ptCount val="5"/>
                <c:pt idx="0">
                  <c:v>83.092034632034611</c:v>
                </c:pt>
                <c:pt idx="1">
                  <c:v>86.247878787878761</c:v>
                </c:pt>
                <c:pt idx="2">
                  <c:v>83.521645021645028</c:v>
                </c:pt>
                <c:pt idx="3">
                  <c:v>85.569264069264065</c:v>
                </c:pt>
                <c:pt idx="4">
                  <c:v>80.55887445887447</c:v>
                </c:pt>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5B9BD5"/>
                    </a:solidFill>
                    <a:prstDash val="solid"/>
                  </a:ln>
                </c14:spPr>
              </c14:invertSolidFillFmt>
            </c:ext>
            <c:ext xmlns:c16="http://schemas.microsoft.com/office/drawing/2014/chart" uri="{C3380CC4-5D6E-409C-BE32-E72D297353CC}">
              <c16:uniqueId val="{00000000-BC77-4830-92A0-5578592B2851}"/>
            </c:ext>
          </c:extLst>
        </c:ser>
        <c:ser>
          <c:idx val="1"/>
          <c:order val="1"/>
          <c:tx>
            <c:strRef>
              <c:f>Dashboard_Executive!$X$11</c:f>
              <c:strCache>
                <c:ptCount val="1"/>
                <c:pt idx="0">
                  <c:v>Exit</c:v>
                </c:pt>
              </c:strCache>
            </c:strRef>
          </c:tx>
          <c:spPr>
            <a:solidFill>
              <a:srgbClr val="0F766E"/>
            </a:solidFill>
            <a:ln w="10000">
              <a:solidFill>
                <a:srgbClr val="0F766E"/>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Dashboard_Executive!$V$12:$V$16</c:f>
              <c:strCache>
                <c:ptCount val="5"/>
                <c:pt idx="0">
                  <c:v>RAW</c:v>
                </c:pt>
                <c:pt idx="1">
                  <c:v>NSIS</c:v>
                </c:pt>
                <c:pt idx="2">
                  <c:v>STEM</c:v>
                </c:pt>
                <c:pt idx="3">
                  <c:v>English</c:v>
                </c:pt>
                <c:pt idx="4">
                  <c:v>Math</c:v>
                </c:pt>
              </c:strCache>
            </c:strRef>
          </c:cat>
          <c:val>
            <c:numRef>
              <c:f>Dashboard_Executive!$X$12:$X$16</c:f>
              <c:numCache>
                <c:formatCode>0.00</c:formatCode>
                <c:ptCount val="5"/>
                <c:pt idx="0">
                  <c:v>88.225324675324686</c:v>
                </c:pt>
                <c:pt idx="1">
                  <c:v>91.614935064935082</c:v>
                </c:pt>
                <c:pt idx="2">
                  <c:v>92.670995670995666</c:v>
                </c:pt>
                <c:pt idx="3">
                  <c:v>90.770562770562776</c:v>
                </c:pt>
                <c:pt idx="4">
                  <c:v>92.417748917748924</c:v>
                </c:pt>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0F766E"/>
                    </a:solidFill>
                    <a:prstDash val="solid"/>
                  </a:ln>
                </c14:spPr>
              </c14:invertSolidFillFmt>
            </c:ext>
            <c:ext xmlns:c16="http://schemas.microsoft.com/office/drawing/2014/chart" uri="{C3380CC4-5D6E-409C-BE32-E72D297353CC}">
              <c16:uniqueId val="{00000001-BC77-4830-92A0-5578592B2851}"/>
            </c:ext>
          </c:extLst>
        </c:ser>
        <c:ser>
          <c:idx val="2"/>
          <c:order val="2"/>
          <c:tx>
            <c:strRef>
              <c:f>Dashboard_Executive!$Y$11</c:f>
              <c:strCache>
                <c:ptCount val="1"/>
                <c:pt idx="0">
                  <c:v>Gain</c:v>
                </c:pt>
              </c:strCache>
            </c:strRef>
          </c:tx>
          <c:spPr>
            <a:solidFill>
              <a:srgbClr val="ED7D31"/>
            </a:solidFill>
            <a:ln w="10000">
              <a:solidFill>
                <a:srgbClr val="ED7D31"/>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Dashboard_Executive!$V$12:$V$16</c:f>
              <c:strCache>
                <c:ptCount val="5"/>
                <c:pt idx="0">
                  <c:v>RAW</c:v>
                </c:pt>
                <c:pt idx="1">
                  <c:v>NSIS</c:v>
                </c:pt>
                <c:pt idx="2">
                  <c:v>STEM</c:v>
                </c:pt>
                <c:pt idx="3">
                  <c:v>English</c:v>
                </c:pt>
                <c:pt idx="4">
                  <c:v>Math</c:v>
                </c:pt>
              </c:strCache>
            </c:strRef>
          </c:cat>
          <c:val>
            <c:numRef>
              <c:f>Dashboard_Executive!$Y$12:$Y$16</c:f>
              <c:numCache>
                <c:formatCode>0.00</c:formatCode>
                <c:ptCount val="5"/>
                <c:pt idx="0">
                  <c:v>5.1332900432900423</c:v>
                </c:pt>
                <c:pt idx="1">
                  <c:v>5.3670562770562764</c:v>
                </c:pt>
                <c:pt idx="2">
                  <c:v>9.1493506493506498</c:v>
                </c:pt>
                <c:pt idx="3">
                  <c:v>5.2012987012987013</c:v>
                </c:pt>
                <c:pt idx="4">
                  <c:v>11.85887445887446</c:v>
                </c:pt>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ED7D31"/>
                    </a:solidFill>
                    <a:prstDash val="solid"/>
                  </a:ln>
                </c14:spPr>
              </c14:invertSolidFillFmt>
            </c:ext>
            <c:ext xmlns:c16="http://schemas.microsoft.com/office/drawing/2014/chart" uri="{C3380CC4-5D6E-409C-BE32-E72D297353CC}">
              <c16:uniqueId val="{00000002-BC77-4830-92A0-5578592B2851}"/>
            </c:ext>
          </c:extLst>
        </c:ser>
        <c:dLbls>
          <c:dLblPos val="outEnd"/>
          <c:showLegendKey val="0"/>
          <c:showVal val="1"/>
          <c:showCatName val="0"/>
          <c:showSerName val="0"/>
          <c:showPercent val="0"/>
          <c:showBubbleSize val="0"/>
        </c:dLbls>
        <c:gapWidth val="35"/>
        <c:axId val="48650112"/>
        <c:axId val="48672768"/>
      </c:barChart>
      <c:catAx>
        <c:axId val="48650112"/>
        <c:scaling>
          <c:orientation val="minMax"/>
        </c:scaling>
        <c:delete val="0"/>
        <c:axPos val="l"/>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numFmt formatCode="0.00"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SAT / IELTS / AP Trend</a:t>
            </a:r>
          </a:p>
        </c:rich>
      </c:tx>
      <c:overlay val="0"/>
    </c:title>
    <c:autoTitleDeleted val="0"/>
    <c:plotArea>
      <c:layout/>
      <c:lineChart>
        <c:grouping val="standard"/>
        <c:varyColors val="0"/>
        <c:ser>
          <c:idx val="0"/>
          <c:order val="0"/>
          <c:spPr>
            <a:ln w="22000">
              <a:solidFill>
                <a:srgbClr val="1F4E79"/>
              </a:solidFill>
              <a:prstDash val="solid"/>
            </a:ln>
          </c:spPr>
          <c:marker>
            <c:symbol val="none"/>
          </c:marker>
          <c:cat>
            <c:numRef>
              <c:f>Dashboard_Executive!$AF$32:$AF$35</c:f>
              <c:numCache>
                <c:formatCode>General</c:formatCode>
                <c:ptCount val="4"/>
              </c:numCache>
            </c:numRef>
          </c:cat>
          <c:val>
            <c:numRef>
              <c:f>Dashboard_Executive!$AG$31:$AG$35</c:f>
              <c:numCache>
                <c:formatCode>General</c:formatCode>
                <c:ptCount val="5"/>
              </c:numCache>
            </c:numRef>
          </c:val>
          <c:smooth val="0"/>
          <c:extLst>
            <c:ext xmlns:c16="http://schemas.microsoft.com/office/drawing/2014/chart" uri="{C3380CC4-5D6E-409C-BE32-E72D297353CC}">
              <c16:uniqueId val="{00000000-38C7-4D29-BEA7-B45EBF1FFEB9}"/>
            </c:ext>
          </c:extLst>
        </c:ser>
        <c:ser>
          <c:idx val="1"/>
          <c:order val="1"/>
          <c:spPr>
            <a:ln w="22000">
              <a:solidFill>
                <a:srgbClr val="0F766E"/>
              </a:solidFill>
              <a:prstDash val="solid"/>
            </a:ln>
          </c:spPr>
          <c:marker>
            <c:symbol val="none"/>
          </c:marker>
          <c:cat>
            <c:numRef>
              <c:f>Dashboard_Executive!$AF$32:$AF$35</c:f>
              <c:numCache>
                <c:formatCode>General</c:formatCode>
                <c:ptCount val="4"/>
              </c:numCache>
            </c:numRef>
          </c:cat>
          <c:val>
            <c:numRef>
              <c:f>Dashboard_Executive!$AH$31:$AH$35</c:f>
              <c:numCache>
                <c:formatCode>General</c:formatCode>
                <c:ptCount val="5"/>
              </c:numCache>
            </c:numRef>
          </c:val>
          <c:smooth val="0"/>
          <c:extLst>
            <c:ext xmlns:c16="http://schemas.microsoft.com/office/drawing/2014/chart" uri="{C3380CC4-5D6E-409C-BE32-E72D297353CC}">
              <c16:uniqueId val="{00000001-38C7-4D29-BEA7-B45EBF1FFEB9}"/>
            </c:ext>
          </c:extLst>
        </c:ser>
        <c:ser>
          <c:idx val="2"/>
          <c:order val="2"/>
          <c:spPr>
            <a:ln w="22000">
              <a:solidFill>
                <a:srgbClr val="ED7D31"/>
              </a:solidFill>
              <a:prstDash val="solid"/>
            </a:ln>
          </c:spPr>
          <c:marker>
            <c:symbol val="none"/>
          </c:marker>
          <c:cat>
            <c:numRef>
              <c:f>Dashboard_Executive!$AF$32:$AF$35</c:f>
              <c:numCache>
                <c:formatCode>General</c:formatCode>
                <c:ptCount val="4"/>
              </c:numCache>
            </c:numRef>
          </c:cat>
          <c:val>
            <c:numRef>
              <c:f>Dashboard_Executive!$AI$31:$AI$35</c:f>
              <c:numCache>
                <c:formatCode>General</c:formatCode>
                <c:ptCount val="5"/>
              </c:numCache>
            </c:numRef>
          </c:val>
          <c:smooth val="0"/>
          <c:extLst>
            <c:ext xmlns:c16="http://schemas.microsoft.com/office/drawing/2014/chart" uri="{C3380CC4-5D6E-409C-BE32-E72D297353CC}">
              <c16:uniqueId val="{00000002-38C7-4D29-BEA7-B45EBF1FFEB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General"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Achievements &amp; Participating Students</a:t>
            </a:r>
          </a:p>
        </c:rich>
      </c:tx>
      <c:overlay val="0"/>
    </c:title>
    <c:autoTitleDeleted val="0"/>
    <c:plotArea>
      <c:layout/>
      <c:barChart>
        <c:barDir val="col"/>
        <c:grouping val="clustered"/>
        <c:varyColors val="0"/>
        <c:ser>
          <c:idx val="0"/>
          <c:order val="0"/>
          <c:spPr>
            <a:solidFill>
              <a:srgbClr val="1F4E79"/>
            </a:solidFill>
            <a:ln w="10000">
              <a:solidFill>
                <a:srgbClr val="1F4E79"/>
              </a:solidFill>
              <a:prstDash val="solid"/>
            </a:ln>
          </c:spPr>
          <c:invertIfNegative val="1"/>
          <c:cat>
            <c:numRef>
              <c:f>Dashboard_Executive!$AK$38:$AK$40</c:f>
              <c:numCache>
                <c:formatCode>General</c:formatCode>
                <c:ptCount val="3"/>
              </c:numCache>
            </c:numRef>
          </c:cat>
          <c:val>
            <c:numRef>
              <c:f>Dashboard_Executive!$AL$37:$AL$40</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1F4E79"/>
                    </a:solidFill>
                    <a:prstDash val="solid"/>
                  </a:ln>
                </c14:spPr>
              </c14:invertSolidFillFmt>
            </c:ext>
            <c:ext xmlns:c16="http://schemas.microsoft.com/office/drawing/2014/chart" uri="{C3380CC4-5D6E-409C-BE32-E72D297353CC}">
              <c16:uniqueId val="{00000000-CACE-4ED5-8574-A5AE0B277DD4}"/>
            </c:ext>
          </c:extLst>
        </c:ser>
        <c:ser>
          <c:idx val="1"/>
          <c:order val="1"/>
          <c:spPr>
            <a:solidFill>
              <a:srgbClr val="0F766E"/>
            </a:solidFill>
            <a:ln w="10000">
              <a:solidFill>
                <a:srgbClr val="0F766E"/>
              </a:solidFill>
              <a:prstDash val="solid"/>
            </a:ln>
          </c:spPr>
          <c:invertIfNegative val="1"/>
          <c:cat>
            <c:numRef>
              <c:f>Dashboard_Executive!$AK$38:$AK$40</c:f>
              <c:numCache>
                <c:formatCode>General</c:formatCode>
                <c:ptCount val="3"/>
              </c:numCache>
            </c:numRef>
          </c:cat>
          <c:val>
            <c:numRef>
              <c:f>Dashboard_Executive!$AM$37:$AM$40</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0F766E"/>
                    </a:solidFill>
                    <a:prstDash val="solid"/>
                  </a:ln>
                </c14:spPr>
              </c14:invertSolidFillFmt>
            </c:ext>
            <c:ext xmlns:c16="http://schemas.microsoft.com/office/drawing/2014/chart" uri="{C3380CC4-5D6E-409C-BE32-E72D297353CC}">
              <c16:uniqueId val="{00000001-CACE-4ED5-8574-A5AE0B277DD4}"/>
            </c:ext>
          </c:extLst>
        </c:ser>
        <c:ser>
          <c:idx val="2"/>
          <c:order val="2"/>
          <c:spPr>
            <a:solidFill>
              <a:srgbClr val="ED7D31"/>
            </a:solidFill>
            <a:ln w="10000">
              <a:solidFill>
                <a:srgbClr val="ED7D31"/>
              </a:solidFill>
              <a:prstDash val="solid"/>
            </a:ln>
          </c:spPr>
          <c:invertIfNegative val="1"/>
          <c:cat>
            <c:numRef>
              <c:f>Dashboard_Executive!$AK$38:$AK$40</c:f>
              <c:numCache>
                <c:formatCode>General</c:formatCode>
                <c:ptCount val="3"/>
              </c:numCache>
            </c:numRef>
          </c:cat>
          <c:val>
            <c:numRef>
              <c:f>Dashboard_Executive!$AN$37:$AN$40</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w="10000">
                    <a:solidFill>
                      <a:srgbClr val="ED7D31"/>
                    </a:solidFill>
                    <a:prstDash val="solid"/>
                  </a:ln>
                </c14:spPr>
              </c14:invertSolidFillFmt>
            </c:ext>
            <c:ext xmlns:c16="http://schemas.microsoft.com/office/drawing/2014/chart" uri="{C3380CC4-5D6E-409C-BE32-E72D297353CC}">
              <c16:uniqueId val="{00000002-CACE-4ED5-8574-A5AE0B277DD4}"/>
            </c:ext>
          </c:extLst>
        </c:ser>
        <c:dLbls>
          <c:showLegendKey val="0"/>
          <c:showVal val="0"/>
          <c:showCatName val="0"/>
          <c:showSerName val="0"/>
          <c:showPercent val="0"/>
          <c:showBubbleSize val="0"/>
        </c:dLbls>
        <c:gapWidth val="40"/>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General" sourceLinked="1"/>
        <c:majorTickMark val="none"/>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Average scores by year</a:t>
            </a:r>
          </a:p>
        </c:rich>
      </c:tx>
      <c:overlay val="0"/>
    </c:title>
    <c:autoTitleDeleted val="0"/>
    <c:plotArea>
      <c:layout/>
      <c:lineChart>
        <c:grouping val="standard"/>
        <c:varyColors val="1"/>
        <c:ser>
          <c:idx val="0"/>
          <c:order val="0"/>
          <c:tx>
            <c:strRef>
              <c:f>Cognia_Evidence_Page!$B$10</c:f>
              <c:strCache>
                <c:ptCount val="1"/>
                <c:pt idx="0">
                  <c:v>Avg_RAW</c:v>
                </c:pt>
              </c:strCache>
            </c:strRef>
          </c:tx>
          <c:spPr>
            <a:ln>
              <a:prstDash val="solid"/>
            </a:ln>
          </c:spPr>
          <c:marker>
            <c:symbol val="none"/>
          </c:marker>
          <c:cat>
            <c:numRef>
              <c:f>Cognia_Evidence_Page!$A$11:$A$14</c:f>
              <c:numCache>
                <c:formatCode>General</c:formatCode>
                <c:ptCount val="4"/>
                <c:pt idx="0">
                  <c:v>1</c:v>
                </c:pt>
                <c:pt idx="1">
                  <c:v>2</c:v>
                </c:pt>
                <c:pt idx="2">
                  <c:v>3</c:v>
                </c:pt>
                <c:pt idx="3">
                  <c:v>4</c:v>
                </c:pt>
              </c:numCache>
            </c:numRef>
          </c:cat>
          <c:val>
            <c:numRef>
              <c:f>Cognia_Evidence_Page!$B$11:$B$14</c:f>
              <c:numCache>
                <c:formatCode>General</c:formatCode>
                <c:ptCount val="4"/>
                <c:pt idx="0">
                  <c:v>84.61</c:v>
                </c:pt>
                <c:pt idx="1">
                  <c:v>87.39</c:v>
                </c:pt>
                <c:pt idx="2">
                  <c:v>88.62</c:v>
                </c:pt>
                <c:pt idx="3">
                  <c:v>88.13</c:v>
                </c:pt>
              </c:numCache>
            </c:numRef>
          </c:val>
          <c:smooth val="1"/>
          <c:extLst>
            <c:ext xmlns:c16="http://schemas.microsoft.com/office/drawing/2014/chart" uri="{C3380CC4-5D6E-409C-BE32-E72D297353CC}">
              <c16:uniqueId val="{00000000-C989-4C79-9AAE-58586C3569FC}"/>
            </c:ext>
          </c:extLst>
        </c:ser>
        <c:ser>
          <c:idx val="1"/>
          <c:order val="1"/>
          <c:tx>
            <c:strRef>
              <c:f>Cognia_Evidence_Page!$C$10</c:f>
              <c:strCache>
                <c:ptCount val="1"/>
                <c:pt idx="0">
                  <c:v>Avg_NSIS</c:v>
                </c:pt>
              </c:strCache>
            </c:strRef>
          </c:tx>
          <c:spPr>
            <a:ln>
              <a:prstDash val="solid"/>
            </a:ln>
          </c:spPr>
          <c:marker>
            <c:symbol val="none"/>
          </c:marker>
          <c:cat>
            <c:numRef>
              <c:f>Cognia_Evidence_Page!$A$11:$A$14</c:f>
              <c:numCache>
                <c:formatCode>General</c:formatCode>
                <c:ptCount val="4"/>
                <c:pt idx="0">
                  <c:v>1</c:v>
                </c:pt>
                <c:pt idx="1">
                  <c:v>2</c:v>
                </c:pt>
                <c:pt idx="2">
                  <c:v>3</c:v>
                </c:pt>
                <c:pt idx="3">
                  <c:v>4</c:v>
                </c:pt>
              </c:numCache>
            </c:numRef>
          </c:cat>
          <c:val>
            <c:numRef>
              <c:f>Cognia_Evidence_Page!$C$11:$C$14</c:f>
              <c:numCache>
                <c:formatCode>General</c:formatCode>
                <c:ptCount val="4"/>
                <c:pt idx="0">
                  <c:v>88.09</c:v>
                </c:pt>
                <c:pt idx="1">
                  <c:v>90.01</c:v>
                </c:pt>
                <c:pt idx="2">
                  <c:v>91.57</c:v>
                </c:pt>
                <c:pt idx="3">
                  <c:v>91.58</c:v>
                </c:pt>
              </c:numCache>
            </c:numRef>
          </c:val>
          <c:smooth val="1"/>
          <c:extLst>
            <c:ext xmlns:c16="http://schemas.microsoft.com/office/drawing/2014/chart" uri="{C3380CC4-5D6E-409C-BE32-E72D297353CC}">
              <c16:uniqueId val="{00000001-C989-4C79-9AAE-58586C3569FC}"/>
            </c:ext>
          </c:extLst>
        </c:ser>
        <c:ser>
          <c:idx val="2"/>
          <c:order val="2"/>
          <c:tx>
            <c:strRef>
              <c:f>Cognia_Evidence_Page!$D$10</c:f>
              <c:strCache>
                <c:ptCount val="1"/>
                <c:pt idx="0">
                  <c:v>Avg_STEM</c:v>
                </c:pt>
              </c:strCache>
            </c:strRef>
          </c:tx>
          <c:spPr>
            <a:ln>
              <a:prstDash val="solid"/>
            </a:ln>
          </c:spPr>
          <c:marker>
            <c:symbol val="none"/>
          </c:marker>
          <c:cat>
            <c:numRef>
              <c:f>Cognia_Evidence_Page!$A$11:$A$14</c:f>
              <c:numCache>
                <c:formatCode>General</c:formatCode>
                <c:ptCount val="4"/>
                <c:pt idx="0">
                  <c:v>1</c:v>
                </c:pt>
                <c:pt idx="1">
                  <c:v>2</c:v>
                </c:pt>
                <c:pt idx="2">
                  <c:v>3</c:v>
                </c:pt>
                <c:pt idx="3">
                  <c:v>4</c:v>
                </c:pt>
              </c:numCache>
            </c:numRef>
          </c:cat>
          <c:val>
            <c:numRef>
              <c:f>Cognia_Evidence_Page!$D$11:$D$14</c:f>
              <c:numCache>
                <c:formatCode>General</c:formatCode>
                <c:ptCount val="4"/>
                <c:pt idx="0">
                  <c:v>88.42</c:v>
                </c:pt>
                <c:pt idx="1">
                  <c:v>91.95</c:v>
                </c:pt>
                <c:pt idx="2">
                  <c:v>90.26</c:v>
                </c:pt>
                <c:pt idx="3">
                  <c:v>94.17</c:v>
                </c:pt>
              </c:numCache>
            </c:numRef>
          </c:val>
          <c:smooth val="1"/>
          <c:extLst>
            <c:ext xmlns:c16="http://schemas.microsoft.com/office/drawing/2014/chart" uri="{C3380CC4-5D6E-409C-BE32-E72D297353CC}">
              <c16:uniqueId val="{00000002-C989-4C79-9AAE-58586C3569FC}"/>
            </c:ext>
          </c:extLst>
        </c:ser>
        <c:ser>
          <c:idx val="3"/>
          <c:order val="3"/>
          <c:tx>
            <c:strRef>
              <c:f>Cognia_Evidence_Page!$E$10</c:f>
              <c:strCache>
                <c:ptCount val="1"/>
                <c:pt idx="0">
                  <c:v>Avg_English</c:v>
                </c:pt>
              </c:strCache>
            </c:strRef>
          </c:tx>
          <c:spPr>
            <a:ln>
              <a:prstDash val="solid"/>
            </a:ln>
          </c:spPr>
          <c:marker>
            <c:symbol val="none"/>
          </c:marker>
          <c:cat>
            <c:numRef>
              <c:f>Cognia_Evidence_Page!$A$11:$A$14</c:f>
              <c:numCache>
                <c:formatCode>General</c:formatCode>
                <c:ptCount val="4"/>
                <c:pt idx="0">
                  <c:v>1</c:v>
                </c:pt>
                <c:pt idx="1">
                  <c:v>2</c:v>
                </c:pt>
                <c:pt idx="2">
                  <c:v>3</c:v>
                </c:pt>
                <c:pt idx="3">
                  <c:v>4</c:v>
                </c:pt>
              </c:numCache>
            </c:numRef>
          </c:cat>
          <c:val>
            <c:numRef>
              <c:f>Cognia_Evidence_Page!$E$11:$E$14</c:f>
              <c:numCache>
                <c:formatCode>General</c:formatCode>
                <c:ptCount val="4"/>
                <c:pt idx="0">
                  <c:v>86.15</c:v>
                </c:pt>
                <c:pt idx="1">
                  <c:v>90.62</c:v>
                </c:pt>
                <c:pt idx="2">
                  <c:v>88.74</c:v>
                </c:pt>
                <c:pt idx="3">
                  <c:v>91.13</c:v>
                </c:pt>
              </c:numCache>
            </c:numRef>
          </c:val>
          <c:smooth val="1"/>
          <c:extLst>
            <c:ext xmlns:c16="http://schemas.microsoft.com/office/drawing/2014/chart" uri="{C3380CC4-5D6E-409C-BE32-E72D297353CC}">
              <c16:uniqueId val="{00000003-C989-4C79-9AAE-58586C3569FC}"/>
            </c:ext>
          </c:extLst>
        </c:ser>
        <c:ser>
          <c:idx val="4"/>
          <c:order val="4"/>
          <c:tx>
            <c:strRef>
              <c:f>Cognia_Evidence_Page!$F$10</c:f>
              <c:strCache>
                <c:ptCount val="1"/>
                <c:pt idx="0">
                  <c:v>Avg_Math</c:v>
                </c:pt>
              </c:strCache>
            </c:strRef>
          </c:tx>
          <c:spPr>
            <a:ln>
              <a:prstDash val="solid"/>
            </a:ln>
          </c:spPr>
          <c:marker>
            <c:symbol val="none"/>
          </c:marker>
          <c:cat>
            <c:numRef>
              <c:f>Cognia_Evidence_Page!$A$11:$A$14</c:f>
              <c:numCache>
                <c:formatCode>General</c:formatCode>
                <c:ptCount val="4"/>
                <c:pt idx="0">
                  <c:v>1</c:v>
                </c:pt>
                <c:pt idx="1">
                  <c:v>2</c:v>
                </c:pt>
                <c:pt idx="2">
                  <c:v>3</c:v>
                </c:pt>
                <c:pt idx="3">
                  <c:v>4</c:v>
                </c:pt>
              </c:numCache>
            </c:numRef>
          </c:cat>
          <c:val>
            <c:numRef>
              <c:f>Cognia_Evidence_Page!$F$11:$F$14</c:f>
              <c:numCache>
                <c:formatCode>General</c:formatCode>
                <c:ptCount val="4"/>
                <c:pt idx="0">
                  <c:v>82.78</c:v>
                </c:pt>
                <c:pt idx="1">
                  <c:v>93.17</c:v>
                </c:pt>
                <c:pt idx="2">
                  <c:v>86.49</c:v>
                </c:pt>
                <c:pt idx="3">
                  <c:v>90.97</c:v>
                </c:pt>
              </c:numCache>
            </c:numRef>
          </c:val>
          <c:smooth val="1"/>
          <c:extLst>
            <c:ext xmlns:c16="http://schemas.microsoft.com/office/drawing/2014/chart" uri="{C3380CC4-5D6E-409C-BE32-E72D297353CC}">
              <c16:uniqueId val="{00000004-C989-4C79-9AAE-58586C3569F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title>
          <c:tx>
            <c:rich>
              <a:bodyPr/>
              <a:lstStyle/>
              <a:p>
                <a:r>
                  <a:rPr lang="en-US"/>
                  <a:t>Year</a:t>
                </a:r>
              </a:p>
            </c:rich>
          </c:tx>
          <c:overlay val="0"/>
        </c:title>
        <c:numFmt formatCode="General" sourceLinked="1"/>
        <c:majorTickMark val="out"/>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n-US"/>
                  <a:t>Score</a:t>
                </a:r>
              </a:p>
            </c:rich>
          </c:tx>
          <c:overlay val="0"/>
        </c:title>
        <c:numFmt formatCode="General" sourceLinked="1"/>
        <c:majorTickMark val="out"/>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Final NSIS and Math by cohort</a:t>
            </a:r>
          </a:p>
        </c:rich>
      </c:tx>
      <c:overlay val="0"/>
    </c:title>
    <c:autoTitleDeleted val="0"/>
    <c:plotArea>
      <c:layout/>
      <c:barChart>
        <c:barDir val="col"/>
        <c:grouping val="clustered"/>
        <c:varyColors val="1"/>
        <c:ser>
          <c:idx val="0"/>
          <c:order val="0"/>
          <c:tx>
            <c:strRef>
              <c:f>Cognia_Evidence_Page!$I$10</c:f>
              <c:strCache>
                <c:ptCount val="1"/>
                <c:pt idx="0">
                  <c:v>Final_NSIS</c:v>
                </c:pt>
              </c:strCache>
            </c:strRef>
          </c:tx>
          <c:spPr>
            <a:ln>
              <a:prstDash val="solid"/>
            </a:ln>
          </c:spPr>
          <c:invertIfNegative val="1"/>
          <c:cat>
            <c:strRef>
              <c:f>Cognia_Evidence_Page!$H$11:$H$14</c:f>
              <c:strCache>
                <c:ptCount val="4"/>
                <c:pt idx="0">
                  <c:v>Class of 2022</c:v>
                </c:pt>
                <c:pt idx="1">
                  <c:v>Class of 2023</c:v>
                </c:pt>
                <c:pt idx="2">
                  <c:v>Class of 2024</c:v>
                </c:pt>
                <c:pt idx="3">
                  <c:v>Class of 2025</c:v>
                </c:pt>
              </c:strCache>
            </c:strRef>
          </c:cat>
          <c:val>
            <c:numRef>
              <c:f>Cognia_Evidence_Page!$I$11:$I$14</c:f>
              <c:numCache>
                <c:formatCode>General</c:formatCode>
                <c:ptCount val="4"/>
                <c:pt idx="0">
                  <c:v>93.17</c:v>
                </c:pt>
                <c:pt idx="1">
                  <c:v>92.04</c:v>
                </c:pt>
                <c:pt idx="2">
                  <c:v>89.69</c:v>
                </c:pt>
                <c:pt idx="3">
                  <c:v>91.58</c:v>
                </c:pt>
              </c:numCache>
            </c:numRef>
          </c:val>
          <c:extLst>
            <c:ext xmlns:c16="http://schemas.microsoft.com/office/drawing/2014/chart" uri="{C3380CC4-5D6E-409C-BE32-E72D297353CC}">
              <c16:uniqueId val="{00000000-CC43-435F-8888-869CE50473B5}"/>
            </c:ext>
          </c:extLst>
        </c:ser>
        <c:ser>
          <c:idx val="1"/>
          <c:order val="1"/>
          <c:tx>
            <c:strRef>
              <c:f>Cognia_Evidence_Page!$J$10</c:f>
              <c:strCache>
                <c:ptCount val="1"/>
                <c:pt idx="0">
                  <c:v>Final_Math</c:v>
                </c:pt>
              </c:strCache>
            </c:strRef>
          </c:tx>
          <c:spPr>
            <a:ln>
              <a:prstDash val="solid"/>
            </a:ln>
          </c:spPr>
          <c:invertIfNegative val="1"/>
          <c:cat>
            <c:strRef>
              <c:f>Cognia_Evidence_Page!$H$11:$H$14</c:f>
              <c:strCache>
                <c:ptCount val="4"/>
                <c:pt idx="0">
                  <c:v>Class of 2022</c:v>
                </c:pt>
                <c:pt idx="1">
                  <c:v>Class of 2023</c:v>
                </c:pt>
                <c:pt idx="2">
                  <c:v>Class of 2024</c:v>
                </c:pt>
                <c:pt idx="3">
                  <c:v>Class of 2025</c:v>
                </c:pt>
              </c:strCache>
            </c:strRef>
          </c:cat>
          <c:val>
            <c:numRef>
              <c:f>Cognia_Evidence_Page!$J$11:$J$14</c:f>
              <c:numCache>
                <c:formatCode>General</c:formatCode>
                <c:ptCount val="4"/>
                <c:pt idx="0">
                  <c:v>93.29</c:v>
                </c:pt>
                <c:pt idx="1">
                  <c:v>95.85</c:v>
                </c:pt>
                <c:pt idx="2">
                  <c:v>89.77</c:v>
                </c:pt>
                <c:pt idx="3">
                  <c:v>90.97</c:v>
                </c:pt>
              </c:numCache>
            </c:numRef>
          </c:val>
          <c:extLst>
            <c:ext xmlns:c16="http://schemas.microsoft.com/office/drawing/2014/chart" uri="{C3380CC4-5D6E-409C-BE32-E72D297353CC}">
              <c16:uniqueId val="{00000001-CC43-435F-8888-869CE50473B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title>
          <c:tx>
            <c:rich>
              <a:bodyPr/>
              <a:lstStyle/>
              <a:p>
                <a:r>
                  <a:rPr lang="en-US"/>
                  <a:t>Cohort</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title>
          <c:tx>
            <c:rich>
              <a:bodyPr/>
              <a:lstStyle/>
              <a:p>
                <a:r>
                  <a:rPr lang="en-US"/>
                  <a:t>Score</a:t>
                </a:r>
              </a:p>
            </c:rich>
          </c:tx>
          <c:overlay val="0"/>
        </c:title>
        <c:numFmt formatCode="General" sourceLinked="1"/>
        <c:majorTickMark val="none"/>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Entry vs exit average</a:t>
            </a:r>
          </a:p>
        </c:rich>
      </c:tx>
      <c:overlay val="0"/>
    </c:title>
    <c:autoTitleDeleted val="0"/>
    <c:plotArea>
      <c:layout/>
      <c:barChart>
        <c:barDir val="bar"/>
        <c:grouping val="clustered"/>
        <c:varyColors val="1"/>
        <c:ser>
          <c:idx val="0"/>
          <c:order val="0"/>
          <c:tx>
            <c:strRef>
              <c:f>Cognia_Evidence_Page!$B$17</c:f>
              <c:strCache>
                <c:ptCount val="1"/>
                <c:pt idx="0">
                  <c:v>Entry</c:v>
                </c:pt>
              </c:strCache>
            </c:strRef>
          </c:tx>
          <c:spPr>
            <a:ln>
              <a:prstDash val="solid"/>
            </a:ln>
          </c:spPr>
          <c:invertIfNegative val="1"/>
          <c:cat>
            <c:strRef>
              <c:f>Cognia_Evidence_Page!$A$18:$A$23</c:f>
              <c:strCache>
                <c:ptCount val="6"/>
                <c:pt idx="0">
                  <c:v>RAW</c:v>
                </c:pt>
                <c:pt idx="1">
                  <c:v>NSIS</c:v>
                </c:pt>
                <c:pt idx="2">
                  <c:v>STEM</c:v>
                </c:pt>
                <c:pt idx="3">
                  <c:v>English</c:v>
                </c:pt>
                <c:pt idx="4">
                  <c:v>Math</c:v>
                </c:pt>
                <c:pt idx="5">
                  <c:v>CA Est</c:v>
                </c:pt>
              </c:strCache>
            </c:strRef>
          </c:cat>
          <c:val>
            <c:numRef>
              <c:f>Cognia_Evidence_Page!$B$18:$B$23</c:f>
              <c:numCache>
                <c:formatCode>General</c:formatCode>
                <c:ptCount val="6"/>
                <c:pt idx="0">
                  <c:v>84.61</c:v>
                </c:pt>
                <c:pt idx="1">
                  <c:v>88.09</c:v>
                </c:pt>
                <c:pt idx="2">
                  <c:v>88.42</c:v>
                </c:pt>
                <c:pt idx="3">
                  <c:v>86.15</c:v>
                </c:pt>
                <c:pt idx="4">
                  <c:v>82.78</c:v>
                </c:pt>
                <c:pt idx="5">
                  <c:v>48.92</c:v>
                </c:pt>
              </c:numCache>
            </c:numRef>
          </c:val>
          <c:extLst>
            <c:ext xmlns:c16="http://schemas.microsoft.com/office/drawing/2014/chart" uri="{C3380CC4-5D6E-409C-BE32-E72D297353CC}">
              <c16:uniqueId val="{00000000-33F8-41C1-B871-5175317CB302}"/>
            </c:ext>
          </c:extLst>
        </c:ser>
        <c:ser>
          <c:idx val="1"/>
          <c:order val="1"/>
          <c:tx>
            <c:strRef>
              <c:f>Cognia_Evidence_Page!$C$17</c:f>
              <c:strCache>
                <c:ptCount val="1"/>
                <c:pt idx="0">
                  <c:v>Exit</c:v>
                </c:pt>
              </c:strCache>
            </c:strRef>
          </c:tx>
          <c:spPr>
            <a:ln>
              <a:prstDash val="solid"/>
            </a:ln>
          </c:spPr>
          <c:invertIfNegative val="1"/>
          <c:cat>
            <c:strRef>
              <c:f>Cognia_Evidence_Page!$A$18:$A$23</c:f>
              <c:strCache>
                <c:ptCount val="6"/>
                <c:pt idx="0">
                  <c:v>RAW</c:v>
                </c:pt>
                <c:pt idx="1">
                  <c:v>NSIS</c:v>
                </c:pt>
                <c:pt idx="2">
                  <c:v>STEM</c:v>
                </c:pt>
                <c:pt idx="3">
                  <c:v>English</c:v>
                </c:pt>
                <c:pt idx="4">
                  <c:v>Math</c:v>
                </c:pt>
                <c:pt idx="5">
                  <c:v>CA Est</c:v>
                </c:pt>
              </c:strCache>
            </c:strRef>
          </c:cat>
          <c:val>
            <c:numRef>
              <c:f>Cognia_Evidence_Page!$C$18:$C$23</c:f>
              <c:numCache>
                <c:formatCode>General</c:formatCode>
                <c:ptCount val="6"/>
                <c:pt idx="0">
                  <c:v>88.13</c:v>
                </c:pt>
                <c:pt idx="1">
                  <c:v>91.58</c:v>
                </c:pt>
                <c:pt idx="2">
                  <c:v>94.17</c:v>
                </c:pt>
                <c:pt idx="3">
                  <c:v>91.13</c:v>
                </c:pt>
                <c:pt idx="4">
                  <c:v>90.97</c:v>
                </c:pt>
                <c:pt idx="5">
                  <c:v>50.78</c:v>
                </c:pt>
              </c:numCache>
            </c:numRef>
          </c:val>
          <c:extLst>
            <c:ext xmlns:c16="http://schemas.microsoft.com/office/drawing/2014/chart" uri="{C3380CC4-5D6E-409C-BE32-E72D297353CC}">
              <c16:uniqueId val="{00000001-33F8-41C1-B871-5175317CB3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n-US"/>
                  <a:t>Score</a:t>
                </a:r>
              </a:p>
            </c:rich>
          </c:tx>
          <c:overlay val="0"/>
        </c:title>
        <c:numFmt formatCode="General" sourceLinked="1"/>
        <c:majorTickMark val="out"/>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n-US"/>
                  <a:t>Subject</a:t>
                </a:r>
              </a:p>
            </c:rich>
          </c:tx>
          <c:overlay val="0"/>
        </c:title>
        <c:numFmt formatCode="General" sourceLinked="1"/>
        <c:majorTickMark val="out"/>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Students improved (%)</a:t>
            </a:r>
          </a:p>
        </c:rich>
      </c:tx>
      <c:overlay val="0"/>
    </c:title>
    <c:autoTitleDeleted val="0"/>
    <c:plotArea>
      <c:layout/>
      <c:barChart>
        <c:barDir val="col"/>
        <c:grouping val="clustered"/>
        <c:varyColors val="1"/>
        <c:ser>
          <c:idx val="0"/>
          <c:order val="0"/>
          <c:tx>
            <c:strRef>
              <c:f>Cognia_Evidence_Page!$C$26</c:f>
              <c:strCache>
                <c:ptCount val="1"/>
                <c:pt idx="0">
                  <c:v>Improved_%</c:v>
                </c:pt>
              </c:strCache>
            </c:strRef>
          </c:tx>
          <c:spPr>
            <a:ln>
              <a:prstDash val="solid"/>
            </a:ln>
          </c:spPr>
          <c:invertIfNegative val="1"/>
          <c:cat>
            <c:strRef>
              <c:f>Cognia_Evidence_Page!$A$27:$A$31</c:f>
              <c:strCache>
                <c:ptCount val="5"/>
                <c:pt idx="0">
                  <c:v>RAW</c:v>
                </c:pt>
                <c:pt idx="1">
                  <c:v>NSIS</c:v>
                </c:pt>
                <c:pt idx="2">
                  <c:v>STEM</c:v>
                </c:pt>
                <c:pt idx="3">
                  <c:v>English</c:v>
                </c:pt>
                <c:pt idx="4">
                  <c:v>Math</c:v>
                </c:pt>
              </c:strCache>
            </c:strRef>
          </c:cat>
          <c:val>
            <c:numRef>
              <c:f>Cognia_Evidence_Page!$C$27:$C$31</c:f>
              <c:numCache>
                <c:formatCode>0%</c:formatCode>
                <c:ptCount val="5"/>
                <c:pt idx="0">
                  <c:v>0.78</c:v>
                </c:pt>
                <c:pt idx="1">
                  <c:v>0.81</c:v>
                </c:pt>
                <c:pt idx="2">
                  <c:v>0.95</c:v>
                </c:pt>
                <c:pt idx="3">
                  <c:v>0.86</c:v>
                </c:pt>
                <c:pt idx="4">
                  <c:v>1</c:v>
                </c:pt>
              </c:numCache>
            </c:numRef>
          </c:val>
          <c:extLst>
            <c:ext xmlns:c16="http://schemas.microsoft.com/office/drawing/2014/chart" uri="{C3380CC4-5D6E-409C-BE32-E72D297353CC}">
              <c16:uniqueId val="{00000000-1EF1-4D24-B7C3-A07CBAC06C5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out"/>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n-US"/>
                  <a:t>Rate</a:t>
                </a:r>
              </a:p>
            </c:rich>
          </c:tx>
          <c:overlay val="0"/>
        </c:title>
        <c:numFmt formatCode="0%" sourceLinked="1"/>
        <c:majorTickMark val="out"/>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Average gain by subject</a:t>
            </a:r>
          </a:p>
        </c:rich>
      </c:tx>
      <c:overlay val="0"/>
    </c:title>
    <c:autoTitleDeleted val="0"/>
    <c:plotArea>
      <c:layout/>
      <c:barChart>
        <c:barDir val="col"/>
        <c:grouping val="clustered"/>
        <c:varyColors val="1"/>
        <c:ser>
          <c:idx val="0"/>
          <c:order val="0"/>
          <c:tx>
            <c:strRef>
              <c:f>Cognia_Evidence_Page!$B$26</c:f>
              <c:strCache>
                <c:ptCount val="1"/>
                <c:pt idx="0">
                  <c:v>Avg_Gain</c:v>
                </c:pt>
              </c:strCache>
            </c:strRef>
          </c:tx>
          <c:spPr>
            <a:ln>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Cognia_Evidence_Page!$A$27:$A$31</c:f>
              <c:strCache>
                <c:ptCount val="5"/>
                <c:pt idx="0">
                  <c:v>RAW</c:v>
                </c:pt>
                <c:pt idx="1">
                  <c:v>NSIS</c:v>
                </c:pt>
                <c:pt idx="2">
                  <c:v>STEM</c:v>
                </c:pt>
                <c:pt idx="3">
                  <c:v>English</c:v>
                </c:pt>
                <c:pt idx="4">
                  <c:v>Math</c:v>
                </c:pt>
              </c:strCache>
            </c:strRef>
          </c:cat>
          <c:val>
            <c:numRef>
              <c:f>Cognia_Evidence_Page!$B$27:$B$31</c:f>
              <c:numCache>
                <c:formatCode>General</c:formatCode>
                <c:ptCount val="5"/>
                <c:pt idx="0">
                  <c:v>3.52</c:v>
                </c:pt>
                <c:pt idx="1">
                  <c:v>3.49</c:v>
                </c:pt>
                <c:pt idx="2">
                  <c:v>5.75</c:v>
                </c:pt>
                <c:pt idx="3">
                  <c:v>4.9800000000000004</c:v>
                </c:pt>
                <c:pt idx="4">
                  <c:v>90.97</c:v>
                </c:pt>
              </c:numCache>
            </c:numRef>
          </c:val>
          <c:extLst>
            <c:ext xmlns:c16="http://schemas.microsoft.com/office/drawing/2014/chart" uri="{C3380CC4-5D6E-409C-BE32-E72D297353CC}">
              <c16:uniqueId val="{00000000-9760-48FA-9361-35E95813C830}"/>
            </c:ext>
          </c:extLst>
        </c:ser>
        <c:dLbls>
          <c:dLblPos val="outEnd"/>
          <c:showLegendKey val="0"/>
          <c:showVal val="1"/>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out"/>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n-US"/>
                  <a:t>Gain</a:t>
                </a:r>
              </a:p>
            </c:rich>
          </c:tx>
          <c:overlay val="0"/>
        </c:title>
        <c:numFmt formatCode="General" sourceLinked="1"/>
        <c:majorTickMark val="out"/>
        <c:minorTickMark val="none"/>
        <c:tickLblPos val="nextTo"/>
        <c:crossAx val="48650112"/>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oneCellAnchor>
    <xdr:from>
      <xdr:col>9</xdr:col>
      <xdr:colOff>0</xdr:colOff>
      <xdr:row>1</xdr:row>
      <xdr:rowOff>0</xdr:rowOff>
    </xdr:from>
    <xdr:ext cx="3604260" cy="288798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22860</xdr:colOff>
      <xdr:row>9</xdr:row>
      <xdr:rowOff>0</xdr:rowOff>
    </xdr:from>
    <xdr:ext cx="4023360" cy="236982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1295400</xdr:colOff>
      <xdr:row>8</xdr:row>
      <xdr:rowOff>167640</xdr:rowOff>
    </xdr:from>
    <xdr:ext cx="4137660" cy="245364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541020</xdr:colOff>
      <xdr:row>6</xdr:row>
      <xdr:rowOff>137160</xdr:rowOff>
    </xdr:from>
    <xdr:ext cx="3600000" cy="2088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4</xdr:col>
      <xdr:colOff>571500</xdr:colOff>
      <xdr:row>8</xdr:row>
      <xdr:rowOff>160020</xdr:rowOff>
    </xdr:from>
    <xdr:ext cx="3787140" cy="273558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419100</xdr:colOff>
      <xdr:row>9</xdr:row>
      <xdr:rowOff>99060</xdr:rowOff>
    </xdr:from>
    <xdr:ext cx="3642360" cy="2476500"/>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9</xdr:col>
      <xdr:colOff>38100</xdr:colOff>
      <xdr:row>2</xdr:row>
      <xdr:rowOff>99060</xdr:rowOff>
    </xdr:from>
    <xdr:ext cx="4709160" cy="212598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236220</xdr:colOff>
      <xdr:row>13</xdr:row>
      <xdr:rowOff>15240</xdr:rowOff>
    </xdr:from>
    <xdr:ext cx="4389120" cy="2796540"/>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3</xdr:col>
      <xdr:colOff>533400</xdr:colOff>
      <xdr:row>9</xdr:row>
      <xdr:rowOff>137160</xdr:rowOff>
    </xdr:from>
    <xdr:ext cx="4030980" cy="272034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6</xdr:col>
      <xdr:colOff>1196340</xdr:colOff>
      <xdr:row>7</xdr:row>
      <xdr:rowOff>0</xdr:rowOff>
    </xdr:from>
    <xdr:ext cx="3671999" cy="208668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83820</xdr:colOff>
      <xdr:row>7</xdr:row>
      <xdr:rowOff>38100</xdr:rowOff>
    </xdr:from>
    <xdr:ext cx="4526280" cy="2194560"/>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8</xdr:col>
      <xdr:colOff>441960</xdr:colOff>
      <xdr:row>19</xdr:row>
      <xdr:rowOff>167640</xdr:rowOff>
    </xdr:from>
    <xdr:ext cx="4099560" cy="2903220"/>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0</xdr:col>
      <xdr:colOff>762000</xdr:colOff>
      <xdr:row>9</xdr:row>
      <xdr:rowOff>175260</xdr:rowOff>
    </xdr:from>
    <xdr:ext cx="5996940" cy="317754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11</xdr:row>
      <xdr:rowOff>0</xdr:rowOff>
    </xdr:from>
    <xdr:ext cx="3977640" cy="249936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15</xdr:col>
      <xdr:colOff>281940</xdr:colOff>
      <xdr:row>11</xdr:row>
      <xdr:rowOff>0</xdr:rowOff>
    </xdr:from>
    <xdr:ext cx="4450080" cy="3009900"/>
    <xdr:graphicFrame macro="">
      <xdr:nvGraphicFramePr>
        <xdr:cNvPr id="4" name="Chart 3">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579120</xdr:colOff>
      <xdr:row>31</xdr:row>
      <xdr:rowOff>0</xdr:rowOff>
    </xdr:from>
    <xdr:ext cx="6134100" cy="4701540"/>
    <xdr:graphicFrame macro="">
      <xdr:nvGraphicFramePr>
        <xdr:cNvPr id="5" name="Chart 4">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8</xdr:col>
      <xdr:colOff>0</xdr:colOff>
      <xdr:row>31</xdr:row>
      <xdr:rowOff>0</xdr:rowOff>
    </xdr:from>
    <xdr:ext cx="3420000" cy="2088000"/>
    <xdr:graphicFrame macro="">
      <xdr:nvGraphicFramePr>
        <xdr:cNvPr id="6" name="Chart 5">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16</xdr:col>
      <xdr:colOff>0</xdr:colOff>
      <xdr:row>31</xdr:row>
      <xdr:rowOff>0</xdr:rowOff>
    </xdr:from>
    <xdr:ext cx="3240000" cy="2088000"/>
    <xdr:graphicFrame macro="">
      <xdr:nvGraphicFramePr>
        <xdr:cNvPr id="7" name="Chart 6">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11</xdr:col>
      <xdr:colOff>7620</xdr:colOff>
      <xdr:row>1</xdr:row>
      <xdr:rowOff>53340</xdr:rowOff>
    </xdr:from>
    <xdr:ext cx="4495800" cy="252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746760</xdr:colOff>
      <xdr:row>22</xdr:row>
      <xdr:rowOff>7620</xdr:rowOff>
    </xdr:from>
    <xdr:ext cx="3017520" cy="2857500"/>
    <xdr:graphicFrame macro="">
      <xdr:nvGraphicFramePr>
        <xdr:cNvPr id="3" name="Chart 2">
          <a:extLst>
            <a:ext uri="{FF2B5EF4-FFF2-40B4-BE49-F238E27FC236}">
              <a16:creationId xmlns:a16="http://schemas.microsoft.com/office/drawing/2014/main" id="{00000000-0008-0000-1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83820</xdr:colOff>
      <xdr:row>16</xdr:row>
      <xdr:rowOff>137160</xdr:rowOff>
    </xdr:from>
    <xdr:ext cx="4495800" cy="4335780"/>
    <xdr:graphicFrame macro="">
      <xdr:nvGraphicFramePr>
        <xdr:cNvPr id="4" name="Chart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11</xdr:col>
      <xdr:colOff>160020</xdr:colOff>
      <xdr:row>15</xdr:row>
      <xdr:rowOff>106680</xdr:rowOff>
    </xdr:from>
    <xdr:ext cx="4320540" cy="2430780"/>
    <xdr:graphicFrame macro="">
      <xdr:nvGraphicFramePr>
        <xdr:cNvPr id="5" name="Chart 4">
          <a:extLst>
            <a:ext uri="{FF2B5EF4-FFF2-40B4-BE49-F238E27FC236}">
              <a16:creationId xmlns:a16="http://schemas.microsoft.com/office/drawing/2014/main" id="{00000000-0008-0000-1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10</xdr:col>
      <xdr:colOff>1196340</xdr:colOff>
      <xdr:row>29</xdr:row>
      <xdr:rowOff>167640</xdr:rowOff>
    </xdr:from>
    <xdr:ext cx="3627120" cy="2933700"/>
    <xdr:graphicFrame macro="">
      <xdr:nvGraphicFramePr>
        <xdr:cNvPr id="6" name="Chart 5">
          <a:extLst>
            <a:ext uri="{FF2B5EF4-FFF2-40B4-BE49-F238E27FC236}">
              <a16:creationId xmlns:a16="http://schemas.microsoft.com/office/drawing/2014/main" id="{00000000-0008-0000-1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udentMaster" displayName="StudentMaster" ref="A1:U173">
  <autoFilter ref="A1:U173" xr:uid="{00000000-0009-0000-0100-000001000000}"/>
  <tableColumns count="21">
    <tableColumn id="1" xr3:uid="{00000000-0010-0000-0000-000001000000}" name="Cohort"/>
    <tableColumn id="2" xr3:uid="{00000000-0010-0000-0000-000002000000}" name="QID"/>
    <tableColumn id="3" xr3:uid="{00000000-0010-0000-0000-000003000000}" name="Student_Name"/>
    <tableColumn id="4" xr3:uid="{00000000-0010-0000-0000-000004000000}" name="Entry_Year"/>
    <tableColumn id="5" xr3:uid="{00000000-0010-0000-0000-000005000000}" name="Exit_Year"/>
    <tableColumn id="6" xr3:uid="{00000000-0010-0000-0000-000006000000}" name="Entry_Overall"/>
    <tableColumn id="7" xr3:uid="{00000000-0010-0000-0000-000007000000}" name="Exit_Overall"/>
    <tableColumn id="8" xr3:uid="{00000000-0010-0000-0000-000008000000}" name="Gain_Overall"/>
    <tableColumn id="9" xr3:uid="{00000000-0010-0000-0000-000009000000}" name="Baseline_Composite"/>
    <tableColumn id="10" xr3:uid="{00000000-0010-0000-0000-00000A000000}" name="Baseline_Available_Flag"/>
    <tableColumn id="11" xr3:uid="{00000000-0010-0000-0000-00000B000000}" name="Starter_Group"/>
    <tableColumn id="12" xr3:uid="{00000000-0010-0000-0000-00000C000000}" name="Entry_Band"/>
    <tableColumn id="13" xr3:uid="{00000000-0010-0000-0000-00000D000000}" name="Exit_Band"/>
    <tableColumn id="14" xr3:uid="{00000000-0010-0000-0000-00000E000000}" name="Band_Movement"/>
    <tableColumn id="15" xr3:uid="{00000000-0010-0000-0000-00000F000000}" name="University"/>
    <tableColumn id="16" xr3:uid="{00000000-0010-0000-0000-000010000000}" name="Major"/>
    <tableColumn id="17" xr3:uid="{00000000-0010-0000-0000-000011000000}" name="STEM_Major_Flag"/>
    <tableColumn id="18" xr3:uid="{00000000-0010-0000-0000-000012000000}" name="Direct_Admission_Flag"/>
    <tableColumn id="19" xr3:uid="{00000000-0010-0000-0000-000013000000}" name="Final_Secondary_%"/>
    <tableColumn id="20" xr3:uid="{00000000-0010-0000-0000-000014000000}" name="SAT_Total"/>
    <tableColumn id="21" xr3:uid="{00000000-0010-0000-0000-000015000000}" name="Spons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ongPanel" displayName="LongPanel" ref="A1:L689">
  <autoFilter ref="A1:L689" xr:uid="{00000000-0009-0000-0100-000002000000}"/>
  <tableColumns count="12">
    <tableColumn id="1" xr3:uid="{00000000-0010-0000-0100-000001000000}" name="Cohort"/>
    <tableColumn id="2" xr3:uid="{00000000-0010-0000-0100-000002000000}" name="QID"/>
    <tableColumn id="3" xr3:uid="{00000000-0010-0000-0100-000003000000}" name="Student_Name"/>
    <tableColumn id="4" xr3:uid="{00000000-0010-0000-0100-000004000000}" name="Academic_Year"/>
    <tableColumn id="5" xr3:uid="{00000000-0010-0000-0100-000005000000}" name="Year_Order"/>
    <tableColumn id="6" xr3:uid="{00000000-0010-0000-0100-000006000000}" name="Curriculum_Phase"/>
    <tableColumn id="7" xr3:uid="{00000000-0010-0000-0100-000007000000}" name="RAW"/>
    <tableColumn id="8" xr3:uid="{00000000-0010-0000-0100-000008000000}" name="NSIS"/>
    <tableColumn id="9" xr3:uid="{00000000-0010-0000-0100-000009000000}" name="STEM"/>
    <tableColumn id="10" xr3:uid="{00000000-0010-0000-0100-00000A000000}" name="English"/>
    <tableColumn id="11" xr3:uid="{00000000-0010-0000-0100-00000B000000}" name="Math"/>
    <tableColumn id="12" xr3:uid="{00000000-0010-0000-0100-00000C000000}" name="Overall_Intern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udentGrowth" displayName="StudentGrowth" ref="A1:AI173">
  <autoFilter ref="A1:AI173" xr:uid="{00000000-0009-0000-0100-000003000000}"/>
  <tableColumns count="35">
    <tableColumn id="1" xr3:uid="{00000000-0010-0000-0200-000001000000}" name="Cohort"/>
    <tableColumn id="2" xr3:uid="{00000000-0010-0000-0200-000002000000}" name="QID"/>
    <tableColumn id="3" xr3:uid="{00000000-0010-0000-0200-000003000000}" name="Student_Name"/>
    <tableColumn id="4" xr3:uid="{00000000-0010-0000-0200-000004000000}" name="Entry_Year"/>
    <tableColumn id="5" xr3:uid="{00000000-0010-0000-0200-000005000000}" name="Exit_Year"/>
    <tableColumn id="6" xr3:uid="{00000000-0010-0000-0200-000006000000}" name="Baseline_Composite"/>
    <tableColumn id="7" xr3:uid="{00000000-0010-0000-0200-000007000000}" name="Baseline_Available_Flag"/>
    <tableColumn id="8" xr3:uid="{00000000-0010-0000-0200-000008000000}" name="Entry_Overall"/>
    <tableColumn id="9" xr3:uid="{00000000-0010-0000-0200-000009000000}" name="Exit_Overall"/>
    <tableColumn id="10" xr3:uid="{00000000-0010-0000-0200-00000A000000}" name="Gain_Overall"/>
    <tableColumn id="11" xr3:uid="{00000000-0010-0000-0200-00000B000000}" name="Entry_RAW"/>
    <tableColumn id="12" xr3:uid="{00000000-0010-0000-0200-00000C000000}" name="Exit_RAW"/>
    <tableColumn id="13" xr3:uid="{00000000-0010-0000-0200-00000D000000}" name="Gain_RAW"/>
    <tableColumn id="14" xr3:uid="{00000000-0010-0000-0200-00000E000000}" name="Entry_NSIS"/>
    <tableColumn id="15" xr3:uid="{00000000-0010-0000-0200-00000F000000}" name="Exit_NSIS"/>
    <tableColumn id="16" xr3:uid="{00000000-0010-0000-0200-000010000000}" name="Gain_NSIS"/>
    <tableColumn id="17" xr3:uid="{00000000-0010-0000-0200-000011000000}" name="Entry_STEM"/>
    <tableColumn id="18" xr3:uid="{00000000-0010-0000-0200-000012000000}" name="Exit_STEM"/>
    <tableColumn id="19" xr3:uid="{00000000-0010-0000-0200-000013000000}" name="Gain_STEM"/>
    <tableColumn id="20" xr3:uid="{00000000-0010-0000-0200-000014000000}" name="Entry_English"/>
    <tableColumn id="21" xr3:uid="{00000000-0010-0000-0200-000015000000}" name="Exit_English"/>
    <tableColumn id="22" xr3:uid="{00000000-0010-0000-0200-000016000000}" name="Gain_English"/>
    <tableColumn id="23" xr3:uid="{00000000-0010-0000-0200-000017000000}" name="Entry_Math"/>
    <tableColumn id="24" xr3:uid="{00000000-0010-0000-0200-000018000000}" name="Exit_Math"/>
    <tableColumn id="25" xr3:uid="{00000000-0010-0000-0200-000019000000}" name="Gain_Math"/>
    <tableColumn id="26" xr3:uid="{00000000-0010-0000-0200-00001A000000}" name="Starter_Group"/>
    <tableColumn id="27" xr3:uid="{00000000-0010-0000-0200-00001B000000}" name="Entry_Band"/>
    <tableColumn id="28" xr3:uid="{00000000-0010-0000-0200-00001C000000}" name="Exit_Band"/>
    <tableColumn id="29" xr3:uid="{00000000-0010-0000-0200-00001D000000}" name="Band_Movement"/>
    <tableColumn id="30" xr3:uid="{00000000-0010-0000-0200-00001E000000}" name="University"/>
    <tableColumn id="31" xr3:uid="{00000000-0010-0000-0200-00001F000000}" name="Major"/>
    <tableColumn id="32" xr3:uid="{00000000-0010-0000-0200-000020000000}" name="STEM_Major_Flag"/>
    <tableColumn id="33" xr3:uid="{00000000-0010-0000-0200-000021000000}" name="Final_Secondary_%"/>
    <tableColumn id="34" xr3:uid="{00000000-0010-0000-0200-000022000000}" name="SAT_Total"/>
    <tableColumn id="35" xr3:uid="{00000000-0010-0000-0200-000023000000}" name="Spons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UniversityExit" displayName="UniversityExit" ref="A1:L173">
  <autoFilter ref="A1:L173" xr:uid="{00000000-0009-0000-0100-000004000000}"/>
  <tableColumns count="12">
    <tableColumn id="1" xr3:uid="{00000000-0010-0000-0300-000001000000}" name="Cohort"/>
    <tableColumn id="2" xr3:uid="{00000000-0010-0000-0300-000002000000}" name="QID"/>
    <tableColumn id="3" xr3:uid="{00000000-0010-0000-0300-000003000000}" name="Name_En"/>
    <tableColumn id="4" xr3:uid="{00000000-0010-0000-0300-000004000000}" name="University"/>
    <tableColumn id="5" xr3:uid="{00000000-0010-0000-0300-000005000000}" name="Country"/>
    <tableColumn id="6" xr3:uid="{00000000-0010-0000-0300-000006000000}" name="Major"/>
    <tableColumn id="7" xr3:uid="{00000000-0010-0000-0300-000007000000}" name="Sponsor"/>
    <tableColumn id="8" xr3:uid="{00000000-0010-0000-0300-000008000000}" name="Final_Secondary_%"/>
    <tableColumn id="9" xr3:uid="{00000000-0010-0000-0300-000009000000}" name="SAT_Math"/>
    <tableColumn id="10" xr3:uid="{00000000-0010-0000-0300-00000A000000}" name="SAT_En"/>
    <tableColumn id="11" xr3:uid="{00000000-0010-0000-0300-00000B000000}" name="SAT_Total"/>
    <tableColumn id="12" xr3:uid="{00000000-0010-0000-0300-00000C000000}" name="STEM_Major_Fla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ternalTrend" displayName="ExternalTrend" ref="A2:H7">
  <autoFilter ref="A2:H7" xr:uid="{00000000-0009-0000-0100-000005000000}"/>
  <tableColumns count="8">
    <tableColumn id="1" xr3:uid="{00000000-0010-0000-0400-000001000000}" name="Academic_Year"/>
    <tableColumn id="2" xr3:uid="{00000000-0010-0000-0400-000002000000}" name="SAT_Avg"/>
    <tableColumn id="3" xr3:uid="{00000000-0010-0000-0400-000003000000}" name="IELTS_Avg"/>
    <tableColumn id="4" xr3:uid="{00000000-0010-0000-0400-000004000000}" name="AP_Avg"/>
    <tableColumn id="5" xr3:uid="{00000000-0010-0000-0400-000005000000}" name="%90plus"/>
    <tableColumn id="6" xr3:uid="{00000000-0010-0000-0400-000006000000}" name="Overall_Achievement_%"/>
    <tableColumn id="7" xr3:uid="{00000000-0010-0000-0400-000007000000}" name="Direct_Admission_%"/>
    <tableColumn id="8" xr3:uid="{00000000-0010-0000-0400-000008000000}" name="STEM_Admission_%"/>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hortGrowth" displayName="CohortGrowth" ref="A2:AE5">
  <autoFilter ref="A2:AE5" xr:uid="{00000000-0009-0000-0100-000006000000}"/>
  <tableColumns count="31">
    <tableColumn id="1" xr3:uid="{00000000-0010-0000-0500-000001000000}" name="Cohort"/>
    <tableColumn id="2" xr3:uid="{00000000-0010-0000-0500-000002000000}" name="Students"/>
    <tableColumn id="3" xr3:uid="{00000000-0010-0000-0500-000003000000}" name="Entry_RAW_Avg"/>
    <tableColumn id="4" xr3:uid="{00000000-0010-0000-0500-000004000000}" name="Exit_RAW_Avg"/>
    <tableColumn id="5" xr3:uid="{00000000-0010-0000-0500-000005000000}" name="Gain_RAW_Avg"/>
    <tableColumn id="6" xr3:uid="{00000000-0010-0000-0500-000006000000}" name="%Improved_RAW"/>
    <tableColumn id="7" xr3:uid="{00000000-0010-0000-0500-000007000000}" name="Entry_NSIS_Avg"/>
    <tableColumn id="8" xr3:uid="{00000000-0010-0000-0500-000008000000}" name="Exit_NSIS_Avg"/>
    <tableColumn id="9" xr3:uid="{00000000-0010-0000-0500-000009000000}" name="Gain_NSIS_Avg"/>
    <tableColumn id="10" xr3:uid="{00000000-0010-0000-0500-00000A000000}" name="%Improved_NSIS"/>
    <tableColumn id="11" xr3:uid="{00000000-0010-0000-0500-00000B000000}" name="Entry_STEM_Avg"/>
    <tableColumn id="12" xr3:uid="{00000000-0010-0000-0500-00000C000000}" name="Exit_STEM_Avg"/>
    <tableColumn id="13" xr3:uid="{00000000-0010-0000-0500-00000D000000}" name="Gain_STEM_Avg"/>
    <tableColumn id="14" xr3:uid="{00000000-0010-0000-0500-00000E000000}" name="%Improved_STEM"/>
    <tableColumn id="15" xr3:uid="{00000000-0010-0000-0500-00000F000000}" name="Entry_English_Avg"/>
    <tableColumn id="16" xr3:uid="{00000000-0010-0000-0500-000010000000}" name="Exit_English_Avg"/>
    <tableColumn id="17" xr3:uid="{00000000-0010-0000-0500-000011000000}" name="Gain_English_Avg"/>
    <tableColumn id="18" xr3:uid="{00000000-0010-0000-0500-000012000000}" name="%Improved_English"/>
    <tableColumn id="19" xr3:uid="{00000000-0010-0000-0500-000013000000}" name="Entry_Math_Avg"/>
    <tableColumn id="20" xr3:uid="{00000000-0010-0000-0500-000014000000}" name="Exit_Math_Avg"/>
    <tableColumn id="21" xr3:uid="{00000000-0010-0000-0500-000015000000}" name="Gain_Math_Avg"/>
    <tableColumn id="22" xr3:uid="{00000000-0010-0000-0500-000016000000}" name="%Improved_Math"/>
    <tableColumn id="23" xr3:uid="{00000000-0010-0000-0500-000017000000}" name="Entry_Overall_Avg"/>
    <tableColumn id="24" xr3:uid="{00000000-0010-0000-0500-000018000000}" name="Exit_Overall_Avg"/>
    <tableColumn id="25" xr3:uid="{00000000-0010-0000-0500-000019000000}" name="Gain_Overall_Avg"/>
    <tableColumn id="26" xr3:uid="{00000000-0010-0000-0500-00001A000000}" name="%Improved_Overall"/>
    <tableColumn id="27" xr3:uid="{00000000-0010-0000-0500-00001B000000}" name="Baseline_Avg"/>
    <tableColumn id="28" xr3:uid="{00000000-0010-0000-0500-00001C000000}" name="SAT_Avg"/>
    <tableColumn id="29" xr3:uid="{00000000-0010-0000-0500-00001D000000}" name="Final_Secondary_Avg"/>
    <tableColumn id="30" xr3:uid="{00000000-0010-0000-0500-00001E000000}" name="Direct_Admission_%"/>
    <tableColumn id="31" xr3:uid="{00000000-0010-0000-0500-00001F000000}" name="STEM_Admission_%"/>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hortTraj" displayName="CohortTraj" ref="A1:I13">
  <autoFilter ref="A1:I13" xr:uid="{00000000-0009-0000-0100-000007000000}"/>
  <tableColumns count="9">
    <tableColumn id="1" xr3:uid="{00000000-0010-0000-0600-000001000000}" name="Cohort"/>
    <tableColumn id="2" xr3:uid="{00000000-0010-0000-0600-000002000000}" name="Year_Order"/>
    <tableColumn id="3" xr3:uid="{00000000-0010-0000-0600-000003000000}" name="Academic_Year"/>
    <tableColumn id="4" xr3:uid="{00000000-0010-0000-0600-000004000000}" name="RAW_Avg"/>
    <tableColumn id="5" xr3:uid="{00000000-0010-0000-0600-000005000000}" name="NSIS_Avg"/>
    <tableColumn id="6" xr3:uid="{00000000-0010-0000-0600-000006000000}" name="STEM_Avg"/>
    <tableColumn id="7" xr3:uid="{00000000-0010-0000-0600-000007000000}" name="English_Avg"/>
    <tableColumn id="8" xr3:uid="{00000000-0010-0000-0600-000008000000}" name="Math_Avg"/>
    <tableColumn id="9" xr3:uid="{00000000-0010-0000-0600-000009000000}" name="Overall_Avg"/>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ubjectGrowth" displayName="SubjectGrowth" ref="A2:G7">
  <autoFilter ref="A2:G7" xr:uid="{00000000-0009-0000-0100-000008000000}"/>
  <tableColumns count="7">
    <tableColumn id="1" xr3:uid="{00000000-0010-0000-0700-000001000000}" name="Subject"/>
    <tableColumn id="2" xr3:uid="{00000000-0010-0000-0700-000002000000}" name="Entry_Avg"/>
    <tableColumn id="3" xr3:uid="{00000000-0010-0000-0700-000003000000}" name="Exit_Avg"/>
    <tableColumn id="4" xr3:uid="{00000000-0010-0000-0700-000004000000}" name="Gain_Avg"/>
    <tableColumn id="5" xr3:uid="{00000000-0010-0000-0700-000005000000}" name="%Improved"/>
    <tableColumn id="6" xr3:uid="{00000000-0010-0000-0700-000006000000}" name="Min_Gain"/>
    <tableColumn id="7" xr3:uid="{00000000-0010-0000-0700-000007000000}" name="Max_Gai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BandMovement" displayName="BandMovement" ref="A2:E6">
  <autoFilter ref="A2:E6" xr:uid="{00000000-0009-0000-0100-000009000000}"/>
  <tableColumns count="5">
    <tableColumn id="1" xr3:uid="{00000000-0010-0000-0800-000001000000}" name="Entry_Band"/>
    <tableColumn id="2" xr3:uid="{00000000-0010-0000-0800-000002000000}" name="&lt;70"/>
    <tableColumn id="3" xr3:uid="{00000000-0010-0000-0800-000003000000}" name="70-79"/>
    <tableColumn id="4" xr3:uid="{00000000-0010-0000-0800-000004000000}" name="80-89"/>
    <tableColumn id="5" xr3:uid="{00000000-0010-0000-0800-000005000000}" name="9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acherCurriculum" displayName="TeacherCurriculum" ref="A2:H7">
  <autoFilter ref="A2:H7" xr:uid="{00000000-0009-0000-0100-00000A000000}"/>
  <tableColumns count="8">
    <tableColumn id="1" xr3:uid="{00000000-0010-0000-0900-000001000000}" name="Grade_Band"/>
    <tableColumn id="2" xr3:uid="{00000000-0010-0000-0900-000002000000}" name="Curriculum_Phase"/>
    <tableColumn id="3" xr3:uid="{00000000-0010-0000-0900-000003000000}" name="Subject_Group"/>
    <tableColumn id="4" xr3:uid="{00000000-0010-0000-0900-000004000000}" name="Assessment_Model"/>
    <tableColumn id="5" xr3:uid="{00000000-0010-0000-0900-000005000000}" name="Weighting / Notes"/>
    <tableColumn id="6" xr3:uid="{00000000-0010-0000-0900-000006000000}" name="AP_Aligned"/>
    <tableColumn id="7" xr3:uid="{00000000-0010-0000-0900-000007000000}" name="Teacher_Name"/>
    <tableColumn id="8" xr3:uid="{00000000-0010-0000-0900-000008000000}" name="Data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showGridLines="0" workbookViewId="0">
      <selection sqref="A1:B1"/>
    </sheetView>
  </sheetViews>
  <sheetFormatPr defaultRowHeight="14.4" x14ac:dyDescent="0.3"/>
  <cols>
    <col min="1" max="1" width="42" customWidth="1"/>
    <col min="2" max="2" width="53.6640625" customWidth="1"/>
    <col min="3" max="8" width="2" customWidth="1"/>
  </cols>
  <sheetData>
    <row r="1" spans="1:2" ht="21" customHeight="1" x14ac:dyDescent="0.3">
      <c r="A1" s="62" t="s">
        <v>0</v>
      </c>
      <c r="B1" s="63"/>
    </row>
    <row r="3" spans="1:2" ht="30" customHeight="1" x14ac:dyDescent="0.3">
      <c r="A3" s="49" t="s">
        <v>1</v>
      </c>
      <c r="B3" s="49" t="s">
        <v>2</v>
      </c>
    </row>
    <row r="4" spans="1:2" ht="24" customHeight="1" x14ac:dyDescent="0.3">
      <c r="A4" s="50" t="s">
        <v>3</v>
      </c>
      <c r="B4" s="54" t="s">
        <v>4</v>
      </c>
    </row>
    <row r="5" spans="1:2" ht="51.6" customHeight="1" x14ac:dyDescent="0.3">
      <c r="A5" s="51" t="s">
        <v>5</v>
      </c>
      <c r="B5" s="55" t="s">
        <v>6</v>
      </c>
    </row>
    <row r="6" spans="1:2" ht="18.600000000000001" customHeight="1" x14ac:dyDescent="0.3">
      <c r="A6" s="50" t="s">
        <v>7</v>
      </c>
      <c r="B6" s="54" t="s">
        <v>8</v>
      </c>
    </row>
    <row r="7" spans="1:2" ht="28.8" customHeight="1" x14ac:dyDescent="0.3">
      <c r="A7" s="51" t="s">
        <v>9</v>
      </c>
      <c r="B7" s="55" t="s">
        <v>10</v>
      </c>
    </row>
    <row r="8" spans="1:2" ht="49.2" customHeight="1" x14ac:dyDescent="0.3">
      <c r="A8" s="50" t="s">
        <v>11</v>
      </c>
      <c r="B8" s="54" t="s">
        <v>12</v>
      </c>
    </row>
    <row r="9" spans="1:2" ht="46.2" customHeight="1" x14ac:dyDescent="0.3">
      <c r="A9" s="51" t="s">
        <v>13</v>
      </c>
      <c r="B9" s="55" t="s">
        <v>14</v>
      </c>
    </row>
    <row r="10" spans="1:2" x14ac:dyDescent="0.3">
      <c r="A10" s="50"/>
      <c r="B10" s="54"/>
    </row>
    <row r="11" spans="1:2" ht="60" customHeight="1" x14ac:dyDescent="0.3">
      <c r="A11" s="56" t="s">
        <v>15</v>
      </c>
      <c r="B11" s="52" t="s">
        <v>16</v>
      </c>
    </row>
    <row r="12" spans="1:2" ht="34.200000000000003" customHeight="1" x14ac:dyDescent="0.3">
      <c r="A12" s="56" t="s">
        <v>17</v>
      </c>
      <c r="B12" s="55" t="s">
        <v>18</v>
      </c>
    </row>
    <row r="13" spans="1:2" ht="34.200000000000003" customHeight="1" x14ac:dyDescent="0.3">
      <c r="A13" s="56" t="s">
        <v>19</v>
      </c>
      <c r="B13" s="55" t="s">
        <v>20</v>
      </c>
    </row>
    <row r="14" spans="1:2" ht="17.100000000000001" customHeight="1" x14ac:dyDescent="0.3">
      <c r="A14" s="56" t="s">
        <v>21</v>
      </c>
      <c r="B14" s="55" t="s">
        <v>22</v>
      </c>
    </row>
    <row r="15" spans="1:2" ht="17.100000000000001" customHeight="1" x14ac:dyDescent="0.3">
      <c r="A15" s="56" t="s">
        <v>23</v>
      </c>
      <c r="B15" s="55" t="s">
        <v>24</v>
      </c>
    </row>
    <row r="16" spans="1:2" ht="34.200000000000003" customHeight="1" x14ac:dyDescent="0.3">
      <c r="A16" s="56" t="s">
        <v>25</v>
      </c>
      <c r="B16" s="55" t="s">
        <v>26</v>
      </c>
    </row>
    <row r="17" spans="1:2" ht="28.8" customHeight="1" x14ac:dyDescent="0.3">
      <c r="A17" s="56" t="s">
        <v>27</v>
      </c>
      <c r="B17" s="55" t="s">
        <v>28</v>
      </c>
    </row>
    <row r="18" spans="1:2" x14ac:dyDescent="0.3">
      <c r="A18" s="47"/>
      <c r="B18" s="52"/>
    </row>
    <row r="19" spans="1:2" ht="72" customHeight="1" x14ac:dyDescent="0.3">
      <c r="A19" s="51" t="s">
        <v>29</v>
      </c>
      <c r="B19" s="52" t="s">
        <v>30</v>
      </c>
    </row>
    <row r="20" spans="1:2" ht="43.2" customHeight="1" x14ac:dyDescent="0.3">
      <c r="A20" s="51" t="s">
        <v>31</v>
      </c>
      <c r="B20" s="52" t="s">
        <v>32</v>
      </c>
    </row>
    <row r="21" spans="1:2" x14ac:dyDescent="0.3">
      <c r="A21" s="47" t="s">
        <v>33</v>
      </c>
      <c r="B21" s="52"/>
    </row>
    <row r="22" spans="1:2" x14ac:dyDescent="0.3">
      <c r="A22" s="53" t="s">
        <v>34</v>
      </c>
      <c r="B22" s="52"/>
    </row>
    <row r="23" spans="1:2" ht="28.8" customHeight="1" x14ac:dyDescent="0.3">
      <c r="A23" s="60" t="s">
        <v>35</v>
      </c>
      <c r="B23" s="61"/>
    </row>
    <row r="24" spans="1:2" x14ac:dyDescent="0.3">
      <c r="A24" s="60" t="s">
        <v>36</v>
      </c>
      <c r="B24" s="61"/>
    </row>
    <row r="25" spans="1:2" x14ac:dyDescent="0.3">
      <c r="A25" s="60" t="s">
        <v>37</v>
      </c>
      <c r="B25" s="61"/>
    </row>
    <row r="26" spans="1:2" x14ac:dyDescent="0.3">
      <c r="A26" s="60" t="s">
        <v>38</v>
      </c>
      <c r="B26" s="61"/>
    </row>
  </sheetData>
  <mergeCells count="5">
    <mergeCell ref="A26:B26"/>
    <mergeCell ref="A24:B24"/>
    <mergeCell ref="A25:B25"/>
    <mergeCell ref="A1:B1"/>
    <mergeCell ref="A23: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2"/>
  <sheetViews>
    <sheetView showGridLines="0" workbookViewId="0"/>
  </sheetViews>
  <sheetFormatPr defaultRowHeight="14.4" x14ac:dyDescent="0.3"/>
  <cols>
    <col min="1" max="1" width="16" customWidth="1"/>
    <col min="2" max="2" width="14" customWidth="1"/>
    <col min="3" max="3" width="28" customWidth="1"/>
    <col min="4" max="4" width="12" customWidth="1"/>
    <col min="5" max="5" width="11" customWidth="1"/>
    <col min="6" max="6" width="20" customWidth="1"/>
    <col min="7" max="7" width="19" customWidth="1"/>
    <col min="8" max="8" width="22" customWidth="1"/>
    <col min="9" max="9" width="20" customWidth="1"/>
    <col min="10" max="10" width="24" customWidth="1"/>
    <col min="11" max="11" width="16" customWidth="1"/>
    <col min="12" max="12" width="12" customWidth="1"/>
    <col min="13" max="13" width="11" customWidth="1"/>
    <col min="14" max="14" width="15" customWidth="1"/>
    <col min="15" max="16" width="28" customWidth="1"/>
    <col min="17" max="17" width="17" customWidth="1"/>
    <col min="18" max="18" width="23" customWidth="1"/>
    <col min="19" max="19" width="19" customWidth="1"/>
    <col min="20" max="20" width="11" customWidth="1"/>
    <col min="21" max="21" width="20" customWidth="1"/>
  </cols>
  <sheetData>
    <row r="1" spans="1:21" ht="28.8" customHeight="1" x14ac:dyDescent="0.3">
      <c r="A1" s="4" t="s">
        <v>39</v>
      </c>
      <c r="B1" s="4" t="s">
        <v>40</v>
      </c>
      <c r="C1" s="4" t="s">
        <v>41</v>
      </c>
      <c r="D1" s="4" t="s">
        <v>42</v>
      </c>
      <c r="E1" s="4" t="s">
        <v>43</v>
      </c>
      <c r="F1" s="4" t="s">
        <v>44</v>
      </c>
      <c r="G1" s="4" t="s">
        <v>45</v>
      </c>
      <c r="H1" s="4" t="s">
        <v>46</v>
      </c>
      <c r="I1" s="4" t="s">
        <v>47</v>
      </c>
      <c r="J1" s="4" t="s">
        <v>48</v>
      </c>
      <c r="K1" s="4" t="s">
        <v>49</v>
      </c>
      <c r="L1" s="4" t="s">
        <v>50</v>
      </c>
      <c r="M1" s="4" t="s">
        <v>51</v>
      </c>
      <c r="N1" s="4" t="s">
        <v>52</v>
      </c>
      <c r="O1" s="4" t="s">
        <v>53</v>
      </c>
      <c r="P1" s="4" t="s">
        <v>54</v>
      </c>
      <c r="Q1" s="4" t="s">
        <v>55</v>
      </c>
      <c r="R1" s="4" t="s">
        <v>56</v>
      </c>
      <c r="S1" s="4" t="s">
        <v>57</v>
      </c>
      <c r="T1" s="4" t="s">
        <v>58</v>
      </c>
      <c r="U1" s="4" t="s">
        <v>59</v>
      </c>
    </row>
    <row r="2" spans="1:21" x14ac:dyDescent="0.3">
      <c r="A2" s="2" t="s">
        <v>60</v>
      </c>
      <c r="B2" s="2" t="s">
        <v>61</v>
      </c>
      <c r="C2" s="2" t="s">
        <v>62</v>
      </c>
      <c r="D2" s="2" t="s">
        <v>63</v>
      </c>
      <c r="E2" s="2" t="s">
        <v>64</v>
      </c>
      <c r="F2" s="5">
        <v>89.567999999999998</v>
      </c>
      <c r="G2" s="5">
        <v>96.024000000000001</v>
      </c>
      <c r="H2" s="5">
        <v>6.4560000000000031</v>
      </c>
      <c r="I2" s="5">
        <f>IFERROR(INDEX(Baseline_Entry!$P:$P,MATCH($B2,Baseline_Entry!$B:$B,0)),"")</f>
        <v>83</v>
      </c>
      <c r="J2" s="2" t="str">
        <f t="shared" ref="J2:J65" si="0">IF(I2="","No","Yes")</f>
        <v>Yes</v>
      </c>
      <c r="K2" s="2" t="str">
        <f t="shared" ref="K2:K65" si="1">IF(IF(I2="",F2,I2)&lt;70,"Low starter",IF(IF(I2="",F2,I2)&lt;85,"Middle starter","High starter"))</f>
        <v>Middle starter</v>
      </c>
      <c r="L2" s="2" t="s">
        <v>65</v>
      </c>
      <c r="M2" s="2" t="s">
        <v>66</v>
      </c>
      <c r="N2" s="2">
        <v>1</v>
      </c>
      <c r="O2" s="2" t="str">
        <f>IFERROR(INDEX(University_Exit!$D:$D,MATCH($B2,University_Exit!$B:$B,0)),"")</f>
        <v>University of Liverpool</v>
      </c>
      <c r="P2" s="2" t="str">
        <f>IFERROR(INDEX(University_Exit!$F:$F,MATCH($B2,University_Exit!$B:$B,0)),"")</f>
        <v>Electrical Engineering</v>
      </c>
      <c r="Q2" s="2" t="str">
        <f>IFERROR(INDEX(University_Exit!$L:$L,MATCH($B2,University_Exit!$B:$B,0)),"")</f>
        <v>Yes</v>
      </c>
      <c r="R2" s="2" t="str">
        <f t="shared" ref="R2:R65" si="2">IF(O2="","No","Yes")</f>
        <v>Yes</v>
      </c>
      <c r="S2" s="5">
        <f>IFERROR(INDEX(University_Exit!$H:$H,MATCH($B2,University_Exit!$B:$B,0)),"")</f>
        <v>96.3</v>
      </c>
      <c r="T2" s="6">
        <f>IFERROR(INDEX(University_Exit!$K:$K,MATCH($B2,University_Exit!$B:$B,0)),"")</f>
        <v>930</v>
      </c>
      <c r="U2" s="2" t="str">
        <f>IFERROR(INDEX(University_Exit!$G:$G,MATCH($B2,University_Exit!$B:$B,0)),"")</f>
        <v>Qatar Energy</v>
      </c>
    </row>
    <row r="3" spans="1:21" x14ac:dyDescent="0.3">
      <c r="A3" s="2" t="s">
        <v>60</v>
      </c>
      <c r="B3" s="2" t="s">
        <v>67</v>
      </c>
      <c r="C3" s="2" t="s">
        <v>68</v>
      </c>
      <c r="D3" s="2" t="s">
        <v>63</v>
      </c>
      <c r="E3" s="2" t="s">
        <v>64</v>
      </c>
      <c r="F3" s="5">
        <v>92.748000000000005</v>
      </c>
      <c r="G3" s="5">
        <v>97.676000000000002</v>
      </c>
      <c r="H3" s="5">
        <v>4.9279999999999973</v>
      </c>
      <c r="I3" s="5">
        <f>IFERROR(INDEX(Baseline_Entry!$P:$P,MATCH($B3,Baseline_Entry!$B:$B,0)),"")</f>
        <v>94.4</v>
      </c>
      <c r="J3" s="2" t="str">
        <f t="shared" si="0"/>
        <v>Yes</v>
      </c>
      <c r="K3" s="2" t="str">
        <f t="shared" si="1"/>
        <v>High starter</v>
      </c>
      <c r="L3" s="2" t="s">
        <v>66</v>
      </c>
      <c r="M3" s="2" t="s">
        <v>66</v>
      </c>
      <c r="N3" s="2">
        <v>0</v>
      </c>
      <c r="O3" s="2" t="str">
        <f>IFERROR(INDEX(University_Exit!$D:$D,MATCH($B3,University_Exit!$B:$B,0)),"")</f>
        <v>Qatar University</v>
      </c>
      <c r="P3" s="2" t="str">
        <f>IFERROR(INDEX(University_Exit!$F:$F,MATCH($B3,University_Exit!$B:$B,0)),"")</f>
        <v>Computer Science</v>
      </c>
      <c r="Q3" s="2" t="str">
        <f>IFERROR(INDEX(University_Exit!$L:$L,MATCH($B3,University_Exit!$B:$B,0)),"")</f>
        <v>Yes</v>
      </c>
      <c r="R3" s="2" t="str">
        <f t="shared" si="2"/>
        <v>Yes</v>
      </c>
      <c r="S3" s="5">
        <f>IFERROR(INDEX(University_Exit!$H:$H,MATCH($B3,University_Exit!$B:$B,0)),"")</f>
        <v>98.2</v>
      </c>
      <c r="T3" s="6">
        <f>IFERROR(INDEX(University_Exit!$K:$K,MATCH($B3,University_Exit!$B:$B,0)),"")</f>
        <v>1150</v>
      </c>
      <c r="U3" s="2" t="str">
        <f>IFERROR(INDEX(University_Exit!$G:$G,MATCH($B3,University_Exit!$B:$B,0)),"")</f>
        <v>خاص/ مجاني</v>
      </c>
    </row>
    <row r="4" spans="1:21" x14ac:dyDescent="0.3">
      <c r="A4" s="2" t="s">
        <v>60</v>
      </c>
      <c r="B4" s="2" t="s">
        <v>69</v>
      </c>
      <c r="C4" s="2" t="s">
        <v>70</v>
      </c>
      <c r="D4" s="2" t="s">
        <v>63</v>
      </c>
      <c r="E4" s="2" t="s">
        <v>64</v>
      </c>
      <c r="F4" s="5">
        <v>91.216000000000008</v>
      </c>
      <c r="G4" s="5">
        <v>99.44</v>
      </c>
      <c r="H4" s="5">
        <v>8.2239999999999895</v>
      </c>
      <c r="I4" s="5">
        <f>IFERROR(INDEX(Baseline_Entry!$P:$P,MATCH($B4,Baseline_Entry!$B:$B,0)),"")</f>
        <v>82</v>
      </c>
      <c r="J4" s="2" t="str">
        <f t="shared" si="0"/>
        <v>Yes</v>
      </c>
      <c r="K4" s="2" t="str">
        <f t="shared" si="1"/>
        <v>Middle starter</v>
      </c>
      <c r="L4" s="2" t="s">
        <v>66</v>
      </c>
      <c r="M4" s="2" t="s">
        <v>66</v>
      </c>
      <c r="N4" s="2">
        <v>0</v>
      </c>
      <c r="O4" s="2" t="str">
        <f>IFERROR(INDEX(University_Exit!$D:$D,MATCH($B4,University_Exit!$B:$B,0)),"")</f>
        <v>University of Liverpool</v>
      </c>
      <c r="P4" s="2" t="str">
        <f>IFERROR(INDEX(University_Exit!$F:$F,MATCH($B4,University_Exit!$B:$B,0)),"")</f>
        <v>Electric and Electronic Engineering</v>
      </c>
      <c r="Q4" s="2" t="str">
        <f>IFERROR(INDEX(University_Exit!$L:$L,MATCH($B4,University_Exit!$B:$B,0)),"")</f>
        <v>Yes</v>
      </c>
      <c r="R4" s="2" t="str">
        <f t="shared" si="2"/>
        <v>Yes</v>
      </c>
      <c r="S4" s="5">
        <f>IFERROR(INDEX(University_Exit!$H:$H,MATCH($B4,University_Exit!$B:$B,0)),"")</f>
        <v>98.8</v>
      </c>
      <c r="T4" s="6">
        <f>IFERROR(INDEX(University_Exit!$K:$K,MATCH($B4,University_Exit!$B:$B,0)),"")</f>
        <v>1050</v>
      </c>
      <c r="U4" s="2" t="str">
        <f>IFERROR(INDEX(University_Exit!$G:$G,MATCH($B4,University_Exit!$B:$B,0)),"")</f>
        <v>Qatar Energy</v>
      </c>
    </row>
    <row r="5" spans="1:21" x14ac:dyDescent="0.3">
      <c r="A5" s="2" t="s">
        <v>60</v>
      </c>
      <c r="B5" s="2" t="s">
        <v>71</v>
      </c>
      <c r="C5" s="2" t="s">
        <v>72</v>
      </c>
      <c r="D5" s="2" t="s">
        <v>63</v>
      </c>
      <c r="E5" s="2" t="s">
        <v>64</v>
      </c>
      <c r="F5" s="5">
        <v>89.111999999999995</v>
      </c>
      <c r="G5" s="5">
        <v>94.852000000000004</v>
      </c>
      <c r="H5" s="5">
        <v>5.7400000000000091</v>
      </c>
      <c r="I5" s="5">
        <f>IFERROR(INDEX(Baseline_Entry!$P:$P,MATCH($B5,Baseline_Entry!$B:$B,0)),"")</f>
        <v>79.2</v>
      </c>
      <c r="J5" s="2" t="str">
        <f t="shared" si="0"/>
        <v>Yes</v>
      </c>
      <c r="K5" s="2" t="str">
        <f t="shared" si="1"/>
        <v>Middle starter</v>
      </c>
      <c r="L5" s="2" t="s">
        <v>65</v>
      </c>
      <c r="M5" s="2" t="s">
        <v>66</v>
      </c>
      <c r="N5" s="2">
        <v>1</v>
      </c>
      <c r="O5" s="2" t="str">
        <f>IFERROR(INDEX(University_Exit!$D:$D,MATCH($B5,University_Exit!$B:$B,0)),"")</f>
        <v>Texas A&amp;M University Qatar</v>
      </c>
      <c r="P5" s="2" t="str">
        <f>IFERROR(INDEX(University_Exit!$F:$F,MATCH($B5,University_Exit!$B:$B,0)),"")</f>
        <v>Mechanical Engineering</v>
      </c>
      <c r="Q5" s="2" t="str">
        <f>IFERROR(INDEX(University_Exit!$L:$L,MATCH($B5,University_Exit!$B:$B,0)),"")</f>
        <v>Yes</v>
      </c>
      <c r="R5" s="2" t="str">
        <f t="shared" si="2"/>
        <v>Yes</v>
      </c>
      <c r="S5" s="5">
        <f>IFERROR(INDEX(University_Exit!$H:$H,MATCH($B5,University_Exit!$B:$B,0)),"")</f>
        <v>94.4</v>
      </c>
      <c r="T5" s="6">
        <f>IFERROR(INDEX(University_Exit!$K:$K,MATCH($B5,University_Exit!$B:$B,0)),"")</f>
        <v>1110</v>
      </c>
      <c r="U5" s="2" t="str">
        <f>IFERROR(INDEX(University_Exit!$G:$G,MATCH($B5,University_Exit!$B:$B,0)),"")</f>
        <v>Qatar Energy</v>
      </c>
    </row>
    <row r="6" spans="1:21" x14ac:dyDescent="0.3">
      <c r="A6" s="2" t="s">
        <v>60</v>
      </c>
      <c r="B6" s="2" t="s">
        <v>73</v>
      </c>
      <c r="C6" s="2" t="s">
        <v>74</v>
      </c>
      <c r="D6" s="2" t="s">
        <v>63</v>
      </c>
      <c r="E6" s="2" t="s">
        <v>64</v>
      </c>
      <c r="F6" s="5">
        <v>89.587999999999994</v>
      </c>
      <c r="G6" s="5">
        <v>96.376000000000005</v>
      </c>
      <c r="H6" s="5">
        <v>6.7880000000000109</v>
      </c>
      <c r="I6" s="5">
        <f>IFERROR(INDEX(Baseline_Entry!$P:$P,MATCH($B6,Baseline_Entry!$B:$B,0)),"")</f>
        <v>86.6</v>
      </c>
      <c r="J6" s="2" t="str">
        <f t="shared" si="0"/>
        <v>Yes</v>
      </c>
      <c r="K6" s="2" t="str">
        <f t="shared" si="1"/>
        <v>High starter</v>
      </c>
      <c r="L6" s="2" t="s">
        <v>65</v>
      </c>
      <c r="M6" s="2" t="s">
        <v>66</v>
      </c>
      <c r="N6" s="2">
        <v>1</v>
      </c>
      <c r="O6" s="2" t="str">
        <f>IFERROR(INDEX(University_Exit!$D:$D,MATCH($B6,University_Exit!$B:$B,0)),"")</f>
        <v>University of Liverpool</v>
      </c>
      <c r="P6" s="2" t="str">
        <f>IFERROR(INDEX(University_Exit!$F:$F,MATCH($B6,University_Exit!$B:$B,0)),"")</f>
        <v>Mechanical Engineering</v>
      </c>
      <c r="Q6" s="2" t="str">
        <f>IFERROR(INDEX(University_Exit!$L:$L,MATCH($B6,University_Exit!$B:$B,0)),"")</f>
        <v>Yes</v>
      </c>
      <c r="R6" s="2" t="str">
        <f t="shared" si="2"/>
        <v>Yes</v>
      </c>
      <c r="S6" s="5">
        <f>IFERROR(INDEX(University_Exit!$H:$H,MATCH($B6,University_Exit!$B:$B,0)),"")</f>
        <v>96.9</v>
      </c>
      <c r="T6" s="6">
        <f>IFERROR(INDEX(University_Exit!$K:$K,MATCH($B6,University_Exit!$B:$B,0)),"")</f>
        <v>1050</v>
      </c>
      <c r="U6" s="2" t="str">
        <f>IFERROR(INDEX(University_Exit!$G:$G,MATCH($B6,University_Exit!$B:$B,0)),"")</f>
        <v>Ministry of Education</v>
      </c>
    </row>
    <row r="7" spans="1:21" x14ac:dyDescent="0.3">
      <c r="A7" s="2" t="s">
        <v>60</v>
      </c>
      <c r="B7" s="2" t="s">
        <v>75</v>
      </c>
      <c r="C7" s="2" t="s">
        <v>76</v>
      </c>
      <c r="D7" s="2" t="s">
        <v>63</v>
      </c>
      <c r="E7" s="2" t="s">
        <v>64</v>
      </c>
      <c r="F7" s="5">
        <v>92.432000000000002</v>
      </c>
      <c r="G7" s="5">
        <v>95.251999999999995</v>
      </c>
      <c r="H7" s="5">
        <v>2.8199999999999932</v>
      </c>
      <c r="I7" s="5">
        <f>IFERROR(INDEX(Baseline_Entry!$P:$P,MATCH($B7,Baseline_Entry!$B:$B,0)),"")</f>
        <v>74.599999999999994</v>
      </c>
      <c r="J7" s="2" t="str">
        <f t="shared" si="0"/>
        <v>Yes</v>
      </c>
      <c r="K7" s="2" t="str">
        <f t="shared" si="1"/>
        <v>Middle starter</v>
      </c>
      <c r="L7" s="2" t="s">
        <v>66</v>
      </c>
      <c r="M7" s="2" t="s">
        <v>66</v>
      </c>
      <c r="N7" s="2">
        <v>0</v>
      </c>
      <c r="O7" s="2" t="str">
        <f>IFERROR(INDEX(University_Exit!$D:$D,MATCH($B7,University_Exit!$B:$B,0)),"")</f>
        <v>Texas A&amp;M University Qatar</v>
      </c>
      <c r="P7" s="2" t="str">
        <f>IFERROR(INDEX(University_Exit!$F:$F,MATCH($B7,University_Exit!$B:$B,0)),"")</f>
        <v>Electric and Electronic Engineering</v>
      </c>
      <c r="Q7" s="2" t="str">
        <f>IFERROR(INDEX(University_Exit!$L:$L,MATCH($B7,University_Exit!$B:$B,0)),"")</f>
        <v>Yes</v>
      </c>
      <c r="R7" s="2" t="str">
        <f t="shared" si="2"/>
        <v>Yes</v>
      </c>
      <c r="S7" s="5">
        <f>IFERROR(INDEX(University_Exit!$H:$H,MATCH($B7,University_Exit!$B:$B,0)),"")</f>
        <v>94.9</v>
      </c>
      <c r="T7" s="6">
        <f>IFERROR(INDEX(University_Exit!$K:$K,MATCH($B7,University_Exit!$B:$B,0)),"")</f>
        <v>1100</v>
      </c>
      <c r="U7" s="2" t="str">
        <f>IFERROR(INDEX(University_Exit!$G:$G,MATCH($B7,University_Exit!$B:$B,0)),"")</f>
        <v>Qatar Energy</v>
      </c>
    </row>
    <row r="8" spans="1:21" x14ac:dyDescent="0.3">
      <c r="A8" s="2" t="s">
        <v>60</v>
      </c>
      <c r="B8" s="2" t="s">
        <v>77</v>
      </c>
      <c r="C8" s="2" t="s">
        <v>78</v>
      </c>
      <c r="D8" s="2" t="s">
        <v>63</v>
      </c>
      <c r="E8" s="2" t="s">
        <v>64</v>
      </c>
      <c r="F8" s="5">
        <v>91.532000000000011</v>
      </c>
      <c r="G8" s="5">
        <v>96.451999999999998</v>
      </c>
      <c r="H8" s="5">
        <v>4.9199999999999866</v>
      </c>
      <c r="I8" s="5">
        <f>IFERROR(INDEX(Baseline_Entry!$P:$P,MATCH($B8,Baseline_Entry!$B:$B,0)),"")</f>
        <v>76.2</v>
      </c>
      <c r="J8" s="2" t="str">
        <f t="shared" si="0"/>
        <v>Yes</v>
      </c>
      <c r="K8" s="2" t="str">
        <f t="shared" si="1"/>
        <v>Middle starter</v>
      </c>
      <c r="L8" s="2" t="s">
        <v>66</v>
      </c>
      <c r="M8" s="2" t="s">
        <v>66</v>
      </c>
      <c r="N8" s="2">
        <v>0</v>
      </c>
      <c r="O8" s="2" t="str">
        <f>IFERROR(INDEX(University_Exit!$D:$D,MATCH($B8,University_Exit!$B:$B,0)),"")</f>
        <v>Texas A&amp;M University Qatar</v>
      </c>
      <c r="P8" s="2" t="str">
        <f>IFERROR(INDEX(University_Exit!$F:$F,MATCH($B8,University_Exit!$B:$B,0)),"")</f>
        <v>Chemical engineering</v>
      </c>
      <c r="Q8" s="2" t="str">
        <f>IFERROR(INDEX(University_Exit!$L:$L,MATCH($B8,University_Exit!$B:$B,0)),"")</f>
        <v>Yes</v>
      </c>
      <c r="R8" s="2" t="str">
        <f t="shared" si="2"/>
        <v>Yes</v>
      </c>
      <c r="S8" s="5">
        <f>IFERROR(INDEX(University_Exit!$H:$H,MATCH($B8,University_Exit!$B:$B,0)),"")</f>
        <v>97.9</v>
      </c>
      <c r="T8" s="6">
        <f>IFERROR(INDEX(University_Exit!$K:$K,MATCH($B8,University_Exit!$B:$B,0)),"")</f>
        <v>970</v>
      </c>
      <c r="U8" s="2" t="str">
        <f>IFERROR(INDEX(University_Exit!$G:$G,MATCH($B8,University_Exit!$B:$B,0)),"")</f>
        <v>Qatar Energy</v>
      </c>
    </row>
    <row r="9" spans="1:21" x14ac:dyDescent="0.3">
      <c r="A9" s="2" t="s">
        <v>60</v>
      </c>
      <c r="B9" s="2" t="s">
        <v>79</v>
      </c>
      <c r="C9" s="2" t="s">
        <v>80</v>
      </c>
      <c r="D9" s="2" t="s">
        <v>63</v>
      </c>
      <c r="E9" s="2" t="s">
        <v>64</v>
      </c>
      <c r="F9" s="5">
        <v>86.488</v>
      </c>
      <c r="G9" s="5">
        <v>94.8</v>
      </c>
      <c r="H9" s="5">
        <v>8.3119999999999976</v>
      </c>
      <c r="I9" s="5">
        <f>IFERROR(INDEX(Baseline_Entry!$P:$P,MATCH($B9,Baseline_Entry!$B:$B,0)),"")</f>
        <v>84.800000000000011</v>
      </c>
      <c r="J9" s="2" t="str">
        <f t="shared" si="0"/>
        <v>Yes</v>
      </c>
      <c r="K9" s="2" t="str">
        <f t="shared" si="1"/>
        <v>Middle starter</v>
      </c>
      <c r="L9" s="2" t="s">
        <v>65</v>
      </c>
      <c r="M9" s="2" t="s">
        <v>66</v>
      </c>
      <c r="N9" s="2">
        <v>1</v>
      </c>
      <c r="O9" s="2" t="str">
        <f>IFERROR(INDEX(University_Exit!$D:$D,MATCH($B9,University_Exit!$B:$B,0)),"")</f>
        <v>University of Liverpool</v>
      </c>
      <c r="P9" s="2" t="str">
        <f>IFERROR(INDEX(University_Exit!$F:$F,MATCH($B9,University_Exit!$B:$B,0)),"")</f>
        <v>Mechanical Engineering</v>
      </c>
      <c r="Q9" s="2" t="str">
        <f>IFERROR(INDEX(University_Exit!$L:$L,MATCH($B9,University_Exit!$B:$B,0)),"")</f>
        <v>Yes</v>
      </c>
      <c r="R9" s="2" t="str">
        <f t="shared" si="2"/>
        <v>Yes</v>
      </c>
      <c r="S9" s="5">
        <f>IFERROR(INDEX(University_Exit!$H:$H,MATCH($B9,University_Exit!$B:$B,0)),"")</f>
        <v>95.3</v>
      </c>
      <c r="T9" s="6">
        <f>IFERROR(INDEX(University_Exit!$K:$K,MATCH($B9,University_Exit!$B:$B,0)),"")</f>
        <v>1090</v>
      </c>
      <c r="U9" s="2" t="str">
        <f>IFERROR(INDEX(University_Exit!$G:$G,MATCH($B9,University_Exit!$B:$B,0)),"")</f>
        <v>Shell</v>
      </c>
    </row>
    <row r="10" spans="1:21" x14ac:dyDescent="0.3">
      <c r="A10" s="2" t="s">
        <v>60</v>
      </c>
      <c r="B10" s="2" t="s">
        <v>81</v>
      </c>
      <c r="C10" s="2" t="s">
        <v>82</v>
      </c>
      <c r="D10" s="2" t="s">
        <v>63</v>
      </c>
      <c r="E10" s="2" t="s">
        <v>64</v>
      </c>
      <c r="F10" s="5">
        <v>95.883999999999986</v>
      </c>
      <c r="G10" s="5">
        <v>96.275999999999996</v>
      </c>
      <c r="H10" s="5">
        <v>0.39200000000001012</v>
      </c>
      <c r="I10" s="5">
        <f>IFERROR(INDEX(Baseline_Entry!$P:$P,MATCH($B10,Baseline_Entry!$B:$B,0)),"")</f>
        <v>89</v>
      </c>
      <c r="J10" s="2" t="str">
        <f t="shared" si="0"/>
        <v>Yes</v>
      </c>
      <c r="K10" s="2" t="str">
        <f t="shared" si="1"/>
        <v>High starter</v>
      </c>
      <c r="L10" s="2" t="s">
        <v>66</v>
      </c>
      <c r="M10" s="2" t="s">
        <v>66</v>
      </c>
      <c r="N10" s="2">
        <v>0</v>
      </c>
      <c r="O10" s="2" t="str">
        <f>IFERROR(INDEX(University_Exit!$D:$D,MATCH($B10,University_Exit!$B:$B,0)),"")</f>
        <v>Swansea University</v>
      </c>
      <c r="P10" s="2" t="str">
        <f>IFERROR(INDEX(University_Exit!$F:$F,MATCH($B10,University_Exit!$B:$B,0)),"")</f>
        <v>Electrical Engineering</v>
      </c>
      <c r="Q10" s="2" t="str">
        <f>IFERROR(INDEX(University_Exit!$L:$L,MATCH($B10,University_Exit!$B:$B,0)),"")</f>
        <v>Yes</v>
      </c>
      <c r="R10" s="2" t="str">
        <f t="shared" si="2"/>
        <v>Yes</v>
      </c>
      <c r="S10" s="5">
        <f>IFERROR(INDEX(University_Exit!$H:$H,MATCH($B10,University_Exit!$B:$B,0)),"")</f>
        <v>96.7</v>
      </c>
      <c r="T10" s="6">
        <f>IFERROR(INDEX(University_Exit!$K:$K,MATCH($B10,University_Exit!$B:$B,0)),"")</f>
        <v>1050</v>
      </c>
      <c r="U10" s="2" t="str">
        <f>IFERROR(INDEX(University_Exit!$G:$G,MATCH($B10,University_Exit!$B:$B,0)),"")</f>
        <v>Qatar Energy</v>
      </c>
    </row>
    <row r="11" spans="1:21" x14ac:dyDescent="0.3">
      <c r="A11" s="2" t="s">
        <v>60</v>
      </c>
      <c r="B11" s="2" t="s">
        <v>83</v>
      </c>
      <c r="C11" s="2" t="s">
        <v>84</v>
      </c>
      <c r="D11" s="2" t="s">
        <v>63</v>
      </c>
      <c r="E11" s="2" t="s">
        <v>64</v>
      </c>
      <c r="F11" s="5">
        <v>87.963999999999984</v>
      </c>
      <c r="G11" s="5">
        <v>92.8</v>
      </c>
      <c r="H11" s="5">
        <v>4.8360000000000127</v>
      </c>
      <c r="I11" s="5">
        <f>IFERROR(INDEX(Baseline_Entry!$P:$P,MATCH($B11,Baseline_Entry!$B:$B,0)),"")</f>
        <v>54</v>
      </c>
      <c r="J11" s="2" t="str">
        <f t="shared" si="0"/>
        <v>Yes</v>
      </c>
      <c r="K11" s="2" t="str">
        <f t="shared" si="1"/>
        <v>Low starter</v>
      </c>
      <c r="L11" s="2" t="s">
        <v>65</v>
      </c>
      <c r="M11" s="2" t="s">
        <v>66</v>
      </c>
      <c r="N11" s="2">
        <v>1</v>
      </c>
      <c r="O11" s="2" t="str">
        <f>IFERROR(INDEX(University_Exit!$D:$D,MATCH($B11,University_Exit!$B:$B,0)),"")</f>
        <v>Qatar University</v>
      </c>
      <c r="P11" s="2" t="str">
        <f>IFERROR(INDEX(University_Exit!$F:$F,MATCH($B11,University_Exit!$B:$B,0)),"")</f>
        <v>Mechanical Engineering</v>
      </c>
      <c r="Q11" s="2" t="str">
        <f>IFERROR(INDEX(University_Exit!$L:$L,MATCH($B11,University_Exit!$B:$B,0)),"")</f>
        <v>Yes</v>
      </c>
      <c r="R11" s="2" t="str">
        <f t="shared" si="2"/>
        <v>Yes</v>
      </c>
      <c r="S11" s="5">
        <f>IFERROR(INDEX(University_Exit!$H:$H,MATCH($B11,University_Exit!$B:$B,0)),"")</f>
        <v>92.8</v>
      </c>
      <c r="T11" s="6">
        <f>IFERROR(INDEX(University_Exit!$K:$K,MATCH($B11,University_Exit!$B:$B,0)),"")</f>
        <v>1030</v>
      </c>
      <c r="U11" s="2" t="str">
        <f>IFERROR(INDEX(University_Exit!$G:$G,MATCH($B11,University_Exit!$B:$B,0)),"")</f>
        <v>Ministry of Education</v>
      </c>
    </row>
    <row r="12" spans="1:21" x14ac:dyDescent="0.3">
      <c r="A12" s="2" t="s">
        <v>60</v>
      </c>
      <c r="B12" s="2" t="s">
        <v>85</v>
      </c>
      <c r="C12" s="2" t="s">
        <v>86</v>
      </c>
      <c r="D12" s="2" t="s">
        <v>63</v>
      </c>
      <c r="E12" s="2" t="s">
        <v>64</v>
      </c>
      <c r="F12" s="5">
        <v>86.467999999999989</v>
      </c>
      <c r="G12" s="5">
        <v>91.676000000000002</v>
      </c>
      <c r="H12" s="5">
        <v>5.2080000000000126</v>
      </c>
      <c r="I12" s="5">
        <f>IFERROR(INDEX(Baseline_Entry!$P:$P,MATCH($B12,Baseline_Entry!$B:$B,0)),"")</f>
        <v>76</v>
      </c>
      <c r="J12" s="2" t="str">
        <f t="shared" si="0"/>
        <v>Yes</v>
      </c>
      <c r="K12" s="2" t="str">
        <f t="shared" si="1"/>
        <v>Middle starter</v>
      </c>
      <c r="L12" s="2" t="s">
        <v>65</v>
      </c>
      <c r="M12" s="2" t="s">
        <v>66</v>
      </c>
      <c r="N12" s="2">
        <v>1</v>
      </c>
      <c r="O12" s="2" t="str">
        <f>IFERROR(INDEX(University_Exit!$D:$D,MATCH($B12,University_Exit!$B:$B,0)),"")</f>
        <v>Texas A&amp;M University Qatar</v>
      </c>
      <c r="P12" s="2" t="str">
        <f>IFERROR(INDEX(University_Exit!$F:$F,MATCH($B12,University_Exit!$B:$B,0)),"")</f>
        <v>Petroleum Engineering</v>
      </c>
      <c r="Q12" s="2" t="str">
        <f>IFERROR(INDEX(University_Exit!$L:$L,MATCH($B12,University_Exit!$B:$B,0)),"")</f>
        <v>Yes</v>
      </c>
      <c r="R12" s="2" t="str">
        <f t="shared" si="2"/>
        <v>Yes</v>
      </c>
      <c r="S12" s="5">
        <f>IFERROR(INDEX(University_Exit!$H:$H,MATCH($B12,University_Exit!$B:$B,0)),"")</f>
        <v>91.1</v>
      </c>
      <c r="T12" s="6">
        <f>IFERROR(INDEX(University_Exit!$K:$K,MATCH($B12,University_Exit!$B:$B,0)),"")</f>
        <v>1060</v>
      </c>
      <c r="U12" s="2" t="str">
        <f>IFERROR(INDEX(University_Exit!$G:$G,MATCH($B12,University_Exit!$B:$B,0)),"")</f>
        <v>Qatar Energy</v>
      </c>
    </row>
    <row r="13" spans="1:21" x14ac:dyDescent="0.3">
      <c r="A13" s="2" t="s">
        <v>60</v>
      </c>
      <c r="B13" s="2" t="s">
        <v>87</v>
      </c>
      <c r="C13" s="2" t="s">
        <v>88</v>
      </c>
      <c r="D13" s="2" t="s">
        <v>63</v>
      </c>
      <c r="E13" s="2" t="s">
        <v>64</v>
      </c>
      <c r="F13" s="5">
        <v>86.275999999999996</v>
      </c>
      <c r="G13" s="5">
        <v>95.123999999999995</v>
      </c>
      <c r="H13" s="5">
        <v>8.847999999999999</v>
      </c>
      <c r="I13" s="5">
        <f>IFERROR(INDEX(Baseline_Entry!$P:$P,MATCH($B13,Baseline_Entry!$B:$B,0)),"")</f>
        <v>77.800000000000011</v>
      </c>
      <c r="J13" s="2" t="str">
        <f t="shared" si="0"/>
        <v>Yes</v>
      </c>
      <c r="K13" s="2" t="str">
        <f t="shared" si="1"/>
        <v>Middle starter</v>
      </c>
      <c r="L13" s="2" t="s">
        <v>65</v>
      </c>
      <c r="M13" s="2" t="s">
        <v>66</v>
      </c>
      <c r="N13" s="2">
        <v>1</v>
      </c>
      <c r="O13" s="2" t="str">
        <f>IFERROR(INDEX(University_Exit!$D:$D,MATCH($B13,University_Exit!$B:$B,0)),"")</f>
        <v>Texas A&amp;M University Qatar</v>
      </c>
      <c r="P13" s="2" t="str">
        <f>IFERROR(INDEX(University_Exit!$F:$F,MATCH($B13,University_Exit!$B:$B,0)),"")</f>
        <v>Mechanical engineering</v>
      </c>
      <c r="Q13" s="2" t="str">
        <f>IFERROR(INDEX(University_Exit!$L:$L,MATCH($B13,University_Exit!$B:$B,0)),"")</f>
        <v>Yes</v>
      </c>
      <c r="R13" s="2" t="str">
        <f t="shared" si="2"/>
        <v>Yes</v>
      </c>
      <c r="S13" s="5">
        <f>IFERROR(INDEX(University_Exit!$H:$H,MATCH($B13,University_Exit!$B:$B,0)),"")</f>
        <v>95.8</v>
      </c>
      <c r="T13" s="6">
        <f>IFERROR(INDEX(University_Exit!$K:$K,MATCH($B13,University_Exit!$B:$B,0)),"")</f>
        <v>1070</v>
      </c>
      <c r="U13" s="2" t="str">
        <f>IFERROR(INDEX(University_Exit!$G:$G,MATCH($B13,University_Exit!$B:$B,0)),"")</f>
        <v>Qatar Energy</v>
      </c>
    </row>
    <row r="14" spans="1:21" x14ac:dyDescent="0.3">
      <c r="A14" s="2" t="s">
        <v>60</v>
      </c>
      <c r="B14" s="2" t="s">
        <v>89</v>
      </c>
      <c r="C14" s="2" t="s">
        <v>90</v>
      </c>
      <c r="D14" s="2" t="s">
        <v>63</v>
      </c>
      <c r="E14" s="2" t="s">
        <v>64</v>
      </c>
      <c r="F14" s="5">
        <v>95.404000000000011</v>
      </c>
      <c r="G14" s="5">
        <v>98.424000000000007</v>
      </c>
      <c r="H14" s="5">
        <v>3.019999999999996</v>
      </c>
      <c r="I14" s="5">
        <f>IFERROR(INDEX(Baseline_Entry!$P:$P,MATCH($B14,Baseline_Entry!$B:$B,0)),"")</f>
        <v>76.400000000000006</v>
      </c>
      <c r="J14" s="2" t="str">
        <f t="shared" si="0"/>
        <v>Yes</v>
      </c>
      <c r="K14" s="2" t="str">
        <f t="shared" si="1"/>
        <v>Middle starter</v>
      </c>
      <c r="L14" s="2" t="s">
        <v>66</v>
      </c>
      <c r="M14" s="2" t="s">
        <v>66</v>
      </c>
      <c r="N14" s="2">
        <v>0</v>
      </c>
      <c r="O14" s="2" t="str">
        <f>IFERROR(INDEX(University_Exit!$D:$D,MATCH($B14,University_Exit!$B:$B,0)),"")</f>
        <v>University of Doha for Science and Technology</v>
      </c>
      <c r="P14" s="2" t="str">
        <f>IFERROR(INDEX(University_Exit!$F:$F,MATCH($B14,University_Exit!$B:$B,0)),"")</f>
        <v>Chemical engineering</v>
      </c>
      <c r="Q14" s="2" t="str">
        <f>IFERROR(INDEX(University_Exit!$L:$L,MATCH($B14,University_Exit!$B:$B,0)),"")</f>
        <v>Yes</v>
      </c>
      <c r="R14" s="2" t="str">
        <f t="shared" si="2"/>
        <v>Yes</v>
      </c>
      <c r="S14" s="5">
        <f>IFERROR(INDEX(University_Exit!$H:$H,MATCH($B14,University_Exit!$B:$B,0)),"")</f>
        <v>96.8</v>
      </c>
      <c r="T14" s="6">
        <f>IFERROR(INDEX(University_Exit!$K:$K,MATCH($B14,University_Exit!$B:$B,0)),"")</f>
        <v>1100</v>
      </c>
      <c r="U14" s="2" t="str">
        <f>IFERROR(INDEX(University_Exit!$G:$G,MATCH($B14,University_Exit!$B:$B,0)),"")</f>
        <v>Qatar Energy</v>
      </c>
    </row>
    <row r="15" spans="1:21" x14ac:dyDescent="0.3">
      <c r="A15" s="2" t="s">
        <v>60</v>
      </c>
      <c r="B15" s="2" t="s">
        <v>91</v>
      </c>
      <c r="C15" s="2" t="s">
        <v>92</v>
      </c>
      <c r="D15" s="2" t="s">
        <v>63</v>
      </c>
      <c r="E15" s="2" t="s">
        <v>64</v>
      </c>
      <c r="F15" s="5">
        <v>93.024000000000001</v>
      </c>
      <c r="G15" s="5">
        <v>93.775999999999996</v>
      </c>
      <c r="H15" s="5">
        <v>0.75199999999999534</v>
      </c>
      <c r="I15" s="5">
        <f>IFERROR(INDEX(Baseline_Entry!$P:$P,MATCH($B15,Baseline_Entry!$B:$B,0)),"")</f>
        <v>77.599999999999994</v>
      </c>
      <c r="J15" s="2" t="str">
        <f t="shared" si="0"/>
        <v>Yes</v>
      </c>
      <c r="K15" s="2" t="str">
        <f t="shared" si="1"/>
        <v>Middle starter</v>
      </c>
      <c r="L15" s="2" t="s">
        <v>66</v>
      </c>
      <c r="M15" s="2" t="s">
        <v>66</v>
      </c>
      <c r="N15" s="2">
        <v>0</v>
      </c>
      <c r="O15" s="2" t="str">
        <f>IFERROR(INDEX(University_Exit!$D:$D,MATCH($B15,University_Exit!$B:$B,0)),"")</f>
        <v>Newcastle University</v>
      </c>
      <c r="P15" s="2" t="str">
        <f>IFERROR(INDEX(University_Exit!$F:$F,MATCH($B15,University_Exit!$B:$B,0)),"")</f>
        <v>Marine engineering</v>
      </c>
      <c r="Q15" s="2" t="str">
        <f>IFERROR(INDEX(University_Exit!$L:$L,MATCH($B15,University_Exit!$B:$B,0)),"")</f>
        <v>Yes</v>
      </c>
      <c r="R15" s="2" t="str">
        <f t="shared" si="2"/>
        <v>Yes</v>
      </c>
      <c r="S15" s="5">
        <f>IFERROR(INDEX(University_Exit!$H:$H,MATCH($B15,University_Exit!$B:$B,0)),"")</f>
        <v>94.2</v>
      </c>
      <c r="T15" s="6">
        <f>IFERROR(INDEX(University_Exit!$K:$K,MATCH($B15,University_Exit!$B:$B,0)),"")</f>
        <v>1020</v>
      </c>
      <c r="U15" s="2" t="str">
        <f>IFERROR(INDEX(University_Exit!$G:$G,MATCH($B15,University_Exit!$B:$B,0)),"")</f>
        <v>Qatar Energy</v>
      </c>
    </row>
    <row r="16" spans="1:21" x14ac:dyDescent="0.3">
      <c r="A16" s="2" t="s">
        <v>60</v>
      </c>
      <c r="B16" s="2" t="s">
        <v>93</v>
      </c>
      <c r="C16" s="2" t="s">
        <v>94</v>
      </c>
      <c r="D16" s="2" t="s">
        <v>63</v>
      </c>
      <c r="E16" s="2" t="s">
        <v>64</v>
      </c>
      <c r="F16" s="5">
        <v>91.003999999999991</v>
      </c>
      <c r="G16" s="5">
        <v>93.9</v>
      </c>
      <c r="H16" s="5">
        <v>2.896000000000015</v>
      </c>
      <c r="I16" s="5">
        <f>IFERROR(INDEX(Baseline_Entry!$P:$P,MATCH($B16,Baseline_Entry!$B:$B,0)),"")</f>
        <v>68.400000000000006</v>
      </c>
      <c r="J16" s="2" t="str">
        <f t="shared" si="0"/>
        <v>Yes</v>
      </c>
      <c r="K16" s="2" t="str">
        <f t="shared" si="1"/>
        <v>Low starter</v>
      </c>
      <c r="L16" s="2" t="s">
        <v>66</v>
      </c>
      <c r="M16" s="2" t="s">
        <v>66</v>
      </c>
      <c r="N16" s="2">
        <v>0</v>
      </c>
      <c r="O16" s="2" t="str">
        <f>IFERROR(INDEX(University_Exit!$D:$D,MATCH($B16,University_Exit!$B:$B,0)),"")</f>
        <v>Qatar University</v>
      </c>
      <c r="P16" s="2" t="str">
        <f>IFERROR(INDEX(University_Exit!$F:$F,MATCH($B16,University_Exit!$B:$B,0)),"")</f>
        <v>Computer Engineering</v>
      </c>
      <c r="Q16" s="2" t="str">
        <f>IFERROR(INDEX(University_Exit!$L:$L,MATCH($B16,University_Exit!$B:$B,0)),"")</f>
        <v>Yes</v>
      </c>
      <c r="R16" s="2" t="str">
        <f t="shared" si="2"/>
        <v>Yes</v>
      </c>
      <c r="S16" s="5">
        <f>IFERROR(INDEX(University_Exit!$H:$H,MATCH($B16,University_Exit!$B:$B,0)),"")</f>
        <v>95</v>
      </c>
      <c r="T16" s="6">
        <f>IFERROR(INDEX(University_Exit!$K:$K,MATCH($B16,University_Exit!$B:$B,0)),"")</f>
        <v>960</v>
      </c>
      <c r="U16" s="2" t="str">
        <f>IFERROR(INDEX(University_Exit!$G:$G,MATCH($B16,University_Exit!$B:$B,0)),"")</f>
        <v>وزارة الداخلية</v>
      </c>
    </row>
    <row r="17" spans="1:21" x14ac:dyDescent="0.3">
      <c r="A17" s="2" t="s">
        <v>60</v>
      </c>
      <c r="B17" s="2" t="s">
        <v>95</v>
      </c>
      <c r="C17" s="2" t="s">
        <v>96</v>
      </c>
      <c r="D17" s="2" t="s">
        <v>63</v>
      </c>
      <c r="E17" s="2" t="s">
        <v>64</v>
      </c>
      <c r="F17" s="5">
        <v>83.26400000000001</v>
      </c>
      <c r="G17" s="5">
        <v>85.975999999999999</v>
      </c>
      <c r="H17" s="5">
        <v>2.7119999999999891</v>
      </c>
      <c r="I17" s="5">
        <f>IFERROR(INDEX(Baseline_Entry!$P:$P,MATCH($B17,Baseline_Entry!$B:$B,0)),"")</f>
        <v>77.2</v>
      </c>
      <c r="J17" s="2" t="str">
        <f t="shared" si="0"/>
        <v>Yes</v>
      </c>
      <c r="K17" s="2" t="str">
        <f t="shared" si="1"/>
        <v>Middle starter</v>
      </c>
      <c r="L17" s="2" t="s">
        <v>65</v>
      </c>
      <c r="M17" s="2" t="s">
        <v>65</v>
      </c>
      <c r="N17" s="2">
        <v>0</v>
      </c>
      <c r="O17" s="2" t="str">
        <f>IFERROR(INDEX(University_Exit!$D:$D,MATCH($B17,University_Exit!$B:$B,0)),"")</f>
        <v>Texas A&amp;M University Qatar</v>
      </c>
      <c r="P17" s="2" t="str">
        <f>IFERROR(INDEX(University_Exit!$F:$F,MATCH($B17,University_Exit!$B:$B,0)),"")</f>
        <v>Petrolium Engineering</v>
      </c>
      <c r="Q17" s="2" t="str">
        <f>IFERROR(INDEX(University_Exit!$L:$L,MATCH($B17,University_Exit!$B:$B,0)),"")</f>
        <v>Yes</v>
      </c>
      <c r="R17" s="2" t="str">
        <f t="shared" si="2"/>
        <v>Yes</v>
      </c>
      <c r="S17" s="5">
        <f>IFERROR(INDEX(University_Exit!$H:$H,MATCH($B17,University_Exit!$B:$B,0)),"")</f>
        <v>86.9</v>
      </c>
      <c r="T17" s="6">
        <f>IFERROR(INDEX(University_Exit!$K:$K,MATCH($B17,University_Exit!$B:$B,0)),"")</f>
        <v>890</v>
      </c>
      <c r="U17" s="2" t="str">
        <f>IFERROR(INDEX(University_Exit!$G:$G,MATCH($B17,University_Exit!$B:$B,0)),"")</f>
        <v>Qatar Energy</v>
      </c>
    </row>
    <row r="18" spans="1:21" x14ac:dyDescent="0.3">
      <c r="A18" s="2" t="s">
        <v>60</v>
      </c>
      <c r="B18" s="2" t="s">
        <v>97</v>
      </c>
      <c r="C18" s="2" t="s">
        <v>98</v>
      </c>
      <c r="D18" s="2" t="s">
        <v>63</v>
      </c>
      <c r="E18" s="2" t="s">
        <v>64</v>
      </c>
      <c r="F18" s="5">
        <v>72.816000000000003</v>
      </c>
      <c r="G18" s="5">
        <v>82.652000000000001</v>
      </c>
      <c r="H18" s="5">
        <v>9.8359999999999985</v>
      </c>
      <c r="I18" s="5">
        <f>IFERROR(INDEX(Baseline_Entry!$P:$P,MATCH($B18,Baseline_Entry!$B:$B,0)),"")</f>
        <v>60.2</v>
      </c>
      <c r="J18" s="2" t="str">
        <f t="shared" si="0"/>
        <v>Yes</v>
      </c>
      <c r="K18" s="2" t="str">
        <f t="shared" si="1"/>
        <v>Low starter</v>
      </c>
      <c r="L18" s="2" t="s">
        <v>99</v>
      </c>
      <c r="M18" s="2" t="s">
        <v>65</v>
      </c>
      <c r="N18" s="2">
        <v>1</v>
      </c>
      <c r="O18" s="2" t="str">
        <f>IFERROR(INDEX(University_Exit!$D:$D,MATCH($B18,University_Exit!$B:$B,0)),"")</f>
        <v>Qatar University</v>
      </c>
      <c r="P18" s="2" t="str">
        <f>IFERROR(INDEX(University_Exit!$F:$F,MATCH($B18,University_Exit!$B:$B,0)),"")</f>
        <v>International Relation</v>
      </c>
      <c r="Q18" s="2" t="str">
        <f>IFERROR(INDEX(University_Exit!$L:$L,MATCH($B18,University_Exit!$B:$B,0)),"")</f>
        <v>No</v>
      </c>
      <c r="R18" s="2" t="str">
        <f t="shared" si="2"/>
        <v>Yes</v>
      </c>
      <c r="S18" s="5">
        <f>IFERROR(INDEX(University_Exit!$H:$H,MATCH($B18,University_Exit!$B:$B,0)),"")</f>
        <v>87.1</v>
      </c>
      <c r="T18" s="6">
        <f>IFERROR(INDEX(University_Exit!$K:$K,MATCH($B18,University_Exit!$B:$B,0)),"")</f>
        <v>0</v>
      </c>
      <c r="U18" s="2" t="str">
        <f>IFERROR(INDEX(University_Exit!$G:$G,MATCH($B18,University_Exit!$B:$B,0)),"")</f>
        <v>وزارة الدفاع</v>
      </c>
    </row>
    <row r="19" spans="1:21" x14ac:dyDescent="0.3">
      <c r="A19" s="2" t="s">
        <v>60</v>
      </c>
      <c r="B19" s="2" t="s">
        <v>100</v>
      </c>
      <c r="C19" s="2" t="s">
        <v>101</v>
      </c>
      <c r="D19" s="2" t="s">
        <v>63</v>
      </c>
      <c r="E19" s="2" t="s">
        <v>64</v>
      </c>
      <c r="F19" s="5">
        <v>84.39200000000001</v>
      </c>
      <c r="G19" s="5">
        <v>86.676000000000002</v>
      </c>
      <c r="H19" s="5">
        <v>2.2839999999999918</v>
      </c>
      <c r="I19" s="5">
        <f>IFERROR(INDEX(Baseline_Entry!$P:$P,MATCH($B19,Baseline_Entry!$B:$B,0)),"")</f>
        <v>74.599999999999994</v>
      </c>
      <c r="J19" s="2" t="str">
        <f t="shared" si="0"/>
        <v>Yes</v>
      </c>
      <c r="K19" s="2" t="str">
        <f t="shared" si="1"/>
        <v>Middle starter</v>
      </c>
      <c r="L19" s="2" t="s">
        <v>65</v>
      </c>
      <c r="M19" s="2" t="s">
        <v>65</v>
      </c>
      <c r="N19" s="2">
        <v>0</v>
      </c>
      <c r="O19" s="2" t="str">
        <f>IFERROR(INDEX(University_Exit!$D:$D,MATCH($B19,University_Exit!$B:$B,0)),"")</f>
        <v>University of Central Lancashire</v>
      </c>
      <c r="P19" s="2" t="str">
        <f>IFERROR(INDEX(University_Exit!$F:$F,MATCH($B19,University_Exit!$B:$B,0)),"")</f>
        <v>Fire Engineering</v>
      </c>
      <c r="Q19" s="2" t="str">
        <f>IFERROR(INDEX(University_Exit!$L:$L,MATCH($B19,University_Exit!$B:$B,0)),"")</f>
        <v>Yes</v>
      </c>
      <c r="R19" s="2" t="str">
        <f t="shared" si="2"/>
        <v>Yes</v>
      </c>
      <c r="S19" s="5">
        <f>IFERROR(INDEX(University_Exit!$H:$H,MATCH($B19,University_Exit!$B:$B,0)),"")</f>
        <v>87.9</v>
      </c>
      <c r="T19" s="6">
        <f>IFERROR(INDEX(University_Exit!$K:$K,MATCH($B19,University_Exit!$B:$B,0)),"")</f>
        <v>920</v>
      </c>
      <c r="U19" s="2" t="str">
        <f>IFERROR(INDEX(University_Exit!$G:$G,MATCH($B19,University_Exit!$B:$B,0)),"")</f>
        <v>Qatar Energy</v>
      </c>
    </row>
    <row r="20" spans="1:21" x14ac:dyDescent="0.3">
      <c r="A20" s="2" t="s">
        <v>60</v>
      </c>
      <c r="B20" s="2" t="s">
        <v>102</v>
      </c>
      <c r="C20" s="2" t="s">
        <v>103</v>
      </c>
      <c r="D20" s="2" t="s">
        <v>63</v>
      </c>
      <c r="E20" s="2" t="s">
        <v>64</v>
      </c>
      <c r="F20" s="5">
        <v>82.488</v>
      </c>
      <c r="G20" s="5">
        <v>96.251999999999995</v>
      </c>
      <c r="H20" s="5">
        <v>13.763999999999999</v>
      </c>
      <c r="I20" s="5">
        <f>IFERROR(INDEX(Baseline_Entry!$P:$P,MATCH($B20,Baseline_Entry!$B:$B,0)),"")</f>
        <v>81.199999999999989</v>
      </c>
      <c r="J20" s="2" t="str">
        <f t="shared" si="0"/>
        <v>Yes</v>
      </c>
      <c r="K20" s="2" t="str">
        <f t="shared" si="1"/>
        <v>Middle starter</v>
      </c>
      <c r="L20" s="2" t="s">
        <v>65</v>
      </c>
      <c r="M20" s="2" t="s">
        <v>66</v>
      </c>
      <c r="N20" s="2">
        <v>1</v>
      </c>
      <c r="O20" s="2" t="str">
        <f>IFERROR(INDEX(University_Exit!$D:$D,MATCH($B20,University_Exit!$B:$B,0)),"")</f>
        <v>University of Doha for Science and Technology</v>
      </c>
      <c r="P20" s="2" t="str">
        <f>IFERROR(INDEX(University_Exit!$F:$F,MATCH($B20,University_Exit!$B:$B,0)),"")</f>
        <v>Cyber Security</v>
      </c>
      <c r="Q20" s="2" t="str">
        <f>IFERROR(INDEX(University_Exit!$L:$L,MATCH($B20,University_Exit!$B:$B,0)),"")</f>
        <v>No</v>
      </c>
      <c r="R20" s="2" t="str">
        <f t="shared" si="2"/>
        <v>Yes</v>
      </c>
      <c r="S20" s="5">
        <f>IFERROR(INDEX(University_Exit!$H:$H,MATCH($B20,University_Exit!$B:$B,0)),"")</f>
        <v>96.6</v>
      </c>
      <c r="T20" s="6">
        <f>IFERROR(INDEX(University_Exit!$K:$K,MATCH($B20,University_Exit!$B:$B,0)),"")</f>
        <v>880</v>
      </c>
      <c r="U20" s="2" t="str">
        <f>IFERROR(INDEX(University_Exit!$G:$G,MATCH($B20,University_Exit!$B:$B,0)),"")</f>
        <v>وزارة الدفاع</v>
      </c>
    </row>
    <row r="21" spans="1:21" x14ac:dyDescent="0.3">
      <c r="A21" s="2" t="s">
        <v>60</v>
      </c>
      <c r="B21" s="2" t="s">
        <v>104</v>
      </c>
      <c r="C21" s="2" t="s">
        <v>105</v>
      </c>
      <c r="D21" s="2" t="s">
        <v>63</v>
      </c>
      <c r="E21" s="2" t="s">
        <v>64</v>
      </c>
      <c r="F21" s="5">
        <v>82.39200000000001</v>
      </c>
      <c r="G21" s="5">
        <v>92.1</v>
      </c>
      <c r="H21" s="5">
        <v>9.7079999999999842</v>
      </c>
      <c r="I21" s="5">
        <f>IFERROR(INDEX(Baseline_Entry!$P:$P,MATCH($B21,Baseline_Entry!$B:$B,0)),"")</f>
        <v>76.400000000000006</v>
      </c>
      <c r="J21" s="2" t="str">
        <f t="shared" si="0"/>
        <v>Yes</v>
      </c>
      <c r="K21" s="2" t="str">
        <f t="shared" si="1"/>
        <v>Middle starter</v>
      </c>
      <c r="L21" s="2" t="s">
        <v>65</v>
      </c>
      <c r="M21" s="2" t="s">
        <v>66</v>
      </c>
      <c r="N21" s="2">
        <v>1</v>
      </c>
      <c r="O21" s="2" t="str">
        <f>IFERROR(INDEX(University_Exit!$D:$D,MATCH($B21,University_Exit!$B:$B,0)),"")</f>
        <v>الكلية العسكرية</v>
      </c>
      <c r="P21" s="2" t="str">
        <f>IFERROR(INDEX(University_Exit!$F:$F,MATCH($B21,University_Exit!$B:$B,0)),"")</f>
        <v>مرشح ضابط</v>
      </c>
      <c r="Q21" s="2" t="str">
        <f>IFERROR(INDEX(University_Exit!$L:$L,MATCH($B21,University_Exit!$B:$B,0)),"")</f>
        <v>No</v>
      </c>
      <c r="R21" s="2" t="str">
        <f t="shared" si="2"/>
        <v>Yes</v>
      </c>
      <c r="S21" s="5">
        <f>IFERROR(INDEX(University_Exit!$H:$H,MATCH($B21,University_Exit!$B:$B,0)),"")</f>
        <v>91.3</v>
      </c>
      <c r="T21" s="6">
        <f>IFERROR(INDEX(University_Exit!$K:$K,MATCH($B21,University_Exit!$B:$B,0)),"")</f>
        <v>980</v>
      </c>
      <c r="U21" s="2" t="str">
        <f>IFERROR(INDEX(University_Exit!$G:$G,MATCH($B21,University_Exit!$B:$B,0)),"")</f>
        <v>وزارة الدفاع</v>
      </c>
    </row>
    <row r="22" spans="1:21" x14ac:dyDescent="0.3">
      <c r="A22" s="2" t="s">
        <v>60</v>
      </c>
      <c r="B22" s="2" t="s">
        <v>106</v>
      </c>
      <c r="C22" s="2" t="s">
        <v>107</v>
      </c>
      <c r="D22" s="2" t="s">
        <v>63</v>
      </c>
      <c r="E22" s="2" t="s">
        <v>64</v>
      </c>
      <c r="F22" s="5">
        <v>89.751999999999995</v>
      </c>
      <c r="G22" s="5">
        <v>96.475999999999999</v>
      </c>
      <c r="H22" s="5">
        <v>6.7240000000000038</v>
      </c>
      <c r="I22" s="5">
        <f>IFERROR(INDEX(Baseline_Entry!$P:$P,MATCH($B22,Baseline_Entry!$B:$B,0)),"")</f>
        <v>83.6</v>
      </c>
      <c r="J22" s="2" t="str">
        <f t="shared" si="0"/>
        <v>Yes</v>
      </c>
      <c r="K22" s="2" t="str">
        <f t="shared" si="1"/>
        <v>Middle starter</v>
      </c>
      <c r="L22" s="2" t="s">
        <v>65</v>
      </c>
      <c r="M22" s="2" t="s">
        <v>66</v>
      </c>
      <c r="N22" s="2">
        <v>1</v>
      </c>
      <c r="O22" s="2" t="str">
        <f>IFERROR(INDEX(University_Exit!$D:$D,MATCH($B22,University_Exit!$B:$B,0)),"")</f>
        <v>الكلية العسكرية</v>
      </c>
      <c r="P22" s="2" t="str">
        <f>IFERROR(INDEX(University_Exit!$F:$F,MATCH($B22,University_Exit!$B:$B,0)),"")</f>
        <v>طيار</v>
      </c>
      <c r="Q22" s="2" t="str">
        <f>IFERROR(INDEX(University_Exit!$L:$L,MATCH($B22,University_Exit!$B:$B,0)),"")</f>
        <v>No</v>
      </c>
      <c r="R22" s="2" t="str">
        <f t="shared" si="2"/>
        <v>Yes</v>
      </c>
      <c r="S22" s="5">
        <f>IFERROR(INDEX(University_Exit!$H:$H,MATCH($B22,University_Exit!$B:$B,0)),"")</f>
        <v>97.2</v>
      </c>
      <c r="T22" s="6">
        <f>IFERROR(INDEX(University_Exit!$K:$K,MATCH($B22,University_Exit!$B:$B,0)),"")</f>
        <v>930</v>
      </c>
      <c r="U22" s="2" t="str">
        <f>IFERROR(INDEX(University_Exit!$G:$G,MATCH($B22,University_Exit!$B:$B,0)),"")</f>
        <v>وزارة الدفاع</v>
      </c>
    </row>
    <row r="23" spans="1:21" x14ac:dyDescent="0.3">
      <c r="A23" s="2" t="s">
        <v>60</v>
      </c>
      <c r="B23" s="2" t="s">
        <v>108</v>
      </c>
      <c r="C23" s="2" t="s">
        <v>109</v>
      </c>
      <c r="D23" s="2" t="s">
        <v>63</v>
      </c>
      <c r="E23" s="2" t="s">
        <v>64</v>
      </c>
      <c r="F23" s="5">
        <v>78.307999999999993</v>
      </c>
      <c r="G23" s="5">
        <v>84.623999999999995</v>
      </c>
      <c r="H23" s="5">
        <v>6.3160000000000034</v>
      </c>
      <c r="I23" s="5">
        <f>IFERROR(INDEX(Baseline_Entry!$P:$P,MATCH($B23,Baseline_Entry!$B:$B,0)),"")</f>
        <v>63.6</v>
      </c>
      <c r="J23" s="2" t="str">
        <f t="shared" si="0"/>
        <v>Yes</v>
      </c>
      <c r="K23" s="2" t="str">
        <f t="shared" si="1"/>
        <v>Low starter</v>
      </c>
      <c r="L23" s="2" t="s">
        <v>99</v>
      </c>
      <c r="M23" s="2" t="s">
        <v>65</v>
      </c>
      <c r="N23" s="2">
        <v>1</v>
      </c>
      <c r="O23" s="2" t="str">
        <f>IFERROR(INDEX(University_Exit!$D:$D,MATCH($B23,University_Exit!$B:$B,0)),"")</f>
        <v>Carnegie Mellon University Qatar</v>
      </c>
      <c r="P23" s="2" t="str">
        <f>IFERROR(INDEX(University_Exit!$F:$F,MATCH($B23,University_Exit!$B:$B,0)),"")</f>
        <v>Computer Science</v>
      </c>
      <c r="Q23" s="2" t="str">
        <f>IFERROR(INDEX(University_Exit!$L:$L,MATCH($B23,University_Exit!$B:$B,0)),"")</f>
        <v>Yes</v>
      </c>
      <c r="R23" s="2" t="str">
        <f t="shared" si="2"/>
        <v>Yes</v>
      </c>
      <c r="S23" s="5">
        <f>IFERROR(INDEX(University_Exit!$H:$H,MATCH($B23,University_Exit!$B:$B,0)),"")</f>
        <v>85.3</v>
      </c>
      <c r="T23" s="6">
        <f>IFERROR(INDEX(University_Exit!$K:$K,MATCH($B23,University_Exit!$B:$B,0)),"")</f>
        <v>850</v>
      </c>
      <c r="U23" s="2" t="str">
        <f>IFERROR(INDEX(University_Exit!$G:$G,MATCH($B23,University_Exit!$B:$B,0)),"")</f>
        <v>Ministry of Education</v>
      </c>
    </row>
    <row r="24" spans="1:21" x14ac:dyDescent="0.3">
      <c r="A24" s="2" t="s">
        <v>60</v>
      </c>
      <c r="B24" s="2" t="s">
        <v>110</v>
      </c>
      <c r="C24" s="2" t="s">
        <v>111</v>
      </c>
      <c r="D24" s="2" t="s">
        <v>63</v>
      </c>
      <c r="E24" s="2" t="s">
        <v>64</v>
      </c>
      <c r="F24" s="5">
        <v>87.676000000000002</v>
      </c>
      <c r="G24" s="5">
        <v>92.551999999999992</v>
      </c>
      <c r="H24" s="5">
        <v>4.8759999999999906</v>
      </c>
      <c r="I24" s="5">
        <f>IFERROR(INDEX(Baseline_Entry!$P:$P,MATCH($B24,Baseline_Entry!$B:$B,0)),"")</f>
        <v>66.400000000000006</v>
      </c>
      <c r="J24" s="2" t="str">
        <f t="shared" si="0"/>
        <v>Yes</v>
      </c>
      <c r="K24" s="2" t="str">
        <f t="shared" si="1"/>
        <v>Low starter</v>
      </c>
      <c r="L24" s="2" t="s">
        <v>65</v>
      </c>
      <c r="M24" s="2" t="s">
        <v>66</v>
      </c>
      <c r="N24" s="2">
        <v>1</v>
      </c>
      <c r="O24" s="2" t="str">
        <f>IFERROR(INDEX(University_Exit!$D:$D,MATCH($B24,University_Exit!$B:$B,0)),"")</f>
        <v>University of Liverpool</v>
      </c>
      <c r="P24" s="2" t="str">
        <f>IFERROR(INDEX(University_Exit!$F:$F,MATCH($B24,University_Exit!$B:$B,0)),"")</f>
        <v>Mechanical Engineering</v>
      </c>
      <c r="Q24" s="2" t="str">
        <f>IFERROR(INDEX(University_Exit!$L:$L,MATCH($B24,University_Exit!$B:$B,0)),"")</f>
        <v>Yes</v>
      </c>
      <c r="R24" s="2" t="str">
        <f t="shared" si="2"/>
        <v>Yes</v>
      </c>
      <c r="S24" s="5">
        <f>IFERROR(INDEX(University_Exit!$H:$H,MATCH($B24,University_Exit!$B:$B,0)),"")</f>
        <v>94.4</v>
      </c>
      <c r="T24" s="6">
        <f>IFERROR(INDEX(University_Exit!$K:$K,MATCH($B24,University_Exit!$B:$B,0)),"")</f>
        <v>970</v>
      </c>
      <c r="U24" s="2" t="str">
        <f>IFERROR(INDEX(University_Exit!$G:$G,MATCH($B24,University_Exit!$B:$B,0)),"")</f>
        <v>Qatar Energy</v>
      </c>
    </row>
    <row r="25" spans="1:21" x14ac:dyDescent="0.3">
      <c r="A25" s="2" t="s">
        <v>60</v>
      </c>
      <c r="B25" s="2" t="s">
        <v>112</v>
      </c>
      <c r="C25" s="2" t="s">
        <v>113</v>
      </c>
      <c r="D25" s="2" t="s">
        <v>63</v>
      </c>
      <c r="E25" s="2" t="s">
        <v>64</v>
      </c>
      <c r="F25" s="5">
        <v>88.524000000000001</v>
      </c>
      <c r="G25" s="5">
        <v>93.975999999999999</v>
      </c>
      <c r="H25" s="5">
        <v>5.4519999999999982</v>
      </c>
      <c r="I25" s="5">
        <f>IFERROR(INDEX(Baseline_Entry!$P:$P,MATCH($B25,Baseline_Entry!$B:$B,0)),"")</f>
        <v>87</v>
      </c>
      <c r="J25" s="2" t="str">
        <f t="shared" si="0"/>
        <v>Yes</v>
      </c>
      <c r="K25" s="2" t="str">
        <f t="shared" si="1"/>
        <v>High starter</v>
      </c>
      <c r="L25" s="2" t="s">
        <v>65</v>
      </c>
      <c r="M25" s="2" t="s">
        <v>66</v>
      </c>
      <c r="N25" s="2">
        <v>1</v>
      </c>
      <c r="O25" s="2" t="str">
        <f>IFERROR(INDEX(University_Exit!$D:$D,MATCH($B25,University_Exit!$B:$B,0)),"")</f>
        <v>University of Liverpool</v>
      </c>
      <c r="P25" s="2" t="str">
        <f>IFERROR(INDEX(University_Exit!$F:$F,MATCH($B25,University_Exit!$B:$B,0)),"")</f>
        <v>Mechanical engineering</v>
      </c>
      <c r="Q25" s="2" t="str">
        <f>IFERROR(INDEX(University_Exit!$L:$L,MATCH($B25,University_Exit!$B:$B,0)),"")</f>
        <v>Yes</v>
      </c>
      <c r="R25" s="2" t="str">
        <f t="shared" si="2"/>
        <v>Yes</v>
      </c>
      <c r="S25" s="5">
        <f>IFERROR(INDEX(University_Exit!$H:$H,MATCH($B25,University_Exit!$B:$B,0)),"")</f>
        <v>94.4</v>
      </c>
      <c r="T25" s="6">
        <f>IFERROR(INDEX(University_Exit!$K:$K,MATCH($B25,University_Exit!$B:$B,0)),"")</f>
        <v>990</v>
      </c>
      <c r="U25" s="2" t="str">
        <f>IFERROR(INDEX(University_Exit!$G:$G,MATCH($B25,University_Exit!$B:$B,0)),"")</f>
        <v>Qatar Energy</v>
      </c>
    </row>
    <row r="26" spans="1:21" x14ac:dyDescent="0.3">
      <c r="A26" s="2" t="s">
        <v>60</v>
      </c>
      <c r="B26" s="2" t="s">
        <v>114</v>
      </c>
      <c r="C26" s="2" t="s">
        <v>115</v>
      </c>
      <c r="D26" s="2" t="s">
        <v>63</v>
      </c>
      <c r="E26" s="2" t="s">
        <v>64</v>
      </c>
      <c r="F26" s="5">
        <v>85.320000000000007</v>
      </c>
      <c r="G26" s="5">
        <v>92.575999999999993</v>
      </c>
      <c r="H26" s="5">
        <v>7.255999999999986</v>
      </c>
      <c r="I26" s="5">
        <f>IFERROR(INDEX(Baseline_Entry!$P:$P,MATCH($B26,Baseline_Entry!$B:$B,0)),"")</f>
        <v>76.599999999999994</v>
      </c>
      <c r="J26" s="2" t="str">
        <f t="shared" si="0"/>
        <v>Yes</v>
      </c>
      <c r="K26" s="2" t="str">
        <f t="shared" si="1"/>
        <v>Middle starter</v>
      </c>
      <c r="L26" s="2" t="s">
        <v>65</v>
      </c>
      <c r="M26" s="2" t="s">
        <v>66</v>
      </c>
      <c r="N26" s="2">
        <v>1</v>
      </c>
      <c r="O26" s="2" t="str">
        <f>IFERROR(INDEX(University_Exit!$D:$D,MATCH($B26,University_Exit!$B:$B,0)),"")</f>
        <v>Texas A&amp;M University Qatar</v>
      </c>
      <c r="P26" s="2" t="str">
        <f>IFERROR(INDEX(University_Exit!$F:$F,MATCH($B26,University_Exit!$B:$B,0)),"")</f>
        <v>Mechanical engineering</v>
      </c>
      <c r="Q26" s="2" t="str">
        <f>IFERROR(INDEX(University_Exit!$L:$L,MATCH($B26,University_Exit!$B:$B,0)),"")</f>
        <v>Yes</v>
      </c>
      <c r="R26" s="2" t="str">
        <f t="shared" si="2"/>
        <v>Yes</v>
      </c>
      <c r="S26" s="5">
        <f>IFERROR(INDEX(University_Exit!$H:$H,MATCH($B26,University_Exit!$B:$B,0)),"")</f>
        <v>92.9</v>
      </c>
      <c r="T26" s="6">
        <f>IFERROR(INDEX(University_Exit!$K:$K,MATCH($B26,University_Exit!$B:$B,0)),"")</f>
        <v>1020</v>
      </c>
      <c r="U26" s="2" t="str">
        <f>IFERROR(INDEX(University_Exit!$G:$G,MATCH($B26,University_Exit!$B:$B,0)),"")</f>
        <v>Ministry of Education</v>
      </c>
    </row>
    <row r="27" spans="1:21" x14ac:dyDescent="0.3">
      <c r="A27" s="2" t="s">
        <v>60</v>
      </c>
      <c r="B27" s="2" t="s">
        <v>116</v>
      </c>
      <c r="C27" s="2" t="s">
        <v>117</v>
      </c>
      <c r="D27" s="2" t="s">
        <v>63</v>
      </c>
      <c r="E27" s="2" t="s">
        <v>64</v>
      </c>
      <c r="F27" s="5">
        <v>93.955999999999989</v>
      </c>
      <c r="G27" s="5">
        <v>97.5</v>
      </c>
      <c r="H27" s="5">
        <v>3.5440000000000111</v>
      </c>
      <c r="I27" s="5">
        <f>IFERROR(INDEX(Baseline_Entry!$P:$P,MATCH($B27,Baseline_Entry!$B:$B,0)),"")</f>
        <v>71</v>
      </c>
      <c r="J27" s="2" t="str">
        <f t="shared" si="0"/>
        <v>Yes</v>
      </c>
      <c r="K27" s="2" t="str">
        <f t="shared" si="1"/>
        <v>Middle starter</v>
      </c>
      <c r="L27" s="2" t="s">
        <v>66</v>
      </c>
      <c r="M27" s="2" t="s">
        <v>66</v>
      </c>
      <c r="N27" s="2">
        <v>0</v>
      </c>
      <c r="O27" s="2" t="str">
        <f>IFERROR(INDEX(University_Exit!$D:$D,MATCH($B27,University_Exit!$B:$B,0)),"")</f>
        <v>University Of Strathclyde</v>
      </c>
      <c r="P27" s="2" t="str">
        <f>IFERROR(INDEX(University_Exit!$F:$F,MATCH($B27,University_Exit!$B:$B,0)),"")</f>
        <v>Chemical engineering</v>
      </c>
      <c r="Q27" s="2" t="str">
        <f>IFERROR(INDEX(University_Exit!$L:$L,MATCH($B27,University_Exit!$B:$B,0)),"")</f>
        <v>Yes</v>
      </c>
      <c r="R27" s="2" t="str">
        <f t="shared" si="2"/>
        <v>Yes</v>
      </c>
      <c r="S27" s="5">
        <f>IFERROR(INDEX(University_Exit!$H:$H,MATCH($B27,University_Exit!$B:$B,0)),"")</f>
        <v>99</v>
      </c>
      <c r="T27" s="6">
        <f>IFERROR(INDEX(University_Exit!$K:$K,MATCH($B27,University_Exit!$B:$B,0)),"")</f>
        <v>1020</v>
      </c>
      <c r="U27" s="2" t="str">
        <f>IFERROR(INDEX(University_Exit!$G:$G,MATCH($B27,University_Exit!$B:$B,0)),"")</f>
        <v>Qatar Energy</v>
      </c>
    </row>
    <row r="28" spans="1:21" x14ac:dyDescent="0.3">
      <c r="A28" s="2" t="s">
        <v>60</v>
      </c>
      <c r="B28" s="2" t="s">
        <v>118</v>
      </c>
      <c r="C28" s="2" t="s">
        <v>119</v>
      </c>
      <c r="D28" s="2" t="s">
        <v>63</v>
      </c>
      <c r="E28" s="2" t="s">
        <v>64</v>
      </c>
      <c r="F28" s="5">
        <v>0</v>
      </c>
      <c r="G28" s="5">
        <v>98.551999999999992</v>
      </c>
      <c r="H28" s="5">
        <v>98.551999999999992</v>
      </c>
      <c r="I28" s="5">
        <f>IFERROR(INDEX(Baseline_Entry!$P:$P,MATCH($B28,Baseline_Entry!$B:$B,0)),"")</f>
        <v>90.8</v>
      </c>
      <c r="J28" s="2" t="str">
        <f t="shared" si="0"/>
        <v>Yes</v>
      </c>
      <c r="K28" s="2" t="str">
        <f t="shared" si="1"/>
        <v>High starter</v>
      </c>
      <c r="L28" s="2" t="s">
        <v>120</v>
      </c>
      <c r="M28" s="2" t="s">
        <v>66</v>
      </c>
      <c r="N28" s="2">
        <v>3</v>
      </c>
      <c r="O28" s="2" t="str">
        <f>IFERROR(INDEX(University_Exit!$D:$D,MATCH($B28,University_Exit!$B:$B,0)),"")</f>
        <v>University of Liverpool</v>
      </c>
      <c r="P28" s="2" t="str">
        <f>IFERROR(INDEX(University_Exit!$F:$F,MATCH($B28,University_Exit!$B:$B,0)),"")</f>
        <v>Civil Engineering</v>
      </c>
      <c r="Q28" s="2" t="str">
        <f>IFERROR(INDEX(University_Exit!$L:$L,MATCH($B28,University_Exit!$B:$B,0)),"")</f>
        <v>Yes</v>
      </c>
      <c r="R28" s="2" t="str">
        <f t="shared" si="2"/>
        <v>Yes</v>
      </c>
      <c r="S28" s="5">
        <f>IFERROR(INDEX(University_Exit!$H:$H,MATCH($B28,University_Exit!$B:$B,0)),"")</f>
        <v>97.9</v>
      </c>
      <c r="T28" s="6">
        <f>IFERROR(INDEX(University_Exit!$K:$K,MATCH($B28,University_Exit!$B:$B,0)),"")</f>
        <v>1450</v>
      </c>
      <c r="U28" s="2" t="str">
        <f>IFERROR(INDEX(University_Exit!$G:$G,MATCH($B28,University_Exit!$B:$B,0)),"")</f>
        <v>Qatar Energy</v>
      </c>
    </row>
    <row r="29" spans="1:21" x14ac:dyDescent="0.3">
      <c r="A29" s="2" t="s">
        <v>60</v>
      </c>
      <c r="B29" s="2" t="s">
        <v>121</v>
      </c>
      <c r="C29" s="2" t="s">
        <v>122</v>
      </c>
      <c r="D29" s="2" t="s">
        <v>63</v>
      </c>
      <c r="E29" s="2" t="s">
        <v>64</v>
      </c>
      <c r="F29" s="5">
        <v>94.448000000000008</v>
      </c>
      <c r="G29" s="5">
        <v>95.376000000000005</v>
      </c>
      <c r="H29" s="5">
        <v>0.92799999999999727</v>
      </c>
      <c r="I29" s="5">
        <f>IFERROR(INDEX(Baseline_Entry!$P:$P,MATCH($B29,Baseline_Entry!$B:$B,0)),"")</f>
        <v>50</v>
      </c>
      <c r="J29" s="2" t="str">
        <f t="shared" si="0"/>
        <v>Yes</v>
      </c>
      <c r="K29" s="2" t="str">
        <f t="shared" si="1"/>
        <v>Low starter</v>
      </c>
      <c r="L29" s="2" t="s">
        <v>66</v>
      </c>
      <c r="M29" s="2" t="s">
        <v>66</v>
      </c>
      <c r="N29" s="2">
        <v>0</v>
      </c>
      <c r="O29" s="2" t="str">
        <f>IFERROR(INDEX(University_Exit!$D:$D,MATCH($B29,University_Exit!$B:$B,0)),"")</f>
        <v>University of Liverpool</v>
      </c>
      <c r="P29" s="2" t="str">
        <f>IFERROR(INDEX(University_Exit!$F:$F,MATCH($B29,University_Exit!$B:$B,0)),"")</f>
        <v>Computer Science</v>
      </c>
      <c r="Q29" s="2" t="str">
        <f>IFERROR(INDEX(University_Exit!$L:$L,MATCH($B29,University_Exit!$B:$B,0)),"")</f>
        <v>Yes</v>
      </c>
      <c r="R29" s="2" t="str">
        <f t="shared" si="2"/>
        <v>Yes</v>
      </c>
      <c r="S29" s="5">
        <f>IFERROR(INDEX(University_Exit!$H:$H,MATCH($B29,University_Exit!$B:$B,0)),"")</f>
        <v>97.2</v>
      </c>
      <c r="T29" s="6">
        <f>IFERROR(INDEX(University_Exit!$K:$K,MATCH($B29,University_Exit!$B:$B,0)),"")</f>
        <v>1140</v>
      </c>
      <c r="U29" s="2" t="str">
        <f>IFERROR(INDEX(University_Exit!$G:$G,MATCH($B29,University_Exit!$B:$B,0)),"")</f>
        <v>Qatar Energy</v>
      </c>
    </row>
    <row r="30" spans="1:21" x14ac:dyDescent="0.3">
      <c r="A30" s="2" t="s">
        <v>60</v>
      </c>
      <c r="B30" s="2" t="s">
        <v>123</v>
      </c>
      <c r="C30" s="2" t="s">
        <v>124</v>
      </c>
      <c r="D30" s="2" t="s">
        <v>63</v>
      </c>
      <c r="E30" s="2" t="s">
        <v>64</v>
      </c>
      <c r="F30" s="5">
        <v>85.144000000000005</v>
      </c>
      <c r="G30" s="5">
        <v>89.575999999999993</v>
      </c>
      <c r="H30" s="5">
        <v>4.4319999999999879</v>
      </c>
      <c r="I30" s="5">
        <f>IFERROR(INDEX(Baseline_Entry!$P:$P,MATCH($B30,Baseline_Entry!$B:$B,0)),"")</f>
        <v>82</v>
      </c>
      <c r="J30" s="2" t="str">
        <f t="shared" si="0"/>
        <v>Yes</v>
      </c>
      <c r="K30" s="2" t="str">
        <f t="shared" si="1"/>
        <v>Middle starter</v>
      </c>
      <c r="L30" s="2" t="s">
        <v>65</v>
      </c>
      <c r="M30" s="2" t="s">
        <v>65</v>
      </c>
      <c r="N30" s="2">
        <v>0</v>
      </c>
      <c r="O30" s="2" t="str">
        <f>IFERROR(INDEX(University_Exit!$D:$D,MATCH($B30,University_Exit!$B:$B,0)),"")</f>
        <v>الكلية العسكرية</v>
      </c>
      <c r="P30" s="2" t="str">
        <f>IFERROR(INDEX(University_Exit!$F:$F,MATCH($B30,University_Exit!$B:$B,0)),"")</f>
        <v>مرشح ضابط</v>
      </c>
      <c r="Q30" s="2" t="str">
        <f>IFERROR(INDEX(University_Exit!$L:$L,MATCH($B30,University_Exit!$B:$B,0)),"")</f>
        <v>No</v>
      </c>
      <c r="R30" s="2" t="str">
        <f t="shared" si="2"/>
        <v>Yes</v>
      </c>
      <c r="S30" s="5">
        <f>IFERROR(INDEX(University_Exit!$H:$H,MATCH($B30,University_Exit!$B:$B,0)),"")</f>
        <v>91.7</v>
      </c>
      <c r="T30" s="6">
        <f>IFERROR(INDEX(University_Exit!$K:$K,MATCH($B30,University_Exit!$B:$B,0)),"")</f>
        <v>960</v>
      </c>
      <c r="U30" s="2" t="str">
        <f>IFERROR(INDEX(University_Exit!$G:$G,MATCH($B30,University_Exit!$B:$B,0)),"")</f>
        <v>وزارة الدفاع</v>
      </c>
    </row>
    <row r="31" spans="1:21" x14ac:dyDescent="0.3">
      <c r="A31" s="2" t="s">
        <v>60</v>
      </c>
      <c r="B31" s="2" t="s">
        <v>125</v>
      </c>
      <c r="C31" s="2" t="s">
        <v>126</v>
      </c>
      <c r="D31" s="2" t="s">
        <v>63</v>
      </c>
      <c r="E31" s="2" t="s">
        <v>64</v>
      </c>
      <c r="F31" s="5">
        <v>91.003999999999991</v>
      </c>
      <c r="G31" s="5">
        <v>89.623999999999995</v>
      </c>
      <c r="H31" s="5">
        <v>-1.379999999999995</v>
      </c>
      <c r="I31" s="5">
        <f>IFERROR(INDEX(Baseline_Entry!$P:$P,MATCH($B31,Baseline_Entry!$B:$B,0)),"")</f>
        <v>96.8</v>
      </c>
      <c r="J31" s="2" t="str">
        <f t="shared" si="0"/>
        <v>Yes</v>
      </c>
      <c r="K31" s="2" t="str">
        <f t="shared" si="1"/>
        <v>High starter</v>
      </c>
      <c r="L31" s="2" t="s">
        <v>66</v>
      </c>
      <c r="M31" s="2" t="s">
        <v>65</v>
      </c>
      <c r="N31" s="2">
        <v>-1</v>
      </c>
      <c r="O31" s="2" t="str">
        <f>IFERROR(INDEX(University_Exit!$D:$D,MATCH($B31,University_Exit!$B:$B,0)),"")</f>
        <v>University of Liverpool</v>
      </c>
      <c r="P31" s="2" t="str">
        <f>IFERROR(INDEX(University_Exit!$F:$F,MATCH($B31,University_Exit!$B:$B,0)),"")</f>
        <v>Electrical and Electronic engineering</v>
      </c>
      <c r="Q31" s="2" t="str">
        <f>IFERROR(INDEX(University_Exit!$L:$L,MATCH($B31,University_Exit!$B:$B,0)),"")</f>
        <v>Yes</v>
      </c>
      <c r="R31" s="2" t="str">
        <f t="shared" si="2"/>
        <v>Yes</v>
      </c>
      <c r="S31" s="5">
        <f>IFERROR(INDEX(University_Exit!$H:$H,MATCH($B31,University_Exit!$B:$B,0)),"")</f>
        <v>90.6</v>
      </c>
      <c r="T31" s="6">
        <f>IFERROR(INDEX(University_Exit!$K:$K,MATCH($B31,University_Exit!$B:$B,0)),"")</f>
        <v>1160</v>
      </c>
      <c r="U31" s="2" t="str">
        <f>IFERROR(INDEX(University_Exit!$G:$G,MATCH($B31,University_Exit!$B:$B,0)),"")</f>
        <v>Ministry of Education</v>
      </c>
    </row>
    <row r="32" spans="1:21" x14ac:dyDescent="0.3">
      <c r="A32" s="2" t="s">
        <v>60</v>
      </c>
      <c r="B32" s="2" t="s">
        <v>127</v>
      </c>
      <c r="C32" s="2" t="s">
        <v>128</v>
      </c>
      <c r="D32" s="2" t="s">
        <v>63</v>
      </c>
      <c r="E32" s="2" t="s">
        <v>64</v>
      </c>
      <c r="F32" s="5">
        <v>88.164000000000016</v>
      </c>
      <c r="G32" s="5">
        <v>95.123999999999995</v>
      </c>
      <c r="H32" s="5">
        <v>6.9599999999999804</v>
      </c>
      <c r="I32" s="5">
        <f>IFERROR(INDEX(Baseline_Entry!$P:$P,MATCH($B32,Baseline_Entry!$B:$B,0)),"")</f>
        <v>63.2</v>
      </c>
      <c r="J32" s="2" t="str">
        <f t="shared" si="0"/>
        <v>Yes</v>
      </c>
      <c r="K32" s="2" t="str">
        <f t="shared" si="1"/>
        <v>Low starter</v>
      </c>
      <c r="L32" s="2" t="s">
        <v>65</v>
      </c>
      <c r="M32" s="2" t="s">
        <v>66</v>
      </c>
      <c r="N32" s="2">
        <v>1</v>
      </c>
      <c r="O32" s="2" t="str">
        <f>IFERROR(INDEX(University_Exit!$D:$D,MATCH($B32,University_Exit!$B:$B,0)),"")</f>
        <v>Qatar University</v>
      </c>
      <c r="P32" s="2" t="str">
        <f>IFERROR(INDEX(University_Exit!$F:$F,MATCH($B32,University_Exit!$B:$B,0)),"")</f>
        <v>Computer Science</v>
      </c>
      <c r="Q32" s="2" t="str">
        <f>IFERROR(INDEX(University_Exit!$L:$L,MATCH($B32,University_Exit!$B:$B,0)),"")</f>
        <v>Yes</v>
      </c>
      <c r="R32" s="2" t="str">
        <f t="shared" si="2"/>
        <v>Yes</v>
      </c>
      <c r="S32" s="5">
        <f>IFERROR(INDEX(University_Exit!$H:$H,MATCH($B32,University_Exit!$B:$B,0)),"")</f>
        <v>96.8</v>
      </c>
      <c r="T32" s="6">
        <f>IFERROR(INDEX(University_Exit!$K:$K,MATCH($B32,University_Exit!$B:$B,0)),"")</f>
        <v>970</v>
      </c>
      <c r="U32" s="2" t="str">
        <f>IFERROR(INDEX(University_Exit!$G:$G,MATCH($B32,University_Exit!$B:$B,0)),"")</f>
        <v>Ministry of Education</v>
      </c>
    </row>
    <row r="33" spans="1:21" x14ac:dyDescent="0.3">
      <c r="A33" s="2" t="s">
        <v>60</v>
      </c>
      <c r="B33" s="2" t="s">
        <v>129</v>
      </c>
      <c r="C33" s="2" t="s">
        <v>130</v>
      </c>
      <c r="D33" s="2" t="s">
        <v>63</v>
      </c>
      <c r="E33" s="2" t="s">
        <v>64</v>
      </c>
      <c r="F33" s="5">
        <v>92.775999999999996</v>
      </c>
      <c r="G33" s="5">
        <v>97.323999999999998</v>
      </c>
      <c r="H33" s="5">
        <v>4.5480000000000018</v>
      </c>
      <c r="I33" s="5">
        <f>IFERROR(INDEX(Baseline_Entry!$P:$P,MATCH($B33,Baseline_Entry!$B:$B,0)),"")</f>
        <v>87.2</v>
      </c>
      <c r="J33" s="2" t="str">
        <f t="shared" si="0"/>
        <v>Yes</v>
      </c>
      <c r="K33" s="2" t="str">
        <f t="shared" si="1"/>
        <v>High starter</v>
      </c>
      <c r="L33" s="2" t="s">
        <v>66</v>
      </c>
      <c r="M33" s="2" t="s">
        <v>66</v>
      </c>
      <c r="N33" s="2">
        <v>0</v>
      </c>
      <c r="O33" s="2" t="str">
        <f>IFERROR(INDEX(University_Exit!$D:$D,MATCH($B33,University_Exit!$B:$B,0)),"")</f>
        <v>Texas A&amp;M University Qatar</v>
      </c>
      <c r="P33" s="2" t="str">
        <f>IFERROR(INDEX(University_Exit!$F:$F,MATCH($B33,University_Exit!$B:$B,0)),"")</f>
        <v>Petroleum Engineering</v>
      </c>
      <c r="Q33" s="2" t="str">
        <f>IFERROR(INDEX(University_Exit!$L:$L,MATCH($B33,University_Exit!$B:$B,0)),"")</f>
        <v>Yes</v>
      </c>
      <c r="R33" s="2" t="str">
        <f t="shared" si="2"/>
        <v>Yes</v>
      </c>
      <c r="S33" s="5">
        <f>IFERROR(INDEX(University_Exit!$H:$H,MATCH($B33,University_Exit!$B:$B,0)),"")</f>
        <v>98.3</v>
      </c>
      <c r="T33" s="6">
        <f>IFERROR(INDEX(University_Exit!$K:$K,MATCH($B33,University_Exit!$B:$B,0)),"")</f>
        <v>1200</v>
      </c>
      <c r="U33" s="2" t="str">
        <f>IFERROR(INDEX(University_Exit!$G:$G,MATCH($B33,University_Exit!$B:$B,0)),"")</f>
        <v>Ministry of Education</v>
      </c>
    </row>
    <row r="34" spans="1:21" x14ac:dyDescent="0.3">
      <c r="A34" s="2" t="s">
        <v>60</v>
      </c>
      <c r="B34" s="2" t="s">
        <v>131</v>
      </c>
      <c r="C34" s="2" t="s">
        <v>132</v>
      </c>
      <c r="D34" s="2" t="s">
        <v>63</v>
      </c>
      <c r="E34" s="2" t="s">
        <v>64</v>
      </c>
      <c r="F34" s="5">
        <v>96.92</v>
      </c>
      <c r="G34" s="5">
        <v>98.751999999999995</v>
      </c>
      <c r="H34" s="5">
        <v>1.8319999999999941</v>
      </c>
      <c r="I34" s="5">
        <f>IFERROR(INDEX(Baseline_Entry!$P:$P,MATCH($B34,Baseline_Entry!$B:$B,0)),"")</f>
        <v>87.8</v>
      </c>
      <c r="J34" s="2" t="str">
        <f t="shared" si="0"/>
        <v>Yes</v>
      </c>
      <c r="K34" s="2" t="str">
        <f t="shared" si="1"/>
        <v>High starter</v>
      </c>
      <c r="L34" s="2" t="s">
        <v>66</v>
      </c>
      <c r="M34" s="2" t="s">
        <v>66</v>
      </c>
      <c r="N34" s="2">
        <v>0</v>
      </c>
      <c r="O34" s="2" t="str">
        <f>IFERROR(INDEX(University_Exit!$D:$D,MATCH($B34,University_Exit!$B:$B,0)),"")</f>
        <v>University of Liverpool</v>
      </c>
      <c r="P34" s="2" t="str">
        <f>IFERROR(INDEX(University_Exit!$F:$F,MATCH($B34,University_Exit!$B:$B,0)),"")</f>
        <v>Mechatronics engineering</v>
      </c>
      <c r="Q34" s="2" t="str">
        <f>IFERROR(INDEX(University_Exit!$L:$L,MATCH($B34,University_Exit!$B:$B,0)),"")</f>
        <v>Yes</v>
      </c>
      <c r="R34" s="2" t="str">
        <f t="shared" si="2"/>
        <v>Yes</v>
      </c>
      <c r="S34" s="5">
        <f>IFERROR(INDEX(University_Exit!$H:$H,MATCH($B34,University_Exit!$B:$B,0)),"")</f>
        <v>99.4</v>
      </c>
      <c r="T34" s="6">
        <f>IFERROR(INDEX(University_Exit!$K:$K,MATCH($B34,University_Exit!$B:$B,0)),"")</f>
        <v>1330</v>
      </c>
      <c r="U34" s="2" t="str">
        <f>IFERROR(INDEX(University_Exit!$G:$G,MATCH($B34,University_Exit!$B:$B,0)),"")</f>
        <v>Ministry of Education</v>
      </c>
    </row>
    <row r="35" spans="1:21" x14ac:dyDescent="0.3">
      <c r="A35" s="2" t="s">
        <v>60</v>
      </c>
      <c r="B35" s="2" t="s">
        <v>133</v>
      </c>
      <c r="C35" s="2" t="s">
        <v>134</v>
      </c>
      <c r="D35" s="2" t="s">
        <v>63</v>
      </c>
      <c r="E35" s="2" t="s">
        <v>64</v>
      </c>
      <c r="F35" s="5">
        <v>90.376000000000005</v>
      </c>
      <c r="G35" s="5">
        <v>95.623999999999995</v>
      </c>
      <c r="H35" s="5">
        <v>5.2479999999999896</v>
      </c>
      <c r="I35" s="5">
        <f>IFERROR(INDEX(Baseline_Entry!$P:$P,MATCH($B35,Baseline_Entry!$B:$B,0)),"")</f>
        <v>84.4</v>
      </c>
      <c r="J35" s="2" t="str">
        <f t="shared" si="0"/>
        <v>Yes</v>
      </c>
      <c r="K35" s="2" t="str">
        <f t="shared" si="1"/>
        <v>Middle starter</v>
      </c>
      <c r="L35" s="2" t="s">
        <v>66</v>
      </c>
      <c r="M35" s="2" t="s">
        <v>66</v>
      </c>
      <c r="N35" s="2">
        <v>0</v>
      </c>
      <c r="O35" s="2" t="str">
        <f>IFERROR(INDEX(University_Exit!$D:$D,MATCH($B35,University_Exit!$B:$B,0)),"")</f>
        <v>الكلية العسكرية</v>
      </c>
      <c r="P35" s="2" t="str">
        <f>IFERROR(INDEX(University_Exit!$F:$F,MATCH($B35,University_Exit!$B:$B,0)),"")</f>
        <v>مرشح ضابط</v>
      </c>
      <c r="Q35" s="2" t="str">
        <f>IFERROR(INDEX(University_Exit!$L:$L,MATCH($B35,University_Exit!$B:$B,0)),"")</f>
        <v>No</v>
      </c>
      <c r="R35" s="2" t="str">
        <f t="shared" si="2"/>
        <v>Yes</v>
      </c>
      <c r="S35" s="5">
        <f>IFERROR(INDEX(University_Exit!$H:$H,MATCH($B35,University_Exit!$B:$B,0)),"")</f>
        <v>95.8</v>
      </c>
      <c r="T35" s="6">
        <f>IFERROR(INDEX(University_Exit!$K:$K,MATCH($B35,University_Exit!$B:$B,0)),"")</f>
        <v>1140</v>
      </c>
      <c r="U35" s="2" t="str">
        <f>IFERROR(INDEX(University_Exit!$G:$G,MATCH($B35,University_Exit!$B:$B,0)),"")</f>
        <v>وزارة الدفاع</v>
      </c>
    </row>
    <row r="36" spans="1:21" x14ac:dyDescent="0.3">
      <c r="A36" s="2" t="s">
        <v>60</v>
      </c>
      <c r="B36" s="2" t="s">
        <v>135</v>
      </c>
      <c r="C36" s="2" t="s">
        <v>136</v>
      </c>
      <c r="D36" s="2" t="s">
        <v>63</v>
      </c>
      <c r="E36" s="2" t="s">
        <v>64</v>
      </c>
      <c r="F36" s="5">
        <v>90.595999999999989</v>
      </c>
      <c r="G36" s="5">
        <v>89.652000000000001</v>
      </c>
      <c r="H36" s="5">
        <v>-0.9439999999999884</v>
      </c>
      <c r="I36" s="5">
        <f>IFERROR(INDEX(Baseline_Entry!$P:$P,MATCH($B36,Baseline_Entry!$B:$B,0)),"")</f>
        <v>85.2</v>
      </c>
      <c r="J36" s="2" t="str">
        <f t="shared" si="0"/>
        <v>Yes</v>
      </c>
      <c r="K36" s="2" t="str">
        <f t="shared" si="1"/>
        <v>High starter</v>
      </c>
      <c r="L36" s="2" t="s">
        <v>66</v>
      </c>
      <c r="M36" s="2" t="s">
        <v>65</v>
      </c>
      <c r="N36" s="2">
        <v>-1</v>
      </c>
      <c r="O36" s="2" t="str">
        <f>IFERROR(INDEX(University_Exit!$D:$D,MATCH($B36,University_Exit!$B:$B,0)),"")</f>
        <v>الكلية العسكرية</v>
      </c>
      <c r="P36" s="2" t="str">
        <f>IFERROR(INDEX(University_Exit!$F:$F,MATCH($B36,University_Exit!$B:$B,0)),"")</f>
        <v>مرشح ضابط</v>
      </c>
      <c r="Q36" s="2" t="str">
        <f>IFERROR(INDEX(University_Exit!$L:$L,MATCH($B36,University_Exit!$B:$B,0)),"")</f>
        <v>No</v>
      </c>
      <c r="R36" s="2" t="str">
        <f t="shared" si="2"/>
        <v>Yes</v>
      </c>
      <c r="S36" s="5">
        <f>IFERROR(INDEX(University_Exit!$H:$H,MATCH($B36,University_Exit!$B:$B,0)),"")</f>
        <v>90.9</v>
      </c>
      <c r="T36" s="6">
        <f>IFERROR(INDEX(University_Exit!$K:$K,MATCH($B36,University_Exit!$B:$B,0)),"")</f>
        <v>1100</v>
      </c>
      <c r="U36" s="2" t="str">
        <f>IFERROR(INDEX(University_Exit!$G:$G,MATCH($B36,University_Exit!$B:$B,0)),"")</f>
        <v>وزارة الدفاع</v>
      </c>
    </row>
    <row r="37" spans="1:21" x14ac:dyDescent="0.3">
      <c r="A37" s="2" t="s">
        <v>60</v>
      </c>
      <c r="B37" s="2" t="s">
        <v>137</v>
      </c>
      <c r="C37" s="2" t="s">
        <v>138</v>
      </c>
      <c r="D37" s="2" t="s">
        <v>63</v>
      </c>
      <c r="E37" s="2" t="s">
        <v>64</v>
      </c>
      <c r="F37" s="5">
        <v>86.304000000000002</v>
      </c>
      <c r="G37" s="5">
        <v>93.424000000000007</v>
      </c>
      <c r="H37" s="5">
        <v>7.1200000000000054</v>
      </c>
      <c r="I37" s="5">
        <f>IFERROR(INDEX(Baseline_Entry!$P:$P,MATCH($B37,Baseline_Entry!$B:$B,0)),"")</f>
        <v>74</v>
      </c>
      <c r="J37" s="2" t="str">
        <f t="shared" si="0"/>
        <v>Yes</v>
      </c>
      <c r="K37" s="2" t="str">
        <f t="shared" si="1"/>
        <v>Middle starter</v>
      </c>
      <c r="L37" s="2" t="s">
        <v>65</v>
      </c>
      <c r="M37" s="2" t="s">
        <v>66</v>
      </c>
      <c r="N37" s="2">
        <v>1</v>
      </c>
      <c r="O37" s="2" t="str">
        <f>IFERROR(INDEX(University_Exit!$D:$D,MATCH($B37,University_Exit!$B:$B,0)),"")</f>
        <v>Texas A&amp;M University Qatar</v>
      </c>
      <c r="P37" s="2" t="str">
        <f>IFERROR(INDEX(University_Exit!$F:$F,MATCH($B37,University_Exit!$B:$B,0)),"")</f>
        <v>Electrical Engineering</v>
      </c>
      <c r="Q37" s="2" t="str">
        <f>IFERROR(INDEX(University_Exit!$L:$L,MATCH($B37,University_Exit!$B:$B,0)),"")</f>
        <v>Yes</v>
      </c>
      <c r="R37" s="2" t="str">
        <f t="shared" si="2"/>
        <v>Yes</v>
      </c>
      <c r="S37" s="5">
        <f>IFERROR(INDEX(University_Exit!$H:$H,MATCH($B37,University_Exit!$B:$B,0)),"")</f>
        <v>94.1</v>
      </c>
      <c r="T37" s="6">
        <f>IFERROR(INDEX(University_Exit!$K:$K,MATCH($B37,University_Exit!$B:$B,0)),"")</f>
        <v>970</v>
      </c>
      <c r="U37" s="2" t="str">
        <f>IFERROR(INDEX(University_Exit!$G:$G,MATCH($B37,University_Exit!$B:$B,0)),"")</f>
        <v>Qatar Energy</v>
      </c>
    </row>
    <row r="38" spans="1:21" x14ac:dyDescent="0.3">
      <c r="A38" s="2" t="s">
        <v>60</v>
      </c>
      <c r="B38" s="2" t="s">
        <v>139</v>
      </c>
      <c r="C38" s="2" t="s">
        <v>140</v>
      </c>
      <c r="D38" s="2" t="s">
        <v>63</v>
      </c>
      <c r="E38" s="2" t="s">
        <v>64</v>
      </c>
      <c r="F38" s="5">
        <v>82.679999999999993</v>
      </c>
      <c r="G38" s="5">
        <v>93.224000000000004</v>
      </c>
      <c r="H38" s="5">
        <v>10.544000000000009</v>
      </c>
      <c r="I38" s="5">
        <f>IFERROR(INDEX(Baseline_Entry!$P:$P,MATCH($B38,Baseline_Entry!$B:$B,0)),"")</f>
        <v>77</v>
      </c>
      <c r="J38" s="2" t="str">
        <f t="shared" si="0"/>
        <v>Yes</v>
      </c>
      <c r="K38" s="2" t="str">
        <f t="shared" si="1"/>
        <v>Middle starter</v>
      </c>
      <c r="L38" s="2" t="s">
        <v>65</v>
      </c>
      <c r="M38" s="2" t="s">
        <v>66</v>
      </c>
      <c r="N38" s="2">
        <v>1</v>
      </c>
      <c r="O38" s="2" t="str">
        <f>IFERROR(INDEX(University_Exit!$D:$D,MATCH($B38,University_Exit!$B:$B,0)),"")</f>
        <v>الكلية العسكرية</v>
      </c>
      <c r="P38" s="2" t="str">
        <f>IFERROR(INDEX(University_Exit!$F:$F,MATCH($B38,University_Exit!$B:$B,0)),"")</f>
        <v>مرشح ضابط</v>
      </c>
      <c r="Q38" s="2" t="str">
        <f>IFERROR(INDEX(University_Exit!$L:$L,MATCH($B38,University_Exit!$B:$B,0)),"")</f>
        <v>No</v>
      </c>
      <c r="R38" s="2" t="str">
        <f t="shared" si="2"/>
        <v>Yes</v>
      </c>
      <c r="S38" s="5">
        <f>IFERROR(INDEX(University_Exit!$H:$H,MATCH($B38,University_Exit!$B:$B,0)),"")</f>
        <v>94.6</v>
      </c>
      <c r="T38" s="6">
        <f>IFERROR(INDEX(University_Exit!$K:$K,MATCH($B38,University_Exit!$B:$B,0)),"")</f>
        <v>860</v>
      </c>
      <c r="U38" s="2" t="str">
        <f>IFERROR(INDEX(University_Exit!$G:$G,MATCH($B38,University_Exit!$B:$B,0)),"")</f>
        <v>وزارة الدفاع</v>
      </c>
    </row>
    <row r="39" spans="1:21" x14ac:dyDescent="0.3">
      <c r="A39" s="2" t="s">
        <v>60</v>
      </c>
      <c r="B39" s="2" t="s">
        <v>141</v>
      </c>
      <c r="C39" s="2" t="s">
        <v>142</v>
      </c>
      <c r="D39" s="2" t="s">
        <v>63</v>
      </c>
      <c r="E39" s="2" t="s">
        <v>64</v>
      </c>
      <c r="F39" s="5">
        <v>94.503999999999991</v>
      </c>
      <c r="G39" s="5">
        <v>96.6</v>
      </c>
      <c r="H39" s="5">
        <v>2.0960000000000041</v>
      </c>
      <c r="I39" s="5">
        <f>IFERROR(INDEX(Baseline_Entry!$P:$P,MATCH($B39,Baseline_Entry!$B:$B,0)),"")</f>
        <v>89</v>
      </c>
      <c r="J39" s="2" t="str">
        <f t="shared" si="0"/>
        <v>Yes</v>
      </c>
      <c r="K39" s="2" t="str">
        <f t="shared" si="1"/>
        <v>High starter</v>
      </c>
      <c r="L39" s="2" t="s">
        <v>66</v>
      </c>
      <c r="M39" s="2" t="s">
        <v>66</v>
      </c>
      <c r="N39" s="2">
        <v>0</v>
      </c>
      <c r="O39" s="2" t="str">
        <f>IFERROR(INDEX(University_Exit!$D:$D,MATCH($B39,University_Exit!$B:$B,0)),"")</f>
        <v>University of Liverpool</v>
      </c>
      <c r="P39" s="2" t="str">
        <f>IFERROR(INDEX(University_Exit!$F:$F,MATCH($B39,University_Exit!$B:$B,0)),"")</f>
        <v>Mechanical Engineering</v>
      </c>
      <c r="Q39" s="2" t="str">
        <f>IFERROR(INDEX(University_Exit!$L:$L,MATCH($B39,University_Exit!$B:$B,0)),"")</f>
        <v>Yes</v>
      </c>
      <c r="R39" s="2" t="str">
        <f t="shared" si="2"/>
        <v>Yes</v>
      </c>
      <c r="S39" s="5">
        <f>IFERROR(INDEX(University_Exit!$H:$H,MATCH($B39,University_Exit!$B:$B,0)),"")</f>
        <v>98.1</v>
      </c>
      <c r="T39" s="6">
        <f>IFERROR(INDEX(University_Exit!$K:$K,MATCH($B39,University_Exit!$B:$B,0)),"")</f>
        <v>1100</v>
      </c>
      <c r="U39" s="2" t="str">
        <f>IFERROR(INDEX(University_Exit!$G:$G,MATCH($B39,University_Exit!$B:$B,0)),"")</f>
        <v>Qatar Energy</v>
      </c>
    </row>
    <row r="40" spans="1:21" x14ac:dyDescent="0.3">
      <c r="A40" s="2" t="s">
        <v>60</v>
      </c>
      <c r="B40" s="2" t="s">
        <v>143</v>
      </c>
      <c r="C40" s="2" t="s">
        <v>144</v>
      </c>
      <c r="D40" s="2" t="s">
        <v>63</v>
      </c>
      <c r="E40" s="2" t="s">
        <v>64</v>
      </c>
      <c r="F40" s="5">
        <v>94.216000000000008</v>
      </c>
      <c r="G40" s="5">
        <v>99</v>
      </c>
      <c r="H40" s="5">
        <v>4.7839999999999918</v>
      </c>
      <c r="I40" s="5">
        <f>IFERROR(INDEX(Baseline_Entry!$P:$P,MATCH($B40,Baseline_Entry!$B:$B,0)),"")</f>
        <v>92</v>
      </c>
      <c r="J40" s="2" t="str">
        <f t="shared" si="0"/>
        <v>Yes</v>
      </c>
      <c r="K40" s="2" t="str">
        <f t="shared" si="1"/>
        <v>High starter</v>
      </c>
      <c r="L40" s="2" t="s">
        <v>66</v>
      </c>
      <c r="M40" s="2" t="s">
        <v>66</v>
      </c>
      <c r="N40" s="2">
        <v>0</v>
      </c>
      <c r="O40" s="2" t="str">
        <f>IFERROR(INDEX(University_Exit!$D:$D,MATCH($B40,University_Exit!$B:$B,0)),"")</f>
        <v>الكلية العسكرية</v>
      </c>
      <c r="P40" s="2" t="str">
        <f>IFERROR(INDEX(University_Exit!$F:$F,MATCH($B40,University_Exit!$B:$B,0)),"")</f>
        <v>مرشح ضابط</v>
      </c>
      <c r="Q40" s="2" t="str">
        <f>IFERROR(INDEX(University_Exit!$L:$L,MATCH($B40,University_Exit!$B:$B,0)),"")</f>
        <v>No</v>
      </c>
      <c r="R40" s="2" t="str">
        <f t="shared" si="2"/>
        <v>Yes</v>
      </c>
      <c r="S40" s="5">
        <f>IFERROR(INDEX(University_Exit!$H:$H,MATCH($B40,University_Exit!$B:$B,0)),"")</f>
        <v>99.5</v>
      </c>
      <c r="T40" s="6">
        <f>IFERROR(INDEX(University_Exit!$K:$K,MATCH($B40,University_Exit!$B:$B,0)),"")</f>
        <v>1340</v>
      </c>
      <c r="U40" s="2" t="str">
        <f>IFERROR(INDEX(University_Exit!$G:$G,MATCH($B40,University_Exit!$B:$B,0)),"")</f>
        <v>وزارة الدفاع</v>
      </c>
    </row>
    <row r="41" spans="1:21" x14ac:dyDescent="0.3">
      <c r="A41" s="2" t="s">
        <v>60</v>
      </c>
      <c r="B41" s="2" t="s">
        <v>145</v>
      </c>
      <c r="C41" s="2" t="s">
        <v>146</v>
      </c>
      <c r="D41" s="2" t="s">
        <v>63</v>
      </c>
      <c r="E41" s="2" t="s">
        <v>64</v>
      </c>
      <c r="F41" s="5">
        <v>72.715999999999994</v>
      </c>
      <c r="G41" s="5">
        <v>81.176000000000002</v>
      </c>
      <c r="H41" s="5">
        <v>8.460000000000008</v>
      </c>
      <c r="I41" s="5">
        <f>IFERROR(INDEX(Baseline_Entry!$P:$P,MATCH($B41,Baseline_Entry!$B:$B,0)),"")</f>
        <v>91.4</v>
      </c>
      <c r="J41" s="2" t="str">
        <f t="shared" si="0"/>
        <v>Yes</v>
      </c>
      <c r="K41" s="2" t="str">
        <f t="shared" si="1"/>
        <v>High starter</v>
      </c>
      <c r="L41" s="2" t="s">
        <v>99</v>
      </c>
      <c r="M41" s="2" t="s">
        <v>65</v>
      </c>
      <c r="N41" s="2">
        <v>1</v>
      </c>
      <c r="O41" s="2" t="str">
        <f>IFERROR(INDEX(University_Exit!$D:$D,MATCH($B41,University_Exit!$B:$B,0)),"")</f>
        <v>الكلية العسكرية</v>
      </c>
      <c r="P41" s="2" t="str">
        <f>IFERROR(INDEX(University_Exit!$F:$F,MATCH($B41,University_Exit!$B:$B,0)),"")</f>
        <v>مرشح ضابط</v>
      </c>
      <c r="Q41" s="2" t="str">
        <f>IFERROR(INDEX(University_Exit!$L:$L,MATCH($B41,University_Exit!$B:$B,0)),"")</f>
        <v>No</v>
      </c>
      <c r="R41" s="2" t="str">
        <f t="shared" si="2"/>
        <v>Yes</v>
      </c>
      <c r="S41" s="5">
        <f>IFERROR(INDEX(University_Exit!$H:$H,MATCH($B41,University_Exit!$B:$B,0)),"")</f>
        <v>80.400000000000006</v>
      </c>
      <c r="T41" s="6">
        <f>IFERROR(INDEX(University_Exit!$K:$K,MATCH($B41,University_Exit!$B:$B,0)),"")</f>
        <v>750</v>
      </c>
      <c r="U41" s="2" t="str">
        <f>IFERROR(INDEX(University_Exit!$G:$G,MATCH($B41,University_Exit!$B:$B,0)),"")</f>
        <v>وزارة الدفاع</v>
      </c>
    </row>
    <row r="42" spans="1:21" x14ac:dyDescent="0.3">
      <c r="A42" s="2" t="s">
        <v>60</v>
      </c>
      <c r="B42" s="2" t="s">
        <v>147</v>
      </c>
      <c r="C42" s="2" t="s">
        <v>148</v>
      </c>
      <c r="D42" s="2" t="s">
        <v>63</v>
      </c>
      <c r="E42" s="2" t="s">
        <v>64</v>
      </c>
      <c r="F42" s="5">
        <v>84.039999999999992</v>
      </c>
      <c r="G42" s="5">
        <v>88.051999999999992</v>
      </c>
      <c r="H42" s="5">
        <v>4.0119999999999996</v>
      </c>
      <c r="I42" s="5">
        <f>IFERROR(INDEX(Baseline_Entry!$P:$P,MATCH($B42,Baseline_Entry!$B:$B,0)),"")</f>
        <v>47.2</v>
      </c>
      <c r="J42" s="2" t="str">
        <f t="shared" si="0"/>
        <v>Yes</v>
      </c>
      <c r="K42" s="2" t="str">
        <f t="shared" si="1"/>
        <v>Low starter</v>
      </c>
      <c r="L42" s="2" t="s">
        <v>65</v>
      </c>
      <c r="M42" s="2" t="s">
        <v>65</v>
      </c>
      <c r="N42" s="2">
        <v>0</v>
      </c>
      <c r="O42" s="2" t="str">
        <f>IFERROR(INDEX(University_Exit!$D:$D,MATCH($B42,University_Exit!$B:$B,0)),"")</f>
        <v>University of Liverpool</v>
      </c>
      <c r="P42" s="2" t="str">
        <f>IFERROR(INDEX(University_Exit!$F:$F,MATCH($B42,University_Exit!$B:$B,0)),"")</f>
        <v>Computer Science</v>
      </c>
      <c r="Q42" s="2" t="str">
        <f>IFERROR(INDEX(University_Exit!$L:$L,MATCH($B42,University_Exit!$B:$B,0)),"")</f>
        <v>Yes</v>
      </c>
      <c r="R42" s="2" t="str">
        <f t="shared" si="2"/>
        <v>Yes</v>
      </c>
      <c r="S42" s="5">
        <f>IFERROR(INDEX(University_Exit!$H:$H,MATCH($B42,University_Exit!$B:$B,0)),"")</f>
        <v>90.1</v>
      </c>
      <c r="T42" s="6">
        <f>IFERROR(INDEX(University_Exit!$K:$K,MATCH($B42,University_Exit!$B:$B,0)),"")</f>
        <v>940</v>
      </c>
      <c r="U42" s="2" t="str">
        <f>IFERROR(INDEX(University_Exit!$G:$G,MATCH($B42,University_Exit!$B:$B,0)),"")</f>
        <v>Ministry of Education</v>
      </c>
    </row>
    <row r="43" spans="1:21" x14ac:dyDescent="0.3">
      <c r="A43" s="2" t="s">
        <v>60</v>
      </c>
      <c r="B43" s="2" t="s">
        <v>149</v>
      </c>
      <c r="C43" s="2" t="s">
        <v>150</v>
      </c>
      <c r="D43" s="2" t="s">
        <v>63</v>
      </c>
      <c r="E43" s="2" t="s">
        <v>64</v>
      </c>
      <c r="F43" s="5">
        <v>87.836000000000013</v>
      </c>
      <c r="G43" s="5">
        <v>86.8</v>
      </c>
      <c r="H43" s="5">
        <v>-1.036000000000016</v>
      </c>
      <c r="I43" s="5">
        <f>IFERROR(INDEX(Baseline_Entry!$P:$P,MATCH($B43,Baseline_Entry!$B:$B,0)),"")</f>
        <v>81.2</v>
      </c>
      <c r="J43" s="2" t="str">
        <f t="shared" si="0"/>
        <v>Yes</v>
      </c>
      <c r="K43" s="2" t="str">
        <f t="shared" si="1"/>
        <v>Middle starter</v>
      </c>
      <c r="L43" s="2" t="s">
        <v>65</v>
      </c>
      <c r="M43" s="2" t="s">
        <v>65</v>
      </c>
      <c r="N43" s="2">
        <v>0</v>
      </c>
      <c r="O43" s="2" t="str">
        <f>IFERROR(INDEX(University_Exit!$D:$D,MATCH($B43,University_Exit!$B:$B,0)),"")</f>
        <v>الكلية العسكرية</v>
      </c>
      <c r="P43" s="2" t="str">
        <f>IFERROR(INDEX(University_Exit!$F:$F,MATCH($B43,University_Exit!$B:$B,0)),"")</f>
        <v>مرشح ضابط</v>
      </c>
      <c r="Q43" s="2" t="str">
        <f>IFERROR(INDEX(University_Exit!$L:$L,MATCH($B43,University_Exit!$B:$B,0)),"")</f>
        <v>No</v>
      </c>
      <c r="R43" s="2" t="str">
        <f t="shared" si="2"/>
        <v>Yes</v>
      </c>
      <c r="S43" s="5">
        <f>IFERROR(INDEX(University_Exit!$H:$H,MATCH($B43,University_Exit!$B:$B,0)),"")</f>
        <v>89.3</v>
      </c>
      <c r="T43" s="6">
        <f>IFERROR(INDEX(University_Exit!$K:$K,MATCH($B43,University_Exit!$B:$B,0)),"")</f>
        <v>910</v>
      </c>
      <c r="U43" s="2" t="str">
        <f>IFERROR(INDEX(University_Exit!$G:$G,MATCH($B43,University_Exit!$B:$B,0)),"")</f>
        <v>وزارة الدفاع</v>
      </c>
    </row>
    <row r="44" spans="1:21" x14ac:dyDescent="0.3">
      <c r="A44" s="2" t="s">
        <v>60</v>
      </c>
      <c r="B44" s="2" t="s">
        <v>151</v>
      </c>
      <c r="C44" s="2" t="s">
        <v>152</v>
      </c>
      <c r="D44" s="2" t="s">
        <v>63</v>
      </c>
      <c r="E44" s="2" t="s">
        <v>64</v>
      </c>
      <c r="F44" s="5">
        <v>85.703999999999994</v>
      </c>
      <c r="G44" s="5">
        <v>82.975999999999999</v>
      </c>
      <c r="H44" s="5">
        <v>-2.727999999999994</v>
      </c>
      <c r="I44" s="5">
        <f>IFERROR(INDEX(Baseline_Entry!$P:$P,MATCH($B44,Baseline_Entry!$B:$B,0)),"")</f>
        <v>89.800000000000011</v>
      </c>
      <c r="J44" s="2" t="str">
        <f t="shared" si="0"/>
        <v>Yes</v>
      </c>
      <c r="K44" s="2" t="str">
        <f t="shared" si="1"/>
        <v>High starter</v>
      </c>
      <c r="L44" s="2" t="s">
        <v>65</v>
      </c>
      <c r="M44" s="2" t="s">
        <v>65</v>
      </c>
      <c r="N44" s="2">
        <v>0</v>
      </c>
      <c r="O44" s="2" t="str">
        <f>IFERROR(INDEX(University_Exit!$D:$D,MATCH($B44,University_Exit!$B:$B,0)),"")</f>
        <v>Newcastle University</v>
      </c>
      <c r="P44" s="2" t="str">
        <f>IFERROR(INDEX(University_Exit!$F:$F,MATCH($B44,University_Exit!$B:$B,0)),"")</f>
        <v>Cyber Security</v>
      </c>
      <c r="Q44" s="2" t="str">
        <f>IFERROR(INDEX(University_Exit!$L:$L,MATCH($B44,University_Exit!$B:$B,0)),"")</f>
        <v>No</v>
      </c>
      <c r="R44" s="2" t="str">
        <f t="shared" si="2"/>
        <v>Yes</v>
      </c>
      <c r="S44" s="5">
        <f>IFERROR(INDEX(University_Exit!$H:$H,MATCH($B44,University_Exit!$B:$B,0)),"")</f>
        <v>81.900000000000006</v>
      </c>
      <c r="T44" s="6">
        <f>IFERROR(INDEX(University_Exit!$K:$K,MATCH($B44,University_Exit!$B:$B,0)),"")</f>
        <v>1070</v>
      </c>
      <c r="U44" s="2" t="str">
        <f>IFERROR(INDEX(University_Exit!$G:$G,MATCH($B44,University_Exit!$B:$B,0)),"")</f>
        <v>Ministry of Education</v>
      </c>
    </row>
    <row r="45" spans="1:21" x14ac:dyDescent="0.3">
      <c r="A45" s="2" t="s">
        <v>60</v>
      </c>
      <c r="B45" s="2" t="s">
        <v>153</v>
      </c>
      <c r="C45" s="2" t="s">
        <v>154</v>
      </c>
      <c r="D45" s="2" t="s">
        <v>63</v>
      </c>
      <c r="E45" s="2" t="s">
        <v>64</v>
      </c>
      <c r="F45" s="5">
        <v>80.464000000000013</v>
      </c>
      <c r="G45" s="5">
        <v>86.376000000000005</v>
      </c>
      <c r="H45" s="5">
        <v>5.9119999999999919</v>
      </c>
      <c r="I45" s="5">
        <f>IFERROR(INDEX(Baseline_Entry!$P:$P,MATCH($B45,Baseline_Entry!$B:$B,0)),"")</f>
        <v>59.6</v>
      </c>
      <c r="J45" s="2" t="str">
        <f t="shared" si="0"/>
        <v>Yes</v>
      </c>
      <c r="K45" s="2" t="str">
        <f t="shared" si="1"/>
        <v>Low starter</v>
      </c>
      <c r="L45" s="2" t="s">
        <v>65</v>
      </c>
      <c r="M45" s="2" t="s">
        <v>65</v>
      </c>
      <c r="N45" s="2">
        <v>0</v>
      </c>
      <c r="O45" s="2" t="str">
        <f>IFERROR(INDEX(University_Exit!$D:$D,MATCH($B45,University_Exit!$B:$B,0)),"")</f>
        <v>Texas A&amp;M University Qatar</v>
      </c>
      <c r="P45" s="2" t="str">
        <f>IFERROR(INDEX(University_Exit!$F:$F,MATCH($B45,University_Exit!$B:$B,0)),"")</f>
        <v>Petrolium Engineering</v>
      </c>
      <c r="Q45" s="2" t="str">
        <f>IFERROR(INDEX(University_Exit!$L:$L,MATCH($B45,University_Exit!$B:$B,0)),"")</f>
        <v>Yes</v>
      </c>
      <c r="R45" s="2" t="str">
        <f t="shared" si="2"/>
        <v>Yes</v>
      </c>
      <c r="S45" s="5">
        <f>IFERROR(INDEX(University_Exit!$H:$H,MATCH($B45,University_Exit!$B:$B,0)),"")</f>
        <v>85.9</v>
      </c>
      <c r="T45" s="6">
        <f>IFERROR(INDEX(University_Exit!$K:$K,MATCH($B45,University_Exit!$B:$B,0)),"")</f>
        <v>990</v>
      </c>
      <c r="U45" s="2" t="str">
        <f>IFERROR(INDEX(University_Exit!$G:$G,MATCH($B45,University_Exit!$B:$B,0)),"")</f>
        <v>Qatar Energy</v>
      </c>
    </row>
    <row r="46" spans="1:21" x14ac:dyDescent="0.3">
      <c r="A46" s="2" t="s">
        <v>60</v>
      </c>
      <c r="B46" s="2" t="s">
        <v>155</v>
      </c>
      <c r="C46" s="2" t="s">
        <v>156</v>
      </c>
      <c r="D46" s="2" t="s">
        <v>63</v>
      </c>
      <c r="E46" s="2" t="s">
        <v>64</v>
      </c>
      <c r="F46" s="5">
        <v>90.483999999999995</v>
      </c>
      <c r="G46" s="5">
        <v>88.551999999999992</v>
      </c>
      <c r="H46" s="5">
        <v>-1.9320000000000019</v>
      </c>
      <c r="I46" s="5">
        <f>IFERROR(INDEX(Baseline_Entry!$P:$P,MATCH($B46,Baseline_Entry!$B:$B,0)),"")</f>
        <v>78.599999999999994</v>
      </c>
      <c r="J46" s="2" t="str">
        <f t="shared" si="0"/>
        <v>Yes</v>
      </c>
      <c r="K46" s="2" t="str">
        <f t="shared" si="1"/>
        <v>Middle starter</v>
      </c>
      <c r="L46" s="2" t="s">
        <v>66</v>
      </c>
      <c r="M46" s="2" t="s">
        <v>65</v>
      </c>
      <c r="N46" s="2">
        <v>-1</v>
      </c>
      <c r="O46" s="2" t="str">
        <f>IFERROR(INDEX(University_Exit!$D:$D,MATCH($B46,University_Exit!$B:$B,0)),"")</f>
        <v>University of Liverpool</v>
      </c>
      <c r="P46" s="2" t="str">
        <f>IFERROR(INDEX(University_Exit!$F:$F,MATCH($B46,University_Exit!$B:$B,0)),"")</f>
        <v>CS/Electrical Engineering</v>
      </c>
      <c r="Q46" s="2" t="str">
        <f>IFERROR(INDEX(University_Exit!$L:$L,MATCH($B46,University_Exit!$B:$B,0)),"")</f>
        <v>Yes</v>
      </c>
      <c r="R46" s="2" t="str">
        <f t="shared" si="2"/>
        <v>Yes</v>
      </c>
      <c r="S46" s="5">
        <f>IFERROR(INDEX(University_Exit!$H:$H,MATCH($B46,University_Exit!$B:$B,0)),"")</f>
        <v>88.4</v>
      </c>
      <c r="T46" s="6">
        <f>IFERROR(INDEX(University_Exit!$K:$K,MATCH($B46,University_Exit!$B:$B,0)),"")</f>
        <v>1060</v>
      </c>
      <c r="U46" s="2" t="str">
        <f>IFERROR(INDEX(University_Exit!$G:$G,MATCH($B46,University_Exit!$B:$B,0)),"")</f>
        <v>وزارة الدفاع</v>
      </c>
    </row>
    <row r="47" spans="1:21" x14ac:dyDescent="0.3">
      <c r="A47" s="2" t="s">
        <v>60</v>
      </c>
      <c r="B47" s="2" t="s">
        <v>157</v>
      </c>
      <c r="C47" s="2" t="s">
        <v>158</v>
      </c>
      <c r="D47" s="2" t="s">
        <v>63</v>
      </c>
      <c r="E47" s="2" t="s">
        <v>64</v>
      </c>
      <c r="F47" s="5">
        <v>78.923999999999992</v>
      </c>
      <c r="G47" s="5">
        <v>92.9</v>
      </c>
      <c r="H47" s="5">
        <v>13.97600000000001</v>
      </c>
      <c r="I47" s="5">
        <f>IFERROR(INDEX(Baseline_Entry!$P:$P,MATCH($B47,Baseline_Entry!$B:$B,0)),"")</f>
        <v>69.400000000000006</v>
      </c>
      <c r="J47" s="2" t="str">
        <f t="shared" si="0"/>
        <v>Yes</v>
      </c>
      <c r="K47" s="2" t="str">
        <f t="shared" si="1"/>
        <v>Low starter</v>
      </c>
      <c r="L47" s="2" t="s">
        <v>99</v>
      </c>
      <c r="M47" s="2" t="s">
        <v>66</v>
      </c>
      <c r="N47" s="2">
        <v>2</v>
      </c>
      <c r="O47" s="2" t="str">
        <f>IFERROR(INDEX(University_Exit!$D:$D,MATCH($B47,University_Exit!$B:$B,0)),"")</f>
        <v>University of Liverpool</v>
      </c>
      <c r="P47" s="2" t="str">
        <f>IFERROR(INDEX(University_Exit!$F:$F,MATCH($B47,University_Exit!$B:$B,0)),"")</f>
        <v>Computer Science</v>
      </c>
      <c r="Q47" s="2" t="str">
        <f>IFERROR(INDEX(University_Exit!$L:$L,MATCH($B47,University_Exit!$B:$B,0)),"")</f>
        <v>Yes</v>
      </c>
      <c r="R47" s="2" t="str">
        <f t="shared" si="2"/>
        <v>Yes</v>
      </c>
      <c r="S47" s="5">
        <f>IFERROR(INDEX(University_Exit!$H:$H,MATCH($B47,University_Exit!$B:$B,0)),"")</f>
        <v>94.3</v>
      </c>
      <c r="T47" s="6">
        <f>IFERROR(INDEX(University_Exit!$K:$K,MATCH($B47,University_Exit!$B:$B,0)),"")</f>
        <v>830</v>
      </c>
      <c r="U47" s="2" t="str">
        <f>IFERROR(INDEX(University_Exit!$G:$G,MATCH($B47,University_Exit!$B:$B,0)),"")</f>
        <v>Ministry of Education</v>
      </c>
    </row>
    <row r="48" spans="1:21" x14ac:dyDescent="0.3">
      <c r="A48" s="2" t="s">
        <v>60</v>
      </c>
      <c r="B48" s="2" t="s">
        <v>159</v>
      </c>
      <c r="C48" s="2" t="s">
        <v>160</v>
      </c>
      <c r="D48" s="2" t="s">
        <v>63</v>
      </c>
      <c r="E48" s="2" t="s">
        <v>64</v>
      </c>
      <c r="F48" s="5">
        <v>83.075999999999993</v>
      </c>
      <c r="G48" s="5">
        <v>92.623999999999995</v>
      </c>
      <c r="H48" s="5">
        <v>9.5480000000000018</v>
      </c>
      <c r="I48" s="5">
        <f>IFERROR(INDEX(Baseline_Entry!$P:$P,MATCH($B48,Baseline_Entry!$B:$B,0)),"")</f>
        <v>71.8</v>
      </c>
      <c r="J48" s="2" t="str">
        <f t="shared" si="0"/>
        <v>Yes</v>
      </c>
      <c r="K48" s="2" t="str">
        <f t="shared" si="1"/>
        <v>Middle starter</v>
      </c>
      <c r="L48" s="2" t="s">
        <v>65</v>
      </c>
      <c r="M48" s="2" t="s">
        <v>66</v>
      </c>
      <c r="N48" s="2">
        <v>1</v>
      </c>
      <c r="O48" s="2" t="str">
        <f>IFERROR(INDEX(University_Exit!$D:$D,MATCH($B48,University_Exit!$B:$B,0)),"")</f>
        <v>University of Liverpool</v>
      </c>
      <c r="P48" s="2" t="str">
        <f>IFERROR(INDEX(University_Exit!$F:$F,MATCH($B48,University_Exit!$B:$B,0)),"")</f>
        <v>Electric and Electronic Engineering</v>
      </c>
      <c r="Q48" s="2" t="str">
        <f>IFERROR(INDEX(University_Exit!$L:$L,MATCH($B48,University_Exit!$B:$B,0)),"")</f>
        <v>Yes</v>
      </c>
      <c r="R48" s="2" t="str">
        <f t="shared" si="2"/>
        <v>Yes</v>
      </c>
      <c r="S48" s="5">
        <f>IFERROR(INDEX(University_Exit!$H:$H,MATCH($B48,University_Exit!$B:$B,0)),"")</f>
        <v>93.3</v>
      </c>
      <c r="T48" s="6">
        <f>IFERROR(INDEX(University_Exit!$K:$K,MATCH($B48,University_Exit!$B:$B,0)),"")</f>
        <v>910</v>
      </c>
      <c r="U48" s="2" t="str">
        <f>IFERROR(INDEX(University_Exit!$G:$G,MATCH($B48,University_Exit!$B:$B,0)),"")</f>
        <v>Qatar Energy</v>
      </c>
    </row>
    <row r="49" spans="1:21" x14ac:dyDescent="0.3">
      <c r="A49" s="2" t="s">
        <v>60</v>
      </c>
      <c r="B49" s="2" t="s">
        <v>161</v>
      </c>
      <c r="C49" s="2" t="s">
        <v>162</v>
      </c>
      <c r="D49" s="2" t="s">
        <v>63</v>
      </c>
      <c r="E49" s="2" t="s">
        <v>64</v>
      </c>
      <c r="F49" s="5">
        <v>78.195999999999998</v>
      </c>
      <c r="G49" s="5">
        <v>85.724000000000004</v>
      </c>
      <c r="H49" s="5">
        <v>7.5280000000000058</v>
      </c>
      <c r="I49" s="5">
        <f>IFERROR(INDEX(Baseline_Entry!$P:$P,MATCH($B49,Baseline_Entry!$B:$B,0)),"")</f>
        <v>69.8</v>
      </c>
      <c r="J49" s="2" t="str">
        <f t="shared" si="0"/>
        <v>Yes</v>
      </c>
      <c r="K49" s="2" t="str">
        <f t="shared" si="1"/>
        <v>Low starter</v>
      </c>
      <c r="L49" s="2" t="s">
        <v>99</v>
      </c>
      <c r="M49" s="2" t="s">
        <v>65</v>
      </c>
      <c r="N49" s="2">
        <v>1</v>
      </c>
      <c r="O49" s="2" t="str">
        <f>IFERROR(INDEX(University_Exit!$D:$D,MATCH($B49,University_Exit!$B:$B,0)),"")</f>
        <v>Qatar University</v>
      </c>
      <c r="P49" s="2" t="str">
        <f>IFERROR(INDEX(University_Exit!$F:$F,MATCH($B49,University_Exit!$B:$B,0)),"")</f>
        <v>Enviromental Studies</v>
      </c>
      <c r="Q49" s="2" t="str">
        <f>IFERROR(INDEX(University_Exit!$L:$L,MATCH($B49,University_Exit!$B:$B,0)),"")</f>
        <v>No</v>
      </c>
      <c r="R49" s="2" t="str">
        <f t="shared" si="2"/>
        <v>Yes</v>
      </c>
      <c r="S49" s="5">
        <f>IFERROR(INDEX(University_Exit!$H:$H,MATCH($B49,University_Exit!$B:$B,0)),"")</f>
        <v>83.1</v>
      </c>
      <c r="T49" s="6">
        <f>IFERROR(INDEX(University_Exit!$K:$K,MATCH($B49,University_Exit!$B:$B,0)),"")</f>
        <v>810</v>
      </c>
      <c r="U49" s="2" t="str">
        <f>IFERROR(INDEX(University_Exit!$G:$G,MATCH($B49,University_Exit!$B:$B,0)),"")</f>
        <v>خاص/ مجاني</v>
      </c>
    </row>
    <row r="50" spans="1:21" x14ac:dyDescent="0.3">
      <c r="A50" s="2" t="s">
        <v>60</v>
      </c>
      <c r="B50" s="2" t="s">
        <v>163</v>
      </c>
      <c r="C50" s="2" t="s">
        <v>164</v>
      </c>
      <c r="D50" s="2" t="s">
        <v>63</v>
      </c>
      <c r="E50" s="2" t="s">
        <v>64</v>
      </c>
      <c r="F50" s="5">
        <v>72.768000000000001</v>
      </c>
      <c r="G50" s="5">
        <v>88.524000000000001</v>
      </c>
      <c r="H50" s="5">
        <v>15.756</v>
      </c>
      <c r="I50" s="5">
        <f>IFERROR(INDEX(Baseline_Entry!$P:$P,MATCH($B50,Baseline_Entry!$B:$B,0)),"")</f>
        <v>60.2</v>
      </c>
      <c r="J50" s="2" t="str">
        <f t="shared" si="0"/>
        <v>Yes</v>
      </c>
      <c r="K50" s="2" t="str">
        <f t="shared" si="1"/>
        <v>Low starter</v>
      </c>
      <c r="L50" s="2" t="s">
        <v>99</v>
      </c>
      <c r="M50" s="2" t="s">
        <v>65</v>
      </c>
      <c r="N50" s="2">
        <v>1</v>
      </c>
      <c r="O50" s="2" t="str">
        <f>IFERROR(INDEX(University_Exit!$D:$D,MATCH($B50,University_Exit!$B:$B,0)),"")</f>
        <v>University of Central Lancashire</v>
      </c>
      <c r="P50" s="2" t="str">
        <f>IFERROR(INDEX(University_Exit!$F:$F,MATCH($B50,University_Exit!$B:$B,0)),"")</f>
        <v>Fire &amp; safety Engineering</v>
      </c>
      <c r="Q50" s="2" t="str">
        <f>IFERROR(INDEX(University_Exit!$L:$L,MATCH($B50,University_Exit!$B:$B,0)),"")</f>
        <v>Yes</v>
      </c>
      <c r="R50" s="2" t="str">
        <f t="shared" si="2"/>
        <v>Yes</v>
      </c>
      <c r="S50" s="5">
        <f>IFERROR(INDEX(University_Exit!$H:$H,MATCH($B50,University_Exit!$B:$B,0)),"")</f>
        <v>90.6</v>
      </c>
      <c r="T50" s="6">
        <f>IFERROR(INDEX(University_Exit!$K:$K,MATCH($B50,University_Exit!$B:$B,0)),"")</f>
        <v>880</v>
      </c>
      <c r="U50" s="2" t="str">
        <f>IFERROR(INDEX(University_Exit!$G:$G,MATCH($B50,University_Exit!$B:$B,0)),"")</f>
        <v>Qatar Energy</v>
      </c>
    </row>
    <row r="51" spans="1:21" x14ac:dyDescent="0.3">
      <c r="A51" s="2" t="s">
        <v>60</v>
      </c>
      <c r="B51" s="2" t="s">
        <v>165</v>
      </c>
      <c r="C51" s="2" t="s">
        <v>166</v>
      </c>
      <c r="D51" s="2" t="s">
        <v>63</v>
      </c>
      <c r="E51" s="2" t="s">
        <v>64</v>
      </c>
      <c r="F51" s="5">
        <v>78.784000000000006</v>
      </c>
      <c r="G51" s="5">
        <v>92.451999999999998</v>
      </c>
      <c r="H51" s="5">
        <v>13.66799999999999</v>
      </c>
      <c r="I51" s="5">
        <f>IFERROR(INDEX(Baseline_Entry!$P:$P,MATCH($B51,Baseline_Entry!$B:$B,0)),"")</f>
        <v>75.8</v>
      </c>
      <c r="J51" s="2" t="str">
        <f t="shared" si="0"/>
        <v>Yes</v>
      </c>
      <c r="K51" s="2" t="str">
        <f t="shared" si="1"/>
        <v>Middle starter</v>
      </c>
      <c r="L51" s="2" t="s">
        <v>99</v>
      </c>
      <c r="M51" s="2" t="s">
        <v>66</v>
      </c>
      <c r="N51" s="2">
        <v>2</v>
      </c>
      <c r="O51" s="2" t="str">
        <f>IFERROR(INDEX(University_Exit!$D:$D,MATCH($B51,University_Exit!$B:$B,0)),"")</f>
        <v>Qatar University</v>
      </c>
      <c r="P51" s="2" t="str">
        <f>IFERROR(INDEX(University_Exit!$F:$F,MATCH($B51,University_Exit!$B:$B,0)),"")</f>
        <v>Medicine</v>
      </c>
      <c r="Q51" s="2" t="str">
        <f>IFERROR(INDEX(University_Exit!$L:$L,MATCH($B51,University_Exit!$B:$B,0)),"")</f>
        <v>Yes</v>
      </c>
      <c r="R51" s="2" t="str">
        <f t="shared" si="2"/>
        <v>Yes</v>
      </c>
      <c r="S51" s="5">
        <f>IFERROR(INDEX(University_Exit!$H:$H,MATCH($B51,University_Exit!$B:$B,0)),"")</f>
        <v>93.9</v>
      </c>
      <c r="T51" s="6">
        <f>IFERROR(INDEX(University_Exit!$K:$K,MATCH($B51,University_Exit!$B:$B,0)),"")</f>
        <v>950</v>
      </c>
      <c r="U51" s="2" t="str">
        <f>IFERROR(INDEX(University_Exit!$G:$G,MATCH($B51,University_Exit!$B:$B,0)),"")</f>
        <v>Ministry of Education</v>
      </c>
    </row>
    <row r="52" spans="1:21" x14ac:dyDescent="0.3">
      <c r="A52" s="2" t="s">
        <v>60</v>
      </c>
      <c r="B52" s="2" t="s">
        <v>167</v>
      </c>
      <c r="C52" s="2" t="s">
        <v>168</v>
      </c>
      <c r="D52" s="2" t="s">
        <v>63</v>
      </c>
      <c r="E52" s="2" t="s">
        <v>64</v>
      </c>
      <c r="F52" s="5">
        <v>77.256</v>
      </c>
      <c r="G52" s="5">
        <v>89.852000000000004</v>
      </c>
      <c r="H52" s="5">
        <v>12.596</v>
      </c>
      <c r="I52" s="5">
        <f>IFERROR(INDEX(Baseline_Entry!$P:$P,MATCH($B52,Baseline_Entry!$B:$B,0)),"")</f>
        <v>65.400000000000006</v>
      </c>
      <c r="J52" s="2" t="str">
        <f t="shared" si="0"/>
        <v>Yes</v>
      </c>
      <c r="K52" s="2" t="str">
        <f t="shared" si="1"/>
        <v>Low starter</v>
      </c>
      <c r="L52" s="2" t="s">
        <v>99</v>
      </c>
      <c r="M52" s="2" t="s">
        <v>65</v>
      </c>
      <c r="N52" s="2">
        <v>1</v>
      </c>
      <c r="O52" s="2" t="str">
        <f>IFERROR(INDEX(University_Exit!$D:$D,MATCH($B52,University_Exit!$B:$B,0)),"")</f>
        <v>الكلية البحرية العسكرية في بولندا</v>
      </c>
      <c r="P52" s="2" t="str">
        <f>IFERROR(INDEX(University_Exit!$F:$F,MATCH($B52,University_Exit!$B:$B,0)),"")</f>
        <v>Marine engineering</v>
      </c>
      <c r="Q52" s="2" t="str">
        <f>IFERROR(INDEX(University_Exit!$L:$L,MATCH($B52,University_Exit!$B:$B,0)),"")</f>
        <v>Yes</v>
      </c>
      <c r="R52" s="2" t="str">
        <f t="shared" si="2"/>
        <v>Yes</v>
      </c>
      <c r="S52" s="5">
        <f>IFERROR(INDEX(University_Exit!$H:$H,MATCH($B52,University_Exit!$B:$B,0)),"")</f>
        <v>90.6</v>
      </c>
      <c r="T52" s="6">
        <f>IFERROR(INDEX(University_Exit!$K:$K,MATCH($B52,University_Exit!$B:$B,0)),"")</f>
        <v>930</v>
      </c>
      <c r="U52" s="2" t="str">
        <f>IFERROR(INDEX(University_Exit!$G:$G,MATCH($B52,University_Exit!$B:$B,0)),"")</f>
        <v>وزارة الداخلية</v>
      </c>
    </row>
    <row r="53" spans="1:21" x14ac:dyDescent="0.3">
      <c r="A53" s="2" t="s">
        <v>60</v>
      </c>
      <c r="B53" s="2" t="s">
        <v>169</v>
      </c>
      <c r="C53" s="2" t="s">
        <v>170</v>
      </c>
      <c r="D53" s="2" t="s">
        <v>63</v>
      </c>
      <c r="E53" s="2" t="s">
        <v>64</v>
      </c>
      <c r="F53" s="5">
        <v>83.472000000000008</v>
      </c>
      <c r="G53" s="5">
        <v>94.024000000000001</v>
      </c>
      <c r="H53" s="5">
        <v>10.551999999999991</v>
      </c>
      <c r="I53" s="5">
        <f>IFERROR(INDEX(Baseline_Entry!$P:$P,MATCH($B53,Baseline_Entry!$B:$B,0)),"")</f>
        <v>66</v>
      </c>
      <c r="J53" s="2" t="str">
        <f t="shared" si="0"/>
        <v>Yes</v>
      </c>
      <c r="K53" s="2" t="str">
        <f t="shared" si="1"/>
        <v>Low starter</v>
      </c>
      <c r="L53" s="2" t="s">
        <v>65</v>
      </c>
      <c r="M53" s="2" t="s">
        <v>66</v>
      </c>
      <c r="N53" s="2">
        <v>1</v>
      </c>
      <c r="O53" s="2" t="str">
        <f>IFERROR(INDEX(University_Exit!$D:$D,MATCH($B53,University_Exit!$B:$B,0)),"")</f>
        <v>Newcastle University</v>
      </c>
      <c r="P53" s="2" t="str">
        <f>IFERROR(INDEX(University_Exit!$F:$F,MATCH($B53,University_Exit!$B:$B,0)),"")</f>
        <v>Marine engineering</v>
      </c>
      <c r="Q53" s="2" t="str">
        <f>IFERROR(INDEX(University_Exit!$L:$L,MATCH($B53,University_Exit!$B:$B,0)),"")</f>
        <v>Yes</v>
      </c>
      <c r="R53" s="2" t="str">
        <f t="shared" si="2"/>
        <v>Yes</v>
      </c>
      <c r="S53" s="5">
        <f>IFERROR(INDEX(University_Exit!$H:$H,MATCH($B53,University_Exit!$B:$B,0)),"")</f>
        <v>95.6</v>
      </c>
      <c r="T53" s="6">
        <f>IFERROR(INDEX(University_Exit!$K:$K,MATCH($B53,University_Exit!$B:$B,0)),"")</f>
        <v>830</v>
      </c>
      <c r="U53" s="2" t="str">
        <f>IFERROR(INDEX(University_Exit!$G:$G,MATCH($B53,University_Exit!$B:$B,0)),"")</f>
        <v>Qatar Energy</v>
      </c>
    </row>
    <row r="54" spans="1:21" x14ac:dyDescent="0.3">
      <c r="A54" s="2" t="s">
        <v>60</v>
      </c>
      <c r="B54" s="2" t="s">
        <v>171</v>
      </c>
      <c r="C54" s="2" t="s">
        <v>172</v>
      </c>
      <c r="D54" s="2" t="s">
        <v>63</v>
      </c>
      <c r="E54" s="2" t="s">
        <v>64</v>
      </c>
      <c r="F54" s="5">
        <v>79.143999999999991</v>
      </c>
      <c r="G54" s="5">
        <v>88.3</v>
      </c>
      <c r="H54" s="5">
        <v>9.1560000000000059</v>
      </c>
      <c r="I54" s="5">
        <f>IFERROR(INDEX(Baseline_Entry!$P:$P,MATCH($B54,Baseline_Entry!$B:$B,0)),"")</f>
        <v>69.599999999999994</v>
      </c>
      <c r="J54" s="2" t="str">
        <f t="shared" si="0"/>
        <v>Yes</v>
      </c>
      <c r="K54" s="2" t="str">
        <f t="shared" si="1"/>
        <v>Low starter</v>
      </c>
      <c r="L54" s="2" t="s">
        <v>99</v>
      </c>
      <c r="M54" s="2" t="s">
        <v>65</v>
      </c>
      <c r="N54" s="2">
        <v>1</v>
      </c>
      <c r="O54" s="2" t="str">
        <f>IFERROR(INDEX(University_Exit!$D:$D,MATCH($B54,University_Exit!$B:$B,0)),"")</f>
        <v>Texas A&amp;M University Qatar</v>
      </c>
      <c r="P54" s="2" t="str">
        <f>IFERROR(INDEX(University_Exit!$F:$F,MATCH($B54,University_Exit!$B:$B,0)),"")</f>
        <v>Mechanical engineering</v>
      </c>
      <c r="Q54" s="2" t="str">
        <f>IFERROR(INDEX(University_Exit!$L:$L,MATCH($B54,University_Exit!$B:$B,0)),"")</f>
        <v>Yes</v>
      </c>
      <c r="R54" s="2" t="str">
        <f t="shared" si="2"/>
        <v>Yes</v>
      </c>
      <c r="S54" s="5">
        <f>IFERROR(INDEX(University_Exit!$H:$H,MATCH($B54,University_Exit!$B:$B,0)),"")</f>
        <v>90.5</v>
      </c>
      <c r="T54" s="6">
        <f>IFERROR(INDEX(University_Exit!$K:$K,MATCH($B54,University_Exit!$B:$B,0)),"")</f>
        <v>980</v>
      </c>
      <c r="U54" s="2" t="str">
        <f>IFERROR(INDEX(University_Exit!$G:$G,MATCH($B54,University_Exit!$B:$B,0)),"")</f>
        <v>Ministry of Education</v>
      </c>
    </row>
    <row r="55" spans="1:21" x14ac:dyDescent="0.3">
      <c r="A55" s="2" t="s">
        <v>60</v>
      </c>
      <c r="B55" s="2" t="s">
        <v>173</v>
      </c>
      <c r="C55" s="2" t="s">
        <v>174</v>
      </c>
      <c r="D55" s="2" t="s">
        <v>63</v>
      </c>
      <c r="E55" s="2" t="s">
        <v>64</v>
      </c>
      <c r="F55" s="5">
        <v>86.983999999999995</v>
      </c>
      <c r="G55" s="5">
        <v>98.551999999999992</v>
      </c>
      <c r="H55" s="5">
        <v>11.568</v>
      </c>
      <c r="I55" s="5">
        <f>IFERROR(INDEX(Baseline_Entry!$P:$P,MATCH($B55,Baseline_Entry!$B:$B,0)),"")</f>
        <v>81.2</v>
      </c>
      <c r="J55" s="2" t="str">
        <f t="shared" si="0"/>
        <v>Yes</v>
      </c>
      <c r="K55" s="2" t="str">
        <f t="shared" si="1"/>
        <v>Middle starter</v>
      </c>
      <c r="L55" s="2" t="s">
        <v>65</v>
      </c>
      <c r="M55" s="2" t="s">
        <v>66</v>
      </c>
      <c r="N55" s="2">
        <v>1</v>
      </c>
      <c r="O55" s="2" t="str">
        <f>IFERROR(INDEX(University_Exit!$D:$D,MATCH($B55,University_Exit!$B:$B,0)),"")</f>
        <v>Qatar University</v>
      </c>
      <c r="P55" s="2" t="str">
        <f>IFERROR(INDEX(University_Exit!$F:$F,MATCH($B55,University_Exit!$B:$B,0)),"")</f>
        <v>Medicine</v>
      </c>
      <c r="Q55" s="2" t="str">
        <f>IFERROR(INDEX(University_Exit!$L:$L,MATCH($B55,University_Exit!$B:$B,0)),"")</f>
        <v>Yes</v>
      </c>
      <c r="R55" s="2" t="str">
        <f t="shared" si="2"/>
        <v>Yes</v>
      </c>
      <c r="S55" s="5">
        <f>IFERROR(INDEX(University_Exit!$H:$H,MATCH($B55,University_Exit!$B:$B,0)),"")</f>
        <v>99.4</v>
      </c>
      <c r="T55" s="6">
        <f>IFERROR(INDEX(University_Exit!$K:$K,MATCH($B55,University_Exit!$B:$B,0)),"")</f>
        <v>980</v>
      </c>
      <c r="U55" s="2" t="str">
        <f>IFERROR(INDEX(University_Exit!$G:$G,MATCH($B55,University_Exit!$B:$B,0)),"")</f>
        <v>Ministry of Education</v>
      </c>
    </row>
    <row r="56" spans="1:21" x14ac:dyDescent="0.3">
      <c r="A56" s="2" t="s">
        <v>60</v>
      </c>
      <c r="B56" s="2" t="s">
        <v>175</v>
      </c>
      <c r="C56" s="2" t="s">
        <v>176</v>
      </c>
      <c r="D56" s="2" t="s">
        <v>63</v>
      </c>
      <c r="E56" s="2" t="s">
        <v>64</v>
      </c>
      <c r="F56" s="5">
        <v>97.092000000000013</v>
      </c>
      <c r="G56" s="5">
        <v>86.724000000000004</v>
      </c>
      <c r="H56" s="5">
        <v>-10.368000000000009</v>
      </c>
      <c r="I56" s="5">
        <f>IFERROR(INDEX(Baseline_Entry!$P:$P,MATCH($B56,Baseline_Entry!$B:$B,0)),"")</f>
        <v>91.199999999999989</v>
      </c>
      <c r="J56" s="2" t="str">
        <f t="shared" si="0"/>
        <v>Yes</v>
      </c>
      <c r="K56" s="2" t="str">
        <f t="shared" si="1"/>
        <v>High starter</v>
      </c>
      <c r="L56" s="2" t="s">
        <v>66</v>
      </c>
      <c r="M56" s="2" t="s">
        <v>65</v>
      </c>
      <c r="N56" s="2">
        <v>-1</v>
      </c>
      <c r="O56" s="2" t="str">
        <f>IFERROR(INDEX(University_Exit!$D:$D,MATCH($B56,University_Exit!$B:$B,0)),"")</f>
        <v>Aston University</v>
      </c>
      <c r="P56" s="2" t="str">
        <f>IFERROR(INDEX(University_Exit!$F:$F,MATCH($B56,University_Exit!$B:$B,0)),"")</f>
        <v>Chemical engineering</v>
      </c>
      <c r="Q56" s="2" t="str">
        <f>IFERROR(INDEX(University_Exit!$L:$L,MATCH($B56,University_Exit!$B:$B,0)),"")</f>
        <v>Yes</v>
      </c>
      <c r="R56" s="2" t="str">
        <f t="shared" si="2"/>
        <v>Yes</v>
      </c>
      <c r="S56" s="5">
        <f>IFERROR(INDEX(University_Exit!$H:$H,MATCH($B56,University_Exit!$B:$B,0)),"")</f>
        <v>88.3</v>
      </c>
      <c r="T56" s="6">
        <f>IFERROR(INDEX(University_Exit!$K:$K,MATCH($B56,University_Exit!$B:$B,0)),"")</f>
        <v>1200</v>
      </c>
      <c r="U56" s="2" t="str">
        <f>IFERROR(INDEX(University_Exit!$G:$G,MATCH($B56,University_Exit!$B:$B,0)),"")</f>
        <v>Qatar Energy</v>
      </c>
    </row>
    <row r="57" spans="1:21" x14ac:dyDescent="0.3">
      <c r="A57" s="2" t="s">
        <v>60</v>
      </c>
      <c r="B57" s="2" t="s">
        <v>177</v>
      </c>
      <c r="C57" s="2" t="s">
        <v>178</v>
      </c>
      <c r="D57" s="2" t="s">
        <v>63</v>
      </c>
      <c r="E57" s="2" t="s">
        <v>64</v>
      </c>
      <c r="F57" s="5">
        <v>80.84</v>
      </c>
      <c r="G57" s="5">
        <v>88.176000000000002</v>
      </c>
      <c r="H57" s="5">
        <v>7.3359999999999994</v>
      </c>
      <c r="I57" s="5">
        <f>IFERROR(INDEX(Baseline_Entry!$P:$P,MATCH($B57,Baseline_Entry!$B:$B,0)),"")</f>
        <v>64.599999999999994</v>
      </c>
      <c r="J57" s="2" t="str">
        <f t="shared" si="0"/>
        <v>Yes</v>
      </c>
      <c r="K57" s="2" t="str">
        <f t="shared" si="1"/>
        <v>Low starter</v>
      </c>
      <c r="L57" s="2" t="s">
        <v>65</v>
      </c>
      <c r="M57" s="2" t="s">
        <v>65</v>
      </c>
      <c r="N57" s="2">
        <v>0</v>
      </c>
      <c r="O57" s="2" t="str">
        <f>IFERROR(INDEX(University_Exit!$D:$D,MATCH($B57,University_Exit!$B:$B,0)),"")</f>
        <v>Qatar University</v>
      </c>
      <c r="P57" s="2" t="str">
        <f>IFERROR(INDEX(University_Exit!$F:$F,MATCH($B57,University_Exit!$B:$B,0)),"")</f>
        <v>Medicine</v>
      </c>
      <c r="Q57" s="2" t="str">
        <f>IFERROR(INDEX(University_Exit!$L:$L,MATCH($B57,University_Exit!$B:$B,0)),"")</f>
        <v>Yes</v>
      </c>
      <c r="R57" s="2" t="str">
        <f t="shared" si="2"/>
        <v>Yes</v>
      </c>
      <c r="S57" s="5">
        <f>IFERROR(INDEX(University_Exit!$H:$H,MATCH($B57,University_Exit!$B:$B,0)),"")</f>
        <v>90.4</v>
      </c>
      <c r="T57" s="6">
        <f>IFERROR(INDEX(University_Exit!$K:$K,MATCH($B57,University_Exit!$B:$B,0)),"")</f>
        <v>900</v>
      </c>
      <c r="U57" s="2" t="str">
        <f>IFERROR(INDEX(University_Exit!$G:$G,MATCH($B57,University_Exit!$B:$B,0)),"")</f>
        <v>Ministry of Education</v>
      </c>
    </row>
    <row r="58" spans="1:21" x14ac:dyDescent="0.3">
      <c r="A58" s="2" t="s">
        <v>60</v>
      </c>
      <c r="B58" s="2" t="s">
        <v>179</v>
      </c>
      <c r="C58" s="2" t="s">
        <v>180</v>
      </c>
      <c r="D58" s="2" t="s">
        <v>63</v>
      </c>
      <c r="E58" s="2" t="s">
        <v>64</v>
      </c>
      <c r="F58" s="5">
        <v>90.66</v>
      </c>
      <c r="G58" s="5">
        <v>93.8</v>
      </c>
      <c r="H58" s="5">
        <v>3.140000000000001</v>
      </c>
      <c r="I58" s="5">
        <f>IFERROR(INDEX(Baseline_Entry!$P:$P,MATCH($B58,Baseline_Entry!$B:$B,0)),"")</f>
        <v>79.400000000000006</v>
      </c>
      <c r="J58" s="2" t="str">
        <f t="shared" si="0"/>
        <v>Yes</v>
      </c>
      <c r="K58" s="2" t="str">
        <f t="shared" si="1"/>
        <v>Middle starter</v>
      </c>
      <c r="L58" s="2" t="s">
        <v>66</v>
      </c>
      <c r="M58" s="2" t="s">
        <v>66</v>
      </c>
      <c r="N58" s="2">
        <v>0</v>
      </c>
      <c r="O58" s="2" t="str">
        <f>IFERROR(INDEX(University_Exit!$D:$D,MATCH($B58,University_Exit!$B:$B,0)),"")</f>
        <v>University of Liverpool</v>
      </c>
      <c r="P58" s="2" t="str">
        <f>IFERROR(INDEX(University_Exit!$F:$F,MATCH($B58,University_Exit!$B:$B,0)),"")</f>
        <v>Electrical Engineering</v>
      </c>
      <c r="Q58" s="2" t="str">
        <f>IFERROR(INDEX(University_Exit!$L:$L,MATCH($B58,University_Exit!$B:$B,0)),"")</f>
        <v>Yes</v>
      </c>
      <c r="R58" s="2" t="str">
        <f t="shared" si="2"/>
        <v>Yes</v>
      </c>
      <c r="S58" s="5">
        <f>IFERROR(INDEX(University_Exit!$H:$H,MATCH($B58,University_Exit!$B:$B,0)),"")</f>
        <v>96.8</v>
      </c>
      <c r="T58" s="6">
        <f>IFERROR(INDEX(University_Exit!$K:$K,MATCH($B58,University_Exit!$B:$B,0)),"")</f>
        <v>1080</v>
      </c>
      <c r="U58" s="2" t="str">
        <f>IFERROR(INDEX(University_Exit!$G:$G,MATCH($B58,University_Exit!$B:$B,0)),"")</f>
        <v>Qatar Energy</v>
      </c>
    </row>
    <row r="59" spans="1:21" x14ac:dyDescent="0.3">
      <c r="A59" s="2" t="s">
        <v>60</v>
      </c>
      <c r="B59" s="2" t="s">
        <v>181</v>
      </c>
      <c r="C59" s="2" t="s">
        <v>182</v>
      </c>
      <c r="D59" s="2" t="s">
        <v>63</v>
      </c>
      <c r="E59" s="2" t="s">
        <v>64</v>
      </c>
      <c r="F59" s="5">
        <v>86.460000000000008</v>
      </c>
      <c r="G59" s="5">
        <v>94.1</v>
      </c>
      <c r="H59" s="5">
        <v>7.6399999999999864</v>
      </c>
      <c r="I59" s="5">
        <f>IFERROR(INDEX(Baseline_Entry!$P:$P,MATCH($B59,Baseline_Entry!$B:$B,0)),"")</f>
        <v>73.400000000000006</v>
      </c>
      <c r="J59" s="2" t="str">
        <f t="shared" si="0"/>
        <v>Yes</v>
      </c>
      <c r="K59" s="2" t="str">
        <f t="shared" si="1"/>
        <v>Middle starter</v>
      </c>
      <c r="L59" s="2" t="s">
        <v>65</v>
      </c>
      <c r="M59" s="2" t="s">
        <v>66</v>
      </c>
      <c r="N59" s="2">
        <v>1</v>
      </c>
      <c r="O59" s="2" t="str">
        <f>IFERROR(INDEX(University_Exit!$D:$D,MATCH($B59,University_Exit!$B:$B,0)),"")</f>
        <v>Qatar University</v>
      </c>
      <c r="P59" s="2" t="str">
        <f>IFERROR(INDEX(University_Exit!$F:$F,MATCH($B59,University_Exit!$B:$B,0)),"")</f>
        <v>Medicine</v>
      </c>
      <c r="Q59" s="2" t="str">
        <f>IFERROR(INDEX(University_Exit!$L:$L,MATCH($B59,University_Exit!$B:$B,0)),"")</f>
        <v>Yes</v>
      </c>
      <c r="R59" s="2" t="str">
        <f t="shared" si="2"/>
        <v>Yes</v>
      </c>
      <c r="S59" s="5">
        <f>IFERROR(INDEX(University_Exit!$H:$H,MATCH($B59,University_Exit!$B:$B,0)),"")</f>
        <v>96.5</v>
      </c>
      <c r="T59" s="6">
        <f>IFERROR(INDEX(University_Exit!$K:$K,MATCH($B59,University_Exit!$B:$B,0)),"")</f>
        <v>990</v>
      </c>
      <c r="U59" s="2" t="str">
        <f>IFERROR(INDEX(University_Exit!$G:$G,MATCH($B59,University_Exit!$B:$B,0)),"")</f>
        <v>Ministry of Education</v>
      </c>
    </row>
    <row r="60" spans="1:21" x14ac:dyDescent="0.3">
      <c r="A60" s="2" t="s">
        <v>60</v>
      </c>
      <c r="B60" s="2" t="s">
        <v>183</v>
      </c>
      <c r="C60" s="2" t="s">
        <v>184</v>
      </c>
      <c r="D60" s="2" t="s">
        <v>63</v>
      </c>
      <c r="E60" s="2" t="s">
        <v>64</v>
      </c>
      <c r="F60" s="5">
        <v>89.248000000000005</v>
      </c>
      <c r="G60" s="5">
        <v>82.8</v>
      </c>
      <c r="H60" s="5">
        <v>-6.4480000000000084</v>
      </c>
      <c r="I60" s="5">
        <f>IFERROR(INDEX(Baseline_Entry!$P:$P,MATCH($B60,Baseline_Entry!$B:$B,0)),"")</f>
        <v>82</v>
      </c>
      <c r="J60" s="2" t="str">
        <f t="shared" si="0"/>
        <v>Yes</v>
      </c>
      <c r="K60" s="2" t="str">
        <f t="shared" si="1"/>
        <v>Middle starter</v>
      </c>
      <c r="L60" s="2" t="s">
        <v>65</v>
      </c>
      <c r="M60" s="2" t="s">
        <v>65</v>
      </c>
      <c r="N60" s="2">
        <v>0</v>
      </c>
      <c r="O60" s="2" t="str">
        <f>IFERROR(INDEX(University_Exit!$D:$D,MATCH($B60,University_Exit!$B:$B,0)),"")</f>
        <v>Univeristy of Brunel</v>
      </c>
      <c r="P60" s="2" t="str">
        <f>IFERROR(INDEX(University_Exit!$F:$F,MATCH($B60,University_Exit!$B:$B,0)),"")</f>
        <v>Genetic</v>
      </c>
      <c r="Q60" s="2" t="str">
        <f>IFERROR(INDEX(University_Exit!$L:$L,MATCH($B60,University_Exit!$B:$B,0)),"")</f>
        <v>No</v>
      </c>
      <c r="R60" s="2" t="str">
        <f t="shared" si="2"/>
        <v>Yes</v>
      </c>
      <c r="S60" s="5">
        <f>IFERROR(INDEX(University_Exit!$H:$H,MATCH($B60,University_Exit!$B:$B,0)),"")</f>
        <v>84.3</v>
      </c>
      <c r="T60" s="6">
        <f>IFERROR(INDEX(University_Exit!$K:$K,MATCH($B60,University_Exit!$B:$B,0)),"")</f>
        <v>770</v>
      </c>
      <c r="U60" s="2" t="str">
        <f>IFERROR(INDEX(University_Exit!$G:$G,MATCH($B60,University_Exit!$B:$B,0)),"")</f>
        <v>Ministry of Education</v>
      </c>
    </row>
    <row r="61" spans="1:21" x14ac:dyDescent="0.3">
      <c r="A61" s="2" t="s">
        <v>185</v>
      </c>
      <c r="B61" s="2" t="s">
        <v>186</v>
      </c>
      <c r="C61" s="2" t="s">
        <v>187</v>
      </c>
      <c r="D61" s="2" t="s">
        <v>188</v>
      </c>
      <c r="E61" s="2" t="s">
        <v>189</v>
      </c>
      <c r="F61" s="5">
        <v>81.256</v>
      </c>
      <c r="G61" s="5">
        <v>98.051999999999992</v>
      </c>
      <c r="H61" s="5">
        <v>16.795999999999989</v>
      </c>
      <c r="I61" s="5">
        <f>IFERROR(INDEX(Baseline_Entry!$P:$P,MATCH($B61,Baseline_Entry!$B:$B,0)),"")</f>
        <v>81.581220657277001</v>
      </c>
      <c r="J61" s="2" t="str">
        <f t="shared" si="0"/>
        <v>Yes</v>
      </c>
      <c r="K61" s="2" t="str">
        <f t="shared" si="1"/>
        <v>Middle starter</v>
      </c>
      <c r="L61" s="2" t="s">
        <v>65</v>
      </c>
      <c r="M61" s="2" t="s">
        <v>66</v>
      </c>
      <c r="N61" s="2">
        <v>1</v>
      </c>
      <c r="O61" s="2" t="str">
        <f>IFERROR(INDEX(University_Exit!$D:$D,MATCH($B61,University_Exit!$B:$B,0)),"")</f>
        <v>Univerity of Manchaster</v>
      </c>
      <c r="P61" s="2" t="str">
        <f>IFERROR(INDEX(University_Exit!$F:$F,MATCH($B61,University_Exit!$B:$B,0)),"")</f>
        <v>Mechanical engineering</v>
      </c>
      <c r="Q61" s="2" t="str">
        <f>IFERROR(INDEX(University_Exit!$L:$L,MATCH($B61,University_Exit!$B:$B,0)),"")</f>
        <v>Yes</v>
      </c>
      <c r="R61" s="2" t="str">
        <f t="shared" si="2"/>
        <v>Yes</v>
      </c>
      <c r="S61" s="5">
        <f>IFERROR(INDEX(University_Exit!$H:$H,MATCH($B61,University_Exit!$B:$B,0)),"")</f>
        <v>97.9</v>
      </c>
      <c r="T61" s="6">
        <f>IFERROR(INDEX(University_Exit!$K:$K,MATCH($B61,University_Exit!$B:$B,0)),"")</f>
        <v>1320</v>
      </c>
      <c r="U61" s="2" t="str">
        <f>IFERROR(INDEX(University_Exit!$G:$G,MATCH($B61,University_Exit!$B:$B,0)),"")</f>
        <v>Qatar Energy</v>
      </c>
    </row>
    <row r="62" spans="1:21" x14ac:dyDescent="0.3">
      <c r="A62" s="2" t="s">
        <v>185</v>
      </c>
      <c r="B62" s="2" t="s">
        <v>190</v>
      </c>
      <c r="C62" s="2" t="s">
        <v>191</v>
      </c>
      <c r="D62" s="2" t="s">
        <v>188</v>
      </c>
      <c r="E62" s="2" t="s">
        <v>189</v>
      </c>
      <c r="F62" s="5">
        <v>80.663999999999987</v>
      </c>
      <c r="G62" s="5">
        <v>95.9</v>
      </c>
      <c r="H62" s="5">
        <v>15.23600000000002</v>
      </c>
      <c r="I62" s="5">
        <f>IFERROR(INDEX(Baseline_Entry!$P:$P,MATCH($B62,Baseline_Entry!$B:$B,0)),"")</f>
        <v>92.050704225352106</v>
      </c>
      <c r="J62" s="2" t="str">
        <f t="shared" si="0"/>
        <v>Yes</v>
      </c>
      <c r="K62" s="2" t="str">
        <f t="shared" si="1"/>
        <v>High starter</v>
      </c>
      <c r="L62" s="2" t="s">
        <v>65</v>
      </c>
      <c r="M62" s="2" t="s">
        <v>66</v>
      </c>
      <c r="N62" s="2">
        <v>1</v>
      </c>
      <c r="O62" s="2" t="str">
        <f>IFERROR(INDEX(University_Exit!$D:$D,MATCH($B62,University_Exit!$B:$B,0)),"")</f>
        <v>Qatar University</v>
      </c>
      <c r="P62" s="2" t="str">
        <f>IFERROR(INDEX(University_Exit!$F:$F,MATCH($B62,University_Exit!$B:$B,0)),"")</f>
        <v>Electrial Engineering</v>
      </c>
      <c r="Q62" s="2" t="str">
        <f>IFERROR(INDEX(University_Exit!$L:$L,MATCH($B62,University_Exit!$B:$B,0)),"")</f>
        <v>Yes</v>
      </c>
      <c r="R62" s="2" t="str">
        <f t="shared" si="2"/>
        <v>Yes</v>
      </c>
      <c r="S62" s="5">
        <f>IFERROR(INDEX(University_Exit!$H:$H,MATCH($B62,University_Exit!$B:$B,0)),"")</f>
        <v>94</v>
      </c>
      <c r="T62" s="6">
        <f>IFERROR(INDEX(University_Exit!$K:$K,MATCH($B62,University_Exit!$B:$B,0)),"")</f>
        <v>1180</v>
      </c>
      <c r="U62" s="2" t="str">
        <f>IFERROR(INDEX(University_Exit!$G:$G,MATCH($B62,University_Exit!$B:$B,0)),"")</f>
        <v>لا يوجد</v>
      </c>
    </row>
    <row r="63" spans="1:21" x14ac:dyDescent="0.3">
      <c r="A63" s="2" t="s">
        <v>185</v>
      </c>
      <c r="B63" s="2" t="s">
        <v>192</v>
      </c>
      <c r="C63" s="2" t="s">
        <v>193</v>
      </c>
      <c r="D63" s="2" t="s">
        <v>188</v>
      </c>
      <c r="E63" s="2" t="s">
        <v>189</v>
      </c>
      <c r="F63" s="5">
        <v>86.5</v>
      </c>
      <c r="G63" s="5">
        <v>76.823999999999998</v>
      </c>
      <c r="H63" s="5">
        <v>-9.6760000000000019</v>
      </c>
      <c r="I63" s="5">
        <f>IFERROR(INDEX(Baseline_Entry!$P:$P,MATCH($B63,Baseline_Entry!$B:$B,0)),"")</f>
        <v>66.630985915492957</v>
      </c>
      <c r="J63" s="2" t="str">
        <f t="shared" si="0"/>
        <v>Yes</v>
      </c>
      <c r="K63" s="2" t="str">
        <f t="shared" si="1"/>
        <v>Low starter</v>
      </c>
      <c r="L63" s="2" t="s">
        <v>65</v>
      </c>
      <c r="M63" s="2" t="s">
        <v>99</v>
      </c>
      <c r="N63" s="2">
        <v>-1</v>
      </c>
      <c r="O63" s="2" t="str">
        <f>IFERROR(INDEX(University_Exit!$D:$D,MATCH($B63,University_Exit!$B:$B,0)),"")</f>
        <v>Qatar University</v>
      </c>
      <c r="P63" s="2" t="str">
        <f>IFERROR(INDEX(University_Exit!$F:$F,MATCH($B63,University_Exit!$B:$B,0)),"")</f>
        <v>Electrial Engineering</v>
      </c>
      <c r="Q63" s="2" t="str">
        <f>IFERROR(INDEX(University_Exit!$L:$L,MATCH($B63,University_Exit!$B:$B,0)),"")</f>
        <v>Yes</v>
      </c>
      <c r="R63" s="2" t="str">
        <f t="shared" si="2"/>
        <v>Yes</v>
      </c>
      <c r="S63" s="5">
        <f>IFERROR(INDEX(University_Exit!$H:$H,MATCH($B63,University_Exit!$B:$B,0)),"")</f>
        <v>76.099999999999994</v>
      </c>
      <c r="T63" s="6">
        <f>IFERROR(INDEX(University_Exit!$K:$K,MATCH($B63,University_Exit!$B:$B,0)),"")</f>
        <v>780</v>
      </c>
      <c r="U63" s="2" t="str">
        <f>IFERROR(INDEX(University_Exit!$G:$G,MATCH($B63,University_Exit!$B:$B,0)),"")</f>
        <v>لا يوجد</v>
      </c>
    </row>
    <row r="64" spans="1:21" x14ac:dyDescent="0.3">
      <c r="A64" s="2" t="s">
        <v>185</v>
      </c>
      <c r="B64" s="2" t="s">
        <v>194</v>
      </c>
      <c r="C64" s="2" t="s">
        <v>195</v>
      </c>
      <c r="D64" s="2" t="s">
        <v>188</v>
      </c>
      <c r="E64" s="2" t="s">
        <v>189</v>
      </c>
      <c r="F64" s="5">
        <v>83.847999999999999</v>
      </c>
      <c r="G64" s="5">
        <v>92.4</v>
      </c>
      <c r="H64" s="5">
        <v>8.5520000000000067</v>
      </c>
      <c r="I64" s="5">
        <f>IFERROR(INDEX(Baseline_Entry!$P:$P,MATCH($B64,Baseline_Entry!$B:$B,0)),"")</f>
        <v>96.535211267605632</v>
      </c>
      <c r="J64" s="2" t="str">
        <f t="shared" si="0"/>
        <v>Yes</v>
      </c>
      <c r="K64" s="2" t="str">
        <f t="shared" si="1"/>
        <v>High starter</v>
      </c>
      <c r="L64" s="2" t="s">
        <v>65</v>
      </c>
      <c r="M64" s="2" t="s">
        <v>66</v>
      </c>
      <c r="N64" s="2">
        <v>1</v>
      </c>
      <c r="O64" s="2" t="str">
        <f>IFERROR(INDEX(University_Exit!$D:$D,MATCH($B64,University_Exit!$B:$B,0)),"")</f>
        <v>Swansea Univeristy</v>
      </c>
      <c r="P64" s="2" t="str">
        <f>IFERROR(INDEX(University_Exit!$F:$F,MATCH($B64,University_Exit!$B:$B,0)),"")</f>
        <v>Electrial Engineering</v>
      </c>
      <c r="Q64" s="2" t="str">
        <f>IFERROR(INDEX(University_Exit!$L:$L,MATCH($B64,University_Exit!$B:$B,0)),"")</f>
        <v>Yes</v>
      </c>
      <c r="R64" s="2" t="str">
        <f t="shared" si="2"/>
        <v>Yes</v>
      </c>
      <c r="S64" s="5">
        <f>IFERROR(INDEX(University_Exit!$H:$H,MATCH($B64,University_Exit!$B:$B,0)),"")</f>
        <v>93.5</v>
      </c>
      <c r="T64" s="6">
        <f>IFERROR(INDEX(University_Exit!$K:$K,MATCH($B64,University_Exit!$B:$B,0)),"")</f>
        <v>0</v>
      </c>
      <c r="U64" s="2" t="str">
        <f>IFERROR(INDEX(University_Exit!$G:$G,MATCH($B64,University_Exit!$B:$B,0)),"")</f>
        <v>Qatar Energy</v>
      </c>
    </row>
    <row r="65" spans="1:21" x14ac:dyDescent="0.3">
      <c r="A65" s="2" t="s">
        <v>185</v>
      </c>
      <c r="B65" s="2" t="s">
        <v>196</v>
      </c>
      <c r="C65" s="2" t="s">
        <v>197</v>
      </c>
      <c r="D65" s="2" t="s">
        <v>188</v>
      </c>
      <c r="E65" s="2" t="s">
        <v>189</v>
      </c>
      <c r="F65" s="5">
        <v>86.155999999999992</v>
      </c>
      <c r="G65" s="5">
        <v>96.451999999999998</v>
      </c>
      <c r="H65" s="5">
        <v>10.29600000000001</v>
      </c>
      <c r="I65" s="5">
        <f>IFERROR(INDEX(Baseline_Entry!$P:$P,MATCH($B65,Baseline_Entry!$B:$B,0)),"")</f>
        <v>90.001877934272287</v>
      </c>
      <c r="J65" s="2" t="str">
        <f t="shared" si="0"/>
        <v>Yes</v>
      </c>
      <c r="K65" s="2" t="str">
        <f t="shared" si="1"/>
        <v>High starter</v>
      </c>
      <c r="L65" s="2" t="s">
        <v>65</v>
      </c>
      <c r="M65" s="2" t="s">
        <v>66</v>
      </c>
      <c r="N65" s="2">
        <v>1</v>
      </c>
      <c r="O65" s="2" t="str">
        <f>IFERROR(INDEX(University_Exit!$D:$D,MATCH($B65,University_Exit!$B:$B,0)),"")</f>
        <v>Swansea Univeristy</v>
      </c>
      <c r="P65" s="2" t="str">
        <f>IFERROR(INDEX(University_Exit!$F:$F,MATCH($B65,University_Exit!$B:$B,0)),"")</f>
        <v>Electrial Engineering</v>
      </c>
      <c r="Q65" s="2" t="str">
        <f>IFERROR(INDEX(University_Exit!$L:$L,MATCH($B65,University_Exit!$B:$B,0)),"")</f>
        <v>Yes</v>
      </c>
      <c r="R65" s="2" t="str">
        <f t="shared" si="2"/>
        <v>Yes</v>
      </c>
      <c r="S65" s="5">
        <f>IFERROR(INDEX(University_Exit!$H:$H,MATCH($B65,University_Exit!$B:$B,0)),"")</f>
        <v>96.4</v>
      </c>
      <c r="T65" s="6">
        <f>IFERROR(INDEX(University_Exit!$K:$K,MATCH($B65,University_Exit!$B:$B,0)),"")</f>
        <v>970</v>
      </c>
      <c r="U65" s="2" t="str">
        <f>IFERROR(INDEX(University_Exit!$G:$G,MATCH($B65,University_Exit!$B:$B,0)),"")</f>
        <v>Qatar Energy</v>
      </c>
    </row>
    <row r="66" spans="1:21" x14ac:dyDescent="0.3">
      <c r="A66" s="2" t="s">
        <v>185</v>
      </c>
      <c r="B66" s="2" t="s">
        <v>198</v>
      </c>
      <c r="C66" s="2" t="s">
        <v>199</v>
      </c>
      <c r="D66" s="2" t="s">
        <v>188</v>
      </c>
      <c r="E66" s="2" t="s">
        <v>189</v>
      </c>
      <c r="F66" s="5">
        <v>94.628</v>
      </c>
      <c r="G66" s="5">
        <v>98.123999999999995</v>
      </c>
      <c r="H66" s="5">
        <v>3.4959999999999951</v>
      </c>
      <c r="I66" s="5">
        <f>IFERROR(INDEX(Baseline_Entry!$P:$P,MATCH($B66,Baseline_Entry!$B:$B,0)),"")</f>
        <v>96.706103286384973</v>
      </c>
      <c r="J66" s="2" t="str">
        <f t="shared" ref="J66:J129" si="3">IF(I66="","No","Yes")</f>
        <v>Yes</v>
      </c>
      <c r="K66" s="2" t="str">
        <f t="shared" ref="K66:K129" si="4">IF(IF(I66="",F66,I66)&lt;70,"Low starter",IF(IF(I66="",F66,I66)&lt;85,"Middle starter","High starter"))</f>
        <v>High starter</v>
      </c>
      <c r="L66" s="2" t="s">
        <v>66</v>
      </c>
      <c r="M66" s="2" t="s">
        <v>66</v>
      </c>
      <c r="N66" s="2">
        <v>0</v>
      </c>
      <c r="O66" s="2" t="str">
        <f>IFERROR(INDEX(University_Exit!$D:$D,MATCH($B66,University_Exit!$B:$B,0)),"")</f>
        <v>Liverpool</v>
      </c>
      <c r="P66" s="2" t="str">
        <f>IFERROR(INDEX(University_Exit!$F:$F,MATCH($B66,University_Exit!$B:$B,0)),"")</f>
        <v>Mechanical engineering</v>
      </c>
      <c r="Q66" s="2" t="str">
        <f>IFERROR(INDEX(University_Exit!$L:$L,MATCH($B66,University_Exit!$B:$B,0)),"")</f>
        <v>Yes</v>
      </c>
      <c r="R66" s="2" t="str">
        <f t="shared" ref="R66:R129" si="5">IF(O66="","No","Yes")</f>
        <v>Yes</v>
      </c>
      <c r="S66" s="5">
        <f>IFERROR(INDEX(University_Exit!$H:$H,MATCH($B66,University_Exit!$B:$B,0)),"")</f>
        <v>97.3</v>
      </c>
      <c r="T66" s="6">
        <f>IFERROR(INDEX(University_Exit!$K:$K,MATCH($B66,University_Exit!$B:$B,0)),"")</f>
        <v>1200</v>
      </c>
      <c r="U66" s="2" t="str">
        <f>IFERROR(INDEX(University_Exit!$G:$G,MATCH($B66,University_Exit!$B:$B,0)),"")</f>
        <v>Qatar Energy</v>
      </c>
    </row>
    <row r="67" spans="1:21" x14ac:dyDescent="0.3">
      <c r="A67" s="2" t="s">
        <v>185</v>
      </c>
      <c r="B67" s="2" t="s">
        <v>200</v>
      </c>
      <c r="C67" s="2" t="s">
        <v>201</v>
      </c>
      <c r="D67" s="2" t="s">
        <v>188</v>
      </c>
      <c r="E67" s="2" t="s">
        <v>189</v>
      </c>
      <c r="F67" s="5">
        <v>90.960000000000008</v>
      </c>
      <c r="G67" s="5">
        <v>91.652000000000001</v>
      </c>
      <c r="H67" s="5">
        <v>0.69199999999999307</v>
      </c>
      <c r="I67" s="5">
        <f>IFERROR(INDEX(Baseline_Entry!$P:$P,MATCH($B67,Baseline_Entry!$B:$B,0)),"")</f>
        <v>66.0338028169014</v>
      </c>
      <c r="J67" s="2" t="str">
        <f t="shared" si="3"/>
        <v>Yes</v>
      </c>
      <c r="K67" s="2" t="str">
        <f t="shared" si="4"/>
        <v>Low starter</v>
      </c>
      <c r="L67" s="2" t="s">
        <v>66</v>
      </c>
      <c r="M67" s="2" t="s">
        <v>66</v>
      </c>
      <c r="N67" s="2">
        <v>0</v>
      </c>
      <c r="O67" s="2" t="str">
        <f>IFERROR(INDEX(University_Exit!$D:$D,MATCH($B67,University_Exit!$B:$B,0)),"")</f>
        <v>Texas A&amp;M University Qatar</v>
      </c>
      <c r="P67" s="2" t="str">
        <f>IFERROR(INDEX(University_Exit!$F:$F,MATCH($B67,University_Exit!$B:$B,0)),"")</f>
        <v>Mechanical Engineering</v>
      </c>
      <c r="Q67" s="2" t="str">
        <f>IFERROR(INDEX(University_Exit!$L:$L,MATCH($B67,University_Exit!$B:$B,0)),"")</f>
        <v>Yes</v>
      </c>
      <c r="R67" s="2" t="str">
        <f t="shared" si="5"/>
        <v>Yes</v>
      </c>
      <c r="S67" s="5">
        <f>IFERROR(INDEX(University_Exit!$H:$H,MATCH($B67,University_Exit!$B:$B,0)),"")</f>
        <v>92.4</v>
      </c>
      <c r="T67" s="6">
        <f>IFERROR(INDEX(University_Exit!$K:$K,MATCH($B67,University_Exit!$B:$B,0)),"")</f>
        <v>980</v>
      </c>
      <c r="U67" s="2" t="str">
        <f>IFERROR(INDEX(University_Exit!$G:$G,MATCH($B67,University_Exit!$B:$B,0)),"")</f>
        <v>Qatar Energy</v>
      </c>
    </row>
    <row r="68" spans="1:21" x14ac:dyDescent="0.3">
      <c r="A68" s="2" t="s">
        <v>185</v>
      </c>
      <c r="B68" s="2" t="s">
        <v>202</v>
      </c>
      <c r="C68" s="2" t="s">
        <v>203</v>
      </c>
      <c r="D68" s="2" t="s">
        <v>188</v>
      </c>
      <c r="E68" s="2" t="s">
        <v>189</v>
      </c>
      <c r="F68" s="5">
        <v>85.775999999999996</v>
      </c>
      <c r="G68" s="5">
        <v>92.951999999999998</v>
      </c>
      <c r="H68" s="5">
        <v>7.1760000000000019</v>
      </c>
      <c r="I68" s="5">
        <f>IFERROR(INDEX(Baseline_Entry!$P:$P,MATCH($B68,Baseline_Entry!$B:$B,0)),"")</f>
        <v>84.146478873239445</v>
      </c>
      <c r="J68" s="2" t="str">
        <f t="shared" si="3"/>
        <v>Yes</v>
      </c>
      <c r="K68" s="2" t="str">
        <f t="shared" si="4"/>
        <v>Middle starter</v>
      </c>
      <c r="L68" s="2" t="s">
        <v>65</v>
      </c>
      <c r="M68" s="2" t="s">
        <v>66</v>
      </c>
      <c r="N68" s="2">
        <v>1</v>
      </c>
      <c r="O68" s="2" t="str">
        <f>IFERROR(INDEX(University_Exit!$D:$D,MATCH($B68,University_Exit!$B:$B,0)),"")</f>
        <v>DePaul University</v>
      </c>
      <c r="P68" s="2" t="str">
        <f>IFERROR(INDEX(University_Exit!$F:$F,MATCH($B68,University_Exit!$B:$B,0)),"")</f>
        <v>Cyber Security</v>
      </c>
      <c r="Q68" s="2" t="str">
        <f>IFERROR(INDEX(University_Exit!$L:$L,MATCH($B68,University_Exit!$B:$B,0)),"")</f>
        <v>No</v>
      </c>
      <c r="R68" s="2" t="str">
        <f t="shared" si="5"/>
        <v>Yes</v>
      </c>
      <c r="S68" s="5">
        <f>IFERROR(INDEX(University_Exit!$H:$H,MATCH($B68,University_Exit!$B:$B,0)),"")</f>
        <v>94.6</v>
      </c>
      <c r="T68" s="6">
        <f>IFERROR(INDEX(University_Exit!$K:$K,MATCH($B68,University_Exit!$B:$B,0)),"")</f>
        <v>1070</v>
      </c>
      <c r="U68" s="2" t="str">
        <f>IFERROR(INDEX(University_Exit!$G:$G,MATCH($B68,University_Exit!$B:$B,0)),"")</f>
        <v>الجيش</v>
      </c>
    </row>
    <row r="69" spans="1:21" x14ac:dyDescent="0.3">
      <c r="A69" s="2" t="s">
        <v>185</v>
      </c>
      <c r="B69" s="2" t="s">
        <v>204</v>
      </c>
      <c r="C69" s="2" t="s">
        <v>205</v>
      </c>
      <c r="D69" s="2" t="s">
        <v>188</v>
      </c>
      <c r="E69" s="2" t="s">
        <v>189</v>
      </c>
      <c r="F69" s="5">
        <v>88.171999999999997</v>
      </c>
      <c r="G69" s="5">
        <v>90.7</v>
      </c>
      <c r="H69" s="5">
        <v>2.5280000000000058</v>
      </c>
      <c r="I69" s="5">
        <f>IFERROR(INDEX(Baseline_Entry!$P:$P,MATCH($B69,Baseline_Entry!$B:$B,0)),"")</f>
        <v>75.9643192488263</v>
      </c>
      <c r="J69" s="2" t="str">
        <f t="shared" si="3"/>
        <v>Yes</v>
      </c>
      <c r="K69" s="2" t="str">
        <f t="shared" si="4"/>
        <v>Middle starter</v>
      </c>
      <c r="L69" s="2" t="s">
        <v>65</v>
      </c>
      <c r="M69" s="2" t="s">
        <v>66</v>
      </c>
      <c r="N69" s="2">
        <v>1</v>
      </c>
      <c r="O69" s="2" t="str">
        <f>IFERROR(INDEX(University_Exit!$D:$D,MATCH($B69,University_Exit!$B:$B,0)),"")</f>
        <v>Swansea Univeristy</v>
      </c>
      <c r="P69" s="2" t="str">
        <f>IFERROR(INDEX(University_Exit!$F:$F,MATCH($B69,University_Exit!$B:$B,0)),"")</f>
        <v>Electrial Engineering</v>
      </c>
      <c r="Q69" s="2" t="str">
        <f>IFERROR(INDEX(University_Exit!$L:$L,MATCH($B69,University_Exit!$B:$B,0)),"")</f>
        <v>Yes</v>
      </c>
      <c r="R69" s="2" t="str">
        <f t="shared" si="5"/>
        <v>Yes</v>
      </c>
      <c r="S69" s="5">
        <f>IFERROR(INDEX(University_Exit!$H:$H,MATCH($B69,University_Exit!$B:$B,0)),"")</f>
        <v>92.8</v>
      </c>
      <c r="T69" s="6">
        <f>IFERROR(INDEX(University_Exit!$K:$K,MATCH($B69,University_Exit!$B:$B,0)),"")</f>
        <v>850</v>
      </c>
      <c r="U69" s="2" t="str">
        <f>IFERROR(INDEX(University_Exit!$G:$G,MATCH($B69,University_Exit!$B:$B,0)),"")</f>
        <v>Qatar Energy</v>
      </c>
    </row>
    <row r="70" spans="1:21" x14ac:dyDescent="0.3">
      <c r="A70" s="2" t="s">
        <v>185</v>
      </c>
      <c r="B70" s="2" t="s">
        <v>206</v>
      </c>
      <c r="C70" s="2" t="s">
        <v>207</v>
      </c>
      <c r="D70" s="2" t="s">
        <v>188</v>
      </c>
      <c r="E70" s="2" t="s">
        <v>189</v>
      </c>
      <c r="F70" s="5">
        <v>87.912000000000006</v>
      </c>
      <c r="G70" s="5">
        <v>98.676000000000002</v>
      </c>
      <c r="H70" s="5">
        <v>10.763999999999999</v>
      </c>
      <c r="I70" s="5">
        <f>IFERROR(INDEX(Baseline_Entry!$P:$P,MATCH($B70,Baseline_Entry!$B:$B,0)),"")</f>
        <v>87.975586854460104</v>
      </c>
      <c r="J70" s="2" t="str">
        <f t="shared" si="3"/>
        <v>Yes</v>
      </c>
      <c r="K70" s="2" t="str">
        <f t="shared" si="4"/>
        <v>High starter</v>
      </c>
      <c r="L70" s="2" t="s">
        <v>65</v>
      </c>
      <c r="M70" s="2" t="s">
        <v>66</v>
      </c>
      <c r="N70" s="2">
        <v>1</v>
      </c>
      <c r="O70" s="2" t="str">
        <f>IFERROR(INDEX(University_Exit!$D:$D,MATCH($B70,University_Exit!$B:$B,0)),"")</f>
        <v>Uinversity of sheffiled</v>
      </c>
      <c r="P70" s="2" t="str">
        <f>IFERROR(INDEX(University_Exit!$F:$F,MATCH($B70,University_Exit!$B:$B,0)),"")</f>
        <v>Electrial Engineering</v>
      </c>
      <c r="Q70" s="2" t="str">
        <f>IFERROR(INDEX(University_Exit!$L:$L,MATCH($B70,University_Exit!$B:$B,0)),"")</f>
        <v>Yes</v>
      </c>
      <c r="R70" s="2" t="str">
        <f t="shared" si="5"/>
        <v>Yes</v>
      </c>
      <c r="S70" s="5">
        <f>IFERROR(INDEX(University_Exit!$H:$H,MATCH($B70,University_Exit!$B:$B,0)),"")</f>
        <v>98.4</v>
      </c>
      <c r="T70" s="6">
        <f>IFERROR(INDEX(University_Exit!$K:$K,MATCH($B70,University_Exit!$B:$B,0)),"")</f>
        <v>1210</v>
      </c>
      <c r="U70" s="2" t="str">
        <f>IFERROR(INDEX(University_Exit!$G:$G,MATCH($B70,University_Exit!$B:$B,0)),"")</f>
        <v>Qatar Energy</v>
      </c>
    </row>
    <row r="71" spans="1:21" x14ac:dyDescent="0.3">
      <c r="A71" s="2" t="s">
        <v>185</v>
      </c>
      <c r="B71" s="2" t="s">
        <v>208</v>
      </c>
      <c r="C71" s="2" t="s">
        <v>209</v>
      </c>
      <c r="D71" s="2" t="s">
        <v>188</v>
      </c>
      <c r="E71" s="2" t="s">
        <v>189</v>
      </c>
      <c r="F71" s="5">
        <v>92.087999999999994</v>
      </c>
      <c r="G71" s="5">
        <v>88.623999999999995</v>
      </c>
      <c r="H71" s="5">
        <v>-3.4639999999999991</v>
      </c>
      <c r="I71" s="5">
        <f>IFERROR(INDEX(Baseline_Entry!$P:$P,MATCH($B71,Baseline_Entry!$B:$B,0)),"")</f>
        <v>79.111737089201881</v>
      </c>
      <c r="J71" s="2" t="str">
        <f t="shared" si="3"/>
        <v>Yes</v>
      </c>
      <c r="K71" s="2" t="str">
        <f t="shared" si="4"/>
        <v>Middle starter</v>
      </c>
      <c r="L71" s="2" t="s">
        <v>66</v>
      </c>
      <c r="M71" s="2" t="s">
        <v>65</v>
      </c>
      <c r="N71" s="2">
        <v>-1</v>
      </c>
      <c r="O71" s="2" t="str">
        <f>IFERROR(INDEX(University_Exit!$D:$D,MATCH($B71,University_Exit!$B:$B,0)),"")</f>
        <v>Strathclyde Univerity</v>
      </c>
      <c r="P71" s="2" t="str">
        <f>IFERROR(INDEX(University_Exit!$F:$F,MATCH($B71,University_Exit!$B:$B,0)),"")</f>
        <v>Civil Engineering</v>
      </c>
      <c r="Q71" s="2" t="str">
        <f>IFERROR(INDEX(University_Exit!$L:$L,MATCH($B71,University_Exit!$B:$B,0)),"")</f>
        <v>Yes</v>
      </c>
      <c r="R71" s="2" t="str">
        <f t="shared" si="5"/>
        <v>Yes</v>
      </c>
      <c r="S71" s="5">
        <f>IFERROR(INDEX(University_Exit!$H:$H,MATCH($B71,University_Exit!$B:$B,0)),"")</f>
        <v>89.3</v>
      </c>
      <c r="T71" s="6">
        <f>IFERROR(INDEX(University_Exit!$K:$K,MATCH($B71,University_Exit!$B:$B,0)),"")</f>
        <v>950</v>
      </c>
      <c r="U71" s="2" t="str">
        <f>IFERROR(INDEX(University_Exit!$G:$G,MATCH($B71,University_Exit!$B:$B,0)),"")</f>
        <v>Ministry of Education</v>
      </c>
    </row>
    <row r="72" spans="1:21" x14ac:dyDescent="0.3">
      <c r="A72" s="2" t="s">
        <v>185</v>
      </c>
      <c r="B72" s="2" t="s">
        <v>210</v>
      </c>
      <c r="C72" s="2" t="s">
        <v>211</v>
      </c>
      <c r="D72" s="2" t="s">
        <v>188</v>
      </c>
      <c r="E72" s="2" t="s">
        <v>189</v>
      </c>
      <c r="F72" s="5">
        <v>83.635999999999996</v>
      </c>
      <c r="G72" s="5">
        <v>94.6</v>
      </c>
      <c r="H72" s="5">
        <v>10.964</v>
      </c>
      <c r="I72" s="5">
        <f>IFERROR(INDEX(Baseline_Entry!$P:$P,MATCH($B72,Baseline_Entry!$B:$B,0)),"")</f>
        <v>88.291079812206576</v>
      </c>
      <c r="J72" s="2" t="str">
        <f t="shared" si="3"/>
        <v>Yes</v>
      </c>
      <c r="K72" s="2" t="str">
        <f t="shared" si="4"/>
        <v>High starter</v>
      </c>
      <c r="L72" s="2" t="s">
        <v>65</v>
      </c>
      <c r="M72" s="2" t="s">
        <v>66</v>
      </c>
      <c r="N72" s="2">
        <v>1</v>
      </c>
      <c r="O72" s="2" t="str">
        <f>IFERROR(INDEX(University_Exit!$D:$D,MATCH($B72,University_Exit!$B:$B,0)),"")</f>
        <v>Qatar University</v>
      </c>
      <c r="P72" s="2" t="str">
        <f>IFERROR(INDEX(University_Exit!$F:$F,MATCH($B72,University_Exit!$B:$B,0)),"")</f>
        <v>Electric and Electronic Engineering</v>
      </c>
      <c r="Q72" s="2" t="str">
        <f>IFERROR(INDEX(University_Exit!$L:$L,MATCH($B72,University_Exit!$B:$B,0)),"")</f>
        <v>Yes</v>
      </c>
      <c r="R72" s="2" t="str">
        <f t="shared" si="5"/>
        <v>Yes</v>
      </c>
      <c r="S72" s="5">
        <f>IFERROR(INDEX(University_Exit!$H:$H,MATCH($B72,University_Exit!$B:$B,0)),"")</f>
        <v>95.3</v>
      </c>
      <c r="T72" s="6">
        <f>IFERROR(INDEX(University_Exit!$K:$K,MATCH($B72,University_Exit!$B:$B,0)),"")</f>
        <v>1080</v>
      </c>
      <c r="U72" s="2" t="str">
        <f>IFERROR(INDEX(University_Exit!$G:$G,MATCH($B72,University_Exit!$B:$B,0)),"")</f>
        <v>Qatar Energy</v>
      </c>
    </row>
    <row r="73" spans="1:21" x14ac:dyDescent="0.3">
      <c r="A73" s="2" t="s">
        <v>185</v>
      </c>
      <c r="B73" s="2" t="s">
        <v>212</v>
      </c>
      <c r="C73" s="2" t="s">
        <v>213</v>
      </c>
      <c r="D73" s="2" t="s">
        <v>188</v>
      </c>
      <c r="E73" s="2" t="s">
        <v>189</v>
      </c>
      <c r="F73" s="5">
        <v>79.716000000000008</v>
      </c>
      <c r="G73" s="5">
        <v>79.652000000000001</v>
      </c>
      <c r="H73" s="5">
        <v>-6.4000000000007162E-2</v>
      </c>
      <c r="I73" s="5">
        <f>IFERROR(INDEX(Baseline_Entry!$P:$P,MATCH($B73,Baseline_Entry!$B:$B,0)),"")</f>
        <v>60.108920187793423</v>
      </c>
      <c r="J73" s="2" t="str">
        <f t="shared" si="3"/>
        <v>Yes</v>
      </c>
      <c r="K73" s="2" t="str">
        <f t="shared" si="4"/>
        <v>Low starter</v>
      </c>
      <c r="L73" s="2" t="s">
        <v>99</v>
      </c>
      <c r="M73" s="2" t="s">
        <v>99</v>
      </c>
      <c r="N73" s="2">
        <v>0</v>
      </c>
      <c r="O73" s="2" t="str">
        <f>IFERROR(INDEX(University_Exit!$D:$D,MATCH($B73,University_Exit!$B:$B,0)),"")</f>
        <v>الكلية العسكرية</v>
      </c>
      <c r="P73" s="2" t="str">
        <f>IFERROR(INDEX(University_Exit!$F:$F,MATCH($B73,University_Exit!$B:$B,0)),"")</f>
        <v>مرشح ضابط</v>
      </c>
      <c r="Q73" s="2" t="str">
        <f>IFERROR(INDEX(University_Exit!$L:$L,MATCH($B73,University_Exit!$B:$B,0)),"")</f>
        <v>No</v>
      </c>
      <c r="R73" s="2" t="str">
        <f t="shared" si="5"/>
        <v>Yes</v>
      </c>
      <c r="S73" s="5">
        <f>IFERROR(INDEX(University_Exit!$H:$H,MATCH($B73,University_Exit!$B:$B,0)),"")</f>
        <v>82.4</v>
      </c>
      <c r="T73" s="6">
        <f>IFERROR(INDEX(University_Exit!$K:$K,MATCH($B73,University_Exit!$B:$B,0)),"")</f>
        <v>830</v>
      </c>
      <c r="U73" s="2" t="str">
        <f>IFERROR(INDEX(University_Exit!$G:$G,MATCH($B73,University_Exit!$B:$B,0)),"")</f>
        <v>وزارة الداخلية</v>
      </c>
    </row>
    <row r="74" spans="1:21" x14ac:dyDescent="0.3">
      <c r="A74" s="2" t="s">
        <v>185</v>
      </c>
      <c r="B74" s="2" t="s">
        <v>214</v>
      </c>
      <c r="C74" s="2" t="s">
        <v>215</v>
      </c>
      <c r="D74" s="2" t="s">
        <v>188</v>
      </c>
      <c r="E74" s="2" t="s">
        <v>189</v>
      </c>
      <c r="F74" s="5">
        <v>88.38</v>
      </c>
      <c r="G74" s="5">
        <v>86.9</v>
      </c>
      <c r="H74" s="5">
        <v>-1.47999999999999</v>
      </c>
      <c r="I74" s="5">
        <f>IFERROR(INDEX(Baseline_Entry!$P:$P,MATCH($B74,Baseline_Entry!$B:$B,0)),"")</f>
        <v>92.018779342723008</v>
      </c>
      <c r="J74" s="2" t="str">
        <f t="shared" si="3"/>
        <v>Yes</v>
      </c>
      <c r="K74" s="2" t="str">
        <f t="shared" si="4"/>
        <v>High starter</v>
      </c>
      <c r="L74" s="2" t="s">
        <v>65</v>
      </c>
      <c r="M74" s="2" t="s">
        <v>65</v>
      </c>
      <c r="N74" s="2">
        <v>0</v>
      </c>
      <c r="O74" s="2" t="str">
        <f>IFERROR(INDEX(University_Exit!$D:$D,MATCH($B74,University_Exit!$B:$B,0)),"")</f>
        <v>القطرية للطيران</v>
      </c>
      <c r="P74" s="2" t="str">
        <f>IFERROR(INDEX(University_Exit!$F:$F,MATCH($B74,University_Exit!$B:$B,0)),"")</f>
        <v>طيار</v>
      </c>
      <c r="Q74" s="2" t="str">
        <f>IFERROR(INDEX(University_Exit!$L:$L,MATCH($B74,University_Exit!$B:$B,0)),"")</f>
        <v>No</v>
      </c>
      <c r="R74" s="2" t="str">
        <f t="shared" si="5"/>
        <v>Yes</v>
      </c>
      <c r="S74" s="5">
        <f>IFERROR(INDEX(University_Exit!$H:$H,MATCH($B74,University_Exit!$B:$B,0)),"")</f>
        <v>88.8</v>
      </c>
      <c r="T74" s="6">
        <f>IFERROR(INDEX(University_Exit!$K:$K,MATCH($B74,University_Exit!$B:$B,0)),"")</f>
        <v>730</v>
      </c>
      <c r="U74" s="2" t="str">
        <f>IFERROR(INDEX(University_Exit!$G:$G,MATCH($B74,University_Exit!$B:$B,0)),"")</f>
        <v>Qatar Airways</v>
      </c>
    </row>
    <row r="75" spans="1:21" x14ac:dyDescent="0.3">
      <c r="A75" s="2" t="s">
        <v>185</v>
      </c>
      <c r="B75" s="2" t="s">
        <v>216</v>
      </c>
      <c r="C75" s="2" t="s">
        <v>217</v>
      </c>
      <c r="D75" s="2" t="s">
        <v>188</v>
      </c>
      <c r="E75" s="2" t="s">
        <v>189</v>
      </c>
      <c r="F75" s="5">
        <v>76.475999999999999</v>
      </c>
      <c r="G75" s="5">
        <v>88.751999999999995</v>
      </c>
      <c r="H75" s="5">
        <v>12.276</v>
      </c>
      <c r="I75" s="5">
        <f>IFERROR(INDEX(Baseline_Entry!$P:$P,MATCH($B75,Baseline_Entry!$B:$B,0)),"")</f>
        <v>78.753051643192478</v>
      </c>
      <c r="J75" s="2" t="str">
        <f t="shared" si="3"/>
        <v>Yes</v>
      </c>
      <c r="K75" s="2" t="str">
        <f t="shared" si="4"/>
        <v>Middle starter</v>
      </c>
      <c r="L75" s="2" t="s">
        <v>99</v>
      </c>
      <c r="M75" s="2" t="s">
        <v>65</v>
      </c>
      <c r="N75" s="2">
        <v>1</v>
      </c>
      <c r="O75" s="2" t="str">
        <f>IFERROR(INDEX(University_Exit!$D:$D,MATCH($B75,University_Exit!$B:$B,0)),"")</f>
        <v>Blackpool and the Fylde College</v>
      </c>
      <c r="P75" s="2" t="str">
        <f>IFERROR(INDEX(University_Exit!$F:$F,MATCH($B75,University_Exit!$B:$B,0)),"")</f>
        <v>Marine engineering</v>
      </c>
      <c r="Q75" s="2" t="str">
        <f>IFERROR(INDEX(University_Exit!$L:$L,MATCH($B75,University_Exit!$B:$B,0)),"")</f>
        <v>Yes</v>
      </c>
      <c r="R75" s="2" t="str">
        <f t="shared" si="5"/>
        <v>Yes</v>
      </c>
      <c r="S75" s="5">
        <f>IFERROR(INDEX(University_Exit!$H:$H,MATCH($B75,University_Exit!$B:$B,0)),"")</f>
        <v>85.4</v>
      </c>
      <c r="T75" s="6">
        <f>IFERROR(INDEX(University_Exit!$K:$K,MATCH($B75,University_Exit!$B:$B,0)),"")</f>
        <v>970</v>
      </c>
      <c r="U75" s="2" t="str">
        <f>IFERROR(INDEX(University_Exit!$G:$G,MATCH($B75,University_Exit!$B:$B,0)),"")</f>
        <v>Qatar Energy</v>
      </c>
    </row>
    <row r="76" spans="1:21" x14ac:dyDescent="0.3">
      <c r="A76" s="2" t="s">
        <v>185</v>
      </c>
      <c r="B76" s="2" t="s">
        <v>218</v>
      </c>
      <c r="C76" s="2" t="s">
        <v>219</v>
      </c>
      <c r="D76" s="2" t="s">
        <v>188</v>
      </c>
      <c r="E76" s="2" t="s">
        <v>189</v>
      </c>
      <c r="F76" s="5">
        <v>71.10799999999999</v>
      </c>
      <c r="G76" s="5">
        <v>95.924000000000007</v>
      </c>
      <c r="H76" s="5">
        <v>24.81600000000002</v>
      </c>
      <c r="I76" s="5">
        <f>IFERROR(INDEX(Baseline_Entry!$P:$P,MATCH($B76,Baseline_Entry!$B:$B,0)),"")</f>
        <v>108.0244131455399</v>
      </c>
      <c r="J76" s="2" t="str">
        <f t="shared" si="3"/>
        <v>Yes</v>
      </c>
      <c r="K76" s="2" t="str">
        <f t="shared" si="4"/>
        <v>High starter</v>
      </c>
      <c r="L76" s="2" t="s">
        <v>99</v>
      </c>
      <c r="M76" s="2" t="s">
        <v>66</v>
      </c>
      <c r="N76" s="2">
        <v>2</v>
      </c>
      <c r="O76" s="2" t="str">
        <f>IFERROR(INDEX(University_Exit!$D:$D,MATCH($B76,University_Exit!$B:$B,0)),"")</f>
        <v>Blackpool and the Fylde College</v>
      </c>
      <c r="P76" s="2" t="str">
        <f>IFERROR(INDEX(University_Exit!$F:$F,MATCH($B76,University_Exit!$B:$B,0)),"")</f>
        <v>Marine engineering</v>
      </c>
      <c r="Q76" s="2" t="str">
        <f>IFERROR(INDEX(University_Exit!$L:$L,MATCH($B76,University_Exit!$B:$B,0)),"")</f>
        <v>Yes</v>
      </c>
      <c r="R76" s="2" t="str">
        <f t="shared" si="5"/>
        <v>Yes</v>
      </c>
      <c r="S76" s="5">
        <f>IFERROR(INDEX(University_Exit!$H:$H,MATCH($B76,University_Exit!$B:$B,0)),"")</f>
        <v>96.6</v>
      </c>
      <c r="T76" s="6">
        <f>IFERROR(INDEX(University_Exit!$K:$K,MATCH($B76,University_Exit!$B:$B,0)),"")</f>
        <v>1270</v>
      </c>
      <c r="U76" s="2" t="str">
        <f>IFERROR(INDEX(University_Exit!$G:$G,MATCH($B76,University_Exit!$B:$B,0)),"")</f>
        <v>Qatar Energy</v>
      </c>
    </row>
    <row r="77" spans="1:21" x14ac:dyDescent="0.3">
      <c r="A77" s="2" t="s">
        <v>185</v>
      </c>
      <c r="B77" s="2" t="s">
        <v>220</v>
      </c>
      <c r="C77" s="2" t="s">
        <v>221</v>
      </c>
      <c r="D77" s="2" t="s">
        <v>188</v>
      </c>
      <c r="E77" s="2" t="s">
        <v>189</v>
      </c>
      <c r="F77" s="5">
        <v>75.415999999999997</v>
      </c>
      <c r="G77" s="5">
        <v>92.775999999999996</v>
      </c>
      <c r="H77" s="5">
        <v>17.36</v>
      </c>
      <c r="I77" s="5">
        <f>IFERROR(INDEX(Baseline_Entry!$P:$P,MATCH($B77,Baseline_Entry!$B:$B,0)),"")</f>
        <v>100.71737089201878</v>
      </c>
      <c r="J77" s="2" t="str">
        <f t="shared" si="3"/>
        <v>Yes</v>
      </c>
      <c r="K77" s="2" t="str">
        <f t="shared" si="4"/>
        <v>High starter</v>
      </c>
      <c r="L77" s="2" t="s">
        <v>99</v>
      </c>
      <c r="M77" s="2" t="s">
        <v>66</v>
      </c>
      <c r="N77" s="2">
        <v>2</v>
      </c>
      <c r="O77" s="2" t="str">
        <f>IFERROR(INDEX(University_Exit!$D:$D,MATCH($B77,University_Exit!$B:$B,0)),"")</f>
        <v>Strathclyde Univerity</v>
      </c>
      <c r="P77" s="2" t="str">
        <f>IFERROR(INDEX(University_Exit!$F:$F,MATCH($B77,University_Exit!$B:$B,0)),"")</f>
        <v>Electrial Engineering</v>
      </c>
      <c r="Q77" s="2" t="str">
        <f>IFERROR(INDEX(University_Exit!$L:$L,MATCH($B77,University_Exit!$B:$B,0)),"")</f>
        <v>Yes</v>
      </c>
      <c r="R77" s="2" t="str">
        <f t="shared" si="5"/>
        <v>Yes</v>
      </c>
      <c r="S77" s="5">
        <f>IFERROR(INDEX(University_Exit!$H:$H,MATCH($B77,University_Exit!$B:$B,0)),"")</f>
        <v>92.7</v>
      </c>
      <c r="T77" s="6">
        <f>IFERROR(INDEX(University_Exit!$K:$K,MATCH($B77,University_Exit!$B:$B,0)),"")</f>
        <v>970</v>
      </c>
      <c r="U77" s="2" t="str">
        <f>IFERROR(INDEX(University_Exit!$G:$G,MATCH($B77,University_Exit!$B:$B,0)),"")</f>
        <v>Qatar Energy</v>
      </c>
    </row>
    <row r="78" spans="1:21" x14ac:dyDescent="0.3">
      <c r="A78" s="2" t="s">
        <v>185</v>
      </c>
      <c r="B78" s="2" t="s">
        <v>222</v>
      </c>
      <c r="C78" s="2" t="s">
        <v>223</v>
      </c>
      <c r="D78" s="2" t="s">
        <v>188</v>
      </c>
      <c r="E78" s="2" t="s">
        <v>189</v>
      </c>
      <c r="F78" s="5">
        <v>79.77600000000001</v>
      </c>
      <c r="G78" s="5">
        <v>90.9</v>
      </c>
      <c r="H78" s="5">
        <v>11.124000000000001</v>
      </c>
      <c r="I78" s="5">
        <f>IFERROR(INDEX(Baseline_Entry!$P:$P,MATCH($B78,Baseline_Entry!$B:$B,0)),"")</f>
        <v>73.372769953051645</v>
      </c>
      <c r="J78" s="2" t="str">
        <f t="shared" si="3"/>
        <v>Yes</v>
      </c>
      <c r="K78" s="2" t="str">
        <f t="shared" si="4"/>
        <v>Middle starter</v>
      </c>
      <c r="L78" s="2" t="s">
        <v>99</v>
      </c>
      <c r="M78" s="2" t="s">
        <v>66</v>
      </c>
      <c r="N78" s="2">
        <v>2</v>
      </c>
      <c r="O78" s="2" t="str">
        <f>IFERROR(INDEX(University_Exit!$D:$D,MATCH($B78,University_Exit!$B:$B,0)),"")</f>
        <v>University of Nottingham</v>
      </c>
      <c r="P78" s="2" t="str">
        <f>IFERROR(INDEX(University_Exit!$F:$F,MATCH($B78,University_Exit!$B:$B,0)),"")</f>
        <v>Electric and Electronic Engineering</v>
      </c>
      <c r="Q78" s="2" t="str">
        <f>IFERROR(INDEX(University_Exit!$L:$L,MATCH($B78,University_Exit!$B:$B,0)),"")</f>
        <v>Yes</v>
      </c>
      <c r="R78" s="2" t="str">
        <f t="shared" si="5"/>
        <v>Yes</v>
      </c>
      <c r="S78" s="5">
        <f>IFERROR(INDEX(University_Exit!$H:$H,MATCH($B78,University_Exit!$B:$B,0)),"")</f>
        <v>89.1</v>
      </c>
      <c r="T78" s="6">
        <f>IFERROR(INDEX(University_Exit!$K:$K,MATCH($B78,University_Exit!$B:$B,0)),"")</f>
        <v>900</v>
      </c>
      <c r="U78" s="2" t="str">
        <f>IFERROR(INDEX(University_Exit!$G:$G,MATCH($B78,University_Exit!$B:$B,0)),"")</f>
        <v>Qatar Energy</v>
      </c>
    </row>
    <row r="79" spans="1:21" x14ac:dyDescent="0.3">
      <c r="A79" s="2" t="s">
        <v>185</v>
      </c>
      <c r="B79" s="2" t="s">
        <v>224</v>
      </c>
      <c r="C79" s="2" t="s">
        <v>225</v>
      </c>
      <c r="D79" s="2" t="s">
        <v>188</v>
      </c>
      <c r="E79" s="2" t="s">
        <v>189</v>
      </c>
      <c r="F79" s="5">
        <v>91.99199999999999</v>
      </c>
      <c r="G79" s="5">
        <v>86.9</v>
      </c>
      <c r="H79" s="5">
        <v>-5.0919999999999854</v>
      </c>
      <c r="I79" s="5">
        <f>IFERROR(INDEX(Baseline_Entry!$P:$P,MATCH($B79,Baseline_Entry!$B:$B,0)),"")</f>
        <v>71.068544600938964</v>
      </c>
      <c r="J79" s="2" t="str">
        <f t="shared" si="3"/>
        <v>Yes</v>
      </c>
      <c r="K79" s="2" t="str">
        <f t="shared" si="4"/>
        <v>Middle starter</v>
      </c>
      <c r="L79" s="2" t="s">
        <v>66</v>
      </c>
      <c r="M79" s="2" t="s">
        <v>65</v>
      </c>
      <c r="N79" s="2">
        <v>-1</v>
      </c>
      <c r="O79" s="2" t="str">
        <f>IFERROR(INDEX(University_Exit!$D:$D,MATCH($B79,University_Exit!$B:$B,0)),"")</f>
        <v>Texas A&amp;M University Qatar</v>
      </c>
      <c r="P79" s="2" t="str">
        <f>IFERROR(INDEX(University_Exit!$F:$F,MATCH($B79,University_Exit!$B:$B,0)),"")</f>
        <v>Electrial Engineering</v>
      </c>
      <c r="Q79" s="2" t="str">
        <f>IFERROR(INDEX(University_Exit!$L:$L,MATCH($B79,University_Exit!$B:$B,0)),"")</f>
        <v>Yes</v>
      </c>
      <c r="R79" s="2" t="str">
        <f t="shared" si="5"/>
        <v>Yes</v>
      </c>
      <c r="S79" s="5">
        <f>IFERROR(INDEX(University_Exit!$H:$H,MATCH($B79,University_Exit!$B:$B,0)),"")</f>
        <v>83.2</v>
      </c>
      <c r="T79" s="6">
        <f>IFERROR(INDEX(University_Exit!$K:$K,MATCH($B79,University_Exit!$B:$B,0)),"")</f>
        <v>890</v>
      </c>
      <c r="U79" s="2" t="str">
        <f>IFERROR(INDEX(University_Exit!$G:$G,MATCH($B79,University_Exit!$B:$B,0)),"")</f>
        <v>Qatar Energy</v>
      </c>
    </row>
    <row r="80" spans="1:21" x14ac:dyDescent="0.3">
      <c r="A80" s="2" t="s">
        <v>185</v>
      </c>
      <c r="B80" s="2" t="s">
        <v>226</v>
      </c>
      <c r="C80" s="2" t="s">
        <v>227</v>
      </c>
      <c r="D80" s="2" t="s">
        <v>188</v>
      </c>
      <c r="E80" s="2" t="s">
        <v>189</v>
      </c>
      <c r="F80" s="5">
        <v>83.628</v>
      </c>
      <c r="G80" s="5">
        <v>90.652000000000001</v>
      </c>
      <c r="H80" s="5">
        <v>7.0240000000000009</v>
      </c>
      <c r="I80" s="5">
        <f>IFERROR(INDEX(Baseline_Entry!$P:$P,MATCH($B80,Baseline_Entry!$B:$B,0)),"")</f>
        <v>65.526760563380279</v>
      </c>
      <c r="J80" s="2" t="str">
        <f t="shared" si="3"/>
        <v>Yes</v>
      </c>
      <c r="K80" s="2" t="str">
        <f t="shared" si="4"/>
        <v>Low starter</v>
      </c>
      <c r="L80" s="2" t="s">
        <v>65</v>
      </c>
      <c r="M80" s="2" t="s">
        <v>66</v>
      </c>
      <c r="N80" s="2">
        <v>1</v>
      </c>
      <c r="O80" s="2" t="str">
        <f>IFERROR(INDEX(University_Exit!$D:$D,MATCH($B80,University_Exit!$B:$B,0)),"")</f>
        <v>Swansea Univeristy</v>
      </c>
      <c r="P80" s="2" t="str">
        <f>IFERROR(INDEX(University_Exit!$F:$F,MATCH($B80,University_Exit!$B:$B,0)),"")</f>
        <v>Computer Science</v>
      </c>
      <c r="Q80" s="2" t="str">
        <f>IFERROR(INDEX(University_Exit!$L:$L,MATCH($B80,University_Exit!$B:$B,0)),"")</f>
        <v>Yes</v>
      </c>
      <c r="R80" s="2" t="str">
        <f t="shared" si="5"/>
        <v>Yes</v>
      </c>
      <c r="S80" s="5">
        <f>IFERROR(INDEX(University_Exit!$H:$H,MATCH($B80,University_Exit!$B:$B,0)),"")</f>
        <v>90.5</v>
      </c>
      <c r="T80" s="6">
        <f>IFERROR(INDEX(University_Exit!$K:$K,MATCH($B80,University_Exit!$B:$B,0)),"")</f>
        <v>850</v>
      </c>
      <c r="U80" s="2" t="str">
        <f>IFERROR(INDEX(University_Exit!$G:$G,MATCH($B80,University_Exit!$B:$B,0)),"")</f>
        <v>Qatar Energy</v>
      </c>
    </row>
    <row r="81" spans="1:21" x14ac:dyDescent="0.3">
      <c r="A81" s="2" t="s">
        <v>185</v>
      </c>
      <c r="B81" s="2" t="s">
        <v>228</v>
      </c>
      <c r="C81" s="2" t="s">
        <v>229</v>
      </c>
      <c r="D81" s="2" t="s">
        <v>188</v>
      </c>
      <c r="E81" s="2" t="s">
        <v>189</v>
      </c>
      <c r="F81" s="5">
        <v>81.58</v>
      </c>
      <c r="G81" s="5">
        <v>86.575999999999993</v>
      </c>
      <c r="H81" s="5">
        <v>4.9959999999999951</v>
      </c>
      <c r="I81" s="5">
        <f>IFERROR(INDEX(Baseline_Entry!$P:$P,MATCH($B81,Baseline_Entry!$B:$B,0)),"")</f>
        <v>61.335211267605622</v>
      </c>
      <c r="J81" s="2" t="str">
        <f t="shared" si="3"/>
        <v>Yes</v>
      </c>
      <c r="K81" s="2" t="str">
        <f t="shared" si="4"/>
        <v>Low starter</v>
      </c>
      <c r="L81" s="2" t="s">
        <v>65</v>
      </c>
      <c r="M81" s="2" t="s">
        <v>65</v>
      </c>
      <c r="N81" s="2">
        <v>0</v>
      </c>
      <c r="O81" s="2" t="str">
        <f>IFERROR(INDEX(University_Exit!$D:$D,MATCH($B81,University_Exit!$B:$B,0)),"")</f>
        <v>Texas A&amp;M University Qatar</v>
      </c>
      <c r="P81" s="2" t="str">
        <f>IFERROR(INDEX(University_Exit!$F:$F,MATCH($B81,University_Exit!$B:$B,0)),"")</f>
        <v>Mechanical engineering</v>
      </c>
      <c r="Q81" s="2" t="str">
        <f>IFERROR(INDEX(University_Exit!$L:$L,MATCH($B81,University_Exit!$B:$B,0)),"")</f>
        <v>Yes</v>
      </c>
      <c r="R81" s="2" t="str">
        <f t="shared" si="5"/>
        <v>Yes</v>
      </c>
      <c r="S81" s="5">
        <f>IFERROR(INDEX(University_Exit!$H:$H,MATCH($B81,University_Exit!$B:$B,0)),"")</f>
        <v>86.5</v>
      </c>
      <c r="T81" s="6">
        <f>IFERROR(INDEX(University_Exit!$K:$K,MATCH($B81,University_Exit!$B:$B,0)),"")</f>
        <v>860</v>
      </c>
      <c r="U81" s="2" t="str">
        <f>IFERROR(INDEX(University_Exit!$G:$G,MATCH($B81,University_Exit!$B:$B,0)),"")</f>
        <v>Qatar Energy</v>
      </c>
    </row>
    <row r="82" spans="1:21" x14ac:dyDescent="0.3">
      <c r="A82" s="2" t="s">
        <v>185</v>
      </c>
      <c r="B82" s="2" t="s">
        <v>230</v>
      </c>
      <c r="C82" s="2" t="s">
        <v>231</v>
      </c>
      <c r="D82" s="2" t="s">
        <v>188</v>
      </c>
      <c r="E82" s="2" t="s">
        <v>189</v>
      </c>
      <c r="F82" s="5">
        <v>77.183999999999997</v>
      </c>
      <c r="G82" s="5">
        <v>93.751999999999995</v>
      </c>
      <c r="H82" s="5">
        <v>16.568000000000001</v>
      </c>
      <c r="I82" s="5">
        <f>IFERROR(INDEX(Baseline_Entry!$P:$P,MATCH($B82,Baseline_Entry!$B:$B,0)),"")</f>
        <v>72.054460093896708</v>
      </c>
      <c r="J82" s="2" t="str">
        <f t="shared" si="3"/>
        <v>Yes</v>
      </c>
      <c r="K82" s="2" t="str">
        <f t="shared" si="4"/>
        <v>Middle starter</v>
      </c>
      <c r="L82" s="2" t="s">
        <v>99</v>
      </c>
      <c r="M82" s="2" t="s">
        <v>66</v>
      </c>
      <c r="N82" s="2">
        <v>2</v>
      </c>
      <c r="O82" s="2" t="str">
        <f>IFERROR(INDEX(University_Exit!$D:$D,MATCH($B82,University_Exit!$B:$B,0)),"")</f>
        <v>University of Nottingham</v>
      </c>
      <c r="P82" s="2" t="str">
        <f>IFERROR(INDEX(University_Exit!$F:$F,MATCH($B82,University_Exit!$B:$B,0)),"")</f>
        <v>Electrial Engineering</v>
      </c>
      <c r="Q82" s="2" t="str">
        <f>IFERROR(INDEX(University_Exit!$L:$L,MATCH($B82,University_Exit!$B:$B,0)),"")</f>
        <v>Yes</v>
      </c>
      <c r="R82" s="2" t="str">
        <f t="shared" si="5"/>
        <v>Yes</v>
      </c>
      <c r="S82" s="5">
        <f>IFERROR(INDEX(University_Exit!$H:$H,MATCH($B82,University_Exit!$B:$B,0)),"")</f>
        <v>93.8</v>
      </c>
      <c r="T82" s="6">
        <f>IFERROR(INDEX(University_Exit!$K:$K,MATCH($B82,University_Exit!$B:$B,0)),"")</f>
        <v>860</v>
      </c>
      <c r="U82" s="2" t="str">
        <f>IFERROR(INDEX(University_Exit!$G:$G,MATCH($B82,University_Exit!$B:$B,0)),"")</f>
        <v>Qatar Energy</v>
      </c>
    </row>
    <row r="83" spans="1:21" x14ac:dyDescent="0.3">
      <c r="A83" s="2" t="s">
        <v>185</v>
      </c>
      <c r="B83" s="2" t="s">
        <v>232</v>
      </c>
      <c r="C83" s="2" t="s">
        <v>233</v>
      </c>
      <c r="D83" s="2" t="s">
        <v>188</v>
      </c>
      <c r="E83" s="2" t="s">
        <v>189</v>
      </c>
      <c r="F83" s="5">
        <v>85.063999999999993</v>
      </c>
      <c r="G83" s="5">
        <v>87.924000000000007</v>
      </c>
      <c r="H83" s="5">
        <v>2.8600000000000141</v>
      </c>
      <c r="I83" s="5">
        <f>IFERROR(INDEX(Baseline_Entry!$P:$P,MATCH($B83,Baseline_Entry!$B:$B,0)),"")</f>
        <v>71.451643192488248</v>
      </c>
      <c r="J83" s="2" t="str">
        <f t="shared" si="3"/>
        <v>Yes</v>
      </c>
      <c r="K83" s="2" t="str">
        <f t="shared" si="4"/>
        <v>Middle starter</v>
      </c>
      <c r="L83" s="2" t="s">
        <v>65</v>
      </c>
      <c r="M83" s="2" t="s">
        <v>65</v>
      </c>
      <c r="N83" s="2">
        <v>0</v>
      </c>
      <c r="O83" s="2" t="str">
        <f>IFERROR(INDEX(University_Exit!$D:$D,MATCH($B83,University_Exit!$B:$B,0)),"")</f>
        <v>Strathclyde Univerity</v>
      </c>
      <c r="P83" s="2" t="str">
        <f>IFERROR(INDEX(University_Exit!$F:$F,MATCH($B83,University_Exit!$B:$B,0)),"")</f>
        <v>Chemical engineering</v>
      </c>
      <c r="Q83" s="2" t="str">
        <f>IFERROR(INDEX(University_Exit!$L:$L,MATCH($B83,University_Exit!$B:$B,0)),"")</f>
        <v>Yes</v>
      </c>
      <c r="R83" s="2" t="str">
        <f t="shared" si="5"/>
        <v>Yes</v>
      </c>
      <c r="S83" s="5">
        <f>IFERROR(INDEX(University_Exit!$H:$H,MATCH($B83,University_Exit!$B:$B,0)),"")</f>
        <v>87.9</v>
      </c>
      <c r="T83" s="6">
        <f>IFERROR(INDEX(University_Exit!$K:$K,MATCH($B83,University_Exit!$B:$B,0)),"")</f>
        <v>820</v>
      </c>
      <c r="U83" s="2" t="str">
        <f>IFERROR(INDEX(University_Exit!$G:$G,MATCH($B83,University_Exit!$B:$B,0)),"")</f>
        <v>Qatar Energy</v>
      </c>
    </row>
    <row r="84" spans="1:21" x14ac:dyDescent="0.3">
      <c r="A84" s="2" t="s">
        <v>185</v>
      </c>
      <c r="B84" s="2" t="s">
        <v>234</v>
      </c>
      <c r="C84" s="2" t="s">
        <v>235</v>
      </c>
      <c r="D84" s="2" t="s">
        <v>188</v>
      </c>
      <c r="E84" s="2" t="s">
        <v>189</v>
      </c>
      <c r="F84" s="5">
        <v>78.715999999999994</v>
      </c>
      <c r="G84" s="5">
        <v>97.424000000000007</v>
      </c>
      <c r="H84" s="5">
        <v>18.708000000000009</v>
      </c>
      <c r="I84" s="5">
        <f>IFERROR(INDEX(Baseline_Entry!$P:$P,MATCH($B84,Baseline_Entry!$B:$B,0)),"")</f>
        <v>78.769953051643185</v>
      </c>
      <c r="J84" s="2" t="str">
        <f t="shared" si="3"/>
        <v>Yes</v>
      </c>
      <c r="K84" s="2" t="str">
        <f t="shared" si="4"/>
        <v>Middle starter</v>
      </c>
      <c r="L84" s="2" t="s">
        <v>99</v>
      </c>
      <c r="M84" s="2" t="s">
        <v>66</v>
      </c>
      <c r="N84" s="2">
        <v>2</v>
      </c>
      <c r="O84" s="2" t="str">
        <f>IFERROR(INDEX(University_Exit!$D:$D,MATCH($B84,University_Exit!$B:$B,0)),"")</f>
        <v>Univerity of Sheffiled</v>
      </c>
      <c r="P84" s="2" t="str">
        <f>IFERROR(INDEX(University_Exit!$F:$F,MATCH($B84,University_Exit!$B:$B,0)),"")</f>
        <v>Computer Science</v>
      </c>
      <c r="Q84" s="2" t="str">
        <f>IFERROR(INDEX(University_Exit!$L:$L,MATCH($B84,University_Exit!$B:$B,0)),"")</f>
        <v>Yes</v>
      </c>
      <c r="R84" s="2" t="str">
        <f t="shared" si="5"/>
        <v>Yes</v>
      </c>
      <c r="S84" s="5">
        <f>IFERROR(INDEX(University_Exit!$H:$H,MATCH($B84,University_Exit!$B:$B,0)),"")</f>
        <v>96.9</v>
      </c>
      <c r="T84" s="6">
        <f>IFERROR(INDEX(University_Exit!$K:$K,MATCH($B84,University_Exit!$B:$B,0)),"")</f>
        <v>1130</v>
      </c>
      <c r="U84" s="2" t="str">
        <f>IFERROR(INDEX(University_Exit!$G:$G,MATCH($B84,University_Exit!$B:$B,0)),"")</f>
        <v>Qatar Energy</v>
      </c>
    </row>
    <row r="85" spans="1:21" x14ac:dyDescent="0.3">
      <c r="A85" s="2" t="s">
        <v>185</v>
      </c>
      <c r="B85" s="2" t="s">
        <v>236</v>
      </c>
      <c r="C85" s="2" t="s">
        <v>237</v>
      </c>
      <c r="D85" s="2" t="s">
        <v>188</v>
      </c>
      <c r="E85" s="2" t="s">
        <v>189</v>
      </c>
      <c r="F85" s="5">
        <v>90.943999999999988</v>
      </c>
      <c r="G85" s="5">
        <v>86.176000000000002</v>
      </c>
      <c r="H85" s="5">
        <v>-4.7679999999999856</v>
      </c>
      <c r="I85" s="5">
        <f>IFERROR(INDEX(Baseline_Entry!$P:$P,MATCH($B85,Baseline_Entry!$B:$B,0)),"")</f>
        <v>65.468544600938969</v>
      </c>
      <c r="J85" s="2" t="str">
        <f t="shared" si="3"/>
        <v>Yes</v>
      </c>
      <c r="K85" s="2" t="str">
        <f t="shared" si="4"/>
        <v>Low starter</v>
      </c>
      <c r="L85" s="2" t="s">
        <v>66</v>
      </c>
      <c r="M85" s="2" t="s">
        <v>65</v>
      </c>
      <c r="N85" s="2">
        <v>-1</v>
      </c>
      <c r="O85" s="2" t="str">
        <f>IFERROR(INDEX(University_Exit!$D:$D,MATCH($B85,University_Exit!$B:$B,0)),"")</f>
        <v>Texas A&amp;M University Qatar</v>
      </c>
      <c r="P85" s="2" t="str">
        <f>IFERROR(INDEX(University_Exit!$F:$F,MATCH($B85,University_Exit!$B:$B,0)),"")</f>
        <v>Mechanical Engineering</v>
      </c>
      <c r="Q85" s="2" t="str">
        <f>IFERROR(INDEX(University_Exit!$L:$L,MATCH($B85,University_Exit!$B:$B,0)),"")</f>
        <v>Yes</v>
      </c>
      <c r="R85" s="2" t="str">
        <f t="shared" si="5"/>
        <v>Yes</v>
      </c>
      <c r="S85" s="5">
        <f>IFERROR(INDEX(University_Exit!$H:$H,MATCH($B85,University_Exit!$B:$B,0)),"")</f>
        <v>76.8</v>
      </c>
      <c r="T85" s="6">
        <f>IFERROR(INDEX(University_Exit!$K:$K,MATCH($B85,University_Exit!$B:$B,0)),"")</f>
        <v>860</v>
      </c>
      <c r="U85" s="2" t="str">
        <f>IFERROR(INDEX(University_Exit!$G:$G,MATCH($B85,University_Exit!$B:$B,0)),"")</f>
        <v>وزارة الداخلية</v>
      </c>
    </row>
    <row r="86" spans="1:21" x14ac:dyDescent="0.3">
      <c r="A86" s="2" t="s">
        <v>185</v>
      </c>
      <c r="B86" s="2" t="s">
        <v>238</v>
      </c>
      <c r="C86" s="2" t="s">
        <v>239</v>
      </c>
      <c r="D86" s="2" t="s">
        <v>188</v>
      </c>
      <c r="E86" s="2" t="s">
        <v>189</v>
      </c>
      <c r="F86" s="5">
        <v>64.912000000000006</v>
      </c>
      <c r="G86" s="5">
        <v>95.8</v>
      </c>
      <c r="H86" s="5">
        <v>30.887999999999991</v>
      </c>
      <c r="I86" s="5">
        <f>IFERROR(INDEX(Baseline_Entry!$P:$P,MATCH($B86,Baseline_Entry!$B:$B,0)),"")</f>
        <v>66.764319248826297</v>
      </c>
      <c r="J86" s="2" t="str">
        <f t="shared" si="3"/>
        <v>Yes</v>
      </c>
      <c r="K86" s="2" t="str">
        <f t="shared" si="4"/>
        <v>Low starter</v>
      </c>
      <c r="L86" s="2" t="s">
        <v>120</v>
      </c>
      <c r="M86" s="2" t="s">
        <v>66</v>
      </c>
      <c r="N86" s="2">
        <v>3</v>
      </c>
      <c r="O86" s="2" t="str">
        <f>IFERROR(INDEX(University_Exit!$D:$D,MATCH($B86,University_Exit!$B:$B,0)),"")</f>
        <v>Cardiff University</v>
      </c>
      <c r="P86" s="2" t="str">
        <f>IFERROR(INDEX(University_Exit!$F:$F,MATCH($B86,University_Exit!$B:$B,0)),"")</f>
        <v>Mechanical Engineering</v>
      </c>
      <c r="Q86" s="2" t="str">
        <f>IFERROR(INDEX(University_Exit!$L:$L,MATCH($B86,University_Exit!$B:$B,0)),"")</f>
        <v>Yes</v>
      </c>
      <c r="R86" s="2" t="str">
        <f t="shared" si="5"/>
        <v>Yes</v>
      </c>
      <c r="S86" s="5">
        <f>IFERROR(INDEX(University_Exit!$H:$H,MATCH($B86,University_Exit!$B:$B,0)),"")</f>
        <v>94.1</v>
      </c>
      <c r="T86" s="6">
        <f>IFERROR(INDEX(University_Exit!$K:$K,MATCH($B86,University_Exit!$B:$B,0)),"")</f>
        <v>930</v>
      </c>
      <c r="U86" s="2" t="str">
        <f>IFERROR(INDEX(University_Exit!$G:$G,MATCH($B86,University_Exit!$B:$B,0)),"")</f>
        <v>Qatar Energy</v>
      </c>
    </row>
    <row r="87" spans="1:21" x14ac:dyDescent="0.3">
      <c r="A87" s="2" t="s">
        <v>185</v>
      </c>
      <c r="B87" s="2" t="s">
        <v>240</v>
      </c>
      <c r="C87" s="2" t="s">
        <v>241</v>
      </c>
      <c r="D87" s="2" t="s">
        <v>188</v>
      </c>
      <c r="E87" s="2" t="s">
        <v>189</v>
      </c>
      <c r="F87" s="5">
        <v>87.9</v>
      </c>
      <c r="G87" s="5">
        <v>93.6</v>
      </c>
      <c r="H87" s="5">
        <v>5.6999999999999886</v>
      </c>
      <c r="I87" s="5">
        <f>IFERROR(INDEX(Baseline_Entry!$P:$P,MATCH($B87,Baseline_Entry!$B:$B,0)),"")</f>
        <v>92.25352112676056</v>
      </c>
      <c r="J87" s="2" t="str">
        <f t="shared" si="3"/>
        <v>Yes</v>
      </c>
      <c r="K87" s="2" t="str">
        <f t="shared" si="4"/>
        <v>High starter</v>
      </c>
      <c r="L87" s="2" t="s">
        <v>65</v>
      </c>
      <c r="M87" s="2" t="s">
        <v>66</v>
      </c>
      <c r="N87" s="2">
        <v>1</v>
      </c>
      <c r="O87" s="2" t="str">
        <f>IFERROR(INDEX(University_Exit!$D:$D,MATCH($B87,University_Exit!$B:$B,0)),"")</f>
        <v>Newcastle University</v>
      </c>
      <c r="P87" s="2" t="str">
        <f>IFERROR(INDEX(University_Exit!$F:$F,MATCH($B87,University_Exit!$B:$B,0)),"")</f>
        <v>Electrial Engineering</v>
      </c>
      <c r="Q87" s="2" t="str">
        <f>IFERROR(INDEX(University_Exit!$L:$L,MATCH($B87,University_Exit!$B:$B,0)),"")</f>
        <v>Yes</v>
      </c>
      <c r="R87" s="2" t="str">
        <f t="shared" si="5"/>
        <v>Yes</v>
      </c>
      <c r="S87" s="5">
        <f>IFERROR(INDEX(University_Exit!$H:$H,MATCH($B87,University_Exit!$B:$B,0)),"")</f>
        <v>90.9</v>
      </c>
      <c r="T87" s="6">
        <f>IFERROR(INDEX(University_Exit!$K:$K,MATCH($B87,University_Exit!$B:$B,0)),"")</f>
        <v>1110</v>
      </c>
      <c r="U87" s="2" t="str">
        <f>IFERROR(INDEX(University_Exit!$G:$G,MATCH($B87,University_Exit!$B:$B,0)),"")</f>
        <v>Qatar Energy</v>
      </c>
    </row>
    <row r="88" spans="1:21" x14ac:dyDescent="0.3">
      <c r="A88" s="2" t="s">
        <v>185</v>
      </c>
      <c r="B88" s="2" t="s">
        <v>242</v>
      </c>
      <c r="C88" s="2" t="s">
        <v>243</v>
      </c>
      <c r="D88" s="2" t="s">
        <v>188</v>
      </c>
      <c r="E88" s="2" t="s">
        <v>189</v>
      </c>
      <c r="F88" s="5">
        <v>79.132000000000005</v>
      </c>
      <c r="G88" s="5">
        <v>97.024000000000001</v>
      </c>
      <c r="H88" s="5">
        <v>17.891999999999999</v>
      </c>
      <c r="I88" s="5">
        <f>IFERROR(INDEX(Baseline_Entry!$P:$P,MATCH($B88,Baseline_Entry!$B:$B,0)),"")</f>
        <v>107.76338028169015</v>
      </c>
      <c r="J88" s="2" t="str">
        <f t="shared" si="3"/>
        <v>Yes</v>
      </c>
      <c r="K88" s="2" t="str">
        <f t="shared" si="4"/>
        <v>High starter</v>
      </c>
      <c r="L88" s="2" t="s">
        <v>99</v>
      </c>
      <c r="M88" s="2" t="s">
        <v>66</v>
      </c>
      <c r="N88" s="2">
        <v>2</v>
      </c>
      <c r="O88" s="2" t="str">
        <f>IFERROR(INDEX(University_Exit!$D:$D,MATCH($B88,University_Exit!$B:$B,0)),"")</f>
        <v>Newcastle University</v>
      </c>
      <c r="P88" s="2" t="str">
        <f>IFERROR(INDEX(University_Exit!$F:$F,MATCH($B88,University_Exit!$B:$B,0)),"")</f>
        <v>Chemical engineering</v>
      </c>
      <c r="Q88" s="2" t="str">
        <f>IFERROR(INDEX(University_Exit!$L:$L,MATCH($B88,University_Exit!$B:$B,0)),"")</f>
        <v>Yes</v>
      </c>
      <c r="R88" s="2" t="str">
        <f t="shared" si="5"/>
        <v>Yes</v>
      </c>
      <c r="S88" s="5">
        <f>IFERROR(INDEX(University_Exit!$H:$H,MATCH($B88,University_Exit!$B:$B,0)),"")</f>
        <v>95.9</v>
      </c>
      <c r="T88" s="6">
        <f>IFERROR(INDEX(University_Exit!$K:$K,MATCH($B88,University_Exit!$B:$B,0)),"")</f>
        <v>1250</v>
      </c>
      <c r="U88" s="2" t="str">
        <f>IFERROR(INDEX(University_Exit!$G:$G,MATCH($B88,University_Exit!$B:$B,0)),"")</f>
        <v>Qatar Energy</v>
      </c>
    </row>
    <row r="89" spans="1:21" x14ac:dyDescent="0.3">
      <c r="A89" s="2" t="s">
        <v>185</v>
      </c>
      <c r="B89" s="2" t="s">
        <v>244</v>
      </c>
      <c r="C89" s="2" t="s">
        <v>245</v>
      </c>
      <c r="D89" s="2" t="s">
        <v>188</v>
      </c>
      <c r="E89" s="2" t="s">
        <v>189</v>
      </c>
      <c r="F89" s="5">
        <v>88.411999999999992</v>
      </c>
      <c r="G89" s="5">
        <v>95.951999999999998</v>
      </c>
      <c r="H89" s="5">
        <v>7.5400000000000063</v>
      </c>
      <c r="I89" s="5">
        <f>IFERROR(INDEX(Baseline_Entry!$P:$P,MATCH($B89,Baseline_Entry!$B:$B,0)),"")</f>
        <v>91.575586854460084</v>
      </c>
      <c r="J89" s="2" t="str">
        <f t="shared" si="3"/>
        <v>Yes</v>
      </c>
      <c r="K89" s="2" t="str">
        <f t="shared" si="4"/>
        <v>High starter</v>
      </c>
      <c r="L89" s="2" t="s">
        <v>65</v>
      </c>
      <c r="M89" s="2" t="s">
        <v>66</v>
      </c>
      <c r="N89" s="2">
        <v>1</v>
      </c>
      <c r="O89" s="2" t="str">
        <f>IFERROR(INDEX(University_Exit!$D:$D,MATCH($B89,University_Exit!$B:$B,0)),"")</f>
        <v>Uinversity of sheffiled</v>
      </c>
      <c r="P89" s="2" t="str">
        <f>IFERROR(INDEX(University_Exit!$F:$F,MATCH($B89,University_Exit!$B:$B,0)),"")</f>
        <v>Computer Science</v>
      </c>
      <c r="Q89" s="2" t="str">
        <f>IFERROR(INDEX(University_Exit!$L:$L,MATCH($B89,University_Exit!$B:$B,0)),"")</f>
        <v>Yes</v>
      </c>
      <c r="R89" s="2" t="str">
        <f t="shared" si="5"/>
        <v>Yes</v>
      </c>
      <c r="S89" s="5">
        <f>IFERROR(INDEX(University_Exit!$H:$H,MATCH($B89,University_Exit!$B:$B,0)),"")</f>
        <v>96.3</v>
      </c>
      <c r="T89" s="6">
        <f>IFERROR(INDEX(University_Exit!$K:$K,MATCH($B89,University_Exit!$B:$B,0)),"")</f>
        <v>940</v>
      </c>
      <c r="U89" s="2" t="str">
        <f>IFERROR(INDEX(University_Exit!$G:$G,MATCH($B89,University_Exit!$B:$B,0)),"")</f>
        <v>Qatar Energy</v>
      </c>
    </row>
    <row r="90" spans="1:21" x14ac:dyDescent="0.3">
      <c r="A90" s="2" t="s">
        <v>185</v>
      </c>
      <c r="B90" s="2" t="s">
        <v>246</v>
      </c>
      <c r="C90" s="2" t="s">
        <v>247</v>
      </c>
      <c r="D90" s="2" t="s">
        <v>188</v>
      </c>
      <c r="E90" s="2" t="s">
        <v>189</v>
      </c>
      <c r="F90" s="5">
        <v>0</v>
      </c>
      <c r="G90" s="5">
        <v>77.524000000000001</v>
      </c>
      <c r="H90" s="5">
        <v>77.524000000000001</v>
      </c>
      <c r="I90" s="5">
        <f>IFERROR(INDEX(Baseline_Entry!$P:$P,MATCH($B90,Baseline_Entry!$B:$B,0)),"")</f>
        <v>66.262910798122064</v>
      </c>
      <c r="J90" s="2" t="str">
        <f t="shared" si="3"/>
        <v>Yes</v>
      </c>
      <c r="K90" s="2" t="str">
        <f t="shared" si="4"/>
        <v>Low starter</v>
      </c>
      <c r="L90" s="2" t="s">
        <v>120</v>
      </c>
      <c r="M90" s="2" t="s">
        <v>99</v>
      </c>
      <c r="N90" s="2">
        <v>1</v>
      </c>
      <c r="O90" s="2" t="str">
        <f>IFERROR(INDEX(University_Exit!$D:$D,MATCH($B90,University_Exit!$B:$B,0)),"")</f>
        <v>Qatar University</v>
      </c>
      <c r="P90" s="2" t="str">
        <f>IFERROR(INDEX(University_Exit!$F:$F,MATCH($B90,University_Exit!$B:$B,0)),"")</f>
        <v>سنة اول تاسيسي</v>
      </c>
      <c r="Q90" s="2" t="str">
        <f>IFERROR(INDEX(University_Exit!$L:$L,MATCH($B90,University_Exit!$B:$B,0)),"")</f>
        <v>No</v>
      </c>
      <c r="R90" s="2" t="str">
        <f t="shared" si="5"/>
        <v>Yes</v>
      </c>
      <c r="S90" s="5">
        <f>IFERROR(INDEX(University_Exit!$H:$H,MATCH($B90,University_Exit!$B:$B,0)),"")</f>
        <v>90.9</v>
      </c>
      <c r="T90" s="6">
        <f>IFERROR(INDEX(University_Exit!$K:$K,MATCH($B90,University_Exit!$B:$B,0)),"")</f>
        <v>850</v>
      </c>
      <c r="U90" s="2" t="str">
        <f>IFERROR(INDEX(University_Exit!$G:$G,MATCH($B90,University_Exit!$B:$B,0)),"")</f>
        <v>لا يوجد</v>
      </c>
    </row>
    <row r="91" spans="1:21" x14ac:dyDescent="0.3">
      <c r="A91" s="2" t="s">
        <v>185</v>
      </c>
      <c r="B91" s="2" t="s">
        <v>248</v>
      </c>
      <c r="C91" s="2" t="s">
        <v>249</v>
      </c>
      <c r="D91" s="2" t="s">
        <v>188</v>
      </c>
      <c r="E91" s="2" t="s">
        <v>189</v>
      </c>
      <c r="F91" s="5">
        <v>67.507999999999996</v>
      </c>
      <c r="G91" s="5">
        <v>93.975999999999999</v>
      </c>
      <c r="H91" s="5">
        <v>26.468</v>
      </c>
      <c r="I91" s="5">
        <f>IFERROR(INDEX(Baseline_Entry!$P:$P,MATCH($B91,Baseline_Entry!$B:$B,0)),"")</f>
        <v>101.78403755868544</v>
      </c>
      <c r="J91" s="2" t="str">
        <f t="shared" si="3"/>
        <v>Yes</v>
      </c>
      <c r="K91" s="2" t="str">
        <f t="shared" si="4"/>
        <v>High starter</v>
      </c>
      <c r="L91" s="2" t="s">
        <v>120</v>
      </c>
      <c r="M91" s="2" t="s">
        <v>66</v>
      </c>
      <c r="N91" s="2">
        <v>3</v>
      </c>
      <c r="O91" s="2" t="str">
        <f>IFERROR(INDEX(University_Exit!$D:$D,MATCH($B91,University_Exit!$B:$B,0)),"")</f>
        <v>Swansea Univeristy</v>
      </c>
      <c r="P91" s="2" t="str">
        <f>IFERROR(INDEX(University_Exit!$F:$F,MATCH($B91,University_Exit!$B:$B,0)),"")</f>
        <v>Electrial Engineering</v>
      </c>
      <c r="Q91" s="2" t="str">
        <f>IFERROR(INDEX(University_Exit!$L:$L,MATCH($B91,University_Exit!$B:$B,0)),"")</f>
        <v>Yes</v>
      </c>
      <c r="R91" s="2" t="str">
        <f t="shared" si="5"/>
        <v>Yes</v>
      </c>
      <c r="S91" s="5">
        <f>IFERROR(INDEX(University_Exit!$H:$H,MATCH($B91,University_Exit!$B:$B,0)),"")</f>
        <v>95.1</v>
      </c>
      <c r="T91" s="6">
        <f>IFERROR(INDEX(University_Exit!$K:$K,MATCH($B91,University_Exit!$B:$B,0)),"")</f>
        <v>1220</v>
      </c>
      <c r="U91" s="2" t="str">
        <f>IFERROR(INDEX(University_Exit!$G:$G,MATCH($B91,University_Exit!$B:$B,0)),"")</f>
        <v>Qatar Energy</v>
      </c>
    </row>
    <row r="92" spans="1:21" x14ac:dyDescent="0.3">
      <c r="A92" s="2" t="s">
        <v>185</v>
      </c>
      <c r="B92" s="2" t="s">
        <v>250</v>
      </c>
      <c r="C92" s="2" t="s">
        <v>251</v>
      </c>
      <c r="D92" s="2" t="s">
        <v>188</v>
      </c>
      <c r="E92" s="2" t="s">
        <v>189</v>
      </c>
      <c r="F92" s="5">
        <v>71.555999999999997</v>
      </c>
      <c r="G92" s="5">
        <v>93.852000000000004</v>
      </c>
      <c r="H92" s="5">
        <v>22.29600000000001</v>
      </c>
      <c r="I92" s="5">
        <f>IFERROR(INDEX(Baseline_Entry!$P:$P,MATCH($B92,Baseline_Entry!$B:$B,0)),"")</f>
        <v>74.642253521126761</v>
      </c>
      <c r="J92" s="2" t="str">
        <f t="shared" si="3"/>
        <v>Yes</v>
      </c>
      <c r="K92" s="2" t="str">
        <f t="shared" si="4"/>
        <v>Middle starter</v>
      </c>
      <c r="L92" s="2" t="s">
        <v>99</v>
      </c>
      <c r="M92" s="2" t="s">
        <v>66</v>
      </c>
      <c r="N92" s="2">
        <v>2</v>
      </c>
      <c r="O92" s="2" t="str">
        <f>IFERROR(INDEX(University_Exit!$D:$D,MATCH($B92,University_Exit!$B:$B,0)),"")</f>
        <v>Swansea Univeristy</v>
      </c>
      <c r="P92" s="2" t="str">
        <f>IFERROR(INDEX(University_Exit!$F:$F,MATCH($B92,University_Exit!$B:$B,0)),"")</f>
        <v>Electrial Engineering</v>
      </c>
      <c r="Q92" s="2" t="str">
        <f>IFERROR(INDEX(University_Exit!$L:$L,MATCH($B92,University_Exit!$B:$B,0)),"")</f>
        <v>Yes</v>
      </c>
      <c r="R92" s="2" t="str">
        <f t="shared" si="5"/>
        <v>Yes</v>
      </c>
      <c r="S92" s="5">
        <f>IFERROR(INDEX(University_Exit!$H:$H,MATCH($B92,University_Exit!$B:$B,0)),"")</f>
        <v>94.5</v>
      </c>
      <c r="T92" s="6">
        <f>IFERROR(INDEX(University_Exit!$K:$K,MATCH($B92,University_Exit!$B:$B,0)),"")</f>
        <v>770</v>
      </c>
      <c r="U92" s="2" t="str">
        <f>IFERROR(INDEX(University_Exit!$G:$G,MATCH($B92,University_Exit!$B:$B,0)),"")</f>
        <v>Qatar Energy</v>
      </c>
    </row>
    <row r="93" spans="1:21" x14ac:dyDescent="0.3">
      <c r="A93" s="2" t="s">
        <v>185</v>
      </c>
      <c r="B93" s="2" t="s">
        <v>252</v>
      </c>
      <c r="C93" s="2" t="s">
        <v>253</v>
      </c>
      <c r="D93" s="2" t="s">
        <v>188</v>
      </c>
      <c r="E93" s="2" t="s">
        <v>189</v>
      </c>
      <c r="F93" s="5">
        <v>76.188000000000002</v>
      </c>
      <c r="G93" s="5">
        <v>84.4</v>
      </c>
      <c r="H93" s="5">
        <v>8.2120000000000033</v>
      </c>
      <c r="I93" s="5">
        <f>IFERROR(INDEX(Baseline_Entry!$P:$P,MATCH($B93,Baseline_Entry!$B:$B,0)),"")</f>
        <v>73.767136150234748</v>
      </c>
      <c r="J93" s="2" t="str">
        <f t="shared" si="3"/>
        <v>Yes</v>
      </c>
      <c r="K93" s="2" t="str">
        <f t="shared" si="4"/>
        <v>Middle starter</v>
      </c>
      <c r="L93" s="2" t="s">
        <v>99</v>
      </c>
      <c r="M93" s="2" t="s">
        <v>65</v>
      </c>
      <c r="N93" s="2">
        <v>1</v>
      </c>
      <c r="O93" s="2" t="str">
        <f>IFERROR(INDEX(University_Exit!$D:$D,MATCH($B93,University_Exit!$B:$B,0)),"")</f>
        <v>الجسر الاكاديمي</v>
      </c>
      <c r="P93" s="2" t="str">
        <f>IFERROR(INDEX(University_Exit!$F:$F,MATCH($B93,University_Exit!$B:$B,0)),"")</f>
        <v>تأسيسي</v>
      </c>
      <c r="Q93" s="2" t="str">
        <f>IFERROR(INDEX(University_Exit!$L:$L,MATCH($B93,University_Exit!$B:$B,0)),"")</f>
        <v>No</v>
      </c>
      <c r="R93" s="2" t="str">
        <f t="shared" si="5"/>
        <v>Yes</v>
      </c>
      <c r="S93" s="5">
        <f>IFERROR(INDEX(University_Exit!$H:$H,MATCH($B93,University_Exit!$B:$B,0)),"")</f>
        <v>85.3</v>
      </c>
      <c r="T93" s="6">
        <f>IFERROR(INDEX(University_Exit!$K:$K,MATCH($B93,University_Exit!$B:$B,0)),"")</f>
        <v>820</v>
      </c>
      <c r="U93" s="2" t="str">
        <f>IFERROR(INDEX(University_Exit!$G:$G,MATCH($B93,University_Exit!$B:$B,0)),"")</f>
        <v>لا يوجد</v>
      </c>
    </row>
    <row r="94" spans="1:21" x14ac:dyDescent="0.3">
      <c r="A94" s="2" t="s">
        <v>185</v>
      </c>
      <c r="B94" s="2" t="s">
        <v>254</v>
      </c>
      <c r="C94" s="2" t="s">
        <v>255</v>
      </c>
      <c r="D94" s="2" t="s">
        <v>188</v>
      </c>
      <c r="E94" s="2" t="s">
        <v>189</v>
      </c>
      <c r="F94" s="5">
        <v>85.823999999999998</v>
      </c>
      <c r="G94" s="5">
        <v>97.951999999999998</v>
      </c>
      <c r="H94" s="5">
        <v>12.128</v>
      </c>
      <c r="I94" s="5">
        <f>IFERROR(INDEX(Baseline_Entry!$P:$P,MATCH($B94,Baseline_Entry!$B:$B,0)),"")</f>
        <v>66.016901408450693</v>
      </c>
      <c r="J94" s="2" t="str">
        <f t="shared" si="3"/>
        <v>Yes</v>
      </c>
      <c r="K94" s="2" t="str">
        <f t="shared" si="4"/>
        <v>Low starter</v>
      </c>
      <c r="L94" s="2" t="s">
        <v>65</v>
      </c>
      <c r="M94" s="2" t="s">
        <v>66</v>
      </c>
      <c r="N94" s="2">
        <v>1</v>
      </c>
      <c r="O94" s="2" t="str">
        <f>IFERROR(INDEX(University_Exit!$D:$D,MATCH($B94,University_Exit!$B:$B,0)),"")</f>
        <v>Newcastle University</v>
      </c>
      <c r="P94" s="2" t="str">
        <f>IFERROR(INDEX(University_Exit!$F:$F,MATCH($B94,University_Exit!$B:$B,0)),"")</f>
        <v>Electrial Engineering</v>
      </c>
      <c r="Q94" s="2" t="str">
        <f>IFERROR(INDEX(University_Exit!$L:$L,MATCH($B94,University_Exit!$B:$B,0)),"")</f>
        <v>Yes</v>
      </c>
      <c r="R94" s="2" t="str">
        <f t="shared" si="5"/>
        <v>Yes</v>
      </c>
      <c r="S94" s="5">
        <f>IFERROR(INDEX(University_Exit!$H:$H,MATCH($B94,University_Exit!$B:$B,0)),"")</f>
        <v>97.8</v>
      </c>
      <c r="T94" s="6">
        <f>IFERROR(INDEX(University_Exit!$K:$K,MATCH($B94,University_Exit!$B:$B,0)),"")</f>
        <v>1270</v>
      </c>
      <c r="U94" s="2" t="str">
        <f>IFERROR(INDEX(University_Exit!$G:$G,MATCH($B94,University_Exit!$B:$B,0)),"")</f>
        <v>Qatar Energy</v>
      </c>
    </row>
    <row r="95" spans="1:21" x14ac:dyDescent="0.3">
      <c r="A95" s="2" t="s">
        <v>185</v>
      </c>
      <c r="B95" s="2" t="s">
        <v>256</v>
      </c>
      <c r="C95" s="2" t="s">
        <v>257</v>
      </c>
      <c r="D95" s="2" t="s">
        <v>188</v>
      </c>
      <c r="E95" s="2" t="s">
        <v>189</v>
      </c>
      <c r="F95" s="5">
        <v>78.668000000000006</v>
      </c>
      <c r="G95" s="5">
        <v>92.5</v>
      </c>
      <c r="H95" s="5">
        <v>13.83199999999999</v>
      </c>
      <c r="I95" s="5">
        <f>IFERROR(INDEX(Baseline_Entry!$P:$P,MATCH($B95,Baseline_Entry!$B:$B,0)),"")</f>
        <v>82.199061032863852</v>
      </c>
      <c r="J95" s="2" t="str">
        <f t="shared" si="3"/>
        <v>Yes</v>
      </c>
      <c r="K95" s="2" t="str">
        <f t="shared" si="4"/>
        <v>Middle starter</v>
      </c>
      <c r="L95" s="2" t="s">
        <v>99</v>
      </c>
      <c r="M95" s="2" t="s">
        <v>66</v>
      </c>
      <c r="N95" s="2">
        <v>2</v>
      </c>
      <c r="O95" s="2" t="str">
        <f>IFERROR(INDEX(University_Exit!$D:$D,MATCH($B95,University_Exit!$B:$B,0)),"")</f>
        <v>Qatar University</v>
      </c>
      <c r="P95" s="2" t="str">
        <f>IFERROR(INDEX(University_Exit!$F:$F,MATCH($B95,University_Exit!$B:$B,0)),"")</f>
        <v>Computer Science</v>
      </c>
      <c r="Q95" s="2" t="str">
        <f>IFERROR(INDEX(University_Exit!$L:$L,MATCH($B95,University_Exit!$B:$B,0)),"")</f>
        <v>Yes</v>
      </c>
      <c r="R95" s="2" t="str">
        <f t="shared" si="5"/>
        <v>Yes</v>
      </c>
      <c r="S95" s="5">
        <f>IFERROR(INDEX(University_Exit!$H:$H,MATCH($B95,University_Exit!$B:$B,0)),"")</f>
        <v>90.6</v>
      </c>
      <c r="T95" s="6">
        <f>IFERROR(INDEX(University_Exit!$K:$K,MATCH($B95,University_Exit!$B:$B,0)),"")</f>
        <v>990</v>
      </c>
      <c r="U95" s="2" t="str">
        <f>IFERROR(INDEX(University_Exit!$G:$G,MATCH($B95,University_Exit!$B:$B,0)),"")</f>
        <v>وزارة الدفاع</v>
      </c>
    </row>
    <row r="96" spans="1:21" x14ac:dyDescent="0.3">
      <c r="A96" s="2" t="s">
        <v>185</v>
      </c>
      <c r="B96" s="2" t="s">
        <v>258</v>
      </c>
      <c r="C96" s="2" t="s">
        <v>259</v>
      </c>
      <c r="D96" s="2" t="s">
        <v>188</v>
      </c>
      <c r="E96" s="2" t="s">
        <v>189</v>
      </c>
      <c r="F96" s="5">
        <v>72.452000000000012</v>
      </c>
      <c r="G96" s="5">
        <v>95.975999999999999</v>
      </c>
      <c r="H96" s="5">
        <v>23.52399999999999</v>
      </c>
      <c r="I96" s="5">
        <f>IFERROR(INDEX(Baseline_Entry!$P:$P,MATCH($B96,Baseline_Entry!$B:$B,0)),"")</f>
        <v>66.535211267605632</v>
      </c>
      <c r="J96" s="2" t="str">
        <f t="shared" si="3"/>
        <v>Yes</v>
      </c>
      <c r="K96" s="2" t="str">
        <f t="shared" si="4"/>
        <v>Low starter</v>
      </c>
      <c r="L96" s="2" t="s">
        <v>99</v>
      </c>
      <c r="M96" s="2" t="s">
        <v>66</v>
      </c>
      <c r="N96" s="2">
        <v>2</v>
      </c>
      <c r="O96" s="2" t="str">
        <f>IFERROR(INDEX(University_Exit!$D:$D,MATCH($B96,University_Exit!$B:$B,0)),"")</f>
        <v>Newcastle University</v>
      </c>
      <c r="P96" s="2" t="str">
        <f>IFERROR(INDEX(University_Exit!$F:$F,MATCH($B96,University_Exit!$B:$B,0)),"")</f>
        <v>Computer Science</v>
      </c>
      <c r="Q96" s="2" t="str">
        <f>IFERROR(INDEX(University_Exit!$L:$L,MATCH($B96,University_Exit!$B:$B,0)),"")</f>
        <v>Yes</v>
      </c>
      <c r="R96" s="2" t="str">
        <f t="shared" si="5"/>
        <v>Yes</v>
      </c>
      <c r="S96" s="5">
        <f>IFERROR(INDEX(University_Exit!$H:$H,MATCH($B96,University_Exit!$B:$B,0)),"")</f>
        <v>93.7</v>
      </c>
      <c r="T96" s="6">
        <f>IFERROR(INDEX(University_Exit!$K:$K,MATCH($B96,University_Exit!$B:$B,0)),"")</f>
        <v>900</v>
      </c>
      <c r="U96" s="2" t="str">
        <f>IFERROR(INDEX(University_Exit!$G:$G,MATCH($B96,University_Exit!$B:$B,0)),"")</f>
        <v>Qatar Energy</v>
      </c>
    </row>
    <row r="97" spans="1:21" x14ac:dyDescent="0.3">
      <c r="A97" s="2" t="s">
        <v>185</v>
      </c>
      <c r="B97" s="2" t="s">
        <v>260</v>
      </c>
      <c r="C97" s="2" t="s">
        <v>261</v>
      </c>
      <c r="D97" s="2" t="s">
        <v>188</v>
      </c>
      <c r="E97" s="2" t="s">
        <v>189</v>
      </c>
      <c r="F97" s="5">
        <v>92.772000000000006</v>
      </c>
      <c r="G97" s="5">
        <v>85.251999999999995</v>
      </c>
      <c r="H97" s="5">
        <v>-7.5200000000000102</v>
      </c>
      <c r="I97" s="5">
        <f>IFERROR(INDEX(Baseline_Entry!$P:$P,MATCH($B97,Baseline_Entry!$B:$B,0)),"")</f>
        <v>82.497652582159631</v>
      </c>
      <c r="J97" s="2" t="str">
        <f t="shared" si="3"/>
        <v>Yes</v>
      </c>
      <c r="K97" s="2" t="str">
        <f t="shared" si="4"/>
        <v>Middle starter</v>
      </c>
      <c r="L97" s="2" t="s">
        <v>66</v>
      </c>
      <c r="M97" s="2" t="s">
        <v>65</v>
      </c>
      <c r="N97" s="2">
        <v>-1</v>
      </c>
      <c r="O97" s="2" t="str">
        <f>IFERROR(INDEX(University_Exit!$D:$D,MATCH($B97,University_Exit!$B:$B,0)),"")</f>
        <v>Qatar University</v>
      </c>
      <c r="P97" s="2" t="str">
        <f>IFERROR(INDEX(University_Exit!$F:$F,MATCH($B97,University_Exit!$B:$B,0)),"")</f>
        <v>Computer Science</v>
      </c>
      <c r="Q97" s="2" t="str">
        <f>IFERROR(INDEX(University_Exit!$L:$L,MATCH($B97,University_Exit!$B:$B,0)),"")</f>
        <v>Yes</v>
      </c>
      <c r="R97" s="2" t="str">
        <f t="shared" si="5"/>
        <v>Yes</v>
      </c>
      <c r="S97" s="5">
        <f>IFERROR(INDEX(University_Exit!$H:$H,MATCH($B97,University_Exit!$B:$B,0)),"")</f>
        <v>77.5</v>
      </c>
      <c r="T97" s="6">
        <f>IFERROR(INDEX(University_Exit!$K:$K,MATCH($B97,University_Exit!$B:$B,0)),"")</f>
        <v>820</v>
      </c>
      <c r="U97" s="2">
        <f>IFERROR(INDEX(University_Exit!$G:$G,MATCH($B97,University_Exit!$B:$B,0)),"")</f>
        <v>0</v>
      </c>
    </row>
    <row r="98" spans="1:21" x14ac:dyDescent="0.3">
      <c r="A98" s="2" t="s">
        <v>185</v>
      </c>
      <c r="B98" s="2" t="s">
        <v>262</v>
      </c>
      <c r="C98" s="2" t="s">
        <v>263</v>
      </c>
      <c r="D98" s="2" t="s">
        <v>188</v>
      </c>
      <c r="E98" s="2" t="s">
        <v>189</v>
      </c>
      <c r="F98" s="5">
        <v>73.623999999999995</v>
      </c>
      <c r="G98" s="5">
        <v>97.224000000000004</v>
      </c>
      <c r="H98" s="5">
        <v>23.600000000000009</v>
      </c>
      <c r="I98" s="5">
        <f>IFERROR(INDEX(Baseline_Entry!$P:$P,MATCH($B98,Baseline_Entry!$B:$B,0)),"")</f>
        <v>76.8075117370892</v>
      </c>
      <c r="J98" s="2" t="str">
        <f t="shared" si="3"/>
        <v>Yes</v>
      </c>
      <c r="K98" s="2" t="str">
        <f t="shared" si="4"/>
        <v>Middle starter</v>
      </c>
      <c r="L98" s="2" t="s">
        <v>99</v>
      </c>
      <c r="M98" s="2" t="s">
        <v>66</v>
      </c>
      <c r="N98" s="2">
        <v>2</v>
      </c>
      <c r="O98" s="2" t="str">
        <f>IFERROR(INDEX(University_Exit!$D:$D,MATCH($B98,University_Exit!$B:$B,0)),"")</f>
        <v>Carnegie Mellon University Qatar</v>
      </c>
      <c r="P98" s="2" t="str">
        <f>IFERROR(INDEX(University_Exit!$F:$F,MATCH($B98,University_Exit!$B:$B,0)),"")</f>
        <v>Computer Science</v>
      </c>
      <c r="Q98" s="2" t="str">
        <f>IFERROR(INDEX(University_Exit!$L:$L,MATCH($B98,University_Exit!$B:$B,0)),"")</f>
        <v>Yes</v>
      </c>
      <c r="R98" s="2" t="str">
        <f t="shared" si="5"/>
        <v>Yes</v>
      </c>
      <c r="S98" s="5">
        <f>IFERROR(INDEX(University_Exit!$H:$H,MATCH($B98,University_Exit!$B:$B,0)),"")</f>
        <v>96.8</v>
      </c>
      <c r="T98" s="6">
        <f>IFERROR(INDEX(University_Exit!$K:$K,MATCH($B98,University_Exit!$B:$B,0)),"")</f>
        <v>1150</v>
      </c>
      <c r="U98" s="2" t="str">
        <f>IFERROR(INDEX(University_Exit!$G:$G,MATCH($B98,University_Exit!$B:$B,0)),"")</f>
        <v>Qatar Energy</v>
      </c>
    </row>
    <row r="99" spans="1:21" x14ac:dyDescent="0.3">
      <c r="A99" s="2" t="s">
        <v>185</v>
      </c>
      <c r="B99" s="2" t="s">
        <v>264</v>
      </c>
      <c r="C99" s="2" t="s">
        <v>265</v>
      </c>
      <c r="D99" s="2" t="s">
        <v>188</v>
      </c>
      <c r="E99" s="2" t="s">
        <v>189</v>
      </c>
      <c r="F99" s="5">
        <v>86.963999999999999</v>
      </c>
      <c r="G99" s="5">
        <v>89.6</v>
      </c>
      <c r="H99" s="5">
        <v>2.6359999999999961</v>
      </c>
      <c r="I99" s="5">
        <f>IFERROR(INDEX(Baseline_Entry!$P:$P,MATCH($B99,Baseline_Entry!$B:$B,0)),"")</f>
        <v>60.987793427230052</v>
      </c>
      <c r="J99" s="2" t="str">
        <f t="shared" si="3"/>
        <v>Yes</v>
      </c>
      <c r="K99" s="2" t="str">
        <f t="shared" si="4"/>
        <v>Low starter</v>
      </c>
      <c r="L99" s="2" t="s">
        <v>65</v>
      </c>
      <c r="M99" s="2" t="s">
        <v>65</v>
      </c>
      <c r="N99" s="2">
        <v>0</v>
      </c>
      <c r="O99" s="2" t="str">
        <f>IFERROR(INDEX(University_Exit!$D:$D,MATCH($B99,University_Exit!$B:$B,0)),"")</f>
        <v>Blackpool and the Fylde College</v>
      </c>
      <c r="P99" s="2" t="str">
        <f>IFERROR(INDEX(University_Exit!$F:$F,MATCH($B99,University_Exit!$B:$B,0)),"")</f>
        <v>Marine engineering</v>
      </c>
      <c r="Q99" s="2" t="str">
        <f>IFERROR(INDEX(University_Exit!$L:$L,MATCH($B99,University_Exit!$B:$B,0)),"")</f>
        <v>Yes</v>
      </c>
      <c r="R99" s="2" t="str">
        <f t="shared" si="5"/>
        <v>Yes</v>
      </c>
      <c r="S99" s="5">
        <f>IFERROR(INDEX(University_Exit!$H:$H,MATCH($B99,University_Exit!$B:$B,0)),"")</f>
        <v>82.1</v>
      </c>
      <c r="T99" s="6">
        <f>IFERROR(INDEX(University_Exit!$K:$K,MATCH($B99,University_Exit!$B:$B,0)),"")</f>
        <v>890</v>
      </c>
      <c r="U99" s="2" t="str">
        <f>IFERROR(INDEX(University_Exit!$G:$G,MATCH($B99,University_Exit!$B:$B,0)),"")</f>
        <v>Qatar Energy</v>
      </c>
    </row>
    <row r="100" spans="1:21" x14ac:dyDescent="0.3">
      <c r="A100" s="2" t="s">
        <v>185</v>
      </c>
      <c r="B100" s="2" t="s">
        <v>266</v>
      </c>
      <c r="C100" s="2" t="s">
        <v>267</v>
      </c>
      <c r="D100" s="2" t="s">
        <v>188</v>
      </c>
      <c r="E100" s="2" t="s">
        <v>189</v>
      </c>
      <c r="F100" s="5">
        <v>58.784000000000013</v>
      </c>
      <c r="G100" s="5">
        <v>77.5</v>
      </c>
      <c r="H100" s="5">
        <v>18.71599999999999</v>
      </c>
      <c r="I100" s="5">
        <f>IFERROR(INDEX(Baseline_Entry!$P:$P,MATCH($B100,Baseline_Entry!$B:$B,0)),"")</f>
        <v>72.514553990610338</v>
      </c>
      <c r="J100" s="2" t="str">
        <f t="shared" si="3"/>
        <v>Yes</v>
      </c>
      <c r="K100" s="2" t="str">
        <f t="shared" si="4"/>
        <v>Middle starter</v>
      </c>
      <c r="L100" s="2" t="s">
        <v>120</v>
      </c>
      <c r="M100" s="2" t="s">
        <v>99</v>
      </c>
      <c r="N100" s="2">
        <v>1</v>
      </c>
      <c r="O100" s="2" t="str">
        <f>IFERROR(INDEX(University_Exit!$D:$D,MATCH($B100,University_Exit!$B:$B,0)),"")</f>
        <v>Qatar University</v>
      </c>
      <c r="P100" s="2" t="str">
        <f>IFERROR(INDEX(University_Exit!$F:$F,MATCH($B100,University_Exit!$B:$B,0)),"")</f>
        <v>computer Engineering</v>
      </c>
      <c r="Q100" s="2" t="str">
        <f>IFERROR(INDEX(University_Exit!$L:$L,MATCH($B100,University_Exit!$B:$B,0)),"")</f>
        <v>Yes</v>
      </c>
      <c r="R100" s="2" t="str">
        <f t="shared" si="5"/>
        <v>Yes</v>
      </c>
      <c r="S100" s="5">
        <f>IFERROR(INDEX(University_Exit!$H:$H,MATCH($B100,University_Exit!$B:$B,0)),"")</f>
        <v>90.7</v>
      </c>
      <c r="T100" s="6">
        <f>IFERROR(INDEX(University_Exit!$K:$K,MATCH($B100,University_Exit!$B:$B,0)),"")</f>
        <v>780</v>
      </c>
      <c r="U100" s="2" t="str">
        <f>IFERROR(INDEX(University_Exit!$G:$G,MATCH($B100,University_Exit!$B:$B,0)),"")</f>
        <v>لا يوجد</v>
      </c>
    </row>
    <row r="101" spans="1:21" x14ac:dyDescent="0.3">
      <c r="A101" s="2" t="s">
        <v>185</v>
      </c>
      <c r="B101" s="2" t="s">
        <v>268</v>
      </c>
      <c r="C101" s="2" t="s">
        <v>269</v>
      </c>
      <c r="D101" s="2" t="s">
        <v>188</v>
      </c>
      <c r="E101" s="2" t="s">
        <v>189</v>
      </c>
      <c r="F101" s="5">
        <v>84.807999999999993</v>
      </c>
      <c r="G101" s="5">
        <v>95.8</v>
      </c>
      <c r="H101" s="5">
        <v>10.992000000000001</v>
      </c>
      <c r="I101" s="5">
        <f>IFERROR(INDEX(Baseline_Entry!$P:$P,MATCH($B101,Baseline_Entry!$B:$B,0)),"")</f>
        <v>82.306103286384982</v>
      </c>
      <c r="J101" s="2" t="str">
        <f t="shared" si="3"/>
        <v>Yes</v>
      </c>
      <c r="K101" s="2" t="str">
        <f t="shared" si="4"/>
        <v>Middle starter</v>
      </c>
      <c r="L101" s="2" t="s">
        <v>65</v>
      </c>
      <c r="M101" s="2" t="s">
        <v>66</v>
      </c>
      <c r="N101" s="2">
        <v>1</v>
      </c>
      <c r="O101" s="2" t="str">
        <f>IFERROR(INDEX(University_Exit!$D:$D,MATCH($B101,University_Exit!$B:$B,0)),"")</f>
        <v>Carnegie Mellon University Qatar</v>
      </c>
      <c r="P101" s="2" t="str">
        <f>IFERROR(INDEX(University_Exit!$F:$F,MATCH($B101,University_Exit!$B:$B,0)),"")</f>
        <v>Computer Science</v>
      </c>
      <c r="Q101" s="2" t="str">
        <f>IFERROR(INDEX(University_Exit!$L:$L,MATCH($B101,University_Exit!$B:$B,0)),"")</f>
        <v>Yes</v>
      </c>
      <c r="R101" s="2" t="str">
        <f t="shared" si="5"/>
        <v>Yes</v>
      </c>
      <c r="S101" s="5">
        <f>IFERROR(INDEX(University_Exit!$H:$H,MATCH($B101,University_Exit!$B:$B,0)),"")</f>
        <v>95.9</v>
      </c>
      <c r="T101" s="6">
        <f>IFERROR(INDEX(University_Exit!$K:$K,MATCH($B101,University_Exit!$B:$B,0)),"")</f>
        <v>1040</v>
      </c>
      <c r="U101" s="2" t="str">
        <f>IFERROR(INDEX(University_Exit!$G:$G,MATCH($B101,University_Exit!$B:$B,0)),"")</f>
        <v>Qatar Ebergy</v>
      </c>
    </row>
    <row r="102" spans="1:21" x14ac:dyDescent="0.3">
      <c r="A102" s="2" t="s">
        <v>185</v>
      </c>
      <c r="B102" s="2" t="s">
        <v>270</v>
      </c>
      <c r="C102" s="2" t="s">
        <v>271</v>
      </c>
      <c r="D102" s="2" t="s">
        <v>188</v>
      </c>
      <c r="E102" s="2" t="s">
        <v>189</v>
      </c>
      <c r="F102" s="5">
        <v>77.128</v>
      </c>
      <c r="G102" s="5">
        <v>94.676000000000002</v>
      </c>
      <c r="H102" s="5">
        <v>17.547999999999998</v>
      </c>
      <c r="I102" s="5">
        <f>IFERROR(INDEX(Baseline_Entry!$P:$P,MATCH($B102,Baseline_Entry!$B:$B,0)),"")</f>
        <v>71.297652582159628</v>
      </c>
      <c r="J102" s="2" t="str">
        <f t="shared" si="3"/>
        <v>Yes</v>
      </c>
      <c r="K102" s="2" t="str">
        <f t="shared" si="4"/>
        <v>Middle starter</v>
      </c>
      <c r="L102" s="2" t="s">
        <v>99</v>
      </c>
      <c r="M102" s="2" t="s">
        <v>66</v>
      </c>
      <c r="N102" s="2">
        <v>2</v>
      </c>
      <c r="O102" s="2" t="str">
        <f>IFERROR(INDEX(University_Exit!$D:$D,MATCH($B102,University_Exit!$B:$B,0)),"")</f>
        <v>Strathclyde Univerity</v>
      </c>
      <c r="P102" s="2" t="str">
        <f>IFERROR(INDEX(University_Exit!$F:$F,MATCH($B102,University_Exit!$B:$B,0)),"")</f>
        <v>Chemical engineering</v>
      </c>
      <c r="Q102" s="2" t="str">
        <f>IFERROR(INDEX(University_Exit!$L:$L,MATCH($B102,University_Exit!$B:$B,0)),"")</f>
        <v>Yes</v>
      </c>
      <c r="R102" s="2" t="str">
        <f t="shared" si="5"/>
        <v>Yes</v>
      </c>
      <c r="S102" s="5">
        <f>IFERROR(INDEX(University_Exit!$H:$H,MATCH($B102,University_Exit!$B:$B,0)),"")</f>
        <v>93.4</v>
      </c>
      <c r="T102" s="6">
        <f>IFERROR(INDEX(University_Exit!$K:$K,MATCH($B102,University_Exit!$B:$B,0)),"")</f>
        <v>1040</v>
      </c>
      <c r="U102" s="2" t="str">
        <f>IFERROR(INDEX(University_Exit!$G:$G,MATCH($B102,University_Exit!$B:$B,0)),"")</f>
        <v>Qatar Energy</v>
      </c>
    </row>
    <row r="103" spans="1:21" x14ac:dyDescent="0.3">
      <c r="A103" s="2" t="s">
        <v>185</v>
      </c>
      <c r="B103" s="2" t="s">
        <v>272</v>
      </c>
      <c r="C103" s="2" t="s">
        <v>273</v>
      </c>
      <c r="D103" s="2" t="s">
        <v>188</v>
      </c>
      <c r="E103" s="2" t="s">
        <v>189</v>
      </c>
      <c r="F103" s="5">
        <v>90.332000000000008</v>
      </c>
      <c r="G103" s="5">
        <v>96.376000000000005</v>
      </c>
      <c r="H103" s="5">
        <v>6.0439999999999969</v>
      </c>
      <c r="I103" s="5">
        <f>IFERROR(INDEX(Baseline_Entry!$P:$P,MATCH($B103,Baseline_Entry!$B:$B,0)),"")</f>
        <v>87.111737089201881</v>
      </c>
      <c r="J103" s="2" t="str">
        <f t="shared" si="3"/>
        <v>Yes</v>
      </c>
      <c r="K103" s="2" t="str">
        <f t="shared" si="4"/>
        <v>High starter</v>
      </c>
      <c r="L103" s="2" t="s">
        <v>66</v>
      </c>
      <c r="M103" s="2" t="s">
        <v>66</v>
      </c>
      <c r="N103" s="2">
        <v>0</v>
      </c>
      <c r="O103" s="2" t="str">
        <f>IFERROR(INDEX(University_Exit!$D:$D,MATCH($B103,University_Exit!$B:$B,0)),"")</f>
        <v>Carnegie Mellon University Qatar</v>
      </c>
      <c r="P103" s="2" t="str">
        <f>IFERROR(INDEX(University_Exit!$F:$F,MATCH($B103,University_Exit!$B:$B,0)),"")</f>
        <v>Computer Science</v>
      </c>
      <c r="Q103" s="2" t="str">
        <f>IFERROR(INDEX(University_Exit!$L:$L,MATCH($B103,University_Exit!$B:$B,0)),"")</f>
        <v>Yes</v>
      </c>
      <c r="R103" s="2" t="str">
        <f t="shared" si="5"/>
        <v>Yes</v>
      </c>
      <c r="S103" s="5">
        <f>IFERROR(INDEX(University_Exit!$H:$H,MATCH($B103,University_Exit!$B:$B,0)),"")</f>
        <v>95.4</v>
      </c>
      <c r="T103" s="6">
        <f>IFERROR(INDEX(University_Exit!$K:$K,MATCH($B103,University_Exit!$B:$B,0)),"")</f>
        <v>1130</v>
      </c>
      <c r="U103" s="2" t="str">
        <f>IFERROR(INDEX(University_Exit!$G:$G,MATCH($B103,University_Exit!$B:$B,0)),"")</f>
        <v>وزارة الداخلية</v>
      </c>
    </row>
    <row r="104" spans="1:21" x14ac:dyDescent="0.3">
      <c r="A104" s="2" t="s">
        <v>185</v>
      </c>
      <c r="B104" s="2" t="s">
        <v>274</v>
      </c>
      <c r="C104" s="2" t="s">
        <v>275</v>
      </c>
      <c r="D104" s="2" t="s">
        <v>188</v>
      </c>
      <c r="E104" s="2" t="s">
        <v>189</v>
      </c>
      <c r="F104" s="5">
        <v>71.08</v>
      </c>
      <c r="G104" s="5">
        <v>93.775999999999996</v>
      </c>
      <c r="H104" s="5">
        <v>22.696000000000002</v>
      </c>
      <c r="I104" s="5">
        <f>IFERROR(INDEX(Baseline_Entry!$P:$P,MATCH($B104,Baseline_Entry!$B:$B,0)),"")</f>
        <v>77.153051643192498</v>
      </c>
      <c r="J104" s="2" t="str">
        <f t="shared" si="3"/>
        <v>Yes</v>
      </c>
      <c r="K104" s="2" t="str">
        <f t="shared" si="4"/>
        <v>Middle starter</v>
      </c>
      <c r="L104" s="2" t="s">
        <v>99</v>
      </c>
      <c r="M104" s="2" t="s">
        <v>66</v>
      </c>
      <c r="N104" s="2">
        <v>2</v>
      </c>
      <c r="O104" s="2" t="str">
        <f>IFERROR(INDEX(University_Exit!$D:$D,MATCH($B104,University_Exit!$B:$B,0)),"")</f>
        <v>Carnegie Mellon University Qatar</v>
      </c>
      <c r="P104" s="2" t="str">
        <f>IFERROR(INDEX(University_Exit!$F:$F,MATCH($B104,University_Exit!$B:$B,0)),"")</f>
        <v>Information Technology</v>
      </c>
      <c r="Q104" s="2" t="str">
        <f>IFERROR(INDEX(University_Exit!$L:$L,MATCH($B104,University_Exit!$B:$B,0)),"")</f>
        <v>Yes</v>
      </c>
      <c r="R104" s="2" t="str">
        <f t="shared" si="5"/>
        <v>Yes</v>
      </c>
      <c r="S104" s="5">
        <f>IFERROR(INDEX(University_Exit!$H:$H,MATCH($B104,University_Exit!$B:$B,0)),"")</f>
        <v>92.3</v>
      </c>
      <c r="T104" s="6">
        <f>IFERROR(INDEX(University_Exit!$K:$K,MATCH($B104,University_Exit!$B:$B,0)),"")</f>
        <v>990</v>
      </c>
      <c r="U104" s="2" t="str">
        <f>IFERROR(INDEX(University_Exit!$G:$G,MATCH($B104,University_Exit!$B:$B,0)),"")</f>
        <v>وزارة الخالية</v>
      </c>
    </row>
    <row r="105" spans="1:21" x14ac:dyDescent="0.3">
      <c r="A105" s="2" t="s">
        <v>185</v>
      </c>
      <c r="B105" s="2" t="s">
        <v>276</v>
      </c>
      <c r="C105" s="2" t="s">
        <v>277</v>
      </c>
      <c r="D105" s="2" t="s">
        <v>188</v>
      </c>
      <c r="E105" s="2" t="s">
        <v>189</v>
      </c>
      <c r="F105" s="5">
        <v>81.78</v>
      </c>
      <c r="G105" s="5">
        <v>89.352000000000004</v>
      </c>
      <c r="H105" s="5">
        <v>7.5720000000000027</v>
      </c>
      <c r="I105" s="5">
        <f>IFERROR(INDEX(Baseline_Entry!$P:$P,MATCH($B105,Baseline_Entry!$B:$B,0)),"")</f>
        <v>62.507042253521128</v>
      </c>
      <c r="J105" s="2" t="str">
        <f t="shared" si="3"/>
        <v>Yes</v>
      </c>
      <c r="K105" s="2" t="str">
        <f t="shared" si="4"/>
        <v>Low starter</v>
      </c>
      <c r="L105" s="2" t="s">
        <v>65</v>
      </c>
      <c r="M105" s="2" t="s">
        <v>65</v>
      </c>
      <c r="N105" s="2">
        <v>0</v>
      </c>
      <c r="O105" s="2" t="str">
        <f>IFERROR(INDEX(University_Exit!$D:$D,MATCH($B105,University_Exit!$B:$B,0)),"")</f>
        <v>Qatar University</v>
      </c>
      <c r="P105" s="2" t="str">
        <f>IFERROR(INDEX(University_Exit!$F:$F,MATCH($B105,University_Exit!$B:$B,0)),"")</f>
        <v>Computer Science</v>
      </c>
      <c r="Q105" s="2" t="str">
        <f>IFERROR(INDEX(University_Exit!$L:$L,MATCH($B105,University_Exit!$B:$B,0)),"")</f>
        <v>Yes</v>
      </c>
      <c r="R105" s="2" t="str">
        <f t="shared" si="5"/>
        <v>Yes</v>
      </c>
      <c r="S105" s="5">
        <f>IFERROR(INDEX(University_Exit!$H:$H,MATCH($B105,University_Exit!$B:$B,0)),"")</f>
        <v>89</v>
      </c>
      <c r="T105" s="6">
        <f>IFERROR(INDEX(University_Exit!$K:$K,MATCH($B105,University_Exit!$B:$B,0)),"")</f>
        <v>890</v>
      </c>
      <c r="U105" s="2" t="str">
        <f>IFERROR(INDEX(University_Exit!$G:$G,MATCH($B105,University_Exit!$B:$B,0)),"")</f>
        <v>Ministry of Education</v>
      </c>
    </row>
    <row r="106" spans="1:21" x14ac:dyDescent="0.3">
      <c r="A106" s="2" t="s">
        <v>185</v>
      </c>
      <c r="B106" s="2" t="s">
        <v>278</v>
      </c>
      <c r="C106" s="2" t="s">
        <v>279</v>
      </c>
      <c r="D106" s="2" t="s">
        <v>188</v>
      </c>
      <c r="E106" s="2" t="s">
        <v>189</v>
      </c>
      <c r="F106" s="5">
        <v>77.176000000000002</v>
      </c>
      <c r="G106" s="5">
        <v>98.676000000000002</v>
      </c>
      <c r="H106" s="5">
        <v>21.5</v>
      </c>
      <c r="I106" s="5">
        <f>IFERROR(INDEX(Baseline_Entry!$P:$P,MATCH($B106,Baseline_Entry!$B:$B,0)),"")</f>
        <v>113.68826291079813</v>
      </c>
      <c r="J106" s="2" t="str">
        <f t="shared" si="3"/>
        <v>Yes</v>
      </c>
      <c r="K106" s="2" t="str">
        <f t="shared" si="4"/>
        <v>High starter</v>
      </c>
      <c r="L106" s="2" t="s">
        <v>99</v>
      </c>
      <c r="M106" s="2" t="s">
        <v>66</v>
      </c>
      <c r="N106" s="2">
        <v>2</v>
      </c>
      <c r="O106" s="2" t="str">
        <f>IFERROR(INDEX(University_Exit!$D:$D,MATCH($B106,University_Exit!$B:$B,0)),"")</f>
        <v>Weill Conrell</v>
      </c>
      <c r="P106" s="2" t="str">
        <f>IFERROR(INDEX(University_Exit!$F:$F,MATCH($B106,University_Exit!$B:$B,0)),"")</f>
        <v>Medicine</v>
      </c>
      <c r="Q106" s="2" t="str">
        <f>IFERROR(INDEX(University_Exit!$L:$L,MATCH($B106,University_Exit!$B:$B,0)),"")</f>
        <v>Yes</v>
      </c>
      <c r="R106" s="2" t="str">
        <f t="shared" si="5"/>
        <v>Yes</v>
      </c>
      <c r="S106" s="5">
        <f>IFERROR(INDEX(University_Exit!$H:$H,MATCH($B106,University_Exit!$B:$B,0)),"")</f>
        <v>97.6</v>
      </c>
      <c r="T106" s="6">
        <f>IFERROR(INDEX(University_Exit!$K:$K,MATCH($B106,University_Exit!$B:$B,0)),"")</f>
        <v>1200</v>
      </c>
      <c r="U106" s="2" t="str">
        <f>IFERROR(INDEX(University_Exit!$G:$G,MATCH($B106,University_Exit!$B:$B,0)),"")</f>
        <v>Ministry of Education</v>
      </c>
    </row>
    <row r="107" spans="1:21" x14ac:dyDescent="0.3">
      <c r="A107" s="2" t="s">
        <v>185</v>
      </c>
      <c r="B107" s="2" t="s">
        <v>280</v>
      </c>
      <c r="C107" s="2" t="s">
        <v>281</v>
      </c>
      <c r="D107" s="2" t="s">
        <v>188</v>
      </c>
      <c r="E107" s="2" t="s">
        <v>189</v>
      </c>
      <c r="F107" s="5">
        <v>75.763999999999996</v>
      </c>
      <c r="G107" s="5">
        <v>92.024000000000001</v>
      </c>
      <c r="H107" s="5">
        <v>16.260000000000009</v>
      </c>
      <c r="I107" s="5">
        <f>IFERROR(INDEX(Baseline_Entry!$P:$P,MATCH($B107,Baseline_Entry!$B:$B,0)),"")</f>
        <v>76.540845070422549</v>
      </c>
      <c r="J107" s="2" t="str">
        <f t="shared" si="3"/>
        <v>Yes</v>
      </c>
      <c r="K107" s="2" t="str">
        <f t="shared" si="4"/>
        <v>Middle starter</v>
      </c>
      <c r="L107" s="2" t="s">
        <v>99</v>
      </c>
      <c r="M107" s="2" t="s">
        <v>66</v>
      </c>
      <c r="N107" s="2">
        <v>2</v>
      </c>
      <c r="O107" s="2" t="str">
        <f>IFERROR(INDEX(University_Exit!$D:$D,MATCH($B107,University_Exit!$B:$B,0)),"")</f>
        <v>Carnegie Mellon University Qatar</v>
      </c>
      <c r="P107" s="2" t="str">
        <f>IFERROR(INDEX(University_Exit!$F:$F,MATCH($B107,University_Exit!$B:$B,0)),"")</f>
        <v>Computer Science</v>
      </c>
      <c r="Q107" s="2" t="str">
        <f>IFERROR(INDEX(University_Exit!$L:$L,MATCH($B107,University_Exit!$B:$B,0)),"")</f>
        <v>Yes</v>
      </c>
      <c r="R107" s="2" t="str">
        <f t="shared" si="5"/>
        <v>Yes</v>
      </c>
      <c r="S107" s="5">
        <f>IFERROR(INDEX(University_Exit!$H:$H,MATCH($B107,University_Exit!$B:$B,0)),"")</f>
        <v>92.3</v>
      </c>
      <c r="T107" s="6">
        <f>IFERROR(INDEX(University_Exit!$K:$K,MATCH($B107,University_Exit!$B:$B,0)),"")</f>
        <v>1030</v>
      </c>
      <c r="U107" s="2" t="str">
        <f>IFERROR(INDEX(University_Exit!$G:$G,MATCH($B107,University_Exit!$B:$B,0)),"")</f>
        <v>Ministry of Education</v>
      </c>
    </row>
    <row r="108" spans="1:21" x14ac:dyDescent="0.3">
      <c r="A108" s="2" t="s">
        <v>185</v>
      </c>
      <c r="B108" s="2" t="s">
        <v>282</v>
      </c>
      <c r="C108" s="2" t="s">
        <v>283</v>
      </c>
      <c r="D108" s="2" t="s">
        <v>188</v>
      </c>
      <c r="E108" s="2" t="s">
        <v>189</v>
      </c>
      <c r="F108" s="5">
        <v>80.559999999999988</v>
      </c>
      <c r="G108" s="5">
        <v>95.652000000000001</v>
      </c>
      <c r="H108" s="5">
        <v>15.092000000000009</v>
      </c>
      <c r="I108" s="5">
        <f>IFERROR(INDEX(Baseline_Entry!$P:$P,MATCH($B108,Baseline_Entry!$B:$B,0)),"")</f>
        <v>84.24225352112677</v>
      </c>
      <c r="J108" s="2" t="str">
        <f t="shared" si="3"/>
        <v>Yes</v>
      </c>
      <c r="K108" s="2" t="str">
        <f t="shared" si="4"/>
        <v>Middle starter</v>
      </c>
      <c r="L108" s="2" t="s">
        <v>65</v>
      </c>
      <c r="M108" s="2" t="s">
        <v>66</v>
      </c>
      <c r="N108" s="2">
        <v>1</v>
      </c>
      <c r="O108" s="2" t="str">
        <f>IFERROR(INDEX(University_Exit!$D:$D,MATCH($B108,University_Exit!$B:$B,0)),"")</f>
        <v>Northumbria University</v>
      </c>
      <c r="P108" s="2" t="str">
        <f>IFERROR(INDEX(University_Exit!$F:$F,MATCH($B108,University_Exit!$B:$B,0)),"")</f>
        <v>Networking/Cyber Security</v>
      </c>
      <c r="Q108" s="2" t="str">
        <f>IFERROR(INDEX(University_Exit!$L:$L,MATCH($B108,University_Exit!$B:$B,0)),"")</f>
        <v>No</v>
      </c>
      <c r="R108" s="2" t="str">
        <f t="shared" si="5"/>
        <v>Yes</v>
      </c>
      <c r="S108" s="5">
        <f>IFERROR(INDEX(University_Exit!$H:$H,MATCH($B108,University_Exit!$B:$B,0)),"")</f>
        <v>95.9</v>
      </c>
      <c r="T108" s="6">
        <f>IFERROR(INDEX(University_Exit!$K:$K,MATCH($B108,University_Exit!$B:$B,0)),"")</f>
        <v>930</v>
      </c>
      <c r="U108" s="2" t="str">
        <f>IFERROR(INDEX(University_Exit!$G:$G,MATCH($B108,University_Exit!$B:$B,0)),"")</f>
        <v>Qatar Energy</v>
      </c>
    </row>
    <row r="109" spans="1:21" x14ac:dyDescent="0.3">
      <c r="A109" s="2" t="s">
        <v>185</v>
      </c>
      <c r="B109" s="2" t="s">
        <v>284</v>
      </c>
      <c r="C109" s="2" t="s">
        <v>285</v>
      </c>
      <c r="D109" s="2" t="s">
        <v>188</v>
      </c>
      <c r="E109" s="2" t="s">
        <v>189</v>
      </c>
      <c r="F109" s="5">
        <v>90.072000000000003</v>
      </c>
      <c r="G109" s="5">
        <v>96.623999999999995</v>
      </c>
      <c r="H109" s="5">
        <v>6.5519999999999916</v>
      </c>
      <c r="I109" s="5">
        <f>IFERROR(INDEX(Baseline_Entry!$P:$P,MATCH($B109,Baseline_Entry!$B:$B,0)),"")</f>
        <v>84.769953051643185</v>
      </c>
      <c r="J109" s="2" t="str">
        <f t="shared" si="3"/>
        <v>Yes</v>
      </c>
      <c r="K109" s="2" t="str">
        <f t="shared" si="4"/>
        <v>Middle starter</v>
      </c>
      <c r="L109" s="2" t="s">
        <v>66</v>
      </c>
      <c r="M109" s="2" t="s">
        <v>66</v>
      </c>
      <c r="N109" s="2">
        <v>0</v>
      </c>
      <c r="O109" s="2" t="str">
        <f>IFERROR(INDEX(University_Exit!$D:$D,MATCH($B109,University_Exit!$B:$B,0)),"")</f>
        <v>Qatar University</v>
      </c>
      <c r="P109" s="2" t="str">
        <f>IFERROR(INDEX(University_Exit!$F:$F,MATCH($B109,University_Exit!$B:$B,0)),"")</f>
        <v>Medicine</v>
      </c>
      <c r="Q109" s="2" t="str">
        <f>IFERROR(INDEX(University_Exit!$L:$L,MATCH($B109,University_Exit!$B:$B,0)),"")</f>
        <v>Yes</v>
      </c>
      <c r="R109" s="2" t="str">
        <f t="shared" si="5"/>
        <v>Yes</v>
      </c>
      <c r="S109" s="5">
        <f>IFERROR(INDEX(University_Exit!$H:$H,MATCH($B109,University_Exit!$B:$B,0)),"")</f>
        <v>97.5</v>
      </c>
      <c r="T109" s="6">
        <f>IFERROR(INDEX(University_Exit!$K:$K,MATCH($B109,University_Exit!$B:$B,0)),"")</f>
        <v>930</v>
      </c>
      <c r="U109" s="2" t="str">
        <f>IFERROR(INDEX(University_Exit!$G:$G,MATCH($B109,University_Exit!$B:$B,0)),"")</f>
        <v>Ministry of Education</v>
      </c>
    </row>
    <row r="110" spans="1:21" x14ac:dyDescent="0.3">
      <c r="A110" s="2" t="s">
        <v>185</v>
      </c>
      <c r="B110" s="2" t="s">
        <v>286</v>
      </c>
      <c r="C110" s="2" t="s">
        <v>287</v>
      </c>
      <c r="D110" s="2" t="s">
        <v>188</v>
      </c>
      <c r="E110" s="2" t="s">
        <v>189</v>
      </c>
      <c r="F110" s="5">
        <v>81.707999999999998</v>
      </c>
      <c r="G110" s="5">
        <v>78.775999999999996</v>
      </c>
      <c r="H110" s="5">
        <v>-2.9320000000000022</v>
      </c>
      <c r="I110" s="5">
        <f>IFERROR(INDEX(Baseline_Entry!$P:$P,MATCH($B110,Baseline_Entry!$B:$B,0)),"")</f>
        <v>66.796244131455396</v>
      </c>
      <c r="J110" s="2" t="str">
        <f t="shared" si="3"/>
        <v>Yes</v>
      </c>
      <c r="K110" s="2" t="str">
        <f t="shared" si="4"/>
        <v>Low starter</v>
      </c>
      <c r="L110" s="2" t="s">
        <v>65</v>
      </c>
      <c r="M110" s="2" t="s">
        <v>99</v>
      </c>
      <c r="N110" s="2">
        <v>-1</v>
      </c>
      <c r="O110" s="2" t="str">
        <f>IFERROR(INDEX(University_Exit!$D:$D,MATCH($B110,University_Exit!$B:$B,0)),"")</f>
        <v>Qatar University</v>
      </c>
      <c r="P110" s="2" t="str">
        <f>IFERROR(INDEX(University_Exit!$F:$F,MATCH($B110,University_Exit!$B:$B,0)),"")</f>
        <v>Mechanical engineering</v>
      </c>
      <c r="Q110" s="2" t="str">
        <f>IFERROR(INDEX(University_Exit!$L:$L,MATCH($B110,University_Exit!$B:$B,0)),"")</f>
        <v>Yes</v>
      </c>
      <c r="R110" s="2" t="str">
        <f t="shared" si="5"/>
        <v>Yes</v>
      </c>
      <c r="S110" s="5">
        <f>IFERROR(INDEX(University_Exit!$H:$H,MATCH($B110,University_Exit!$B:$B,0)),"")</f>
        <v>93.7</v>
      </c>
      <c r="T110" s="6">
        <f>IFERROR(INDEX(University_Exit!$K:$K,MATCH($B110,University_Exit!$B:$B,0)),"")</f>
        <v>850</v>
      </c>
      <c r="U110" s="2" t="str">
        <f>IFERROR(INDEX(University_Exit!$G:$G,MATCH($B110,University_Exit!$B:$B,0)),"")</f>
        <v>لا يوجد</v>
      </c>
    </row>
    <row r="111" spans="1:21" x14ac:dyDescent="0.3">
      <c r="A111" s="2" t="s">
        <v>185</v>
      </c>
      <c r="B111" s="2" t="s">
        <v>288</v>
      </c>
      <c r="C111" s="2" t="s">
        <v>289</v>
      </c>
      <c r="D111" s="2" t="s">
        <v>188</v>
      </c>
      <c r="E111" s="2" t="s">
        <v>189</v>
      </c>
      <c r="F111" s="5">
        <v>86.496000000000009</v>
      </c>
      <c r="G111" s="5">
        <v>97.451999999999998</v>
      </c>
      <c r="H111" s="5">
        <v>10.955999999999991</v>
      </c>
      <c r="I111" s="5">
        <f>IFERROR(INDEX(Baseline_Entry!$P:$P,MATCH($B111,Baseline_Entry!$B:$B,0)),"")</f>
        <v>75.511737089201873</v>
      </c>
      <c r="J111" s="2" t="str">
        <f t="shared" si="3"/>
        <v>Yes</v>
      </c>
      <c r="K111" s="2" t="str">
        <f t="shared" si="4"/>
        <v>Middle starter</v>
      </c>
      <c r="L111" s="2" t="s">
        <v>65</v>
      </c>
      <c r="M111" s="2" t="s">
        <v>66</v>
      </c>
      <c r="N111" s="2">
        <v>1</v>
      </c>
      <c r="O111" s="2" t="str">
        <f>IFERROR(INDEX(University_Exit!$D:$D,MATCH($B111,University_Exit!$B:$B,0)),"")</f>
        <v>DePaul University</v>
      </c>
      <c r="P111" s="2" t="str">
        <f>IFERROR(INDEX(University_Exit!$F:$F,MATCH($B111,University_Exit!$B:$B,0)),"")</f>
        <v>Cyber Security</v>
      </c>
      <c r="Q111" s="2" t="str">
        <f>IFERROR(INDEX(University_Exit!$L:$L,MATCH($B111,University_Exit!$B:$B,0)),"")</f>
        <v>No</v>
      </c>
      <c r="R111" s="2" t="str">
        <f t="shared" si="5"/>
        <v>Yes</v>
      </c>
      <c r="S111" s="5">
        <f>IFERROR(INDEX(University_Exit!$H:$H,MATCH($B111,University_Exit!$B:$B,0)),"")</f>
        <v>96.4</v>
      </c>
      <c r="T111" s="6">
        <f>IFERROR(INDEX(University_Exit!$K:$K,MATCH($B111,University_Exit!$B:$B,0)),"")</f>
        <v>1090</v>
      </c>
      <c r="U111" s="2" t="str">
        <f>IFERROR(INDEX(University_Exit!$G:$G,MATCH($B111,University_Exit!$B:$B,0)),"")</f>
        <v>الجيش</v>
      </c>
    </row>
    <row r="112" spans="1:21" x14ac:dyDescent="0.3">
      <c r="A112" s="2" t="s">
        <v>185</v>
      </c>
      <c r="B112" s="2" t="s">
        <v>290</v>
      </c>
      <c r="C112" s="2" t="s">
        <v>291</v>
      </c>
      <c r="D112" s="2" t="s">
        <v>188</v>
      </c>
      <c r="E112" s="2" t="s">
        <v>189</v>
      </c>
      <c r="F112" s="5">
        <v>92.948000000000008</v>
      </c>
      <c r="G112" s="5">
        <v>96.3</v>
      </c>
      <c r="H112" s="5">
        <v>3.3519999999999901</v>
      </c>
      <c r="I112" s="5">
        <f>IFERROR(INDEX(Baseline_Entry!$P:$P,MATCH($B112,Baseline_Entry!$B:$B,0)),"")</f>
        <v>90.978403755868541</v>
      </c>
      <c r="J112" s="2" t="str">
        <f t="shared" si="3"/>
        <v>Yes</v>
      </c>
      <c r="K112" s="2" t="str">
        <f t="shared" si="4"/>
        <v>High starter</v>
      </c>
      <c r="L112" s="2" t="s">
        <v>66</v>
      </c>
      <c r="M112" s="2" t="s">
        <v>66</v>
      </c>
      <c r="N112" s="2">
        <v>0</v>
      </c>
      <c r="O112" s="2" t="str">
        <f>IFERROR(INDEX(University_Exit!$D:$D,MATCH($B112,University_Exit!$B:$B,0)),"")</f>
        <v>Qatar University</v>
      </c>
      <c r="P112" s="2" t="str">
        <f>IFERROR(INDEX(University_Exit!$F:$F,MATCH($B112,University_Exit!$B:$B,0)),"")</f>
        <v>Medicine</v>
      </c>
      <c r="Q112" s="2" t="str">
        <f>IFERROR(INDEX(University_Exit!$L:$L,MATCH($B112,University_Exit!$B:$B,0)),"")</f>
        <v>Yes</v>
      </c>
      <c r="R112" s="2" t="str">
        <f t="shared" si="5"/>
        <v>Yes</v>
      </c>
      <c r="S112" s="5">
        <f>IFERROR(INDEX(University_Exit!$H:$H,MATCH($B112,University_Exit!$B:$B,0)),"")</f>
        <v>91.8</v>
      </c>
      <c r="T112" s="6">
        <f>IFERROR(INDEX(University_Exit!$K:$K,MATCH($B112,University_Exit!$B:$B,0)),"")</f>
        <v>1140</v>
      </c>
      <c r="U112" s="2" t="str">
        <f>IFERROR(INDEX(University_Exit!$G:$G,MATCH($B112,University_Exit!$B:$B,0)),"")</f>
        <v>Ministry of Education</v>
      </c>
    </row>
    <row r="113" spans="1:21" x14ac:dyDescent="0.3">
      <c r="A113" s="2" t="s">
        <v>185</v>
      </c>
      <c r="B113" s="2" t="s">
        <v>292</v>
      </c>
      <c r="C113" s="2" t="s">
        <v>293</v>
      </c>
      <c r="D113" s="2" t="s">
        <v>188</v>
      </c>
      <c r="E113" s="2" t="s">
        <v>189</v>
      </c>
      <c r="F113" s="5">
        <v>69.484000000000009</v>
      </c>
      <c r="G113" s="5">
        <v>91.6</v>
      </c>
      <c r="H113" s="5">
        <v>22.115999999999989</v>
      </c>
      <c r="I113" s="5">
        <f>IFERROR(INDEX(Baseline_Entry!$P:$P,MATCH($B113,Baseline_Entry!$B:$B,0)),"")</f>
        <v>71.984976525821594</v>
      </c>
      <c r="J113" s="2" t="str">
        <f t="shared" si="3"/>
        <v>Yes</v>
      </c>
      <c r="K113" s="2" t="str">
        <f t="shared" si="4"/>
        <v>Middle starter</v>
      </c>
      <c r="L113" s="2" t="s">
        <v>120</v>
      </c>
      <c r="M113" s="2" t="s">
        <v>66</v>
      </c>
      <c r="N113" s="2">
        <v>3</v>
      </c>
      <c r="O113" s="2" t="str">
        <f>IFERROR(INDEX(University_Exit!$D:$D,MATCH($B113,University_Exit!$B:$B,0)),"")</f>
        <v>Qatar University</v>
      </c>
      <c r="P113" s="2" t="str">
        <f>IFERROR(INDEX(University_Exit!$F:$F,MATCH($B113,University_Exit!$B:$B,0)),"")</f>
        <v>Mechanical engineering</v>
      </c>
      <c r="Q113" s="2" t="str">
        <f>IFERROR(INDEX(University_Exit!$L:$L,MATCH($B113,University_Exit!$B:$B,0)),"")</f>
        <v>Yes</v>
      </c>
      <c r="R113" s="2" t="str">
        <f t="shared" si="5"/>
        <v>Yes</v>
      </c>
      <c r="S113" s="5">
        <f>IFERROR(INDEX(University_Exit!$H:$H,MATCH($B113,University_Exit!$B:$B,0)),"")</f>
        <v>79.7</v>
      </c>
      <c r="T113" s="6">
        <f>IFERROR(INDEX(University_Exit!$K:$K,MATCH($B113,University_Exit!$B:$B,0)),"")</f>
        <v>900</v>
      </c>
      <c r="U113" s="2" t="str">
        <f>IFERROR(INDEX(University_Exit!$G:$G,MATCH($B113,University_Exit!$B:$B,0)),"")</f>
        <v>لا يوجد</v>
      </c>
    </row>
    <row r="114" spans="1:21" x14ac:dyDescent="0.3">
      <c r="A114" s="2" t="s">
        <v>185</v>
      </c>
      <c r="B114" s="2" t="s">
        <v>294</v>
      </c>
      <c r="C114" s="2" t="s">
        <v>295</v>
      </c>
      <c r="D114" s="2" t="s">
        <v>188</v>
      </c>
      <c r="E114" s="2" t="s">
        <v>189</v>
      </c>
      <c r="F114" s="5">
        <v>70.548000000000002</v>
      </c>
      <c r="G114" s="5">
        <v>92.924000000000007</v>
      </c>
      <c r="H114" s="5">
        <v>22.376000000000001</v>
      </c>
      <c r="I114" s="5">
        <f>IFERROR(INDEX(Baseline_Entry!$P:$P,MATCH($B114,Baseline_Entry!$B:$B,0)),"")</f>
        <v>95.117370892018769</v>
      </c>
      <c r="J114" s="2" t="str">
        <f t="shared" si="3"/>
        <v>Yes</v>
      </c>
      <c r="K114" s="2" t="str">
        <f t="shared" si="4"/>
        <v>High starter</v>
      </c>
      <c r="L114" s="2" t="s">
        <v>99</v>
      </c>
      <c r="M114" s="2" t="s">
        <v>66</v>
      </c>
      <c r="N114" s="2">
        <v>2</v>
      </c>
      <c r="O114" s="2" t="str">
        <f>IFERROR(INDEX(University_Exit!$D:$D,MATCH($B114,University_Exit!$B:$B,0)),"")</f>
        <v>Carnegie Mellon University Qatar</v>
      </c>
      <c r="P114" s="2" t="str">
        <f>IFERROR(INDEX(University_Exit!$F:$F,MATCH($B114,University_Exit!$B:$B,0)),"")</f>
        <v>Information Technology</v>
      </c>
      <c r="Q114" s="2" t="str">
        <f>IFERROR(INDEX(University_Exit!$L:$L,MATCH($B114,University_Exit!$B:$B,0)),"")</f>
        <v>Yes</v>
      </c>
      <c r="R114" s="2" t="str">
        <f t="shared" si="5"/>
        <v>Yes</v>
      </c>
      <c r="S114" s="5">
        <f>IFERROR(INDEX(University_Exit!$H:$H,MATCH($B114,University_Exit!$B:$B,0)),"")</f>
        <v>98.4</v>
      </c>
      <c r="T114" s="6">
        <f>IFERROR(INDEX(University_Exit!$K:$K,MATCH($B114,University_Exit!$B:$B,0)),"")</f>
        <v>1200</v>
      </c>
      <c r="U114" s="2" t="str">
        <f>IFERROR(INDEX(University_Exit!$G:$G,MATCH($B114,University_Exit!$B:$B,0)),"")</f>
        <v>Ministry of Education</v>
      </c>
    </row>
    <row r="115" spans="1:21" x14ac:dyDescent="0.3">
      <c r="A115" s="2" t="s">
        <v>185</v>
      </c>
      <c r="B115" s="2" t="s">
        <v>296</v>
      </c>
      <c r="C115" s="2" t="s">
        <v>297</v>
      </c>
      <c r="D115" s="2" t="s">
        <v>188</v>
      </c>
      <c r="E115" s="2" t="s">
        <v>189</v>
      </c>
      <c r="F115" s="5">
        <v>87.268000000000001</v>
      </c>
      <c r="G115" s="5">
        <v>96.751999999999995</v>
      </c>
      <c r="H115" s="5">
        <v>9.4839999999999947</v>
      </c>
      <c r="I115" s="5">
        <f>IFERROR(INDEX(Baseline_Entry!$P:$P,MATCH($B115,Baseline_Entry!$B:$B,0)),"")</f>
        <v>82.876995305164314</v>
      </c>
      <c r="J115" s="2" t="str">
        <f t="shared" si="3"/>
        <v>Yes</v>
      </c>
      <c r="K115" s="2" t="str">
        <f t="shared" si="4"/>
        <v>Middle starter</v>
      </c>
      <c r="L115" s="2" t="s">
        <v>65</v>
      </c>
      <c r="M115" s="2" t="s">
        <v>66</v>
      </c>
      <c r="N115" s="2">
        <v>1</v>
      </c>
      <c r="O115" s="2" t="str">
        <f>IFERROR(INDEX(University_Exit!$D:$D,MATCH($B115,University_Exit!$B:$B,0)),"")</f>
        <v>الكلية العسكرية</v>
      </c>
      <c r="P115" s="2" t="str">
        <f>IFERROR(INDEX(University_Exit!$F:$F,MATCH($B115,University_Exit!$B:$B,0)),"")</f>
        <v>مرشح ضابط</v>
      </c>
      <c r="Q115" s="2" t="str">
        <f>IFERROR(INDEX(University_Exit!$L:$L,MATCH($B115,University_Exit!$B:$B,0)),"")</f>
        <v>No</v>
      </c>
      <c r="R115" s="2" t="str">
        <f t="shared" si="5"/>
        <v>Yes</v>
      </c>
      <c r="S115" s="5">
        <f>IFERROR(INDEX(University_Exit!$H:$H,MATCH($B115,University_Exit!$B:$B,0)),"")</f>
        <v>93.6</v>
      </c>
      <c r="T115" s="6">
        <f>IFERROR(INDEX(University_Exit!$K:$K,MATCH($B115,University_Exit!$B:$B,0)),"")</f>
        <v>1030</v>
      </c>
      <c r="U115" s="2" t="str">
        <f>IFERROR(INDEX(University_Exit!$G:$G,MATCH($B115,University_Exit!$B:$B,0)),"")</f>
        <v>وزارة الدفاع</v>
      </c>
    </row>
    <row r="116" spans="1:21" x14ac:dyDescent="0.3">
      <c r="A116" s="2" t="s">
        <v>298</v>
      </c>
      <c r="B116" s="2" t="s">
        <v>299</v>
      </c>
      <c r="C116" s="2" t="s">
        <v>300</v>
      </c>
      <c r="D116" s="2" t="s">
        <v>301</v>
      </c>
      <c r="E116" s="2" t="s">
        <v>302</v>
      </c>
      <c r="F116" s="5">
        <v>83.404000000000011</v>
      </c>
      <c r="G116" s="5">
        <v>89.6</v>
      </c>
      <c r="H116" s="5">
        <v>6.1959999999999837</v>
      </c>
      <c r="I116" s="5">
        <f>IFERROR(INDEX(Baseline_Entry!$P:$P,MATCH($B116,Baseline_Entry!$B:$B,0)),"")</f>
        <v>59.645070422535213</v>
      </c>
      <c r="J116" s="2" t="str">
        <f t="shared" si="3"/>
        <v>Yes</v>
      </c>
      <c r="K116" s="2" t="str">
        <f t="shared" si="4"/>
        <v>Low starter</v>
      </c>
      <c r="L116" s="2" t="s">
        <v>65</v>
      </c>
      <c r="M116" s="2" t="s">
        <v>65</v>
      </c>
      <c r="N116" s="2">
        <v>0</v>
      </c>
      <c r="O116" s="2" t="str">
        <f>IFERROR(INDEX(University_Exit!$D:$D,MATCH($B116,University_Exit!$B:$B,0)),"")</f>
        <v>University Of Birmingham</v>
      </c>
      <c r="P116" s="2" t="str">
        <f>IFERROR(INDEX(University_Exit!$F:$F,MATCH($B116,University_Exit!$B:$B,0)),"")</f>
        <v>Electrical &amp; ُElectronic Engineering</v>
      </c>
      <c r="Q116" s="2" t="str">
        <f>IFERROR(INDEX(University_Exit!$L:$L,MATCH($B116,University_Exit!$B:$B,0)),"")</f>
        <v>Yes</v>
      </c>
      <c r="R116" s="2" t="str">
        <f t="shared" si="5"/>
        <v>Yes</v>
      </c>
      <c r="S116" s="5">
        <f>IFERROR(INDEX(University_Exit!$H:$H,MATCH($B116,University_Exit!$B:$B,0)),"")</f>
        <v>89.5</v>
      </c>
      <c r="T116" s="6">
        <f>IFERROR(INDEX(University_Exit!$K:$K,MATCH($B116,University_Exit!$B:$B,0)),"")</f>
        <v>980</v>
      </c>
      <c r="U116" s="2" t="str">
        <f>IFERROR(INDEX(University_Exit!$G:$G,MATCH($B116,University_Exit!$B:$B,0)),"")</f>
        <v>Qatar Energy</v>
      </c>
    </row>
    <row r="117" spans="1:21" x14ac:dyDescent="0.3">
      <c r="A117" s="2" t="s">
        <v>298</v>
      </c>
      <c r="B117" s="2" t="s">
        <v>303</v>
      </c>
      <c r="C117" s="2" t="s">
        <v>304</v>
      </c>
      <c r="D117" s="2" t="s">
        <v>301</v>
      </c>
      <c r="E117" s="2" t="s">
        <v>302</v>
      </c>
      <c r="F117" s="5">
        <v>88.603999999999999</v>
      </c>
      <c r="G117" s="5">
        <v>89.451999999999998</v>
      </c>
      <c r="H117" s="5">
        <v>0.84799999999999898</v>
      </c>
      <c r="I117" s="5">
        <f>IFERROR(INDEX(Baseline_Entry!$P:$P,MATCH($B117,Baseline_Entry!$B:$B,0)),"")</f>
        <v>55.372769953051638</v>
      </c>
      <c r="J117" s="2" t="str">
        <f t="shared" si="3"/>
        <v>Yes</v>
      </c>
      <c r="K117" s="2" t="str">
        <f t="shared" si="4"/>
        <v>Low starter</v>
      </c>
      <c r="L117" s="2" t="s">
        <v>65</v>
      </c>
      <c r="M117" s="2" t="s">
        <v>65</v>
      </c>
      <c r="N117" s="2">
        <v>0</v>
      </c>
      <c r="O117" s="2" t="str">
        <f>IFERROR(INDEX(University_Exit!$D:$D,MATCH($B117,University_Exit!$B:$B,0)),"")</f>
        <v>University of Nottingham</v>
      </c>
      <c r="P117" s="2" t="str">
        <f>IFERROR(INDEX(University_Exit!$F:$F,MATCH($B117,University_Exit!$B:$B,0)),"")</f>
        <v>Electrical &amp; ُElectronic Engineering</v>
      </c>
      <c r="Q117" s="2" t="str">
        <f>IFERROR(INDEX(University_Exit!$L:$L,MATCH($B117,University_Exit!$B:$B,0)),"")</f>
        <v>Yes</v>
      </c>
      <c r="R117" s="2" t="str">
        <f t="shared" si="5"/>
        <v>Yes</v>
      </c>
      <c r="S117" s="5">
        <f>IFERROR(INDEX(University_Exit!$H:$H,MATCH($B117,University_Exit!$B:$B,0)),"")</f>
        <v>90.38</v>
      </c>
      <c r="T117" s="6">
        <f>IFERROR(INDEX(University_Exit!$K:$K,MATCH($B117,University_Exit!$B:$B,0)),"")</f>
        <v>930</v>
      </c>
      <c r="U117" s="2" t="str">
        <f>IFERROR(INDEX(University_Exit!$G:$G,MATCH($B117,University_Exit!$B:$B,0)),"")</f>
        <v>Qatar Energy</v>
      </c>
    </row>
    <row r="118" spans="1:21" x14ac:dyDescent="0.3">
      <c r="A118" s="2" t="s">
        <v>298</v>
      </c>
      <c r="B118" s="2" t="s">
        <v>305</v>
      </c>
      <c r="C118" s="2" t="s">
        <v>306</v>
      </c>
      <c r="D118" s="2" t="s">
        <v>301</v>
      </c>
      <c r="E118" s="2" t="s">
        <v>302</v>
      </c>
      <c r="F118" s="5">
        <v>89.436000000000007</v>
      </c>
      <c r="G118" s="5">
        <v>96.724000000000004</v>
      </c>
      <c r="H118" s="5">
        <v>7.2879999999999967</v>
      </c>
      <c r="I118" s="5">
        <f>IFERROR(INDEX(Baseline_Entry!$P:$P,MATCH($B118,Baseline_Entry!$B:$B,0)),"")</f>
        <v>64.279812206572771</v>
      </c>
      <c r="J118" s="2" t="str">
        <f t="shared" si="3"/>
        <v>Yes</v>
      </c>
      <c r="K118" s="2" t="str">
        <f t="shared" si="4"/>
        <v>Low starter</v>
      </c>
      <c r="L118" s="2" t="s">
        <v>65</v>
      </c>
      <c r="M118" s="2" t="s">
        <v>66</v>
      </c>
      <c r="N118" s="2">
        <v>1</v>
      </c>
      <c r="O118" s="2" t="str">
        <f>IFERROR(INDEX(University_Exit!$D:$D,MATCH($B118,University_Exit!$B:$B,0)),"")</f>
        <v>Virginia Tech</v>
      </c>
      <c r="P118" s="2" t="str">
        <f>IFERROR(INDEX(University_Exit!$F:$F,MATCH($B118,University_Exit!$B:$B,0)),"")</f>
        <v>Chemical Engineering</v>
      </c>
      <c r="Q118" s="2" t="str">
        <f>IFERROR(INDEX(University_Exit!$L:$L,MATCH($B118,University_Exit!$B:$B,0)),"")</f>
        <v>Yes</v>
      </c>
      <c r="R118" s="2" t="str">
        <f t="shared" si="5"/>
        <v>Yes</v>
      </c>
      <c r="S118" s="5">
        <f>IFERROR(INDEX(University_Exit!$H:$H,MATCH($B118,University_Exit!$B:$B,0)),"")</f>
        <v>96</v>
      </c>
      <c r="T118" s="6">
        <f>IFERROR(INDEX(University_Exit!$K:$K,MATCH($B118,University_Exit!$B:$B,0)),"")</f>
        <v>1390</v>
      </c>
      <c r="U118" s="2" t="str">
        <f>IFERROR(INDEX(University_Exit!$G:$G,MATCH($B118,University_Exit!$B:$B,0)),"")</f>
        <v>Qatar Energy</v>
      </c>
    </row>
    <row r="119" spans="1:21" x14ac:dyDescent="0.3">
      <c r="A119" s="2" t="s">
        <v>298</v>
      </c>
      <c r="B119" s="2" t="s">
        <v>307</v>
      </c>
      <c r="C119" s="2" t="s">
        <v>308</v>
      </c>
      <c r="D119" s="2" t="s">
        <v>301</v>
      </c>
      <c r="E119" s="2" t="s">
        <v>302</v>
      </c>
      <c r="F119" s="5">
        <v>80.040000000000006</v>
      </c>
      <c r="G119" s="5">
        <v>86.575999999999993</v>
      </c>
      <c r="H119" s="5">
        <v>6.5359999999999872</v>
      </c>
      <c r="I119" s="5">
        <f>IFERROR(INDEX(Baseline_Entry!$P:$P,MATCH($B119,Baseline_Entry!$B:$B,0)),"")</f>
        <v>52.503286384976526</v>
      </c>
      <c r="J119" s="2" t="str">
        <f t="shared" si="3"/>
        <v>Yes</v>
      </c>
      <c r="K119" s="2" t="str">
        <f t="shared" si="4"/>
        <v>Low starter</v>
      </c>
      <c r="L119" s="2" t="s">
        <v>65</v>
      </c>
      <c r="M119" s="2" t="s">
        <v>65</v>
      </c>
      <c r="N119" s="2">
        <v>0</v>
      </c>
      <c r="O119" s="2" t="str">
        <f>IFERROR(INDEX(University_Exit!$D:$D,MATCH($B119,University_Exit!$B:$B,0)),"")</f>
        <v>Qatar University</v>
      </c>
      <c r="P119" s="2" t="str">
        <f>IFERROR(INDEX(University_Exit!$F:$F,MATCH($B119,University_Exit!$B:$B,0)),"")</f>
        <v>Electrical Engineering</v>
      </c>
      <c r="Q119" s="2" t="str">
        <f>IFERROR(INDEX(University_Exit!$L:$L,MATCH($B119,University_Exit!$B:$B,0)),"")</f>
        <v>Yes</v>
      </c>
      <c r="R119" s="2" t="str">
        <f t="shared" si="5"/>
        <v>Yes</v>
      </c>
      <c r="S119" s="5">
        <f>IFERROR(INDEX(University_Exit!$H:$H,MATCH($B119,University_Exit!$B:$B,0)),"")</f>
        <v>95</v>
      </c>
      <c r="T119" s="6">
        <f>IFERROR(INDEX(University_Exit!$K:$K,MATCH($B119,University_Exit!$B:$B,0)),"")</f>
        <v>910</v>
      </c>
      <c r="U119" s="2" t="str">
        <f>IFERROR(INDEX(University_Exit!$G:$G,MATCH($B119,University_Exit!$B:$B,0)),"")</f>
        <v>Qatar Energy</v>
      </c>
    </row>
    <row r="120" spans="1:21" x14ac:dyDescent="0.3">
      <c r="A120" s="2" t="s">
        <v>298</v>
      </c>
      <c r="B120" s="2" t="s">
        <v>309</v>
      </c>
      <c r="C120" s="2" t="s">
        <v>310</v>
      </c>
      <c r="D120" s="2" t="s">
        <v>301</v>
      </c>
      <c r="E120" s="2" t="s">
        <v>302</v>
      </c>
      <c r="F120" s="5">
        <v>93.703999999999994</v>
      </c>
      <c r="G120" s="5">
        <v>95.924000000000007</v>
      </c>
      <c r="H120" s="5">
        <v>2.2200000000000131</v>
      </c>
      <c r="I120" s="5">
        <f>IFERROR(INDEX(Baseline_Entry!$P:$P,MATCH($B120,Baseline_Entry!$B:$B,0)),"")</f>
        <v>62.274178403755876</v>
      </c>
      <c r="J120" s="2" t="str">
        <f t="shared" si="3"/>
        <v>Yes</v>
      </c>
      <c r="K120" s="2" t="str">
        <f t="shared" si="4"/>
        <v>Low starter</v>
      </c>
      <c r="L120" s="2" t="s">
        <v>66</v>
      </c>
      <c r="M120" s="2" t="s">
        <v>66</v>
      </c>
      <c r="N120" s="2">
        <v>0</v>
      </c>
      <c r="O120" s="2" t="str">
        <f>IFERROR(INDEX(University_Exit!$D:$D,MATCH($B120,University_Exit!$B:$B,0)),"")</f>
        <v>University of Birmingham</v>
      </c>
      <c r="P120" s="2" t="str">
        <f>IFERROR(INDEX(University_Exit!$F:$F,MATCH($B120,University_Exit!$B:$B,0)),"")</f>
        <v>Chemical Engineering</v>
      </c>
      <c r="Q120" s="2" t="str">
        <f>IFERROR(INDEX(University_Exit!$L:$L,MATCH($B120,University_Exit!$B:$B,0)),"")</f>
        <v>Yes</v>
      </c>
      <c r="R120" s="2" t="str">
        <f t="shared" si="5"/>
        <v>Yes</v>
      </c>
      <c r="S120" s="5">
        <f>IFERROR(INDEX(University_Exit!$H:$H,MATCH($B120,University_Exit!$B:$B,0)),"")</f>
        <v>95</v>
      </c>
      <c r="T120" s="6">
        <f>IFERROR(INDEX(University_Exit!$K:$K,MATCH($B120,University_Exit!$B:$B,0)),"")</f>
        <v>1230</v>
      </c>
      <c r="U120" s="2" t="str">
        <f>IFERROR(INDEX(University_Exit!$G:$G,MATCH($B120,University_Exit!$B:$B,0)),"")</f>
        <v>Qatar Energy</v>
      </c>
    </row>
    <row r="121" spans="1:21" x14ac:dyDescent="0.3">
      <c r="A121" s="2" t="s">
        <v>298</v>
      </c>
      <c r="B121" s="2" t="s">
        <v>311</v>
      </c>
      <c r="C121" s="2" t="s">
        <v>312</v>
      </c>
      <c r="D121" s="2" t="s">
        <v>301</v>
      </c>
      <c r="E121" s="2" t="s">
        <v>302</v>
      </c>
      <c r="F121" s="5">
        <v>84.775999999999996</v>
      </c>
      <c r="G121" s="5">
        <v>91.551999999999992</v>
      </c>
      <c r="H121" s="5">
        <v>6.7759999999999962</v>
      </c>
      <c r="I121" s="5">
        <f>IFERROR(INDEX(Baseline_Entry!$P:$P,MATCH($B121,Baseline_Entry!$B:$B,0)),"")</f>
        <v>54.338028169014081</v>
      </c>
      <c r="J121" s="2" t="str">
        <f t="shared" si="3"/>
        <v>Yes</v>
      </c>
      <c r="K121" s="2" t="str">
        <f t="shared" si="4"/>
        <v>Low starter</v>
      </c>
      <c r="L121" s="2" t="s">
        <v>65</v>
      </c>
      <c r="M121" s="2" t="s">
        <v>66</v>
      </c>
      <c r="N121" s="2">
        <v>1</v>
      </c>
      <c r="O121" s="2" t="str">
        <f>IFERROR(INDEX(University_Exit!$D:$D,MATCH($B121,University_Exit!$B:$B,0)),"")</f>
        <v>University of Nottingham</v>
      </c>
      <c r="P121" s="2" t="str">
        <f>IFERROR(INDEX(University_Exit!$F:$F,MATCH($B121,University_Exit!$B:$B,0)),"")</f>
        <v>Mechanical Engineering</v>
      </c>
      <c r="Q121" s="2" t="str">
        <f>IFERROR(INDEX(University_Exit!$L:$L,MATCH($B121,University_Exit!$B:$B,0)),"")</f>
        <v>Yes</v>
      </c>
      <c r="R121" s="2" t="str">
        <f t="shared" si="5"/>
        <v>Yes</v>
      </c>
      <c r="S121" s="5">
        <f>IFERROR(INDEX(University_Exit!$H:$H,MATCH($B121,University_Exit!$B:$B,0)),"")</f>
        <v>93.13</v>
      </c>
      <c r="T121" s="6">
        <f>IFERROR(INDEX(University_Exit!$K:$K,MATCH($B121,University_Exit!$B:$B,0)),"")</f>
        <v>880</v>
      </c>
      <c r="U121" s="2" t="str">
        <f>IFERROR(INDEX(University_Exit!$G:$G,MATCH($B121,University_Exit!$B:$B,0)),"")</f>
        <v>Qatar Energy</v>
      </c>
    </row>
    <row r="122" spans="1:21" x14ac:dyDescent="0.3">
      <c r="A122" s="2" t="s">
        <v>298</v>
      </c>
      <c r="B122" s="2" t="s">
        <v>313</v>
      </c>
      <c r="C122" s="2" t="s">
        <v>314</v>
      </c>
      <c r="D122" s="2" t="s">
        <v>301</v>
      </c>
      <c r="E122" s="2" t="s">
        <v>302</v>
      </c>
      <c r="F122" s="5">
        <v>80.323999999999998</v>
      </c>
      <c r="G122" s="5">
        <v>89.051999999999992</v>
      </c>
      <c r="H122" s="5">
        <v>8.7279999999999944</v>
      </c>
      <c r="I122" s="5">
        <f>IFERROR(INDEX(Baseline_Entry!$P:$P,MATCH($B122,Baseline_Entry!$B:$B,0)),"")</f>
        <v>52.929577464788736</v>
      </c>
      <c r="J122" s="2" t="str">
        <f t="shared" si="3"/>
        <v>Yes</v>
      </c>
      <c r="K122" s="2" t="str">
        <f t="shared" si="4"/>
        <v>Low starter</v>
      </c>
      <c r="L122" s="2" t="s">
        <v>65</v>
      </c>
      <c r="M122" s="2" t="s">
        <v>65</v>
      </c>
      <c r="N122" s="2">
        <v>0</v>
      </c>
      <c r="O122" s="2" t="str">
        <f>IFERROR(INDEX(University_Exit!$D:$D,MATCH($B122,University_Exit!$B:$B,0)),"")</f>
        <v>University of Nottingham</v>
      </c>
      <c r="P122" s="2" t="str">
        <f>IFERROR(INDEX(University_Exit!$F:$F,MATCH($B122,University_Exit!$B:$B,0)),"")</f>
        <v>Electrical Engineering</v>
      </c>
      <c r="Q122" s="2" t="str">
        <f>IFERROR(INDEX(University_Exit!$L:$L,MATCH($B122,University_Exit!$B:$B,0)),"")</f>
        <v>Yes</v>
      </c>
      <c r="R122" s="2" t="str">
        <f t="shared" si="5"/>
        <v>Yes</v>
      </c>
      <c r="S122" s="5">
        <f>IFERROR(INDEX(University_Exit!$H:$H,MATCH($B122,University_Exit!$B:$B,0)),"")</f>
        <v>88.88</v>
      </c>
      <c r="T122" s="6">
        <f>IFERROR(INDEX(University_Exit!$K:$K,MATCH($B122,University_Exit!$B:$B,0)),"")</f>
        <v>990</v>
      </c>
      <c r="U122" s="2" t="str">
        <f>IFERROR(INDEX(University_Exit!$G:$G,MATCH($B122,University_Exit!$B:$B,0)),"")</f>
        <v>Qatar Energy</v>
      </c>
    </row>
    <row r="123" spans="1:21" x14ac:dyDescent="0.3">
      <c r="A123" s="2" t="s">
        <v>298</v>
      </c>
      <c r="B123" s="2" t="s">
        <v>315</v>
      </c>
      <c r="C123" s="2" t="s">
        <v>316</v>
      </c>
      <c r="D123" s="2" t="s">
        <v>301</v>
      </c>
      <c r="E123" s="2" t="s">
        <v>302</v>
      </c>
      <c r="F123" s="5">
        <v>69.308000000000007</v>
      </c>
      <c r="G123" s="5">
        <v>81.975999999999999</v>
      </c>
      <c r="H123" s="5">
        <v>12.66799999999999</v>
      </c>
      <c r="I123" s="5">
        <f>IFERROR(INDEX(Baseline_Entry!$P:$P,MATCH($B123,Baseline_Entry!$B:$B,0)),"")</f>
        <v>54.801877934272305</v>
      </c>
      <c r="J123" s="2" t="str">
        <f t="shared" si="3"/>
        <v>Yes</v>
      </c>
      <c r="K123" s="2" t="str">
        <f t="shared" si="4"/>
        <v>Low starter</v>
      </c>
      <c r="L123" s="2" t="s">
        <v>120</v>
      </c>
      <c r="M123" s="2" t="s">
        <v>65</v>
      </c>
      <c r="N123" s="2">
        <v>2</v>
      </c>
      <c r="O123" s="2" t="str">
        <f>IFERROR(INDEX(University_Exit!$D:$D,MATCH($B123,University_Exit!$B:$B,0)),"")</f>
        <v>الكلية العسكرية</v>
      </c>
      <c r="P123" s="2" t="str">
        <f>IFERROR(INDEX(University_Exit!$F:$F,MATCH($B123,University_Exit!$B:$B,0)),"")</f>
        <v>مرشح ظابط</v>
      </c>
      <c r="Q123" s="2" t="str">
        <f>IFERROR(INDEX(University_Exit!$L:$L,MATCH($B123,University_Exit!$B:$B,0)),"")</f>
        <v>No</v>
      </c>
      <c r="R123" s="2" t="str">
        <f t="shared" si="5"/>
        <v>Yes</v>
      </c>
      <c r="S123" s="5">
        <f>IFERROR(INDEX(University_Exit!$H:$H,MATCH($B123,University_Exit!$B:$B,0)),"")</f>
        <v>83.44</v>
      </c>
      <c r="T123" s="6">
        <f>IFERROR(INDEX(University_Exit!$K:$K,MATCH($B123,University_Exit!$B:$B,0)),"")</f>
        <v>810</v>
      </c>
      <c r="U123" s="2" t="str">
        <f>IFERROR(INDEX(University_Exit!$G:$G,MATCH($B123,University_Exit!$B:$B,0)),"")</f>
        <v>وزارة الدفاع</v>
      </c>
    </row>
    <row r="124" spans="1:21" x14ac:dyDescent="0.3">
      <c r="A124" s="2" t="s">
        <v>298</v>
      </c>
      <c r="B124" s="2" t="s">
        <v>317</v>
      </c>
      <c r="C124" s="2" t="s">
        <v>318</v>
      </c>
      <c r="D124" s="2" t="s">
        <v>301</v>
      </c>
      <c r="E124" s="2" t="s">
        <v>302</v>
      </c>
      <c r="F124" s="5">
        <v>86.744</v>
      </c>
      <c r="G124" s="5">
        <v>93.951999999999998</v>
      </c>
      <c r="H124" s="5">
        <v>7.2079999999999984</v>
      </c>
      <c r="I124" s="5">
        <f>IFERROR(INDEX(Baseline_Entry!$P:$P,MATCH($B124,Baseline_Entry!$B:$B,0)),"")</f>
        <v>57.943661971830984</v>
      </c>
      <c r="J124" s="2" t="str">
        <f t="shared" si="3"/>
        <v>Yes</v>
      </c>
      <c r="K124" s="2" t="str">
        <f t="shared" si="4"/>
        <v>Low starter</v>
      </c>
      <c r="L124" s="2" t="s">
        <v>65</v>
      </c>
      <c r="M124" s="2" t="s">
        <v>66</v>
      </c>
      <c r="N124" s="2">
        <v>1</v>
      </c>
      <c r="O124" s="2" t="str">
        <f>IFERROR(INDEX(University_Exit!$D:$D,MATCH($B124,University_Exit!$B:$B,0)),"")</f>
        <v>Qatar University</v>
      </c>
      <c r="P124" s="2" t="str">
        <f>IFERROR(INDEX(University_Exit!$F:$F,MATCH($B124,University_Exit!$B:$B,0)),"")</f>
        <v>Mechanical Engineering</v>
      </c>
      <c r="Q124" s="2" t="str">
        <f>IFERROR(INDEX(University_Exit!$L:$L,MATCH($B124,University_Exit!$B:$B,0)),"")</f>
        <v>Yes</v>
      </c>
      <c r="R124" s="2" t="str">
        <f t="shared" si="5"/>
        <v>Yes</v>
      </c>
      <c r="S124" s="5">
        <f>IFERROR(INDEX(University_Exit!$H:$H,MATCH($B124,University_Exit!$B:$B,0)),"")</f>
        <v>94.38</v>
      </c>
      <c r="T124" s="6">
        <f>IFERROR(INDEX(University_Exit!$K:$K,MATCH($B124,University_Exit!$B:$B,0)),"")</f>
        <v>960</v>
      </c>
      <c r="U124" s="2" t="str">
        <f>IFERROR(INDEX(University_Exit!$G:$G,MATCH($B124,University_Exit!$B:$B,0)),"")</f>
        <v>Qatar Energy</v>
      </c>
    </row>
    <row r="125" spans="1:21" x14ac:dyDescent="0.3">
      <c r="A125" s="2" t="s">
        <v>298</v>
      </c>
      <c r="B125" s="2" t="s">
        <v>319</v>
      </c>
      <c r="C125" s="2" t="s">
        <v>320</v>
      </c>
      <c r="D125" s="2" t="s">
        <v>301</v>
      </c>
      <c r="E125" s="2" t="s">
        <v>302</v>
      </c>
      <c r="F125" s="5">
        <v>83.792000000000002</v>
      </c>
      <c r="G125" s="5">
        <v>89.775999999999996</v>
      </c>
      <c r="H125" s="5">
        <v>5.9839999999999947</v>
      </c>
      <c r="I125" s="5">
        <f>IFERROR(INDEX(Baseline_Entry!$P:$P,MATCH($B125,Baseline_Entry!$B:$B,0)),"")</f>
        <v>65.074178403755866</v>
      </c>
      <c r="J125" s="2" t="str">
        <f t="shared" si="3"/>
        <v>Yes</v>
      </c>
      <c r="K125" s="2" t="str">
        <f t="shared" si="4"/>
        <v>Low starter</v>
      </c>
      <c r="L125" s="2" t="s">
        <v>65</v>
      </c>
      <c r="M125" s="2" t="s">
        <v>65</v>
      </c>
      <c r="N125" s="2">
        <v>0</v>
      </c>
      <c r="O125" s="2" t="str">
        <f>IFERROR(INDEX(University_Exit!$D:$D,MATCH($B125,University_Exit!$B:$B,0)),"")</f>
        <v>Doha University for Science &amp; Technology</v>
      </c>
      <c r="P125" s="2" t="str">
        <f>IFERROR(INDEX(University_Exit!$F:$F,MATCH($B125,University_Exit!$B:$B,0)),"")</f>
        <v>Electrical Engineering</v>
      </c>
      <c r="Q125" s="2" t="str">
        <f>IFERROR(INDEX(University_Exit!$L:$L,MATCH($B125,University_Exit!$B:$B,0)),"")</f>
        <v>Yes</v>
      </c>
      <c r="R125" s="2" t="str">
        <f t="shared" si="5"/>
        <v>Yes</v>
      </c>
      <c r="S125" s="5">
        <f>IFERROR(INDEX(University_Exit!$H:$H,MATCH($B125,University_Exit!$B:$B,0)),"")</f>
        <v>89.96</v>
      </c>
      <c r="T125" s="6">
        <f>IFERROR(INDEX(University_Exit!$K:$K,MATCH($B125,University_Exit!$B:$B,0)),"")</f>
        <v>1020</v>
      </c>
      <c r="U125" s="2" t="str">
        <f>IFERROR(INDEX(University_Exit!$G:$G,MATCH($B125,University_Exit!$B:$B,0)),"")</f>
        <v>وزارة الدفاع</v>
      </c>
    </row>
    <row r="126" spans="1:21" x14ac:dyDescent="0.3">
      <c r="A126" s="2" t="s">
        <v>298</v>
      </c>
      <c r="B126" s="2" t="s">
        <v>321</v>
      </c>
      <c r="C126" s="2" t="s">
        <v>322</v>
      </c>
      <c r="D126" s="2" t="s">
        <v>301</v>
      </c>
      <c r="E126" s="2" t="s">
        <v>302</v>
      </c>
      <c r="F126" s="5">
        <v>89.02000000000001</v>
      </c>
      <c r="G126" s="5">
        <v>94.724000000000004</v>
      </c>
      <c r="H126" s="5">
        <v>5.7039999999999944</v>
      </c>
      <c r="I126" s="5">
        <f>IFERROR(INDEX(Baseline_Entry!$P:$P,MATCH($B126,Baseline_Entry!$B:$B,0)),"")</f>
        <v>64.354929577464787</v>
      </c>
      <c r="J126" s="2" t="str">
        <f t="shared" si="3"/>
        <v>Yes</v>
      </c>
      <c r="K126" s="2" t="str">
        <f t="shared" si="4"/>
        <v>Low starter</v>
      </c>
      <c r="L126" s="2" t="s">
        <v>65</v>
      </c>
      <c r="M126" s="2" t="s">
        <v>66</v>
      </c>
      <c r="N126" s="2">
        <v>1</v>
      </c>
      <c r="O126" s="2" t="str">
        <f>IFERROR(INDEX(University_Exit!$D:$D,MATCH($B126,University_Exit!$B:$B,0)),"")</f>
        <v>Qatar University</v>
      </c>
      <c r="P126" s="2" t="str">
        <f>IFERROR(INDEX(University_Exit!$F:$F,MATCH($B126,University_Exit!$B:$B,0)),"")</f>
        <v>Mechanical Engineering</v>
      </c>
      <c r="Q126" s="2" t="str">
        <f>IFERROR(INDEX(University_Exit!$L:$L,MATCH($B126,University_Exit!$B:$B,0)),"")</f>
        <v>Yes</v>
      </c>
      <c r="R126" s="2" t="str">
        <f t="shared" si="5"/>
        <v>Yes</v>
      </c>
      <c r="S126" s="5">
        <f>IFERROR(INDEX(University_Exit!$H:$H,MATCH($B126,University_Exit!$B:$B,0)),"")</f>
        <v>96.56</v>
      </c>
      <c r="T126" s="6">
        <f>IFERROR(INDEX(University_Exit!$K:$K,MATCH($B126,University_Exit!$B:$B,0)),"")</f>
        <v>1200</v>
      </c>
      <c r="U126" s="2" t="str">
        <f>IFERROR(INDEX(University_Exit!$G:$G,MATCH($B126,University_Exit!$B:$B,0)),"")</f>
        <v>Qatar Energy</v>
      </c>
    </row>
    <row r="127" spans="1:21" x14ac:dyDescent="0.3">
      <c r="A127" s="2" t="s">
        <v>298</v>
      </c>
      <c r="B127" s="2" t="s">
        <v>323</v>
      </c>
      <c r="C127" s="2" t="s">
        <v>324</v>
      </c>
      <c r="D127" s="2" t="s">
        <v>301</v>
      </c>
      <c r="E127" s="2" t="s">
        <v>302</v>
      </c>
      <c r="F127" s="5">
        <v>74.608000000000004</v>
      </c>
      <c r="G127" s="5">
        <v>83.975999999999999</v>
      </c>
      <c r="H127" s="5">
        <v>9.367999999999995</v>
      </c>
      <c r="I127" s="5">
        <f>IFERROR(INDEX(Baseline_Entry!$P:$P,MATCH($B127,Baseline_Entry!$B:$B,0)),"")</f>
        <v>51.894835680751179</v>
      </c>
      <c r="J127" s="2" t="str">
        <f t="shared" si="3"/>
        <v>Yes</v>
      </c>
      <c r="K127" s="2" t="str">
        <f t="shared" si="4"/>
        <v>Low starter</v>
      </c>
      <c r="L127" s="2" t="s">
        <v>99</v>
      </c>
      <c r="M127" s="2" t="s">
        <v>65</v>
      </c>
      <c r="N127" s="2">
        <v>1</v>
      </c>
      <c r="O127" s="2" t="str">
        <f>IFERROR(INDEX(University_Exit!$D:$D,MATCH($B127,University_Exit!$B:$B,0)),"")</f>
        <v>الكلية العسكرية</v>
      </c>
      <c r="P127" s="2" t="str">
        <f>IFERROR(INDEX(University_Exit!$F:$F,MATCH($B127,University_Exit!$B:$B,0)),"")</f>
        <v>مرشح ظابط</v>
      </c>
      <c r="Q127" s="2" t="str">
        <f>IFERROR(INDEX(University_Exit!$L:$L,MATCH($B127,University_Exit!$B:$B,0)),"")</f>
        <v>No</v>
      </c>
      <c r="R127" s="2" t="str">
        <f t="shared" si="5"/>
        <v>Yes</v>
      </c>
      <c r="S127" s="5">
        <f>IFERROR(INDEX(University_Exit!$H:$H,MATCH($B127,University_Exit!$B:$B,0)),"")</f>
        <v>83.69</v>
      </c>
      <c r="T127" s="6">
        <f>IFERROR(INDEX(University_Exit!$K:$K,MATCH($B127,University_Exit!$B:$B,0)),"")</f>
        <v>840</v>
      </c>
      <c r="U127" s="2" t="str">
        <f>IFERROR(INDEX(University_Exit!$G:$G,MATCH($B127,University_Exit!$B:$B,0)),"")</f>
        <v>وزارة الدفاع</v>
      </c>
    </row>
    <row r="128" spans="1:21" x14ac:dyDescent="0.3">
      <c r="A128" s="2" t="s">
        <v>298</v>
      </c>
      <c r="B128" s="2" t="s">
        <v>325</v>
      </c>
      <c r="C128" s="2" t="s">
        <v>326</v>
      </c>
      <c r="D128" s="2" t="s">
        <v>301</v>
      </c>
      <c r="E128" s="2" t="s">
        <v>302</v>
      </c>
      <c r="F128" s="5">
        <v>84.1</v>
      </c>
      <c r="G128" s="5">
        <v>91.352000000000004</v>
      </c>
      <c r="H128" s="5">
        <v>7.2520000000000104</v>
      </c>
      <c r="I128" s="5">
        <f>IFERROR(INDEX(Baseline_Entry!$P:$P,MATCH($B128,Baseline_Entry!$B:$B,0)),"")</f>
        <v>62.375586854460096</v>
      </c>
      <c r="J128" s="2" t="str">
        <f t="shared" si="3"/>
        <v>Yes</v>
      </c>
      <c r="K128" s="2" t="str">
        <f t="shared" si="4"/>
        <v>Low starter</v>
      </c>
      <c r="L128" s="2" t="s">
        <v>65</v>
      </c>
      <c r="M128" s="2" t="s">
        <v>66</v>
      </c>
      <c r="N128" s="2">
        <v>1</v>
      </c>
      <c r="O128" s="2" t="str">
        <f>IFERROR(INDEX(University_Exit!$D:$D,MATCH($B128,University_Exit!$B:$B,0)),"")</f>
        <v>الكلية العسكرية</v>
      </c>
      <c r="P128" s="2" t="str">
        <f>IFERROR(INDEX(University_Exit!$F:$F,MATCH($B128,University_Exit!$B:$B,0)),"")</f>
        <v>مرشح ظابط</v>
      </c>
      <c r="Q128" s="2" t="str">
        <f>IFERROR(INDEX(University_Exit!$L:$L,MATCH($B128,University_Exit!$B:$B,0)),"")</f>
        <v>No</v>
      </c>
      <c r="R128" s="2" t="str">
        <f t="shared" si="5"/>
        <v>Yes</v>
      </c>
      <c r="S128" s="5">
        <f>IFERROR(INDEX(University_Exit!$H:$H,MATCH($B128,University_Exit!$B:$B,0)),"")</f>
        <v>91.88</v>
      </c>
      <c r="T128" s="6">
        <f>IFERROR(INDEX(University_Exit!$K:$K,MATCH($B128,University_Exit!$B:$B,0)),"")</f>
        <v>1030</v>
      </c>
      <c r="U128" s="2" t="str">
        <f>IFERROR(INDEX(University_Exit!$G:$G,MATCH($B128,University_Exit!$B:$B,0)),"")</f>
        <v>وزارة الدفاع</v>
      </c>
    </row>
    <row r="129" spans="1:21" x14ac:dyDescent="0.3">
      <c r="A129" s="2" t="s">
        <v>298</v>
      </c>
      <c r="B129" s="2" t="s">
        <v>327</v>
      </c>
      <c r="C129" s="2" t="s">
        <v>328</v>
      </c>
      <c r="D129" s="2" t="s">
        <v>301</v>
      </c>
      <c r="E129" s="2" t="s">
        <v>302</v>
      </c>
      <c r="F129" s="5">
        <v>85.152000000000001</v>
      </c>
      <c r="G129" s="5">
        <v>87.475999999999999</v>
      </c>
      <c r="H129" s="5">
        <v>2.3239999999999981</v>
      </c>
      <c r="I129" s="5">
        <f>IFERROR(INDEX(Baseline_Entry!$P:$P,MATCH($B129,Baseline_Entry!$B:$B,0)),"")</f>
        <v>55.671361502347416</v>
      </c>
      <c r="J129" s="2" t="str">
        <f t="shared" si="3"/>
        <v>Yes</v>
      </c>
      <c r="K129" s="2" t="str">
        <f t="shared" si="4"/>
        <v>Low starter</v>
      </c>
      <c r="L129" s="2" t="s">
        <v>65</v>
      </c>
      <c r="M129" s="2" t="s">
        <v>65</v>
      </c>
      <c r="N129" s="2">
        <v>0</v>
      </c>
      <c r="O129" s="2" t="str">
        <f>IFERROR(INDEX(University_Exit!$D:$D,MATCH($B129,University_Exit!$B:$B,0)),"")</f>
        <v>Doha University for Science &amp; Technology</v>
      </c>
      <c r="P129" s="2" t="str">
        <f>IFERROR(INDEX(University_Exit!$F:$F,MATCH($B129,University_Exit!$B:$B,0)),"")</f>
        <v>Electrical Engineering</v>
      </c>
      <c r="Q129" s="2" t="str">
        <f>IFERROR(INDEX(University_Exit!$L:$L,MATCH($B129,University_Exit!$B:$B,0)),"")</f>
        <v>Yes</v>
      </c>
      <c r="R129" s="2" t="str">
        <f t="shared" si="5"/>
        <v>Yes</v>
      </c>
      <c r="S129" s="5">
        <f>IFERROR(INDEX(University_Exit!$H:$H,MATCH($B129,University_Exit!$B:$B,0)),"")</f>
        <v>88.94</v>
      </c>
      <c r="T129" s="6">
        <f>IFERROR(INDEX(University_Exit!$K:$K,MATCH($B129,University_Exit!$B:$B,0)),"")</f>
        <v>1090</v>
      </c>
      <c r="U129" s="2" t="str">
        <f>IFERROR(INDEX(University_Exit!$G:$G,MATCH($B129,University_Exit!$B:$B,0)),"")</f>
        <v>Qatar Energy</v>
      </c>
    </row>
    <row r="130" spans="1:21" x14ac:dyDescent="0.3">
      <c r="A130" s="2" t="s">
        <v>298</v>
      </c>
      <c r="B130" s="2" t="s">
        <v>329</v>
      </c>
      <c r="C130" s="2" t="s">
        <v>330</v>
      </c>
      <c r="D130" s="2" t="s">
        <v>301</v>
      </c>
      <c r="E130" s="2" t="s">
        <v>302</v>
      </c>
      <c r="F130" s="5">
        <v>80.116</v>
      </c>
      <c r="G130" s="5">
        <v>80.7</v>
      </c>
      <c r="H130" s="5">
        <v>0.58400000000000318</v>
      </c>
      <c r="I130" s="5">
        <f>IFERROR(INDEX(Baseline_Entry!$P:$P,MATCH($B130,Baseline_Entry!$B:$B,0)),"")</f>
        <v>53.40469483568075</v>
      </c>
      <c r="J130" s="2" t="str">
        <f t="shared" ref="J130:J193" si="6">IF(I130="","No","Yes")</f>
        <v>Yes</v>
      </c>
      <c r="K130" s="2" t="str">
        <f t="shared" ref="K130:K193" si="7">IF(IF(I130="",F130,I130)&lt;70,"Low starter",IF(IF(I130="",F130,I130)&lt;85,"Middle starter","High starter"))</f>
        <v>Low starter</v>
      </c>
      <c r="L130" s="2" t="s">
        <v>65</v>
      </c>
      <c r="M130" s="2" t="s">
        <v>65</v>
      </c>
      <c r="N130" s="2">
        <v>0</v>
      </c>
      <c r="O130" s="2" t="str">
        <f>IFERROR(INDEX(University_Exit!$D:$D,MATCH($B130,University_Exit!$B:$B,0)),"")</f>
        <v>Qatar University</v>
      </c>
      <c r="P130" s="2" t="str">
        <f>IFERROR(INDEX(University_Exit!$F:$F,MATCH($B130,University_Exit!$B:$B,0)),"")</f>
        <v>Civil Engineering</v>
      </c>
      <c r="Q130" s="2" t="str">
        <f>IFERROR(INDEX(University_Exit!$L:$L,MATCH($B130,University_Exit!$B:$B,0)),"")</f>
        <v>Yes</v>
      </c>
      <c r="R130" s="2" t="str">
        <f t="shared" ref="R130:R193" si="8">IF(O130="","No","Yes")</f>
        <v>Yes</v>
      </c>
      <c r="S130" s="5">
        <f>IFERROR(INDEX(University_Exit!$H:$H,MATCH($B130,University_Exit!$B:$B,0)),"")</f>
        <v>81</v>
      </c>
      <c r="T130" s="6">
        <f>IFERROR(INDEX(University_Exit!$K:$K,MATCH($B130,University_Exit!$B:$B,0)),"")</f>
        <v>930</v>
      </c>
      <c r="U130" s="2" t="str">
        <f>IFERROR(INDEX(University_Exit!$G:$G,MATCH($B130,University_Exit!$B:$B,0)),"")</f>
        <v>Qatar arm forces</v>
      </c>
    </row>
    <row r="131" spans="1:21" x14ac:dyDescent="0.3">
      <c r="A131" s="2" t="s">
        <v>298</v>
      </c>
      <c r="B131" s="2" t="s">
        <v>331</v>
      </c>
      <c r="C131" s="2" t="s">
        <v>332</v>
      </c>
      <c r="D131" s="2" t="s">
        <v>301</v>
      </c>
      <c r="E131" s="2" t="s">
        <v>302</v>
      </c>
      <c r="F131" s="5">
        <v>76.828000000000003</v>
      </c>
      <c r="G131" s="5">
        <v>80.3</v>
      </c>
      <c r="H131" s="5">
        <v>3.4719999999999942</v>
      </c>
      <c r="I131" s="5">
        <f>IFERROR(INDEX(Baseline_Entry!$P:$P,MATCH($B131,Baseline_Entry!$B:$B,0)),"")</f>
        <v>49.126760563380287</v>
      </c>
      <c r="J131" s="2" t="str">
        <f t="shared" si="6"/>
        <v>Yes</v>
      </c>
      <c r="K131" s="2" t="str">
        <f t="shared" si="7"/>
        <v>Low starter</v>
      </c>
      <c r="L131" s="2" t="s">
        <v>99</v>
      </c>
      <c r="M131" s="2" t="s">
        <v>65</v>
      </c>
      <c r="N131" s="2">
        <v>1</v>
      </c>
      <c r="O131" s="2" t="str">
        <f>IFERROR(INDEX(University_Exit!$D:$D,MATCH($B131,University_Exit!$B:$B,0)),"")</f>
        <v>الكلية العسكرية</v>
      </c>
      <c r="P131" s="2" t="str">
        <f>IFERROR(INDEX(University_Exit!$F:$F,MATCH($B131,University_Exit!$B:$B,0)),"")</f>
        <v>مرشح ظابط</v>
      </c>
      <c r="Q131" s="2" t="str">
        <f>IFERROR(INDEX(University_Exit!$L:$L,MATCH($B131,University_Exit!$B:$B,0)),"")</f>
        <v>No</v>
      </c>
      <c r="R131" s="2" t="str">
        <f t="shared" si="8"/>
        <v>Yes</v>
      </c>
      <c r="S131" s="5">
        <f>IFERROR(INDEX(University_Exit!$H:$H,MATCH($B131,University_Exit!$B:$B,0)),"")</f>
        <v>81.5</v>
      </c>
      <c r="T131" s="6">
        <f>IFERROR(INDEX(University_Exit!$K:$K,MATCH($B131,University_Exit!$B:$B,0)),"")</f>
        <v>820</v>
      </c>
      <c r="U131" s="2" t="str">
        <f>IFERROR(INDEX(University_Exit!$G:$G,MATCH($B131,University_Exit!$B:$B,0)),"")</f>
        <v>وزارة الدفاع</v>
      </c>
    </row>
    <row r="132" spans="1:21" x14ac:dyDescent="0.3">
      <c r="A132" s="2" t="s">
        <v>298</v>
      </c>
      <c r="B132" s="2" t="s">
        <v>333</v>
      </c>
      <c r="C132" s="2" t="s">
        <v>334</v>
      </c>
      <c r="D132" s="2" t="s">
        <v>301</v>
      </c>
      <c r="E132" s="2" t="s">
        <v>302</v>
      </c>
      <c r="F132" s="5">
        <v>81.468000000000004</v>
      </c>
      <c r="G132" s="5">
        <v>84</v>
      </c>
      <c r="H132" s="5">
        <v>2.531999999999996</v>
      </c>
      <c r="I132" s="5">
        <f>IFERROR(INDEX(Baseline_Entry!$P:$P,MATCH($B132,Baseline_Entry!$B:$B,0)),"")</f>
        <v>55.271361502347418</v>
      </c>
      <c r="J132" s="2" t="str">
        <f t="shared" si="6"/>
        <v>Yes</v>
      </c>
      <c r="K132" s="2" t="str">
        <f t="shared" si="7"/>
        <v>Low starter</v>
      </c>
      <c r="L132" s="2" t="s">
        <v>65</v>
      </c>
      <c r="M132" s="2" t="s">
        <v>65</v>
      </c>
      <c r="N132" s="2">
        <v>0</v>
      </c>
      <c r="O132" s="2" t="str">
        <f>IFERROR(INDEX(University_Exit!$D:$D,MATCH($B132,University_Exit!$B:$B,0)),"")</f>
        <v>Qatar University</v>
      </c>
      <c r="P132" s="2" t="str">
        <f>IFERROR(INDEX(University_Exit!$F:$F,MATCH($B132,University_Exit!$B:$B,0)),"")</f>
        <v>Civil Engineering</v>
      </c>
      <c r="Q132" s="2" t="str">
        <f>IFERROR(INDEX(University_Exit!$L:$L,MATCH($B132,University_Exit!$B:$B,0)),"")</f>
        <v>Yes</v>
      </c>
      <c r="R132" s="2" t="str">
        <f t="shared" si="8"/>
        <v>Yes</v>
      </c>
      <c r="S132" s="5">
        <f>IFERROR(INDEX(University_Exit!$H:$H,MATCH($B132,University_Exit!$B:$B,0)),"")</f>
        <v>84</v>
      </c>
      <c r="T132" s="6">
        <f>IFERROR(INDEX(University_Exit!$K:$K,MATCH($B132,University_Exit!$B:$B,0)),"")</f>
        <v>720</v>
      </c>
      <c r="U132" s="2" t="str">
        <f>IFERROR(INDEX(University_Exit!$G:$G,MATCH($B132,University_Exit!$B:$B,0)),"")</f>
        <v>Ministry Of Education</v>
      </c>
    </row>
    <row r="133" spans="1:21" x14ac:dyDescent="0.3">
      <c r="A133" s="2" t="s">
        <v>298</v>
      </c>
      <c r="B133" s="2" t="s">
        <v>335</v>
      </c>
      <c r="C133" s="2" t="s">
        <v>336</v>
      </c>
      <c r="D133" s="2" t="s">
        <v>301</v>
      </c>
      <c r="E133" s="2" t="s">
        <v>302</v>
      </c>
      <c r="F133" s="5">
        <v>75.135999999999996</v>
      </c>
      <c r="G133" s="5">
        <v>80.099999999999994</v>
      </c>
      <c r="H133" s="5">
        <v>4.9639999999999986</v>
      </c>
      <c r="I133" s="5">
        <f>IFERROR(INDEX(Baseline_Entry!$P:$P,MATCH($B133,Baseline_Entry!$B:$B,0)),"")</f>
        <v>56.396244131455397</v>
      </c>
      <c r="J133" s="2" t="str">
        <f t="shared" si="6"/>
        <v>Yes</v>
      </c>
      <c r="K133" s="2" t="str">
        <f t="shared" si="7"/>
        <v>Low starter</v>
      </c>
      <c r="L133" s="2" t="s">
        <v>99</v>
      </c>
      <c r="M133" s="2" t="s">
        <v>65</v>
      </c>
      <c r="N133" s="2">
        <v>1</v>
      </c>
      <c r="O133" s="2" t="str">
        <f>IFERROR(INDEX(University_Exit!$D:$D,MATCH($B133,University_Exit!$B:$B,0)),"")</f>
        <v>Qatar University</v>
      </c>
      <c r="P133" s="2" t="str">
        <f>IFERROR(INDEX(University_Exit!$F:$F,MATCH($B133,University_Exit!$B:$B,0)),"")</f>
        <v>Mechanical Engineering</v>
      </c>
      <c r="Q133" s="2" t="str">
        <f>IFERROR(INDEX(University_Exit!$L:$L,MATCH($B133,University_Exit!$B:$B,0)),"")</f>
        <v>Yes</v>
      </c>
      <c r="R133" s="2" t="str">
        <f t="shared" si="8"/>
        <v>Yes</v>
      </c>
      <c r="S133" s="5">
        <f>IFERROR(INDEX(University_Exit!$H:$H,MATCH($B133,University_Exit!$B:$B,0)),"")</f>
        <v>82.25</v>
      </c>
      <c r="T133" s="6">
        <f>IFERROR(INDEX(University_Exit!$K:$K,MATCH($B133,University_Exit!$B:$B,0)),"")</f>
        <v>1080</v>
      </c>
      <c r="U133" s="2" t="str">
        <f>IFERROR(INDEX(University_Exit!$G:$G,MATCH($B133,University_Exit!$B:$B,0)),"")</f>
        <v>لا يوجد</v>
      </c>
    </row>
    <row r="134" spans="1:21" x14ac:dyDescent="0.3">
      <c r="A134" s="2" t="s">
        <v>298</v>
      </c>
      <c r="B134" s="2" t="s">
        <v>337</v>
      </c>
      <c r="C134" s="2" t="s">
        <v>338</v>
      </c>
      <c r="D134" s="2" t="s">
        <v>301</v>
      </c>
      <c r="E134" s="2" t="s">
        <v>302</v>
      </c>
      <c r="F134" s="5">
        <v>71.984000000000009</v>
      </c>
      <c r="G134" s="5">
        <v>68.823999999999998</v>
      </c>
      <c r="H134" s="5">
        <v>-3.1600000000000108</v>
      </c>
      <c r="I134" s="5">
        <f>IFERROR(INDEX(Baseline_Entry!$P:$P,MATCH($B134,Baseline_Entry!$B:$B,0)),"")</f>
        <v>51.329577464788734</v>
      </c>
      <c r="J134" s="2" t="str">
        <f t="shared" si="6"/>
        <v>Yes</v>
      </c>
      <c r="K134" s="2" t="str">
        <f t="shared" si="7"/>
        <v>Low starter</v>
      </c>
      <c r="L134" s="2" t="s">
        <v>99</v>
      </c>
      <c r="M134" s="2" t="s">
        <v>120</v>
      </c>
      <c r="N134" s="2">
        <v>-1</v>
      </c>
      <c r="O134" s="2" t="str">
        <f>IFERROR(INDEX(University_Exit!$D:$D,MATCH($B134,University_Exit!$B:$B,0)),"")</f>
        <v>خدمة وطنية</v>
      </c>
      <c r="P134" s="2">
        <f>IFERROR(INDEX(University_Exit!$F:$F,MATCH($B134,University_Exit!$B:$B,0)),"")</f>
        <v>0</v>
      </c>
      <c r="Q134" s="2" t="str">
        <f>IFERROR(INDEX(University_Exit!$L:$L,MATCH($B134,University_Exit!$B:$B,0)),"")</f>
        <v/>
      </c>
      <c r="R134" s="2" t="str">
        <f t="shared" si="8"/>
        <v>Yes</v>
      </c>
      <c r="S134" s="5">
        <f>IFERROR(INDEX(University_Exit!$H:$H,MATCH($B134,University_Exit!$B:$B,0)),"")</f>
        <v>71</v>
      </c>
      <c r="T134" s="6">
        <f>IFERROR(INDEX(University_Exit!$K:$K,MATCH($B134,University_Exit!$B:$B,0)),"")</f>
        <v>800</v>
      </c>
      <c r="U134" s="2">
        <f>IFERROR(INDEX(University_Exit!$G:$G,MATCH($B134,University_Exit!$B:$B,0)),"")</f>
        <v>0</v>
      </c>
    </row>
    <row r="135" spans="1:21" x14ac:dyDescent="0.3">
      <c r="A135" s="2" t="s">
        <v>298</v>
      </c>
      <c r="B135" s="2" t="s">
        <v>339</v>
      </c>
      <c r="C135" s="2" t="s">
        <v>340</v>
      </c>
      <c r="D135" s="2" t="s">
        <v>301</v>
      </c>
      <c r="E135" s="2" t="s">
        <v>302</v>
      </c>
      <c r="F135" s="5">
        <v>82.703999999999994</v>
      </c>
      <c r="G135" s="5">
        <v>86.2</v>
      </c>
      <c r="H135" s="5">
        <v>3.4960000000000089</v>
      </c>
      <c r="I135" s="5">
        <f>IFERROR(INDEX(Baseline_Entry!$P:$P,MATCH($B135,Baseline_Entry!$B:$B,0)),"")</f>
        <v>60.908920187793427</v>
      </c>
      <c r="J135" s="2" t="str">
        <f t="shared" si="6"/>
        <v>Yes</v>
      </c>
      <c r="K135" s="2" t="str">
        <f t="shared" si="7"/>
        <v>Low starter</v>
      </c>
      <c r="L135" s="2" t="s">
        <v>65</v>
      </c>
      <c r="M135" s="2" t="s">
        <v>65</v>
      </c>
      <c r="N135" s="2">
        <v>0</v>
      </c>
      <c r="O135" s="2" t="str">
        <f>IFERROR(INDEX(University_Exit!$D:$D,MATCH($B135,University_Exit!$B:$B,0)),"")</f>
        <v>WEILL CORNELL MEDICINE</v>
      </c>
      <c r="P135" s="2" t="str">
        <f>IFERROR(INDEX(University_Exit!$F:$F,MATCH($B135,University_Exit!$B:$B,0)),"")</f>
        <v>Medicine</v>
      </c>
      <c r="Q135" s="2" t="str">
        <f>IFERROR(INDEX(University_Exit!$L:$L,MATCH($B135,University_Exit!$B:$B,0)),"")</f>
        <v>Yes</v>
      </c>
      <c r="R135" s="2" t="str">
        <f t="shared" si="8"/>
        <v>Yes</v>
      </c>
      <c r="S135" s="5">
        <f>IFERROR(INDEX(University_Exit!$H:$H,MATCH($B135,University_Exit!$B:$B,0)),"")</f>
        <v>87.75</v>
      </c>
      <c r="T135" s="6">
        <f>IFERROR(INDEX(University_Exit!$K:$K,MATCH($B135,University_Exit!$B:$B,0)),"")</f>
        <v>1190</v>
      </c>
      <c r="U135" s="2" t="str">
        <f>IFERROR(INDEX(University_Exit!$G:$G,MATCH($B135,University_Exit!$B:$B,0)),"")</f>
        <v>Ministry Of Education</v>
      </c>
    </row>
    <row r="136" spans="1:21" x14ac:dyDescent="0.3">
      <c r="A136" s="2" t="s">
        <v>298</v>
      </c>
      <c r="B136" s="2" t="s">
        <v>341</v>
      </c>
      <c r="C136" s="2" t="s">
        <v>342</v>
      </c>
      <c r="D136" s="2" t="s">
        <v>301</v>
      </c>
      <c r="E136" s="2" t="s">
        <v>302</v>
      </c>
      <c r="F136" s="5">
        <v>87.688000000000002</v>
      </c>
      <c r="G136" s="5">
        <v>94.2</v>
      </c>
      <c r="H136" s="5">
        <v>6.5119999999999996</v>
      </c>
      <c r="I136" s="5">
        <f>IFERROR(INDEX(Baseline_Entry!$P:$P,MATCH($B136,Baseline_Entry!$B:$B,0)),"")</f>
        <v>49.926760563380277</v>
      </c>
      <c r="J136" s="2" t="str">
        <f t="shared" si="6"/>
        <v>Yes</v>
      </c>
      <c r="K136" s="2" t="str">
        <f t="shared" si="7"/>
        <v>Low starter</v>
      </c>
      <c r="L136" s="2" t="s">
        <v>65</v>
      </c>
      <c r="M136" s="2" t="s">
        <v>66</v>
      </c>
      <c r="N136" s="2">
        <v>1</v>
      </c>
      <c r="O136" s="2" t="str">
        <f>IFERROR(INDEX(University_Exit!$D:$D,MATCH($B136,University_Exit!$B:$B,0)),"")</f>
        <v>Carnegie Mellon University</v>
      </c>
      <c r="P136" s="2" t="str">
        <f>IFERROR(INDEX(University_Exit!$F:$F,MATCH($B136,University_Exit!$B:$B,0)),"")</f>
        <v>Computer Science</v>
      </c>
      <c r="Q136" s="2" t="str">
        <f>IFERROR(INDEX(University_Exit!$L:$L,MATCH($B136,University_Exit!$B:$B,0)),"")</f>
        <v>Yes</v>
      </c>
      <c r="R136" s="2" t="str">
        <f t="shared" si="8"/>
        <v>Yes</v>
      </c>
      <c r="S136" s="5">
        <f>IFERROR(INDEX(University_Exit!$H:$H,MATCH($B136,University_Exit!$B:$B,0)),"")</f>
        <v>93.75</v>
      </c>
      <c r="T136" s="6">
        <f>IFERROR(INDEX(University_Exit!$K:$K,MATCH($B136,University_Exit!$B:$B,0)),"")</f>
        <v>1090</v>
      </c>
      <c r="U136" s="2" t="str">
        <f>IFERROR(INDEX(University_Exit!$G:$G,MATCH($B136,University_Exit!$B:$B,0)),"")</f>
        <v>Ministry Of Education</v>
      </c>
    </row>
    <row r="137" spans="1:21" x14ac:dyDescent="0.3">
      <c r="A137" s="2" t="s">
        <v>298</v>
      </c>
      <c r="B137" s="2" t="s">
        <v>343</v>
      </c>
      <c r="C137" s="2" t="s">
        <v>344</v>
      </c>
      <c r="D137" s="2" t="s">
        <v>301</v>
      </c>
      <c r="E137" s="2" t="s">
        <v>302</v>
      </c>
      <c r="F137" s="5">
        <v>92.975999999999999</v>
      </c>
      <c r="G137" s="5">
        <v>93.575999999999993</v>
      </c>
      <c r="H137" s="5">
        <v>0.59999999999999432</v>
      </c>
      <c r="I137" s="5">
        <f>IFERROR(INDEX(Baseline_Entry!$P:$P,MATCH($B137,Baseline_Entry!$B:$B,0)),"")</f>
        <v>63.453521126760563</v>
      </c>
      <c r="J137" s="2" t="str">
        <f t="shared" si="6"/>
        <v>Yes</v>
      </c>
      <c r="K137" s="2" t="str">
        <f t="shared" si="7"/>
        <v>Low starter</v>
      </c>
      <c r="L137" s="2" t="s">
        <v>66</v>
      </c>
      <c r="M137" s="2" t="s">
        <v>66</v>
      </c>
      <c r="N137" s="2">
        <v>0</v>
      </c>
      <c r="O137" s="2" t="str">
        <f>IFERROR(INDEX(University_Exit!$D:$D,MATCH($B137,University_Exit!$B:$B,0)),"")</f>
        <v>University of Manchester</v>
      </c>
      <c r="P137" s="2" t="str">
        <f>IFERROR(INDEX(University_Exit!$F:$F,MATCH($B137,University_Exit!$B:$B,0)),"")</f>
        <v>Mechanical Engineering</v>
      </c>
      <c r="Q137" s="2" t="str">
        <f>IFERROR(INDEX(University_Exit!$L:$L,MATCH($B137,University_Exit!$B:$B,0)),"")</f>
        <v>Yes</v>
      </c>
      <c r="R137" s="2" t="str">
        <f t="shared" si="8"/>
        <v>Yes</v>
      </c>
      <c r="S137" s="5">
        <f>IFERROR(INDEX(University_Exit!$H:$H,MATCH($B137,University_Exit!$B:$B,0)),"")</f>
        <v>93.19</v>
      </c>
      <c r="T137" s="6">
        <f>IFERROR(INDEX(University_Exit!$K:$K,MATCH($B137,University_Exit!$B:$B,0)),"")</f>
        <v>1250</v>
      </c>
      <c r="U137" s="2" t="str">
        <f>IFERROR(INDEX(University_Exit!$G:$G,MATCH($B137,University_Exit!$B:$B,0)),"")</f>
        <v>Ministry Of Education</v>
      </c>
    </row>
    <row r="138" spans="1:21" x14ac:dyDescent="0.3">
      <c r="A138" s="2" t="s">
        <v>298</v>
      </c>
      <c r="B138" s="2" t="s">
        <v>345</v>
      </c>
      <c r="C138" s="2" t="s">
        <v>346</v>
      </c>
      <c r="D138" s="2" t="s">
        <v>301</v>
      </c>
      <c r="E138" s="2" t="s">
        <v>302</v>
      </c>
      <c r="F138" s="5">
        <v>74.808000000000007</v>
      </c>
      <c r="G138" s="5">
        <v>92.323999999999998</v>
      </c>
      <c r="H138" s="5">
        <v>17.515999999999991</v>
      </c>
      <c r="I138" s="5">
        <f>IFERROR(INDEX(Baseline_Entry!$P:$P,MATCH($B138,Baseline_Entry!$B:$B,0)),"")</f>
        <v>57.37840375586854</v>
      </c>
      <c r="J138" s="2" t="str">
        <f t="shared" si="6"/>
        <v>Yes</v>
      </c>
      <c r="K138" s="2" t="str">
        <f t="shared" si="7"/>
        <v>Low starter</v>
      </c>
      <c r="L138" s="2" t="s">
        <v>99</v>
      </c>
      <c r="M138" s="2" t="s">
        <v>66</v>
      </c>
      <c r="N138" s="2">
        <v>2</v>
      </c>
      <c r="O138" s="2" t="str">
        <f>IFERROR(INDEX(University_Exit!$D:$D,MATCH($B138,University_Exit!$B:$B,0)),"")</f>
        <v>Qatar University</v>
      </c>
      <c r="P138" s="2" t="str">
        <f>IFERROR(INDEX(University_Exit!$F:$F,MATCH($B138,University_Exit!$B:$B,0)),"")</f>
        <v>Mechanical Engineering</v>
      </c>
      <c r="Q138" s="2" t="str">
        <f>IFERROR(INDEX(University_Exit!$L:$L,MATCH($B138,University_Exit!$B:$B,0)),"")</f>
        <v>Yes</v>
      </c>
      <c r="R138" s="2" t="str">
        <f t="shared" si="8"/>
        <v>Yes</v>
      </c>
      <c r="S138" s="5">
        <f>IFERROR(INDEX(University_Exit!$H:$H,MATCH($B138,University_Exit!$B:$B,0)),"")</f>
        <v>93.81</v>
      </c>
      <c r="T138" s="6">
        <f>IFERROR(INDEX(University_Exit!$K:$K,MATCH($B138,University_Exit!$B:$B,0)),"")</f>
        <v>1110</v>
      </c>
      <c r="U138" s="2" t="str">
        <f>IFERROR(INDEX(University_Exit!$G:$G,MATCH($B138,University_Exit!$B:$B,0)),"")</f>
        <v>Ministry Of Education</v>
      </c>
    </row>
    <row r="139" spans="1:21" x14ac:dyDescent="0.3">
      <c r="A139" s="2" t="s">
        <v>298</v>
      </c>
      <c r="B139" s="2" t="s">
        <v>347</v>
      </c>
      <c r="C139" s="2" t="s">
        <v>348</v>
      </c>
      <c r="D139" s="2" t="s">
        <v>301</v>
      </c>
      <c r="E139" s="2" t="s">
        <v>302</v>
      </c>
      <c r="F139" s="5">
        <v>93.012</v>
      </c>
      <c r="G139" s="5">
        <v>95.924000000000007</v>
      </c>
      <c r="H139" s="5">
        <v>2.9120000000000061</v>
      </c>
      <c r="I139" s="5">
        <f>IFERROR(INDEX(Baseline_Entry!$P:$P,MATCH($B139,Baseline_Entry!$B:$B,0)),"")</f>
        <v>59.068544600938964</v>
      </c>
      <c r="J139" s="2" t="str">
        <f t="shared" si="6"/>
        <v>Yes</v>
      </c>
      <c r="K139" s="2" t="str">
        <f t="shared" si="7"/>
        <v>Low starter</v>
      </c>
      <c r="L139" s="2" t="s">
        <v>66</v>
      </c>
      <c r="M139" s="2" t="s">
        <v>66</v>
      </c>
      <c r="N139" s="2">
        <v>0</v>
      </c>
      <c r="O139" s="2" t="str">
        <f>IFERROR(INDEX(University_Exit!$D:$D,MATCH($B139,University_Exit!$B:$B,0)),"")</f>
        <v>University of Nottingham</v>
      </c>
      <c r="P139" s="2" t="str">
        <f>IFERROR(INDEX(University_Exit!$F:$F,MATCH($B139,University_Exit!$B:$B,0)),"")</f>
        <v>Mechanical Engineering</v>
      </c>
      <c r="Q139" s="2" t="str">
        <f>IFERROR(INDEX(University_Exit!$L:$L,MATCH($B139,University_Exit!$B:$B,0)),"")</f>
        <v>Yes</v>
      </c>
      <c r="R139" s="2" t="str">
        <f t="shared" si="8"/>
        <v>Yes</v>
      </c>
      <c r="S139" s="5">
        <f>IFERROR(INDEX(University_Exit!$H:$H,MATCH($B139,University_Exit!$B:$B,0)),"")</f>
        <v>96.81</v>
      </c>
      <c r="T139" s="6">
        <f>IFERROR(INDEX(University_Exit!$K:$K,MATCH($B139,University_Exit!$B:$B,0)),"")</f>
        <v>1090</v>
      </c>
      <c r="U139" s="2" t="str">
        <f>IFERROR(INDEX(University_Exit!$G:$G,MATCH($B139,University_Exit!$B:$B,0)),"")</f>
        <v>Qatar Energy</v>
      </c>
    </row>
    <row r="140" spans="1:21" x14ac:dyDescent="0.3">
      <c r="A140" s="2" t="s">
        <v>298</v>
      </c>
      <c r="B140" s="2" t="s">
        <v>349</v>
      </c>
      <c r="C140" s="2" t="s">
        <v>350</v>
      </c>
      <c r="D140" s="2" t="s">
        <v>301</v>
      </c>
      <c r="E140" s="2" t="s">
        <v>302</v>
      </c>
      <c r="F140" s="5">
        <v>79.268000000000001</v>
      </c>
      <c r="G140" s="5">
        <v>86.123999999999995</v>
      </c>
      <c r="H140" s="5">
        <v>6.8559999999999954</v>
      </c>
      <c r="I140" s="5">
        <f>IFERROR(INDEX(Baseline_Entry!$P:$P,MATCH($B140,Baseline_Entry!$B:$B,0)),"")</f>
        <v>53.613145539906107</v>
      </c>
      <c r="J140" s="2" t="str">
        <f t="shared" si="6"/>
        <v>Yes</v>
      </c>
      <c r="K140" s="2" t="str">
        <f t="shared" si="7"/>
        <v>Low starter</v>
      </c>
      <c r="L140" s="2" t="s">
        <v>99</v>
      </c>
      <c r="M140" s="2" t="s">
        <v>65</v>
      </c>
      <c r="N140" s="2">
        <v>1</v>
      </c>
      <c r="O140" s="2" t="str">
        <f>IFERROR(INDEX(University_Exit!$D:$D,MATCH($B140,University_Exit!$B:$B,0)),"")</f>
        <v>Royal College of Surgeons in Ireland</v>
      </c>
      <c r="P140" s="2" t="str">
        <f>IFERROR(INDEX(University_Exit!$F:$F,MATCH($B140,University_Exit!$B:$B,0)),"")</f>
        <v>Medicine</v>
      </c>
      <c r="Q140" s="2" t="str">
        <f>IFERROR(INDEX(University_Exit!$L:$L,MATCH($B140,University_Exit!$B:$B,0)),"")</f>
        <v>Yes</v>
      </c>
      <c r="R140" s="2" t="str">
        <f t="shared" si="8"/>
        <v>Yes</v>
      </c>
      <c r="S140" s="5">
        <f>IFERROR(INDEX(University_Exit!$H:$H,MATCH($B140,University_Exit!$B:$B,0)),"")</f>
        <v>88</v>
      </c>
      <c r="T140" s="6">
        <f>IFERROR(INDEX(University_Exit!$K:$K,MATCH($B140,University_Exit!$B:$B,0)),"")</f>
        <v>960</v>
      </c>
      <c r="U140" s="2" t="str">
        <f>IFERROR(INDEX(University_Exit!$G:$G,MATCH($B140,University_Exit!$B:$B,0)),"")</f>
        <v>Ministry Of Education</v>
      </c>
    </row>
    <row r="141" spans="1:21" x14ac:dyDescent="0.3">
      <c r="A141" s="2" t="s">
        <v>298</v>
      </c>
      <c r="B141" s="2" t="s">
        <v>351</v>
      </c>
      <c r="C141" s="2" t="s">
        <v>352</v>
      </c>
      <c r="D141" s="2" t="s">
        <v>301</v>
      </c>
      <c r="E141" s="2" t="s">
        <v>302</v>
      </c>
      <c r="F141" s="5">
        <v>89.024000000000001</v>
      </c>
      <c r="G141" s="5">
        <v>91.823999999999998</v>
      </c>
      <c r="H141" s="5">
        <v>2.7999999999999972</v>
      </c>
      <c r="I141" s="5">
        <f>IFERROR(INDEX(Baseline_Entry!$P:$P,MATCH($B141,Baseline_Entry!$B:$B,0)),"")</f>
        <v>55.036619718309858</v>
      </c>
      <c r="J141" s="2" t="str">
        <f t="shared" si="6"/>
        <v>Yes</v>
      </c>
      <c r="K141" s="2" t="str">
        <f t="shared" si="7"/>
        <v>Low starter</v>
      </c>
      <c r="L141" s="2" t="s">
        <v>65</v>
      </c>
      <c r="M141" s="2" t="s">
        <v>66</v>
      </c>
      <c r="N141" s="2">
        <v>1</v>
      </c>
      <c r="O141" s="2" t="str">
        <f>IFERROR(INDEX(University_Exit!$D:$D,MATCH($B141,University_Exit!$B:$B,0)),"")</f>
        <v>University of Nottingham</v>
      </c>
      <c r="P141" s="2" t="str">
        <f>IFERROR(INDEX(University_Exit!$F:$F,MATCH($B141,University_Exit!$B:$B,0)),"")</f>
        <v>Mechanical Engineering</v>
      </c>
      <c r="Q141" s="2" t="str">
        <f>IFERROR(INDEX(University_Exit!$L:$L,MATCH($B141,University_Exit!$B:$B,0)),"")</f>
        <v>Yes</v>
      </c>
      <c r="R141" s="2" t="str">
        <f t="shared" si="8"/>
        <v>Yes</v>
      </c>
      <c r="S141" s="5">
        <f>IFERROR(INDEX(University_Exit!$H:$H,MATCH($B141,University_Exit!$B:$B,0)),"")</f>
        <v>92.31</v>
      </c>
      <c r="T141" s="6">
        <f>IFERROR(INDEX(University_Exit!$K:$K,MATCH($B141,University_Exit!$B:$B,0)),"")</f>
        <v>1000</v>
      </c>
      <c r="U141" s="2" t="str">
        <f>IFERROR(INDEX(University_Exit!$G:$G,MATCH($B141,University_Exit!$B:$B,0)),"")</f>
        <v>Qatar Energy</v>
      </c>
    </row>
    <row r="142" spans="1:21" x14ac:dyDescent="0.3">
      <c r="A142" s="2" t="s">
        <v>298</v>
      </c>
      <c r="B142" s="2" t="s">
        <v>353</v>
      </c>
      <c r="C142" s="2" t="s">
        <v>354</v>
      </c>
      <c r="D142" s="2" t="s">
        <v>301</v>
      </c>
      <c r="E142" s="2" t="s">
        <v>302</v>
      </c>
      <c r="F142" s="5">
        <v>74.311999999999998</v>
      </c>
      <c r="G142" s="5">
        <v>69.251999999999995</v>
      </c>
      <c r="H142" s="5">
        <v>-5.0600000000000023</v>
      </c>
      <c r="I142" s="5">
        <f>IFERROR(INDEX(Baseline_Entry!$P:$P,MATCH($B142,Baseline_Entry!$B:$B,0)),"")</f>
        <v>55.521126760563384</v>
      </c>
      <c r="J142" s="2" t="str">
        <f t="shared" si="6"/>
        <v>Yes</v>
      </c>
      <c r="K142" s="2" t="str">
        <f t="shared" si="7"/>
        <v>Low starter</v>
      </c>
      <c r="L142" s="2" t="s">
        <v>99</v>
      </c>
      <c r="M142" s="2" t="s">
        <v>120</v>
      </c>
      <c r="N142" s="2">
        <v>-1</v>
      </c>
      <c r="O142" s="2" t="str">
        <f>IFERROR(INDEX(University_Exit!$D:$D,MATCH($B142,University_Exit!$B:$B,0)),"")</f>
        <v>Doha University for Science &amp; Technology</v>
      </c>
      <c r="P142" s="2" t="str">
        <f>IFERROR(INDEX(University_Exit!$F:$F,MATCH($B142,University_Exit!$B:$B,0)),"")</f>
        <v>Mechanical Engineering</v>
      </c>
      <c r="Q142" s="2" t="str">
        <f>IFERROR(INDEX(University_Exit!$L:$L,MATCH($B142,University_Exit!$B:$B,0)),"")</f>
        <v>Yes</v>
      </c>
      <c r="R142" s="2" t="str">
        <f t="shared" si="8"/>
        <v>Yes</v>
      </c>
      <c r="S142" s="5">
        <f>IFERROR(INDEX(University_Exit!$H:$H,MATCH($B142,University_Exit!$B:$B,0)),"")</f>
        <v>67.88</v>
      </c>
      <c r="T142" s="6">
        <f>IFERROR(INDEX(University_Exit!$K:$K,MATCH($B142,University_Exit!$B:$B,0)),"")</f>
        <v>880</v>
      </c>
      <c r="U142" s="2" t="str">
        <f>IFERROR(INDEX(University_Exit!$G:$G,MATCH($B142,University_Exit!$B:$B,0)),"")</f>
        <v>لا يوجد</v>
      </c>
    </row>
    <row r="143" spans="1:21" x14ac:dyDescent="0.3">
      <c r="A143" s="2" t="s">
        <v>298</v>
      </c>
      <c r="B143" s="2" t="s">
        <v>355</v>
      </c>
      <c r="C143" s="2" t="s">
        <v>356</v>
      </c>
      <c r="D143" s="2" t="s">
        <v>301</v>
      </c>
      <c r="E143" s="2" t="s">
        <v>302</v>
      </c>
      <c r="F143" s="5">
        <v>78.664000000000016</v>
      </c>
      <c r="G143" s="5">
        <v>92.376000000000005</v>
      </c>
      <c r="H143" s="5">
        <v>13.711999999999991</v>
      </c>
      <c r="I143" s="5">
        <f>IFERROR(INDEX(Baseline_Entry!$P:$P,MATCH($B143,Baseline_Entry!$B:$B,0)),"")</f>
        <v>50.535211267605632</v>
      </c>
      <c r="J143" s="2" t="str">
        <f t="shared" si="6"/>
        <v>Yes</v>
      </c>
      <c r="K143" s="2" t="str">
        <f t="shared" si="7"/>
        <v>Low starter</v>
      </c>
      <c r="L143" s="2" t="s">
        <v>99</v>
      </c>
      <c r="M143" s="2" t="s">
        <v>66</v>
      </c>
      <c r="N143" s="2">
        <v>2</v>
      </c>
      <c r="O143" s="2" t="str">
        <f>IFERROR(INDEX(University_Exit!$D:$D,MATCH($B143,University_Exit!$B:$B,0)),"")</f>
        <v>Qatar University</v>
      </c>
      <c r="P143" s="2" t="str">
        <f>IFERROR(INDEX(University_Exit!$F:$F,MATCH($B143,University_Exit!$B:$B,0)),"")</f>
        <v>Computer Science</v>
      </c>
      <c r="Q143" s="2" t="str">
        <f>IFERROR(INDEX(University_Exit!$L:$L,MATCH($B143,University_Exit!$B:$B,0)),"")</f>
        <v>Yes</v>
      </c>
      <c r="R143" s="2" t="str">
        <f t="shared" si="8"/>
        <v>Yes</v>
      </c>
      <c r="S143" s="5">
        <f>IFERROR(INDEX(University_Exit!$H:$H,MATCH($B143,University_Exit!$B:$B,0)),"")</f>
        <v>94.19</v>
      </c>
      <c r="T143" s="6">
        <f>IFERROR(INDEX(University_Exit!$K:$K,MATCH($B143,University_Exit!$B:$B,0)),"")</f>
        <v>930</v>
      </c>
      <c r="U143" s="2" t="str">
        <f>IFERROR(INDEX(University_Exit!$G:$G,MATCH($B143,University_Exit!$B:$B,0)),"")</f>
        <v>Ministry Of Education</v>
      </c>
    </row>
    <row r="144" spans="1:21" x14ac:dyDescent="0.3">
      <c r="A144" s="2" t="s">
        <v>298</v>
      </c>
      <c r="B144" s="2" t="s">
        <v>357</v>
      </c>
      <c r="C144" s="2" t="s">
        <v>358</v>
      </c>
      <c r="D144" s="2" t="s">
        <v>301</v>
      </c>
      <c r="E144" s="2" t="s">
        <v>302</v>
      </c>
      <c r="F144" s="5">
        <v>85.715999999999994</v>
      </c>
      <c r="G144" s="5">
        <v>94.275999999999996</v>
      </c>
      <c r="H144" s="5">
        <v>8.5600000000000023</v>
      </c>
      <c r="I144" s="5">
        <f>IFERROR(INDEX(Baseline_Entry!$P:$P,MATCH($B144,Baseline_Entry!$B:$B,0)),"")</f>
        <v>48.097652582159633</v>
      </c>
      <c r="J144" s="2" t="str">
        <f t="shared" si="6"/>
        <v>Yes</v>
      </c>
      <c r="K144" s="2" t="str">
        <f t="shared" si="7"/>
        <v>Low starter</v>
      </c>
      <c r="L144" s="2" t="s">
        <v>65</v>
      </c>
      <c r="M144" s="2" t="s">
        <v>66</v>
      </c>
      <c r="N144" s="2">
        <v>1</v>
      </c>
      <c r="O144" s="2" t="str">
        <f>IFERROR(INDEX(University_Exit!$D:$D,MATCH($B144,University_Exit!$B:$B,0)),"")</f>
        <v>Queen Mary University of London</v>
      </c>
      <c r="P144" s="2" t="str">
        <f>IFERROR(INDEX(University_Exit!$F:$F,MATCH($B144,University_Exit!$B:$B,0)),"")</f>
        <v>Mechanical Engineering</v>
      </c>
      <c r="Q144" s="2" t="str">
        <f>IFERROR(INDEX(University_Exit!$L:$L,MATCH($B144,University_Exit!$B:$B,0)),"")</f>
        <v>Yes</v>
      </c>
      <c r="R144" s="2" t="str">
        <f t="shared" si="8"/>
        <v>Yes</v>
      </c>
      <c r="S144" s="5">
        <f>IFERROR(INDEX(University_Exit!$H:$H,MATCH($B144,University_Exit!$B:$B,0)),"")</f>
        <v>94.94</v>
      </c>
      <c r="T144" s="6">
        <f>IFERROR(INDEX(University_Exit!$K:$K,MATCH($B144,University_Exit!$B:$B,0)),"")</f>
        <v>980</v>
      </c>
      <c r="U144" s="2" t="str">
        <f>IFERROR(INDEX(University_Exit!$G:$G,MATCH($B144,University_Exit!$B:$B,0)),"")</f>
        <v>Oryx GTL Limited</v>
      </c>
    </row>
    <row r="145" spans="1:21" x14ac:dyDescent="0.3">
      <c r="A145" s="2" t="s">
        <v>298</v>
      </c>
      <c r="B145" s="2" t="s">
        <v>359</v>
      </c>
      <c r="C145" s="2" t="s">
        <v>360</v>
      </c>
      <c r="D145" s="2" t="s">
        <v>301</v>
      </c>
      <c r="E145" s="2" t="s">
        <v>302</v>
      </c>
      <c r="F145" s="5">
        <v>71.912000000000006</v>
      </c>
      <c r="G145" s="5">
        <v>75.623999999999995</v>
      </c>
      <c r="H145" s="5">
        <v>3.7119999999999891</v>
      </c>
      <c r="I145" s="5">
        <f>IFERROR(INDEX(Baseline_Entry!$P:$P,MATCH($B145,Baseline_Entry!$B:$B,0)),"")</f>
        <v>55.72957746478874</v>
      </c>
      <c r="J145" s="2" t="str">
        <f t="shared" si="6"/>
        <v>Yes</v>
      </c>
      <c r="K145" s="2" t="str">
        <f t="shared" si="7"/>
        <v>Low starter</v>
      </c>
      <c r="L145" s="2" t="s">
        <v>99</v>
      </c>
      <c r="M145" s="2" t="s">
        <v>99</v>
      </c>
      <c r="N145" s="2">
        <v>0</v>
      </c>
      <c r="O145" s="2" t="str">
        <f>IFERROR(INDEX(University_Exit!$D:$D,MATCH($B145,University_Exit!$B:$B,0)),"")</f>
        <v>Qatar University</v>
      </c>
      <c r="P145" s="2" t="str">
        <f>IFERROR(INDEX(University_Exit!$F:$F,MATCH($B145,University_Exit!$B:$B,0)),"")</f>
        <v>Electrical Engineering</v>
      </c>
      <c r="Q145" s="2" t="str">
        <f>IFERROR(INDEX(University_Exit!$L:$L,MATCH($B145,University_Exit!$B:$B,0)),"")</f>
        <v>Yes</v>
      </c>
      <c r="R145" s="2" t="str">
        <f t="shared" si="8"/>
        <v>Yes</v>
      </c>
      <c r="S145" s="5">
        <f>IFERROR(INDEX(University_Exit!$H:$H,MATCH($B145,University_Exit!$B:$B,0)),"")</f>
        <v>75.31</v>
      </c>
      <c r="T145" s="6">
        <f>IFERROR(INDEX(University_Exit!$K:$K,MATCH($B145,University_Exit!$B:$B,0)),"")</f>
        <v>960</v>
      </c>
      <c r="U145" s="2" t="str">
        <f>IFERROR(INDEX(University_Exit!$G:$G,MATCH($B145,University_Exit!$B:$B,0)),"")</f>
        <v>Self-sponsored</v>
      </c>
    </row>
    <row r="146" spans="1:21" x14ac:dyDescent="0.3">
      <c r="A146" s="2" t="s">
        <v>298</v>
      </c>
      <c r="B146" s="2" t="s">
        <v>361</v>
      </c>
      <c r="C146" s="2" t="s">
        <v>362</v>
      </c>
      <c r="D146" s="2" t="s">
        <v>301</v>
      </c>
      <c r="E146" s="2" t="s">
        <v>302</v>
      </c>
      <c r="F146" s="5">
        <v>79.131999999999991</v>
      </c>
      <c r="G146" s="5">
        <v>84.623999999999995</v>
      </c>
      <c r="H146" s="5">
        <v>5.4920000000000044</v>
      </c>
      <c r="I146" s="5">
        <f>IFERROR(INDEX(Baseline_Entry!$P:$P,MATCH($B146,Baseline_Entry!$B:$B,0)),"")</f>
        <v>47.692018779342732</v>
      </c>
      <c r="J146" s="2" t="str">
        <f t="shared" si="6"/>
        <v>Yes</v>
      </c>
      <c r="K146" s="2" t="str">
        <f t="shared" si="7"/>
        <v>Low starter</v>
      </c>
      <c r="L146" s="2" t="s">
        <v>99</v>
      </c>
      <c r="M146" s="2" t="s">
        <v>65</v>
      </c>
      <c r="N146" s="2">
        <v>1</v>
      </c>
      <c r="O146" s="2" t="str">
        <f>IFERROR(INDEX(University_Exit!$D:$D,MATCH($B146,University_Exit!$B:$B,0)),"")</f>
        <v>Qatar University</v>
      </c>
      <c r="P146" s="2" t="str">
        <f>IFERROR(INDEX(University_Exit!$F:$F,MATCH($B146,University_Exit!$B:$B,0)),"")</f>
        <v>Electrical Engineering</v>
      </c>
      <c r="Q146" s="2" t="str">
        <f>IFERROR(INDEX(University_Exit!$L:$L,MATCH($B146,University_Exit!$B:$B,0)),"")</f>
        <v>Yes</v>
      </c>
      <c r="R146" s="2" t="str">
        <f t="shared" si="8"/>
        <v>Yes</v>
      </c>
      <c r="S146" s="5">
        <f>IFERROR(INDEX(University_Exit!$H:$H,MATCH($B146,University_Exit!$B:$B,0)),"")</f>
        <v>86</v>
      </c>
      <c r="T146" s="6">
        <f>IFERROR(INDEX(University_Exit!$K:$K,MATCH($B146,University_Exit!$B:$B,0)),"")</f>
        <v>900</v>
      </c>
      <c r="U146" s="2" t="str">
        <f>IFERROR(INDEX(University_Exit!$G:$G,MATCH($B146,University_Exit!$B:$B,0)),"")</f>
        <v>Qatar Energy</v>
      </c>
    </row>
    <row r="147" spans="1:21" x14ac:dyDescent="0.3">
      <c r="A147" s="2" t="s">
        <v>298</v>
      </c>
      <c r="B147" s="2" t="s">
        <v>363</v>
      </c>
      <c r="C147" s="2" t="s">
        <v>364</v>
      </c>
      <c r="D147" s="2" t="s">
        <v>301</v>
      </c>
      <c r="E147" s="2" t="s">
        <v>302</v>
      </c>
      <c r="F147" s="5">
        <v>79.855999999999995</v>
      </c>
      <c r="G147" s="5">
        <v>98.575999999999993</v>
      </c>
      <c r="H147" s="5">
        <v>18.72</v>
      </c>
      <c r="I147" s="5">
        <f>IFERROR(INDEX(Baseline_Entry!$P:$P,MATCH($B147,Baseline_Entry!$B:$B,0)),"")</f>
        <v>53.569953051643189</v>
      </c>
      <c r="J147" s="2" t="str">
        <f t="shared" si="6"/>
        <v>Yes</v>
      </c>
      <c r="K147" s="2" t="str">
        <f t="shared" si="7"/>
        <v>Low starter</v>
      </c>
      <c r="L147" s="2" t="s">
        <v>99</v>
      </c>
      <c r="M147" s="2" t="s">
        <v>66</v>
      </c>
      <c r="N147" s="2">
        <v>2</v>
      </c>
      <c r="O147" s="2" t="str">
        <f>IFERROR(INDEX(University_Exit!$D:$D,MATCH($B147,University_Exit!$B:$B,0)),"")</f>
        <v>Carnegie Mellon University</v>
      </c>
      <c r="P147" s="2" t="str">
        <f>IFERROR(INDEX(University_Exit!$F:$F,MATCH($B147,University_Exit!$B:$B,0)),"")</f>
        <v>Computer Science</v>
      </c>
      <c r="Q147" s="2" t="str">
        <f>IFERROR(INDEX(University_Exit!$L:$L,MATCH($B147,University_Exit!$B:$B,0)),"")</f>
        <v>Yes</v>
      </c>
      <c r="R147" s="2" t="str">
        <f t="shared" si="8"/>
        <v>Yes</v>
      </c>
      <c r="S147" s="5">
        <f>IFERROR(INDEX(University_Exit!$H:$H,MATCH($B147,University_Exit!$B:$B,0)),"")</f>
        <v>98.94</v>
      </c>
      <c r="T147" s="6">
        <f>IFERROR(INDEX(University_Exit!$K:$K,MATCH($B147,University_Exit!$B:$B,0)),"")</f>
        <v>1400</v>
      </c>
      <c r="U147" s="2" t="str">
        <f>IFERROR(INDEX(University_Exit!$G:$G,MATCH($B147,University_Exit!$B:$B,0)),"")</f>
        <v>Ministry Of Education</v>
      </c>
    </row>
    <row r="148" spans="1:21" x14ac:dyDescent="0.3">
      <c r="A148" s="2" t="s">
        <v>298</v>
      </c>
      <c r="B148" s="2" t="s">
        <v>365</v>
      </c>
      <c r="C148" s="2" t="s">
        <v>366</v>
      </c>
      <c r="D148" s="2" t="s">
        <v>301</v>
      </c>
      <c r="E148" s="2" t="s">
        <v>302</v>
      </c>
      <c r="F148" s="5">
        <v>84.484000000000009</v>
      </c>
      <c r="G148" s="5">
        <v>87.852000000000004</v>
      </c>
      <c r="H148" s="5">
        <v>3.367999999999995</v>
      </c>
      <c r="I148" s="5">
        <f>IFERROR(INDEX(Baseline_Entry!$P:$P,MATCH($B148,Baseline_Entry!$B:$B,0)),"")</f>
        <v>60.471361502347428</v>
      </c>
      <c r="J148" s="2" t="str">
        <f t="shared" si="6"/>
        <v>Yes</v>
      </c>
      <c r="K148" s="2" t="str">
        <f t="shared" si="7"/>
        <v>Low starter</v>
      </c>
      <c r="L148" s="2" t="s">
        <v>65</v>
      </c>
      <c r="M148" s="2" t="s">
        <v>65</v>
      </c>
      <c r="N148" s="2">
        <v>0</v>
      </c>
      <c r="O148" s="2" t="str">
        <f>IFERROR(INDEX(University_Exit!$D:$D,MATCH($B148,University_Exit!$B:$B,0)),"")</f>
        <v>Lusail University</v>
      </c>
      <c r="P148" s="2" t="str">
        <f>IFERROR(INDEX(University_Exit!$F:$F,MATCH($B148,University_Exit!$B:$B,0)),"")</f>
        <v>Law</v>
      </c>
      <c r="Q148" s="2" t="str">
        <f>IFERROR(INDEX(University_Exit!$L:$L,MATCH($B148,University_Exit!$B:$B,0)),"")</f>
        <v>No</v>
      </c>
      <c r="R148" s="2" t="str">
        <f t="shared" si="8"/>
        <v>Yes</v>
      </c>
      <c r="S148" s="5">
        <f>IFERROR(INDEX(University_Exit!$H:$H,MATCH($B148,University_Exit!$B:$B,0)),"")</f>
        <v>88.38</v>
      </c>
      <c r="T148" s="6">
        <f>IFERROR(INDEX(University_Exit!$K:$K,MATCH($B148,University_Exit!$B:$B,0)),"")</f>
        <v>1030</v>
      </c>
      <c r="U148" s="2" t="str">
        <f>IFERROR(INDEX(University_Exit!$G:$G,MATCH($B148,University_Exit!$B:$B,0)),"")</f>
        <v>Self-sponsored</v>
      </c>
    </row>
    <row r="149" spans="1:21" x14ac:dyDescent="0.3">
      <c r="A149" s="2" t="s">
        <v>298</v>
      </c>
      <c r="B149" s="2" t="s">
        <v>367</v>
      </c>
      <c r="C149" s="2" t="s">
        <v>368</v>
      </c>
      <c r="D149" s="2" t="s">
        <v>301</v>
      </c>
      <c r="E149" s="2" t="s">
        <v>302</v>
      </c>
      <c r="F149" s="5">
        <v>91.188000000000002</v>
      </c>
      <c r="G149" s="5">
        <v>97.176000000000002</v>
      </c>
      <c r="H149" s="5">
        <v>5.9880000000000004</v>
      </c>
      <c r="I149" s="5">
        <f>IFERROR(INDEX(Baseline_Entry!$P:$P,MATCH($B149,Baseline_Entry!$B:$B,0)),"")</f>
        <v>59.149295774647896</v>
      </c>
      <c r="J149" s="2" t="str">
        <f t="shared" si="6"/>
        <v>Yes</v>
      </c>
      <c r="K149" s="2" t="str">
        <f t="shared" si="7"/>
        <v>Low starter</v>
      </c>
      <c r="L149" s="2" t="s">
        <v>66</v>
      </c>
      <c r="M149" s="2" t="s">
        <v>66</v>
      </c>
      <c r="N149" s="2">
        <v>0</v>
      </c>
      <c r="O149" s="2" t="str">
        <f>IFERROR(INDEX(University_Exit!$D:$D,MATCH($B149,University_Exit!$B:$B,0)),"")</f>
        <v>Carnegie Mellon University</v>
      </c>
      <c r="P149" s="2" t="str">
        <f>IFERROR(INDEX(University_Exit!$F:$F,MATCH($B149,University_Exit!$B:$B,0)),"")</f>
        <v>Computer Science</v>
      </c>
      <c r="Q149" s="2" t="str">
        <f>IFERROR(INDEX(University_Exit!$L:$L,MATCH($B149,University_Exit!$B:$B,0)),"")</f>
        <v>Yes</v>
      </c>
      <c r="R149" s="2" t="str">
        <f t="shared" si="8"/>
        <v>Yes</v>
      </c>
      <c r="S149" s="5">
        <f>IFERROR(INDEX(University_Exit!$H:$H,MATCH($B149,University_Exit!$B:$B,0)),"")</f>
        <v>97.19</v>
      </c>
      <c r="T149" s="6">
        <f>IFERROR(INDEX(University_Exit!$K:$K,MATCH($B149,University_Exit!$B:$B,0)),"")</f>
        <v>1310</v>
      </c>
      <c r="U149" s="2" t="str">
        <f>IFERROR(INDEX(University_Exit!$G:$G,MATCH($B149,University_Exit!$B:$B,0)),"")</f>
        <v>Ministry Of Education</v>
      </c>
    </row>
    <row r="150" spans="1:21" x14ac:dyDescent="0.3">
      <c r="A150" s="2" t="s">
        <v>298</v>
      </c>
      <c r="B150" s="2" t="s">
        <v>369</v>
      </c>
      <c r="C150" s="2" t="s">
        <v>370</v>
      </c>
      <c r="D150" s="2" t="s">
        <v>301</v>
      </c>
      <c r="E150" s="2" t="s">
        <v>302</v>
      </c>
      <c r="F150" s="5">
        <v>82.111999999999995</v>
      </c>
      <c r="G150" s="5">
        <v>86.676000000000002</v>
      </c>
      <c r="H150" s="5">
        <v>4.5640000000000072</v>
      </c>
      <c r="I150" s="5">
        <f>IFERROR(INDEX(Baseline_Entry!$P:$P,MATCH($B150,Baseline_Entry!$B:$B,0)),"")</f>
        <v>63.891079812206577</v>
      </c>
      <c r="J150" s="2" t="str">
        <f t="shared" si="6"/>
        <v>Yes</v>
      </c>
      <c r="K150" s="2" t="str">
        <f t="shared" si="7"/>
        <v>Low starter</v>
      </c>
      <c r="L150" s="2" t="s">
        <v>65</v>
      </c>
      <c r="M150" s="2" t="s">
        <v>65</v>
      </c>
      <c r="N150" s="2">
        <v>0</v>
      </c>
      <c r="O150" s="2" t="str">
        <f>IFERROR(INDEX(University_Exit!$D:$D,MATCH($B150,University_Exit!$B:$B,0)),"")</f>
        <v>Qatar University</v>
      </c>
      <c r="P150" s="2" t="str">
        <f>IFERROR(INDEX(University_Exit!$F:$F,MATCH($B150,University_Exit!$B:$B,0)),"")</f>
        <v>Mechanical Engineering</v>
      </c>
      <c r="Q150" s="2" t="str">
        <f>IFERROR(INDEX(University_Exit!$L:$L,MATCH($B150,University_Exit!$B:$B,0)),"")</f>
        <v>Yes</v>
      </c>
      <c r="R150" s="2" t="str">
        <f t="shared" si="8"/>
        <v>Yes</v>
      </c>
      <c r="S150" s="5">
        <f>IFERROR(INDEX(University_Exit!$H:$H,MATCH($B150,University_Exit!$B:$B,0)),"")</f>
        <v>87.44</v>
      </c>
      <c r="T150" s="6">
        <f>IFERROR(INDEX(University_Exit!$K:$K,MATCH($B150,University_Exit!$B:$B,0)),"")</f>
        <v>1060</v>
      </c>
      <c r="U150" s="2" t="str">
        <f>IFERROR(INDEX(University_Exit!$G:$G,MATCH($B150,University_Exit!$B:$B,0)),"")</f>
        <v>Qatar Energy</v>
      </c>
    </row>
    <row r="151" spans="1:21" x14ac:dyDescent="0.3">
      <c r="A151" s="2" t="s">
        <v>298</v>
      </c>
      <c r="B151" s="2" t="s">
        <v>371</v>
      </c>
      <c r="C151" s="2" t="s">
        <v>372</v>
      </c>
      <c r="D151" s="2" t="s">
        <v>301</v>
      </c>
      <c r="E151" s="2" t="s">
        <v>302</v>
      </c>
      <c r="F151" s="5">
        <v>86.224000000000004</v>
      </c>
      <c r="G151" s="5">
        <v>92.623999999999995</v>
      </c>
      <c r="H151" s="5">
        <v>6.3999999999999906</v>
      </c>
      <c r="I151" s="5">
        <f>IFERROR(INDEX(Baseline_Entry!$P:$P,MATCH($B151,Baseline_Entry!$B:$B,0)),"")</f>
        <v>57.804694835680756</v>
      </c>
      <c r="J151" s="2" t="str">
        <f t="shared" si="6"/>
        <v>Yes</v>
      </c>
      <c r="K151" s="2" t="str">
        <f t="shared" si="7"/>
        <v>Low starter</v>
      </c>
      <c r="L151" s="2" t="s">
        <v>65</v>
      </c>
      <c r="M151" s="2" t="s">
        <v>66</v>
      </c>
      <c r="N151" s="2">
        <v>1</v>
      </c>
      <c r="O151" s="2" t="str">
        <f>IFERROR(INDEX(University_Exit!$D:$D,MATCH($B151,University_Exit!$B:$B,0)),"")</f>
        <v>Carnegie Mellon University</v>
      </c>
      <c r="P151" s="2" t="str">
        <f>IFERROR(INDEX(University_Exit!$F:$F,MATCH($B151,University_Exit!$B:$B,0)),"")</f>
        <v>Information Technology System</v>
      </c>
      <c r="Q151" s="2" t="str">
        <f>IFERROR(INDEX(University_Exit!$L:$L,MATCH($B151,University_Exit!$B:$B,0)),"")</f>
        <v>Yes</v>
      </c>
      <c r="R151" s="2" t="str">
        <f t="shared" si="8"/>
        <v>Yes</v>
      </c>
      <c r="S151" s="5">
        <f>IFERROR(INDEX(University_Exit!$H:$H,MATCH($B151,University_Exit!$B:$B,0)),"")</f>
        <v>94</v>
      </c>
      <c r="T151" s="6">
        <f>IFERROR(INDEX(University_Exit!$K:$K,MATCH($B151,University_Exit!$B:$B,0)),"")</f>
        <v>1080</v>
      </c>
      <c r="U151" s="2" t="str">
        <f>IFERROR(INDEX(University_Exit!$G:$G,MATCH($B151,University_Exit!$B:$B,0)),"")</f>
        <v>Ministry Of Education</v>
      </c>
    </row>
    <row r="152" spans="1:21" x14ac:dyDescent="0.3">
      <c r="A152" s="2" t="s">
        <v>298</v>
      </c>
      <c r="B152" s="2" t="s">
        <v>373</v>
      </c>
      <c r="C152" s="2" t="s">
        <v>374</v>
      </c>
      <c r="D152" s="2" t="s">
        <v>301</v>
      </c>
      <c r="E152" s="2" t="s">
        <v>302</v>
      </c>
      <c r="F152" s="5">
        <v>80.34</v>
      </c>
      <c r="G152" s="5">
        <v>78.652000000000001</v>
      </c>
      <c r="H152" s="5">
        <v>-1.6880000000000019</v>
      </c>
      <c r="I152" s="5">
        <f>IFERROR(INDEX(Baseline_Entry!$P:$P,MATCH($B152,Baseline_Entry!$B:$B,0)),"")</f>
        <v>57.047887323943655</v>
      </c>
      <c r="J152" s="2" t="str">
        <f t="shared" si="6"/>
        <v>Yes</v>
      </c>
      <c r="K152" s="2" t="str">
        <f t="shared" si="7"/>
        <v>Low starter</v>
      </c>
      <c r="L152" s="2" t="s">
        <v>65</v>
      </c>
      <c r="M152" s="2" t="s">
        <v>99</v>
      </c>
      <c r="N152" s="2">
        <v>-1</v>
      </c>
      <c r="O152" s="2" t="str">
        <f>IFERROR(INDEX(University_Exit!$D:$D,MATCH($B152,University_Exit!$B:$B,0)),"")</f>
        <v>Qatar University</v>
      </c>
      <c r="P152" s="2" t="str">
        <f>IFERROR(INDEX(University_Exit!$F:$F,MATCH($B152,University_Exit!$B:$B,0)),"")</f>
        <v>Computer Science</v>
      </c>
      <c r="Q152" s="2" t="str">
        <f>IFERROR(INDEX(University_Exit!$L:$L,MATCH($B152,University_Exit!$B:$B,0)),"")</f>
        <v>Yes</v>
      </c>
      <c r="R152" s="2" t="str">
        <f t="shared" si="8"/>
        <v>Yes</v>
      </c>
      <c r="S152" s="5">
        <f>IFERROR(INDEX(University_Exit!$H:$H,MATCH($B152,University_Exit!$B:$B,0)),"")</f>
        <v>81.88</v>
      </c>
      <c r="T152" s="6">
        <f>IFERROR(INDEX(University_Exit!$K:$K,MATCH($B152,University_Exit!$B:$B,0)),"")</f>
        <v>980</v>
      </c>
      <c r="U152" s="2" t="str">
        <f>IFERROR(INDEX(University_Exit!$G:$G,MATCH($B152,University_Exit!$B:$B,0)),"")</f>
        <v>Ministry Of Education</v>
      </c>
    </row>
    <row r="153" spans="1:21" x14ac:dyDescent="0.3">
      <c r="A153" s="2" t="s">
        <v>298</v>
      </c>
      <c r="B153" s="2" t="s">
        <v>375</v>
      </c>
      <c r="C153" s="2" t="s">
        <v>376</v>
      </c>
      <c r="D153" s="2" t="s">
        <v>301</v>
      </c>
      <c r="E153" s="2" t="s">
        <v>302</v>
      </c>
      <c r="F153" s="5">
        <v>73.16</v>
      </c>
      <c r="G153" s="5">
        <v>70</v>
      </c>
      <c r="H153" s="5">
        <v>-3.159999999999997</v>
      </c>
      <c r="I153" s="5">
        <f>IFERROR(INDEX(Baseline_Entry!$P:$P,MATCH($B153,Baseline_Entry!$B:$B,0)),"")</f>
        <v>50.871361502347419</v>
      </c>
      <c r="J153" s="2" t="str">
        <f t="shared" si="6"/>
        <v>Yes</v>
      </c>
      <c r="K153" s="2" t="str">
        <f t="shared" si="7"/>
        <v>Low starter</v>
      </c>
      <c r="L153" s="2" t="s">
        <v>99</v>
      </c>
      <c r="M153" s="2" t="s">
        <v>99</v>
      </c>
      <c r="N153" s="2">
        <v>0</v>
      </c>
      <c r="O153" s="2" t="str">
        <f>IFERROR(INDEX(University_Exit!$D:$D,MATCH($B153,University_Exit!$B:$B,0)),"")</f>
        <v>خدمة وطنية</v>
      </c>
      <c r="P153" s="2" t="str">
        <f>IFERROR(INDEX(University_Exit!$F:$F,MATCH($B153,University_Exit!$B:$B,0)),"")</f>
        <v>0</v>
      </c>
      <c r="Q153" s="2" t="str">
        <f>IFERROR(INDEX(University_Exit!$L:$L,MATCH($B153,University_Exit!$B:$B,0)),"")</f>
        <v>No</v>
      </c>
      <c r="R153" s="2" t="str">
        <f t="shared" si="8"/>
        <v>Yes</v>
      </c>
      <c r="S153" s="5">
        <f>IFERROR(INDEX(University_Exit!$H:$H,MATCH($B153,University_Exit!$B:$B,0)),"")</f>
        <v>67.75</v>
      </c>
      <c r="T153" s="6">
        <f>IFERROR(INDEX(University_Exit!$K:$K,MATCH($B153,University_Exit!$B:$B,0)),"")</f>
        <v>750</v>
      </c>
      <c r="U153" s="2" t="str">
        <f>IFERROR(INDEX(University_Exit!$G:$G,MATCH($B153,University_Exit!$B:$B,0)),"")</f>
        <v>0</v>
      </c>
    </row>
    <row r="154" spans="1:21" x14ac:dyDescent="0.3">
      <c r="A154" s="2" t="s">
        <v>298</v>
      </c>
      <c r="B154" s="2" t="s">
        <v>377</v>
      </c>
      <c r="C154" s="2" t="s">
        <v>378</v>
      </c>
      <c r="D154" s="2" t="s">
        <v>301</v>
      </c>
      <c r="E154" s="2" t="s">
        <v>302</v>
      </c>
      <c r="F154" s="5">
        <v>75</v>
      </c>
      <c r="G154" s="5">
        <v>81.024000000000001</v>
      </c>
      <c r="H154" s="5">
        <v>6.0240000000000009</v>
      </c>
      <c r="I154" s="5">
        <f>IFERROR(INDEX(Baseline_Entry!$P:$P,MATCH($B154,Baseline_Entry!$B:$B,0)),"")</f>
        <v>59.37840375586854</v>
      </c>
      <c r="J154" s="2" t="str">
        <f t="shared" si="6"/>
        <v>Yes</v>
      </c>
      <c r="K154" s="2" t="str">
        <f t="shared" si="7"/>
        <v>Low starter</v>
      </c>
      <c r="L154" s="2" t="s">
        <v>99</v>
      </c>
      <c r="M154" s="2" t="s">
        <v>65</v>
      </c>
      <c r="N154" s="2">
        <v>1</v>
      </c>
      <c r="O154" s="2" t="str">
        <f>IFERROR(INDEX(University_Exit!$D:$D,MATCH($B154,University_Exit!$B:$B,0)),"")</f>
        <v>Qatar University</v>
      </c>
      <c r="P154" s="2" t="str">
        <f>IFERROR(INDEX(University_Exit!$F:$F,MATCH($B154,University_Exit!$B:$B,0)),"")</f>
        <v>Electrical Engineering</v>
      </c>
      <c r="Q154" s="2" t="str">
        <f>IFERROR(INDEX(University_Exit!$L:$L,MATCH($B154,University_Exit!$B:$B,0)),"")</f>
        <v>Yes</v>
      </c>
      <c r="R154" s="2" t="str">
        <f t="shared" si="8"/>
        <v>Yes</v>
      </c>
      <c r="S154" s="5">
        <f>IFERROR(INDEX(University_Exit!$H:$H,MATCH($B154,University_Exit!$B:$B,0)),"")</f>
        <v>82.06</v>
      </c>
      <c r="T154" s="6">
        <f>IFERROR(INDEX(University_Exit!$K:$K,MATCH($B154,University_Exit!$B:$B,0)),"")</f>
        <v>1030</v>
      </c>
      <c r="U154" s="2" t="str">
        <f>IFERROR(INDEX(University_Exit!$G:$G,MATCH($B154,University_Exit!$B:$B,0)),"")</f>
        <v>وزارة الدفاع</v>
      </c>
    </row>
    <row r="155" spans="1:21" x14ac:dyDescent="0.3">
      <c r="A155" s="2" t="s">
        <v>298</v>
      </c>
      <c r="B155" s="2" t="s">
        <v>379</v>
      </c>
      <c r="C155" s="2" t="s">
        <v>380</v>
      </c>
      <c r="D155" s="2" t="s">
        <v>301</v>
      </c>
      <c r="E155" s="2" t="s">
        <v>302</v>
      </c>
      <c r="F155" s="5">
        <v>76.831999999999994</v>
      </c>
      <c r="G155" s="5">
        <v>81.724000000000004</v>
      </c>
      <c r="H155" s="5">
        <v>4.8920000000000101</v>
      </c>
      <c r="I155" s="5">
        <f>IFERROR(INDEX(Baseline_Entry!$P:$P,MATCH($B155,Baseline_Entry!$B:$B,0)),"")</f>
        <v>60.274178403755876</v>
      </c>
      <c r="J155" s="2" t="str">
        <f t="shared" si="6"/>
        <v>Yes</v>
      </c>
      <c r="K155" s="2" t="str">
        <f t="shared" si="7"/>
        <v>Low starter</v>
      </c>
      <c r="L155" s="2" t="s">
        <v>99</v>
      </c>
      <c r="M155" s="2" t="s">
        <v>65</v>
      </c>
      <c r="N155" s="2">
        <v>1</v>
      </c>
      <c r="O155" s="2" t="str">
        <f>IFERROR(INDEX(University_Exit!$D:$D,MATCH($B155,University_Exit!$B:$B,0)),"")</f>
        <v>University of Tulsa</v>
      </c>
      <c r="P155" s="2" t="str">
        <f>IFERROR(INDEX(University_Exit!$F:$F,MATCH($B155,University_Exit!$B:$B,0)),"")</f>
        <v>Petroleum Engineering</v>
      </c>
      <c r="Q155" s="2" t="str">
        <f>IFERROR(INDEX(University_Exit!$L:$L,MATCH($B155,University_Exit!$B:$B,0)),"")</f>
        <v>Yes</v>
      </c>
      <c r="R155" s="2" t="str">
        <f t="shared" si="8"/>
        <v>Yes</v>
      </c>
      <c r="S155" s="5">
        <f>IFERROR(INDEX(University_Exit!$H:$H,MATCH($B155,University_Exit!$B:$B,0)),"")</f>
        <v>82.56</v>
      </c>
      <c r="T155" s="6">
        <f>IFERROR(INDEX(University_Exit!$K:$K,MATCH($B155,University_Exit!$B:$B,0)),"")</f>
        <v>990</v>
      </c>
      <c r="U155" s="2" t="str">
        <f>IFERROR(INDEX(University_Exit!$G:$G,MATCH($B155,University_Exit!$B:$B,0)),"")</f>
        <v>Qatar Energy</v>
      </c>
    </row>
    <row r="156" spans="1:21" x14ac:dyDescent="0.3">
      <c r="A156" s="2" t="s">
        <v>298</v>
      </c>
      <c r="B156" s="2" t="s">
        <v>381</v>
      </c>
      <c r="C156" s="2" t="s">
        <v>382</v>
      </c>
      <c r="D156" s="2" t="s">
        <v>301</v>
      </c>
      <c r="E156" s="2" t="s">
        <v>302</v>
      </c>
      <c r="F156" s="5">
        <v>91.647999999999996</v>
      </c>
      <c r="G156" s="5">
        <v>97.475999999999999</v>
      </c>
      <c r="H156" s="5">
        <v>5.828000000000003</v>
      </c>
      <c r="I156" s="5">
        <f>IFERROR(INDEX(Baseline_Entry!$P:$P,MATCH($B156,Baseline_Entry!$B:$B,0)),"")</f>
        <v>69.091079812206573</v>
      </c>
      <c r="J156" s="2" t="str">
        <f t="shared" si="6"/>
        <v>Yes</v>
      </c>
      <c r="K156" s="2" t="str">
        <f t="shared" si="7"/>
        <v>Low starter</v>
      </c>
      <c r="L156" s="2" t="s">
        <v>66</v>
      </c>
      <c r="M156" s="2" t="s">
        <v>66</v>
      </c>
      <c r="N156" s="2">
        <v>0</v>
      </c>
      <c r="O156" s="2" t="str">
        <f>IFERROR(INDEX(University_Exit!$D:$D,MATCH($B156,University_Exit!$B:$B,0)),"")</f>
        <v>Carnegie Mellon University</v>
      </c>
      <c r="P156" s="2" t="str">
        <f>IFERROR(INDEX(University_Exit!$F:$F,MATCH($B156,University_Exit!$B:$B,0)),"")</f>
        <v>Computer Science</v>
      </c>
      <c r="Q156" s="2" t="str">
        <f>IFERROR(INDEX(University_Exit!$L:$L,MATCH($B156,University_Exit!$B:$B,0)),"")</f>
        <v>Yes</v>
      </c>
      <c r="R156" s="2" t="str">
        <f t="shared" si="8"/>
        <v>Yes</v>
      </c>
      <c r="S156" s="5">
        <f>IFERROR(INDEX(University_Exit!$H:$H,MATCH($B156,University_Exit!$B:$B,0)),"")</f>
        <v>96.69</v>
      </c>
      <c r="T156" s="6">
        <f>IFERROR(INDEX(University_Exit!$K:$K,MATCH($B156,University_Exit!$B:$B,0)),"")</f>
        <v>1200</v>
      </c>
      <c r="U156" s="2" t="str">
        <f>IFERROR(INDEX(University_Exit!$G:$G,MATCH($B156,University_Exit!$B:$B,0)),"")</f>
        <v>Ministry Of Education</v>
      </c>
    </row>
    <row r="157" spans="1:21" x14ac:dyDescent="0.3">
      <c r="A157" s="2" t="s">
        <v>298</v>
      </c>
      <c r="B157" s="2" t="s">
        <v>383</v>
      </c>
      <c r="C157" s="2" t="s">
        <v>384</v>
      </c>
      <c r="D157" s="2" t="s">
        <v>301</v>
      </c>
      <c r="E157" s="2" t="s">
        <v>302</v>
      </c>
      <c r="F157" s="5">
        <v>85.49199999999999</v>
      </c>
      <c r="G157" s="5">
        <v>93.724000000000004</v>
      </c>
      <c r="H157" s="5">
        <v>8.2320000000000135</v>
      </c>
      <c r="I157" s="5">
        <f>IFERROR(INDEX(Baseline_Entry!$P:$P,MATCH($B157,Baseline_Entry!$B:$B,0)),"")</f>
        <v>57.352112676056343</v>
      </c>
      <c r="J157" s="2" t="str">
        <f t="shared" si="6"/>
        <v>Yes</v>
      </c>
      <c r="K157" s="2" t="str">
        <f t="shared" si="7"/>
        <v>Low starter</v>
      </c>
      <c r="L157" s="2" t="s">
        <v>65</v>
      </c>
      <c r="M157" s="2" t="s">
        <v>66</v>
      </c>
      <c r="N157" s="2">
        <v>1</v>
      </c>
      <c r="O157" s="2" t="str">
        <f>IFERROR(INDEX(University_Exit!$D:$D,MATCH($B157,University_Exit!$B:$B,0)),"")</f>
        <v>Qatar University</v>
      </c>
      <c r="P157" s="2" t="str">
        <f>IFERROR(INDEX(University_Exit!$F:$F,MATCH($B157,University_Exit!$B:$B,0)),"")</f>
        <v>Computer Science</v>
      </c>
      <c r="Q157" s="2" t="str">
        <f>IFERROR(INDEX(University_Exit!$L:$L,MATCH($B157,University_Exit!$B:$B,0)),"")</f>
        <v>Yes</v>
      </c>
      <c r="R157" s="2" t="str">
        <f t="shared" si="8"/>
        <v>Yes</v>
      </c>
      <c r="S157" s="5">
        <f>IFERROR(INDEX(University_Exit!$H:$H,MATCH($B157,University_Exit!$B:$B,0)),"")</f>
        <v>93.81</v>
      </c>
      <c r="T157" s="6">
        <f>IFERROR(INDEX(University_Exit!$K:$K,MATCH($B157,University_Exit!$B:$B,0)),"")</f>
        <v>1000</v>
      </c>
      <c r="U157" s="2" t="str">
        <f>IFERROR(INDEX(University_Exit!$G:$G,MATCH($B157,University_Exit!$B:$B,0)),"")</f>
        <v>Ministry Of Education</v>
      </c>
    </row>
    <row r="158" spans="1:21" x14ac:dyDescent="0.3">
      <c r="A158" s="2" t="s">
        <v>298</v>
      </c>
      <c r="B158" s="2" t="s">
        <v>385</v>
      </c>
      <c r="C158" s="2" t="s">
        <v>386</v>
      </c>
      <c r="D158" s="2" t="s">
        <v>301</v>
      </c>
      <c r="E158" s="2" t="s">
        <v>302</v>
      </c>
      <c r="F158" s="5">
        <v>85.128000000000014</v>
      </c>
      <c r="G158" s="5">
        <v>83.652000000000001</v>
      </c>
      <c r="H158" s="5">
        <v>-1.4760000000000131</v>
      </c>
      <c r="I158" s="5">
        <f>IFERROR(INDEX(Baseline_Entry!$P:$P,MATCH($B158,Baseline_Entry!$B:$B,0)),"")</f>
        <v>61.149295774647889</v>
      </c>
      <c r="J158" s="2" t="str">
        <f t="shared" si="6"/>
        <v>Yes</v>
      </c>
      <c r="K158" s="2" t="str">
        <f t="shared" si="7"/>
        <v>Low starter</v>
      </c>
      <c r="L158" s="2" t="s">
        <v>65</v>
      </c>
      <c r="M158" s="2" t="s">
        <v>65</v>
      </c>
      <c r="N158" s="2">
        <v>0</v>
      </c>
      <c r="O158" s="2" t="str">
        <f>IFERROR(INDEX(University_Exit!$D:$D,MATCH($B158,University_Exit!$B:$B,0)),"")</f>
        <v>Qatar University</v>
      </c>
      <c r="P158" s="2" t="str">
        <f>IFERROR(INDEX(University_Exit!$F:$F,MATCH($B158,University_Exit!$B:$B,0)),"")</f>
        <v>Computer Engineering</v>
      </c>
      <c r="Q158" s="2" t="str">
        <f>IFERROR(INDEX(University_Exit!$L:$L,MATCH($B158,University_Exit!$B:$B,0)),"")</f>
        <v>Yes</v>
      </c>
      <c r="R158" s="2" t="str">
        <f t="shared" si="8"/>
        <v>Yes</v>
      </c>
      <c r="S158" s="5">
        <f>IFERROR(INDEX(University_Exit!$H:$H,MATCH($B158,University_Exit!$B:$B,0)),"")</f>
        <v>85.38</v>
      </c>
      <c r="T158" s="6">
        <f>IFERROR(INDEX(University_Exit!$K:$K,MATCH($B158,University_Exit!$B:$B,0)),"")</f>
        <v>1140</v>
      </c>
      <c r="U158" s="2" t="str">
        <f>IFERROR(INDEX(University_Exit!$G:$G,MATCH($B158,University_Exit!$B:$B,0)),"")</f>
        <v>Self-sponsored</v>
      </c>
    </row>
    <row r="159" spans="1:21" x14ac:dyDescent="0.3">
      <c r="A159" s="2" t="s">
        <v>298</v>
      </c>
      <c r="B159" s="2" t="s">
        <v>387</v>
      </c>
      <c r="C159" s="2" t="s">
        <v>388</v>
      </c>
      <c r="D159" s="2" t="s">
        <v>301</v>
      </c>
      <c r="E159" s="2" t="s">
        <v>302</v>
      </c>
      <c r="F159" s="5">
        <v>86.695999999999998</v>
      </c>
      <c r="G159" s="5">
        <v>90.024000000000001</v>
      </c>
      <c r="H159" s="5">
        <v>3.328000000000003</v>
      </c>
      <c r="I159" s="5">
        <f>IFERROR(INDEX(Baseline_Entry!$P:$P,MATCH($B159,Baseline_Entry!$B:$B,0)),"")</f>
        <v>52.364319248826291</v>
      </c>
      <c r="J159" s="2" t="str">
        <f t="shared" si="6"/>
        <v>Yes</v>
      </c>
      <c r="K159" s="2" t="str">
        <f t="shared" si="7"/>
        <v>Low starter</v>
      </c>
      <c r="L159" s="2" t="s">
        <v>65</v>
      </c>
      <c r="M159" s="2" t="s">
        <v>66</v>
      </c>
      <c r="N159" s="2">
        <v>1</v>
      </c>
      <c r="O159" s="2" t="str">
        <f>IFERROR(INDEX(University_Exit!$D:$D,MATCH($B159,University_Exit!$B:$B,0)),"")</f>
        <v>Qatar University</v>
      </c>
      <c r="P159" s="2" t="str">
        <f>IFERROR(INDEX(University_Exit!$F:$F,MATCH($B159,University_Exit!$B:$B,0)),"")</f>
        <v>Chemical Engineering</v>
      </c>
      <c r="Q159" s="2" t="str">
        <f>IFERROR(INDEX(University_Exit!$L:$L,MATCH($B159,University_Exit!$B:$B,0)),"")</f>
        <v>Yes</v>
      </c>
      <c r="R159" s="2" t="str">
        <f t="shared" si="8"/>
        <v>Yes</v>
      </c>
      <c r="S159" s="5">
        <f>IFERROR(INDEX(University_Exit!$H:$H,MATCH($B159,University_Exit!$B:$B,0)),"")</f>
        <v>89.81</v>
      </c>
      <c r="T159" s="6">
        <f>IFERROR(INDEX(University_Exit!$K:$K,MATCH($B159,University_Exit!$B:$B,0)),"")</f>
        <v>950</v>
      </c>
      <c r="U159" s="2" t="str">
        <f>IFERROR(INDEX(University_Exit!$G:$G,MATCH($B159,University_Exit!$B:$B,0)),"")</f>
        <v>وزارة الدفاع</v>
      </c>
    </row>
    <row r="160" spans="1:21" x14ac:dyDescent="0.3">
      <c r="A160" s="2" t="s">
        <v>298</v>
      </c>
      <c r="B160" s="2" t="s">
        <v>389</v>
      </c>
      <c r="C160" s="2" t="s">
        <v>390</v>
      </c>
      <c r="D160" s="2" t="s">
        <v>301</v>
      </c>
      <c r="E160" s="2" t="s">
        <v>302</v>
      </c>
      <c r="F160" s="5">
        <v>75.635999999999996</v>
      </c>
      <c r="G160" s="5">
        <v>93.376000000000005</v>
      </c>
      <c r="H160" s="5">
        <v>17.740000000000009</v>
      </c>
      <c r="I160" s="5">
        <f>IFERROR(INDEX(Baseline_Entry!$P:$P,MATCH($B160,Baseline_Entry!$B:$B,0)),"")</f>
        <v>53.39342723004696</v>
      </c>
      <c r="J160" s="2" t="str">
        <f t="shared" si="6"/>
        <v>Yes</v>
      </c>
      <c r="K160" s="2" t="str">
        <f t="shared" si="7"/>
        <v>Low starter</v>
      </c>
      <c r="L160" s="2" t="s">
        <v>99</v>
      </c>
      <c r="M160" s="2" t="s">
        <v>66</v>
      </c>
      <c r="N160" s="2">
        <v>2</v>
      </c>
      <c r="O160" s="2" t="str">
        <f>IFERROR(INDEX(University_Exit!$D:$D,MATCH($B160,University_Exit!$B:$B,0)),"")</f>
        <v>Qatar University</v>
      </c>
      <c r="P160" s="2" t="str">
        <f>IFERROR(INDEX(University_Exit!$F:$F,MATCH($B160,University_Exit!$B:$B,0)),"")</f>
        <v>Medicine</v>
      </c>
      <c r="Q160" s="2" t="str">
        <f>IFERROR(INDEX(University_Exit!$L:$L,MATCH($B160,University_Exit!$B:$B,0)),"")</f>
        <v>Yes</v>
      </c>
      <c r="R160" s="2" t="str">
        <f t="shared" si="8"/>
        <v>Yes</v>
      </c>
      <c r="S160" s="5">
        <f>IFERROR(INDEX(University_Exit!$H:$H,MATCH($B160,University_Exit!$B:$B,0)),"")</f>
        <v>93.69</v>
      </c>
      <c r="T160" s="6">
        <f>IFERROR(INDEX(University_Exit!$K:$K,MATCH($B160,University_Exit!$B:$B,0)),"")</f>
        <v>1070</v>
      </c>
      <c r="U160" s="2" t="str">
        <f>IFERROR(INDEX(University_Exit!$G:$G,MATCH($B160,University_Exit!$B:$B,0)),"")</f>
        <v>Ministry Of Education</v>
      </c>
    </row>
    <row r="161" spans="1:21" x14ac:dyDescent="0.3">
      <c r="A161" s="2" t="s">
        <v>298</v>
      </c>
      <c r="B161" s="2" t="s">
        <v>391</v>
      </c>
      <c r="C161" s="2" t="s">
        <v>392</v>
      </c>
      <c r="D161" s="2" t="s">
        <v>301</v>
      </c>
      <c r="E161" s="2" t="s">
        <v>302</v>
      </c>
      <c r="F161" s="5">
        <v>91.631999999999991</v>
      </c>
      <c r="G161" s="5">
        <v>93.5</v>
      </c>
      <c r="H161" s="5">
        <v>1.868000000000009</v>
      </c>
      <c r="I161" s="5">
        <f>IFERROR(INDEX(Baseline_Entry!$P:$P,MATCH($B161,Baseline_Entry!$B:$B,0)),"")</f>
        <v>59.196244131455408</v>
      </c>
      <c r="J161" s="2" t="str">
        <f t="shared" si="6"/>
        <v>Yes</v>
      </c>
      <c r="K161" s="2" t="str">
        <f t="shared" si="7"/>
        <v>Low starter</v>
      </c>
      <c r="L161" s="2" t="s">
        <v>66</v>
      </c>
      <c r="M161" s="2" t="s">
        <v>66</v>
      </c>
      <c r="N161" s="2">
        <v>0</v>
      </c>
      <c r="O161" s="2" t="str">
        <f>IFERROR(INDEX(University_Exit!$D:$D,MATCH($B161,University_Exit!$B:$B,0)),"")</f>
        <v>Qatar University</v>
      </c>
      <c r="P161" s="2" t="str">
        <f>IFERROR(INDEX(University_Exit!$F:$F,MATCH($B161,University_Exit!$B:$B,0)),"")</f>
        <v>Medicine</v>
      </c>
      <c r="Q161" s="2" t="str">
        <f>IFERROR(INDEX(University_Exit!$L:$L,MATCH($B161,University_Exit!$B:$B,0)),"")</f>
        <v>Yes</v>
      </c>
      <c r="R161" s="2" t="str">
        <f t="shared" si="8"/>
        <v>Yes</v>
      </c>
      <c r="S161" s="5">
        <f>IFERROR(INDEX(University_Exit!$H:$H,MATCH($B161,University_Exit!$B:$B,0)),"")</f>
        <v>94.25</v>
      </c>
      <c r="T161" s="6">
        <f>IFERROR(INDEX(University_Exit!$K:$K,MATCH($B161,University_Exit!$B:$B,0)),"")</f>
        <v>1180</v>
      </c>
      <c r="U161" s="2" t="str">
        <f>IFERROR(INDEX(University_Exit!$G:$G,MATCH($B161,University_Exit!$B:$B,0)),"")</f>
        <v>Ministry Of Education</v>
      </c>
    </row>
    <row r="162" spans="1:21" x14ac:dyDescent="0.3">
      <c r="A162" s="2" t="s">
        <v>298</v>
      </c>
      <c r="B162" s="2" t="s">
        <v>393</v>
      </c>
      <c r="C162" s="2" t="s">
        <v>394</v>
      </c>
      <c r="D162" s="2" t="s">
        <v>301</v>
      </c>
      <c r="E162" s="2" t="s">
        <v>302</v>
      </c>
      <c r="F162" s="5">
        <v>84.16</v>
      </c>
      <c r="G162" s="5">
        <v>93.251999999999995</v>
      </c>
      <c r="H162" s="5">
        <v>9.0919999999999987</v>
      </c>
      <c r="I162" s="5">
        <f>IFERROR(INDEX(Baseline_Entry!$P:$P,MATCH($B162,Baseline_Entry!$B:$B,0)),"")</f>
        <v>52.178403755868544</v>
      </c>
      <c r="J162" s="2" t="str">
        <f t="shared" si="6"/>
        <v>Yes</v>
      </c>
      <c r="K162" s="2" t="str">
        <f t="shared" si="7"/>
        <v>Low starter</v>
      </c>
      <c r="L162" s="2" t="s">
        <v>65</v>
      </c>
      <c r="M162" s="2" t="s">
        <v>66</v>
      </c>
      <c r="N162" s="2">
        <v>1</v>
      </c>
      <c r="O162" s="2" t="str">
        <f>IFERROR(INDEX(University_Exit!$D:$D,MATCH($B162,University_Exit!$B:$B,0)),"")</f>
        <v>Qatar University</v>
      </c>
      <c r="P162" s="2" t="str">
        <f>IFERROR(INDEX(University_Exit!$F:$F,MATCH($B162,University_Exit!$B:$B,0)),"")</f>
        <v>Medicine</v>
      </c>
      <c r="Q162" s="2" t="str">
        <f>IFERROR(INDEX(University_Exit!$L:$L,MATCH($B162,University_Exit!$B:$B,0)),"")</f>
        <v>Yes</v>
      </c>
      <c r="R162" s="2" t="str">
        <f t="shared" si="8"/>
        <v>Yes</v>
      </c>
      <c r="S162" s="5">
        <f>IFERROR(INDEX(University_Exit!$H:$H,MATCH($B162,University_Exit!$B:$B,0)),"")</f>
        <v>92.38</v>
      </c>
      <c r="T162" s="6">
        <f>IFERROR(INDEX(University_Exit!$K:$K,MATCH($B162,University_Exit!$B:$B,0)),"")</f>
        <v>1140</v>
      </c>
      <c r="U162" s="2" t="str">
        <f>IFERROR(INDEX(University_Exit!$G:$G,MATCH($B162,University_Exit!$B:$B,0)),"")</f>
        <v>Ministry Of Education</v>
      </c>
    </row>
    <row r="163" spans="1:21" x14ac:dyDescent="0.3">
      <c r="A163" s="2" t="s">
        <v>298</v>
      </c>
      <c r="B163" s="2" t="s">
        <v>395</v>
      </c>
      <c r="C163" s="2" t="s">
        <v>396</v>
      </c>
      <c r="D163" s="2" t="s">
        <v>301</v>
      </c>
      <c r="E163" s="2" t="s">
        <v>302</v>
      </c>
      <c r="F163" s="5">
        <v>91.427999999999997</v>
      </c>
      <c r="G163" s="5">
        <v>94.623999999999995</v>
      </c>
      <c r="H163" s="5">
        <v>3.195999999999998</v>
      </c>
      <c r="I163" s="5">
        <f>IFERROR(INDEX(Baseline_Entry!$P:$P,MATCH($B163,Baseline_Entry!$B:$B,0)),"")</f>
        <v>54.796244131455403</v>
      </c>
      <c r="J163" s="2" t="str">
        <f t="shared" si="6"/>
        <v>Yes</v>
      </c>
      <c r="K163" s="2" t="str">
        <f t="shared" si="7"/>
        <v>Low starter</v>
      </c>
      <c r="L163" s="2" t="s">
        <v>66</v>
      </c>
      <c r="M163" s="2" t="s">
        <v>66</v>
      </c>
      <c r="N163" s="2">
        <v>0</v>
      </c>
      <c r="O163" s="2" t="str">
        <f>IFERROR(INDEX(University_Exit!$D:$D,MATCH($B163,University_Exit!$B:$B,0)),"")</f>
        <v>Lusail University</v>
      </c>
      <c r="P163" s="2" t="str">
        <f>IFERROR(INDEX(University_Exit!$F:$F,MATCH($B163,University_Exit!$B:$B,0)),"")</f>
        <v>الذكاء الاصطناعي</v>
      </c>
      <c r="Q163" s="2" t="str">
        <f>IFERROR(INDEX(University_Exit!$L:$L,MATCH($B163,University_Exit!$B:$B,0)),"")</f>
        <v>No</v>
      </c>
      <c r="R163" s="2" t="str">
        <f t="shared" si="8"/>
        <v>Yes</v>
      </c>
      <c r="S163" s="5">
        <f>IFERROR(INDEX(University_Exit!$H:$H,MATCH($B163,University_Exit!$B:$B,0)),"")</f>
        <v>94</v>
      </c>
      <c r="T163" s="6">
        <f>IFERROR(INDEX(University_Exit!$K:$K,MATCH($B163,University_Exit!$B:$B,0)),"")</f>
        <v>110</v>
      </c>
      <c r="U163" s="2" t="str">
        <f>IFERROR(INDEX(University_Exit!$G:$G,MATCH($B163,University_Exit!$B:$B,0)),"")</f>
        <v>Self-sponsored</v>
      </c>
    </row>
    <row r="164" spans="1:21" x14ac:dyDescent="0.3">
      <c r="A164" s="2" t="s">
        <v>298</v>
      </c>
      <c r="B164" s="2" t="s">
        <v>397</v>
      </c>
      <c r="C164" s="2" t="s">
        <v>398</v>
      </c>
      <c r="D164" s="2" t="s">
        <v>301</v>
      </c>
      <c r="E164" s="2" t="s">
        <v>302</v>
      </c>
      <c r="F164" s="5">
        <v>79.671999999999997</v>
      </c>
      <c r="G164" s="5">
        <v>93.551999999999992</v>
      </c>
      <c r="H164" s="5">
        <v>13.88</v>
      </c>
      <c r="I164" s="5">
        <f>IFERROR(INDEX(Baseline_Entry!$P:$P,MATCH($B164,Baseline_Entry!$B:$B,0)),"")</f>
        <v>60.946478873239442</v>
      </c>
      <c r="J164" s="2" t="str">
        <f t="shared" si="6"/>
        <v>Yes</v>
      </c>
      <c r="K164" s="2" t="str">
        <f t="shared" si="7"/>
        <v>Low starter</v>
      </c>
      <c r="L164" s="2" t="s">
        <v>99</v>
      </c>
      <c r="M164" s="2" t="s">
        <v>66</v>
      </c>
      <c r="N164" s="2">
        <v>2</v>
      </c>
      <c r="O164" s="2" t="str">
        <f>IFERROR(INDEX(University_Exit!$D:$D,MATCH($B164,University_Exit!$B:$B,0)),"")</f>
        <v>الكلية العسكرية</v>
      </c>
      <c r="P164" s="2" t="str">
        <f>IFERROR(INDEX(University_Exit!$F:$F,MATCH($B164,University_Exit!$B:$B,0)),"")</f>
        <v>الجيش</v>
      </c>
      <c r="Q164" s="2" t="str">
        <f>IFERROR(INDEX(University_Exit!$L:$L,MATCH($B164,University_Exit!$B:$B,0)),"")</f>
        <v>No</v>
      </c>
      <c r="R164" s="2" t="str">
        <f t="shared" si="8"/>
        <v>Yes</v>
      </c>
      <c r="S164" s="5">
        <f>IFERROR(INDEX(University_Exit!$H:$H,MATCH($B164,University_Exit!$B:$B,0)),"")</f>
        <v>93.63</v>
      </c>
      <c r="T164" s="6">
        <f>IFERROR(INDEX(University_Exit!$K:$K,MATCH($B164,University_Exit!$B:$B,0)),"")</f>
        <v>1040</v>
      </c>
      <c r="U164" s="2" t="str">
        <f>IFERROR(INDEX(University_Exit!$G:$G,MATCH($B164,University_Exit!$B:$B,0)),"")</f>
        <v>وزارة الرفاع</v>
      </c>
    </row>
    <row r="165" spans="1:21" x14ac:dyDescent="0.3">
      <c r="A165" s="2" t="s">
        <v>298</v>
      </c>
      <c r="B165" s="2" t="s">
        <v>399</v>
      </c>
      <c r="C165" s="2" t="s">
        <v>400</v>
      </c>
      <c r="D165" s="2" t="s">
        <v>301</v>
      </c>
      <c r="E165" s="2" t="s">
        <v>302</v>
      </c>
      <c r="F165" s="5">
        <v>91.568000000000012</v>
      </c>
      <c r="G165" s="5">
        <v>96.676000000000002</v>
      </c>
      <c r="H165" s="5">
        <v>5.1079999999999899</v>
      </c>
      <c r="I165" s="5">
        <f>IFERROR(INDEX(Baseline_Entry!$P:$P,MATCH($B165,Baseline_Entry!$B:$B,0)),"")</f>
        <v>56.311737089201877</v>
      </c>
      <c r="J165" s="2" t="str">
        <f t="shared" si="6"/>
        <v>Yes</v>
      </c>
      <c r="K165" s="2" t="str">
        <f t="shared" si="7"/>
        <v>Low starter</v>
      </c>
      <c r="L165" s="2" t="s">
        <v>66</v>
      </c>
      <c r="M165" s="2" t="s">
        <v>66</v>
      </c>
      <c r="N165" s="2">
        <v>0</v>
      </c>
      <c r="O165" s="2" t="str">
        <f>IFERROR(INDEX(University_Exit!$D:$D,MATCH($B165,University_Exit!$B:$B,0)),"")</f>
        <v>WEILL CORNELL MEDICINE</v>
      </c>
      <c r="P165" s="2" t="str">
        <f>IFERROR(INDEX(University_Exit!$F:$F,MATCH($B165,University_Exit!$B:$B,0)),"")</f>
        <v>Medicine</v>
      </c>
      <c r="Q165" s="2" t="str">
        <f>IFERROR(INDEX(University_Exit!$L:$L,MATCH($B165,University_Exit!$B:$B,0)),"")</f>
        <v>Yes</v>
      </c>
      <c r="R165" s="2" t="str">
        <f t="shared" si="8"/>
        <v>Yes</v>
      </c>
      <c r="S165" s="5">
        <f>IFERROR(INDEX(University_Exit!$H:$H,MATCH($B165,University_Exit!$B:$B,0)),"")</f>
        <v>97.44</v>
      </c>
      <c r="T165" s="6">
        <f>IFERROR(INDEX(University_Exit!$K:$K,MATCH($B165,University_Exit!$B:$B,0)),"")</f>
        <v>1250</v>
      </c>
      <c r="U165" s="2" t="str">
        <f>IFERROR(INDEX(University_Exit!$G:$G,MATCH($B165,University_Exit!$B:$B,0)),"")</f>
        <v>Ministry Of Education</v>
      </c>
    </row>
    <row r="166" spans="1:21" x14ac:dyDescent="0.3">
      <c r="A166" s="2" t="s">
        <v>298</v>
      </c>
      <c r="B166" s="2" t="s">
        <v>401</v>
      </c>
      <c r="C166" s="2" t="s">
        <v>402</v>
      </c>
      <c r="D166" s="2" t="s">
        <v>301</v>
      </c>
      <c r="E166" s="2" t="s">
        <v>302</v>
      </c>
      <c r="F166" s="5">
        <v>94.823999999999998</v>
      </c>
      <c r="G166" s="5">
        <v>99.1</v>
      </c>
      <c r="H166" s="5">
        <v>4.2759999999999962</v>
      </c>
      <c r="I166" s="5">
        <f>IFERROR(INDEX(Baseline_Entry!$P:$P,MATCH($B166,Baseline_Entry!$B:$B,0)),"")</f>
        <v>53.755868544600936</v>
      </c>
      <c r="J166" s="2" t="str">
        <f t="shared" si="6"/>
        <v>Yes</v>
      </c>
      <c r="K166" s="2" t="str">
        <f t="shared" si="7"/>
        <v>Low starter</v>
      </c>
      <c r="L166" s="2" t="s">
        <v>66</v>
      </c>
      <c r="M166" s="2" t="s">
        <v>66</v>
      </c>
      <c r="N166" s="2">
        <v>0</v>
      </c>
      <c r="O166" s="2" t="str">
        <f>IFERROR(INDEX(University_Exit!$D:$D,MATCH($B166,University_Exit!$B:$B,0)),"")</f>
        <v>WEILL CORNELL MEDICINE</v>
      </c>
      <c r="P166" s="2" t="str">
        <f>IFERROR(INDEX(University_Exit!$F:$F,MATCH($B166,University_Exit!$B:$B,0)),"")</f>
        <v>Medicine</v>
      </c>
      <c r="Q166" s="2" t="str">
        <f>IFERROR(INDEX(University_Exit!$L:$L,MATCH($B166,University_Exit!$B:$B,0)),"")</f>
        <v>Yes</v>
      </c>
      <c r="R166" s="2" t="str">
        <f t="shared" si="8"/>
        <v>Yes</v>
      </c>
      <c r="S166" s="5">
        <f>IFERROR(INDEX(University_Exit!$H:$H,MATCH($B166,University_Exit!$B:$B,0)),"")</f>
        <v>99</v>
      </c>
      <c r="T166" s="6">
        <f>IFERROR(INDEX(University_Exit!$K:$K,MATCH($B166,University_Exit!$B:$B,0)),"")</f>
        <v>1360</v>
      </c>
      <c r="U166" s="2" t="str">
        <f>IFERROR(INDEX(University_Exit!$G:$G,MATCH($B166,University_Exit!$B:$B,0)),"")</f>
        <v>وزارة الدفاع</v>
      </c>
    </row>
    <row r="167" spans="1:21" x14ac:dyDescent="0.3">
      <c r="A167" s="2" t="s">
        <v>298</v>
      </c>
      <c r="B167" s="2" t="s">
        <v>403</v>
      </c>
      <c r="C167" s="2" t="s">
        <v>404</v>
      </c>
      <c r="D167" s="2" t="s">
        <v>301</v>
      </c>
      <c r="E167" s="2" t="s">
        <v>302</v>
      </c>
      <c r="F167" s="5">
        <v>92.44</v>
      </c>
      <c r="G167" s="5">
        <v>91.152000000000001</v>
      </c>
      <c r="H167" s="5">
        <v>-1.2879999999999969</v>
      </c>
      <c r="I167" s="5">
        <f>IFERROR(INDEX(Baseline_Entry!$P:$P,MATCH($B167,Baseline_Entry!$B:$B,0)),"")</f>
        <v>53.575586854460092</v>
      </c>
      <c r="J167" s="2" t="str">
        <f t="shared" si="6"/>
        <v>Yes</v>
      </c>
      <c r="K167" s="2" t="str">
        <f t="shared" si="7"/>
        <v>Low starter</v>
      </c>
      <c r="L167" s="2" t="s">
        <v>66</v>
      </c>
      <c r="M167" s="2" t="s">
        <v>66</v>
      </c>
      <c r="N167" s="2">
        <v>0</v>
      </c>
      <c r="O167" s="2" t="str">
        <f>IFERROR(INDEX(University_Exit!$D:$D,MATCH($B167,University_Exit!$B:$B,0)),"")</f>
        <v>Royal College of Surgeons in Ireland</v>
      </c>
      <c r="P167" s="2" t="str">
        <f>IFERROR(INDEX(University_Exit!$F:$F,MATCH($B167,University_Exit!$B:$B,0)),"")</f>
        <v>Medicine</v>
      </c>
      <c r="Q167" s="2" t="str">
        <f>IFERROR(INDEX(University_Exit!$L:$L,MATCH($B167,University_Exit!$B:$B,0)),"")</f>
        <v>Yes</v>
      </c>
      <c r="R167" s="2" t="str">
        <f t="shared" si="8"/>
        <v>Yes</v>
      </c>
      <c r="S167" s="5">
        <f>IFERROR(INDEX(University_Exit!$H:$H,MATCH($B167,University_Exit!$B:$B,0)),"")</f>
        <v>91.13</v>
      </c>
      <c r="T167" s="6">
        <f>IFERROR(INDEX(University_Exit!$K:$K,MATCH($B167,University_Exit!$B:$B,0)),"")</f>
        <v>970</v>
      </c>
      <c r="U167" s="2" t="str">
        <f>IFERROR(INDEX(University_Exit!$G:$G,MATCH($B167,University_Exit!$B:$B,0)),"")</f>
        <v>وزارة الدفاع</v>
      </c>
    </row>
    <row r="168" spans="1:21" x14ac:dyDescent="0.3">
      <c r="A168" s="2" t="s">
        <v>298</v>
      </c>
      <c r="B168" s="2" t="s">
        <v>405</v>
      </c>
      <c r="C168" s="2" t="s">
        <v>406</v>
      </c>
      <c r="D168" s="2" t="s">
        <v>301</v>
      </c>
      <c r="E168" s="2" t="s">
        <v>302</v>
      </c>
      <c r="F168" s="5">
        <v>87.551999999999992</v>
      </c>
      <c r="G168" s="5">
        <v>99.224000000000004</v>
      </c>
      <c r="H168" s="5">
        <v>11.672000000000009</v>
      </c>
      <c r="I168" s="5">
        <f>IFERROR(INDEX(Baseline_Entry!$P:$P,MATCH($B168,Baseline_Entry!$B:$B,0)),"")</f>
        <v>70.798122065727696</v>
      </c>
      <c r="J168" s="2" t="str">
        <f t="shared" si="6"/>
        <v>Yes</v>
      </c>
      <c r="K168" s="2" t="str">
        <f t="shared" si="7"/>
        <v>Middle starter</v>
      </c>
      <c r="L168" s="2" t="s">
        <v>65</v>
      </c>
      <c r="M168" s="2" t="s">
        <v>66</v>
      </c>
      <c r="N168" s="2">
        <v>1</v>
      </c>
      <c r="O168" s="2" t="str">
        <f>IFERROR(INDEX(University_Exit!$D:$D,MATCH($B168,University_Exit!$B:$B,0)),"")</f>
        <v>WEILL CORNELL MEDICINE</v>
      </c>
      <c r="P168" s="2" t="str">
        <f>IFERROR(INDEX(University_Exit!$F:$F,MATCH($B168,University_Exit!$B:$B,0)),"")</f>
        <v>Medicine</v>
      </c>
      <c r="Q168" s="2" t="str">
        <f>IFERROR(INDEX(University_Exit!$L:$L,MATCH($B168,University_Exit!$B:$B,0)),"")</f>
        <v>Yes</v>
      </c>
      <c r="R168" s="2" t="str">
        <f t="shared" si="8"/>
        <v>Yes</v>
      </c>
      <c r="S168" s="5">
        <f>IFERROR(INDEX(University_Exit!$H:$H,MATCH($B168,University_Exit!$B:$B,0)),"")</f>
        <v>99.56</v>
      </c>
      <c r="T168" s="6">
        <f>IFERROR(INDEX(University_Exit!$K:$K,MATCH($B168,University_Exit!$B:$B,0)),"")</f>
        <v>1450</v>
      </c>
      <c r="U168" s="2" t="str">
        <f>IFERROR(INDEX(University_Exit!$G:$G,MATCH($B168,University_Exit!$B:$B,0)),"")</f>
        <v>Ministry Of Education</v>
      </c>
    </row>
    <row r="169" spans="1:21" x14ac:dyDescent="0.3">
      <c r="A169" s="2" t="s">
        <v>298</v>
      </c>
      <c r="B169" s="2" t="s">
        <v>407</v>
      </c>
      <c r="C169" s="2" t="s">
        <v>408</v>
      </c>
      <c r="D169" s="2" t="s">
        <v>301</v>
      </c>
      <c r="E169" s="2" t="s">
        <v>302</v>
      </c>
      <c r="F169" s="5">
        <v>83.823999999999998</v>
      </c>
      <c r="G169" s="5">
        <v>92.852000000000004</v>
      </c>
      <c r="H169" s="5">
        <v>9.0280000000000058</v>
      </c>
      <c r="I169" s="5">
        <f>IFERROR(INDEX(Baseline_Entry!$P:$P,MATCH($B169,Baseline_Entry!$B:$B,0)),"")</f>
        <v>59.169953051643198</v>
      </c>
      <c r="J169" s="2" t="str">
        <f t="shared" si="6"/>
        <v>Yes</v>
      </c>
      <c r="K169" s="2" t="str">
        <f t="shared" si="7"/>
        <v>Low starter</v>
      </c>
      <c r="L169" s="2" t="s">
        <v>65</v>
      </c>
      <c r="M169" s="2" t="s">
        <v>66</v>
      </c>
      <c r="N169" s="2">
        <v>1</v>
      </c>
      <c r="O169" s="2" t="str">
        <f>IFERROR(INDEX(University_Exit!$D:$D,MATCH($B169,University_Exit!$B:$B,0)),"")</f>
        <v>Virginia Commonwealth University</v>
      </c>
      <c r="P169" s="2" t="str">
        <f>IFERROR(INDEX(University_Exit!$F:$F,MATCH($B169,University_Exit!$B:$B,0)),"")</f>
        <v>Dentistry</v>
      </c>
      <c r="Q169" s="2" t="str">
        <f>IFERROR(INDEX(University_Exit!$L:$L,MATCH($B169,University_Exit!$B:$B,0)),"")</f>
        <v>No</v>
      </c>
      <c r="R169" s="2" t="str">
        <f t="shared" si="8"/>
        <v>Yes</v>
      </c>
      <c r="S169" s="5">
        <f>IFERROR(INDEX(University_Exit!$H:$H,MATCH($B169,University_Exit!$B:$B,0)),"")</f>
        <v>92.88</v>
      </c>
      <c r="T169" s="6">
        <f>IFERROR(INDEX(University_Exit!$K:$K,MATCH($B169,University_Exit!$B:$B,0)),"")</f>
        <v>1120</v>
      </c>
      <c r="U169" s="2" t="str">
        <f>IFERROR(INDEX(University_Exit!$G:$G,MATCH($B169,University_Exit!$B:$B,0)),"")</f>
        <v>Ministry Of Education</v>
      </c>
    </row>
    <row r="170" spans="1:21" x14ac:dyDescent="0.3">
      <c r="A170" s="2" t="s">
        <v>298</v>
      </c>
      <c r="B170" s="2" t="s">
        <v>409</v>
      </c>
      <c r="C170" s="2" t="s">
        <v>410</v>
      </c>
      <c r="D170" s="2" t="s">
        <v>301</v>
      </c>
      <c r="E170" s="2" t="s">
        <v>302</v>
      </c>
      <c r="F170" s="5">
        <v>84.912000000000006</v>
      </c>
      <c r="G170" s="5">
        <v>91.1</v>
      </c>
      <c r="H170" s="5">
        <v>6.1879999999999882</v>
      </c>
      <c r="I170" s="5">
        <f>IFERROR(INDEX(Baseline_Entry!$P:$P,MATCH($B170,Baseline_Entry!$B:$B,0)),"")</f>
        <v>54.013145539906105</v>
      </c>
      <c r="J170" s="2" t="str">
        <f t="shared" si="6"/>
        <v>Yes</v>
      </c>
      <c r="K170" s="2" t="str">
        <f t="shared" si="7"/>
        <v>Low starter</v>
      </c>
      <c r="L170" s="2" t="s">
        <v>65</v>
      </c>
      <c r="M170" s="2" t="s">
        <v>66</v>
      </c>
      <c r="N170" s="2">
        <v>1</v>
      </c>
      <c r="O170" s="2" t="str">
        <f>IFERROR(INDEX(University_Exit!$D:$D,MATCH($B170,University_Exit!$B:$B,0)),"")</f>
        <v>Qatar University</v>
      </c>
      <c r="P170" s="2" t="str">
        <f>IFERROR(INDEX(University_Exit!$F:$F,MATCH($B170,University_Exit!$B:$B,0)),"")</f>
        <v>Medicine</v>
      </c>
      <c r="Q170" s="2" t="str">
        <f>IFERROR(INDEX(University_Exit!$L:$L,MATCH($B170,University_Exit!$B:$B,0)),"")</f>
        <v>Yes</v>
      </c>
      <c r="R170" s="2" t="str">
        <f t="shared" si="8"/>
        <v>Yes</v>
      </c>
      <c r="S170" s="5">
        <f>IFERROR(INDEX(University_Exit!$H:$H,MATCH($B170,University_Exit!$B:$B,0)),"")</f>
        <v>92</v>
      </c>
      <c r="T170" s="6">
        <f>IFERROR(INDEX(University_Exit!$K:$K,MATCH($B170,University_Exit!$B:$B,0)),"")</f>
        <v>1040</v>
      </c>
      <c r="U170" s="2" t="str">
        <f>IFERROR(INDEX(University_Exit!$G:$G,MATCH($B170,University_Exit!$B:$B,0)),"")</f>
        <v>Ministry Of Education</v>
      </c>
    </row>
    <row r="171" spans="1:21" x14ac:dyDescent="0.3">
      <c r="A171" s="2" t="s">
        <v>298</v>
      </c>
      <c r="B171" s="2" t="s">
        <v>411</v>
      </c>
      <c r="C171" s="2" t="s">
        <v>412</v>
      </c>
      <c r="D171" s="2" t="s">
        <v>301</v>
      </c>
      <c r="E171" s="2" t="s">
        <v>302</v>
      </c>
      <c r="F171" s="5">
        <v>85.155999999999992</v>
      </c>
      <c r="G171" s="5">
        <v>88.376000000000005</v>
      </c>
      <c r="H171" s="5">
        <v>3.2200000000000131</v>
      </c>
      <c r="I171" s="5">
        <f>IFERROR(INDEX(Baseline_Entry!$P:$P,MATCH($B171,Baseline_Entry!$B:$B,0)),"")</f>
        <v>56.465727699530511</v>
      </c>
      <c r="J171" s="2" t="str">
        <f t="shared" si="6"/>
        <v>Yes</v>
      </c>
      <c r="K171" s="2" t="str">
        <f t="shared" si="7"/>
        <v>Low starter</v>
      </c>
      <c r="L171" s="2" t="s">
        <v>65</v>
      </c>
      <c r="M171" s="2" t="s">
        <v>65</v>
      </c>
      <c r="N171" s="2">
        <v>0</v>
      </c>
      <c r="O171" s="2" t="str">
        <f>IFERROR(INDEX(University_Exit!$D:$D,MATCH($B171,University_Exit!$B:$B,0)),"")</f>
        <v>PennState University</v>
      </c>
      <c r="P171" s="2" t="str">
        <f>IFERROR(INDEX(University_Exit!$F:$F,MATCH($B171,University_Exit!$B:$B,0)),"")</f>
        <v>Electrical Engineering</v>
      </c>
      <c r="Q171" s="2" t="str">
        <f>IFERROR(INDEX(University_Exit!$L:$L,MATCH($B171,University_Exit!$B:$B,0)),"")</f>
        <v>Yes</v>
      </c>
      <c r="R171" s="2" t="str">
        <f t="shared" si="8"/>
        <v>Yes</v>
      </c>
      <c r="S171" s="5">
        <f>IFERROR(INDEX(University_Exit!$H:$H,MATCH($B171,University_Exit!$B:$B,0)),"")</f>
        <v>89.44</v>
      </c>
      <c r="T171" s="6">
        <f>IFERROR(INDEX(University_Exit!$K:$K,MATCH($B171,University_Exit!$B:$B,0)),"")</f>
        <v>1130</v>
      </c>
      <c r="U171" s="2" t="str">
        <f>IFERROR(INDEX(University_Exit!$G:$G,MATCH($B171,University_Exit!$B:$B,0)),"")</f>
        <v>Qatar Energy</v>
      </c>
    </row>
    <row r="172" spans="1:21" x14ac:dyDescent="0.3">
      <c r="A172" s="2" t="s">
        <v>298</v>
      </c>
      <c r="B172" s="2" t="s">
        <v>413</v>
      </c>
      <c r="C172" s="2" t="s">
        <v>414</v>
      </c>
      <c r="D172" s="2" t="s">
        <v>301</v>
      </c>
      <c r="E172" s="2" t="s">
        <v>302</v>
      </c>
      <c r="F172" s="5">
        <v>82.56</v>
      </c>
      <c r="G172" s="5">
        <v>95.6</v>
      </c>
      <c r="H172" s="5">
        <v>13.03999999999999</v>
      </c>
      <c r="I172" s="5">
        <f>IFERROR(INDEX(Baseline_Entry!$P:$P,MATCH($B172,Baseline_Entry!$B:$B,0)),"")</f>
        <v>50.999061032863857</v>
      </c>
      <c r="J172" s="2" t="str">
        <f t="shared" si="6"/>
        <v>Yes</v>
      </c>
      <c r="K172" s="2" t="str">
        <f t="shared" si="7"/>
        <v>Low starter</v>
      </c>
      <c r="L172" s="2" t="s">
        <v>65</v>
      </c>
      <c r="M172" s="2" t="s">
        <v>66</v>
      </c>
      <c r="N172" s="2">
        <v>1</v>
      </c>
      <c r="O172" s="2" t="str">
        <f>IFERROR(INDEX(University_Exit!$D:$D,MATCH($B172,University_Exit!$B:$B,0)),"")</f>
        <v>Qatar Univeristy</v>
      </c>
      <c r="P172" s="2" t="str">
        <f>IFERROR(INDEX(University_Exit!$F:$F,MATCH($B172,University_Exit!$B:$B,0)),"")</f>
        <v>Medicine</v>
      </c>
      <c r="Q172" s="2" t="str">
        <f>IFERROR(INDEX(University_Exit!$L:$L,MATCH($B172,University_Exit!$B:$B,0)),"")</f>
        <v>Yes</v>
      </c>
      <c r="R172" s="2" t="str">
        <f t="shared" si="8"/>
        <v>Yes</v>
      </c>
      <c r="S172" s="5">
        <f>IFERROR(INDEX(University_Exit!$H:$H,MATCH($B172,University_Exit!$B:$B,0)),"")</f>
        <v>95.5</v>
      </c>
      <c r="T172" s="6">
        <f>IFERROR(INDEX(University_Exit!$K:$K,MATCH($B172,University_Exit!$B:$B,0)),"")</f>
        <v>950</v>
      </c>
      <c r="U172" s="2" t="str">
        <f>IFERROR(INDEX(University_Exit!$G:$G,MATCH($B172,University_Exit!$B:$B,0)),"")</f>
        <v>Ministry Of Education</v>
      </c>
    </row>
    <row r="173" spans="1:21" x14ac:dyDescent="0.3">
      <c r="A173" s="2" t="s">
        <v>298</v>
      </c>
      <c r="B173" s="2" t="s">
        <v>415</v>
      </c>
      <c r="C173" s="2" t="s">
        <v>416</v>
      </c>
      <c r="D173" s="2" t="s">
        <v>301</v>
      </c>
      <c r="E173" s="2" t="s">
        <v>302</v>
      </c>
      <c r="F173" s="5">
        <v>91.647999999999996</v>
      </c>
      <c r="G173" s="5">
        <v>97.024000000000001</v>
      </c>
      <c r="H173" s="5">
        <v>5.3760000000000048</v>
      </c>
      <c r="I173" s="5">
        <f>IFERROR(INDEX(Baseline_Entry!$P:$P,MATCH($B173,Baseline_Entry!$B:$B,0)),"")</f>
        <v>64.210328638497643</v>
      </c>
      <c r="J173" s="2" t="str">
        <f t="shared" si="6"/>
        <v>Yes</v>
      </c>
      <c r="K173" s="2" t="str">
        <f t="shared" si="7"/>
        <v>Low starter</v>
      </c>
      <c r="L173" s="2" t="s">
        <v>66</v>
      </c>
      <c r="M173" s="2" t="s">
        <v>66</v>
      </c>
      <c r="N173" s="2">
        <v>0</v>
      </c>
      <c r="O173" s="2" t="str">
        <f>IFERROR(INDEX(University_Exit!$D:$D,MATCH($B173,University_Exit!$B:$B,0)),"")</f>
        <v>WEILL CORNELL MEDICINE</v>
      </c>
      <c r="P173" s="2" t="str">
        <f>IFERROR(INDEX(University_Exit!$F:$F,MATCH($B173,University_Exit!$B:$B,0)),"")</f>
        <v>Medicine</v>
      </c>
      <c r="Q173" s="2" t="str">
        <f>IFERROR(INDEX(University_Exit!$L:$L,MATCH($B173,University_Exit!$B:$B,0)),"")</f>
        <v>Yes</v>
      </c>
      <c r="R173" s="2" t="str">
        <f t="shared" si="8"/>
        <v>Yes</v>
      </c>
      <c r="S173" s="5">
        <f>IFERROR(INDEX(University_Exit!$H:$H,MATCH($B173,University_Exit!$B:$B,0)),"")</f>
        <v>97</v>
      </c>
      <c r="T173" s="6">
        <f>IFERROR(INDEX(University_Exit!$K:$K,MATCH($B173,University_Exit!$B:$B,0)),"")</f>
        <v>1160</v>
      </c>
      <c r="U173" s="2" t="str">
        <f>IFERROR(INDEX(University_Exit!$G:$G,MATCH($B173,University_Exit!$B:$B,0)),"")</f>
        <v>Ministry Of Education</v>
      </c>
    </row>
    <row r="174" spans="1:21" x14ac:dyDescent="0.3">
      <c r="A174" s="2" t="s">
        <v>298</v>
      </c>
      <c r="B174" s="2" t="s">
        <v>417</v>
      </c>
      <c r="C174" s="2" t="s">
        <v>418</v>
      </c>
      <c r="D174" s="2" t="s">
        <v>301</v>
      </c>
      <c r="E174" s="2" t="s">
        <v>302</v>
      </c>
      <c r="F174" s="5">
        <v>83.572000000000003</v>
      </c>
      <c r="G174" s="5">
        <v>90.323999999999998</v>
      </c>
      <c r="H174" s="5">
        <v>6.7519999999999953</v>
      </c>
      <c r="I174" s="5">
        <f>IFERROR(INDEX(Baseline_Entry!$P:$P,MATCH($B174,Baseline_Entry!$B:$B,0)),"")</f>
        <v>60.013145539906105</v>
      </c>
      <c r="J174" s="2" t="str">
        <f t="shared" si="6"/>
        <v>Yes</v>
      </c>
      <c r="K174" s="2" t="str">
        <f t="shared" si="7"/>
        <v>Low starter</v>
      </c>
      <c r="L174" s="2" t="s">
        <v>65</v>
      </c>
      <c r="M174" s="2" t="s">
        <v>66</v>
      </c>
      <c r="N174" s="2">
        <v>1</v>
      </c>
      <c r="O174" s="2" t="str">
        <f>IFERROR(INDEX(University_Exit!$D:$D,MATCH($B174,University_Exit!$B:$B,0)),"")</f>
        <v>Royal College of Surgeons in Ireland</v>
      </c>
      <c r="P174" s="2" t="str">
        <f>IFERROR(INDEX(University_Exit!$F:$F,MATCH($B174,University_Exit!$B:$B,0)),"")</f>
        <v>Medicine</v>
      </c>
      <c r="Q174" s="2" t="str">
        <f>IFERROR(INDEX(University_Exit!$L:$L,MATCH($B174,University_Exit!$B:$B,0)),"")</f>
        <v>Yes</v>
      </c>
      <c r="R174" s="2" t="str">
        <f t="shared" si="8"/>
        <v>Yes</v>
      </c>
      <c r="S174" s="5">
        <f>IFERROR(INDEX(University_Exit!$H:$H,MATCH($B174,University_Exit!$B:$B,0)),"")</f>
        <v>89</v>
      </c>
      <c r="T174" s="6">
        <f>IFERROR(INDEX(University_Exit!$K:$K,MATCH($B174,University_Exit!$B:$B,0)),"")</f>
        <v>1110</v>
      </c>
      <c r="U174" s="2" t="str">
        <f>IFERROR(INDEX(University_Exit!$G:$G,MATCH($B174,University_Exit!$B:$B,0)),"")</f>
        <v>وزارة الدفاع</v>
      </c>
    </row>
    <row r="175" spans="1:21" x14ac:dyDescent="0.3">
      <c r="A175" s="2" t="s">
        <v>419</v>
      </c>
      <c r="B175" s="2" t="s">
        <v>420</v>
      </c>
      <c r="C175" s="2" t="s">
        <v>421</v>
      </c>
      <c r="D175" s="2" t="s">
        <v>64</v>
      </c>
      <c r="E175" s="2" t="s">
        <v>422</v>
      </c>
      <c r="F175" s="5">
        <v>84.4</v>
      </c>
      <c r="G175" s="5">
        <v>89.6</v>
      </c>
      <c r="H175" s="5">
        <v>5.1999999999999886</v>
      </c>
      <c r="I175" s="5">
        <f>IFERROR(INDEX(Baseline_Entry!$P:$P,MATCH($B175,Baseline_Entry!$B:$B,0)),"")</f>
        <v>55.633802816901408</v>
      </c>
      <c r="J175" s="2" t="str">
        <f t="shared" si="6"/>
        <v>Yes</v>
      </c>
      <c r="K175" s="2" t="str">
        <f t="shared" si="7"/>
        <v>Low starter</v>
      </c>
      <c r="L175" s="2" t="s">
        <v>65</v>
      </c>
      <c r="M175" s="2" t="s">
        <v>65</v>
      </c>
      <c r="N175" s="2">
        <v>0</v>
      </c>
      <c r="O175" s="2" t="str">
        <f>IFERROR(INDEX(University_Exit!$D:$D,MATCH($B175,University_Exit!$B:$B,0)),"")</f>
        <v>University of Nottingham</v>
      </c>
      <c r="P175" s="2" t="str">
        <f>IFERROR(INDEX(University_Exit!$F:$F,MATCH($B175,University_Exit!$B:$B,0)),"")</f>
        <v>Electrical Engineering</v>
      </c>
      <c r="Q175" s="2" t="str">
        <f>IFERROR(INDEX(University_Exit!$L:$L,MATCH($B175,University_Exit!$B:$B,0)),"")</f>
        <v>Yes</v>
      </c>
      <c r="R175" s="2" t="str">
        <f t="shared" si="8"/>
        <v>Yes</v>
      </c>
      <c r="S175" s="5">
        <f>IFERROR(INDEX(University_Exit!$H:$H,MATCH($B175,University_Exit!$B:$B,0)),"")</f>
        <v>89.75</v>
      </c>
      <c r="T175" s="6">
        <f>IFERROR(INDEX(University_Exit!$K:$K,MATCH($B175,University_Exit!$B:$B,0)),"")</f>
        <v>0</v>
      </c>
      <c r="U175" s="2">
        <f>IFERROR(INDEX(University_Exit!$G:$G,MATCH($B175,University_Exit!$B:$B,0)),"")</f>
        <v>0</v>
      </c>
    </row>
    <row r="176" spans="1:21" x14ac:dyDescent="0.3">
      <c r="A176" s="2" t="s">
        <v>419</v>
      </c>
      <c r="B176" s="2" t="s">
        <v>423</v>
      </c>
      <c r="C176" s="2" t="s">
        <v>424</v>
      </c>
      <c r="D176" s="2" t="s">
        <v>64</v>
      </c>
      <c r="E176" s="2" t="s">
        <v>422</v>
      </c>
      <c r="F176" s="5">
        <v>76.323999999999998</v>
      </c>
      <c r="G176" s="5">
        <v>80.676000000000002</v>
      </c>
      <c r="H176" s="5">
        <v>4.3520000000000039</v>
      </c>
      <c r="I176" s="5">
        <f>IFERROR(INDEX(Baseline_Entry!$P:$P,MATCH($B176,Baseline_Entry!$B:$B,0)),"")</f>
        <v>60.876995305164314</v>
      </c>
      <c r="J176" s="2" t="str">
        <f t="shared" si="6"/>
        <v>Yes</v>
      </c>
      <c r="K176" s="2" t="str">
        <f t="shared" si="7"/>
        <v>Low starter</v>
      </c>
      <c r="L176" s="2" t="s">
        <v>99</v>
      </c>
      <c r="M176" s="2" t="s">
        <v>65</v>
      </c>
      <c r="N176" s="2">
        <v>1</v>
      </c>
      <c r="O176" s="2" t="str">
        <f>IFERROR(INDEX(University_Exit!$D:$D,MATCH($B176,University_Exit!$B:$B,0)),"")</f>
        <v>الكلية العسكرية</v>
      </c>
      <c r="P176" s="2" t="str">
        <f>IFERROR(INDEX(University_Exit!$F:$F,MATCH($B176,University_Exit!$B:$B,0)),"")</f>
        <v>مرشح ظابط</v>
      </c>
      <c r="Q176" s="2" t="str">
        <f>IFERROR(INDEX(University_Exit!$L:$L,MATCH($B176,University_Exit!$B:$B,0)),"")</f>
        <v>No</v>
      </c>
      <c r="R176" s="2" t="str">
        <f t="shared" si="8"/>
        <v>Yes</v>
      </c>
      <c r="S176" s="5">
        <f>IFERROR(INDEX(University_Exit!$H:$H,MATCH($B176,University_Exit!$B:$B,0)),"")</f>
        <v>82.19</v>
      </c>
      <c r="T176" s="6">
        <f>IFERROR(INDEX(University_Exit!$K:$K,MATCH($B176,University_Exit!$B:$B,0)),"")</f>
        <v>800</v>
      </c>
      <c r="U176" s="2">
        <f>IFERROR(INDEX(University_Exit!$G:$G,MATCH($B176,University_Exit!$B:$B,0)),"")</f>
        <v>0</v>
      </c>
    </row>
    <row r="177" spans="1:21" x14ac:dyDescent="0.3">
      <c r="A177" s="2" t="s">
        <v>419</v>
      </c>
      <c r="B177" s="2" t="s">
        <v>425</v>
      </c>
      <c r="C177" s="2" t="s">
        <v>426</v>
      </c>
      <c r="D177" s="2" t="s">
        <v>64</v>
      </c>
      <c r="E177" s="2" t="s">
        <v>422</v>
      </c>
      <c r="F177" s="5">
        <v>90.711999999999989</v>
      </c>
      <c r="G177" s="5">
        <v>95.575999999999993</v>
      </c>
      <c r="H177" s="5">
        <v>4.8640000000000043</v>
      </c>
      <c r="I177" s="5">
        <f>IFERROR(INDEX(Baseline_Entry!$P:$P,MATCH($B177,Baseline_Entry!$B:$B,0)),"")</f>
        <v>66.061971830985911</v>
      </c>
      <c r="J177" s="2" t="str">
        <f t="shared" si="6"/>
        <v>Yes</v>
      </c>
      <c r="K177" s="2" t="str">
        <f t="shared" si="7"/>
        <v>Low starter</v>
      </c>
      <c r="L177" s="2" t="s">
        <v>66</v>
      </c>
      <c r="M177" s="2" t="s">
        <v>66</v>
      </c>
      <c r="N177" s="2">
        <v>0</v>
      </c>
      <c r="O177" s="2" t="str">
        <f>IFERROR(INDEX(University_Exit!$D:$D,MATCH($B177,University_Exit!$B:$B,0)),"")</f>
        <v>Qatar University</v>
      </c>
      <c r="P177" s="2" t="str">
        <f>IFERROR(INDEX(University_Exit!$F:$F,MATCH($B177,University_Exit!$B:$B,0)),"")</f>
        <v>Mechanical Engineering</v>
      </c>
      <c r="Q177" s="2" t="str">
        <f>IFERROR(INDEX(University_Exit!$L:$L,MATCH($B177,University_Exit!$B:$B,0)),"")</f>
        <v>Yes</v>
      </c>
      <c r="R177" s="2" t="str">
        <f t="shared" si="8"/>
        <v>Yes</v>
      </c>
      <c r="S177" s="5">
        <f>IFERROR(INDEX(University_Exit!$H:$H,MATCH($B177,University_Exit!$B:$B,0)),"")</f>
        <v>95.94</v>
      </c>
      <c r="T177" s="6">
        <f>IFERROR(INDEX(University_Exit!$K:$K,MATCH($B177,University_Exit!$B:$B,0)),"")</f>
        <v>1040</v>
      </c>
      <c r="U177" s="2">
        <f>IFERROR(INDEX(University_Exit!$G:$G,MATCH($B177,University_Exit!$B:$B,0)),"")</f>
        <v>0</v>
      </c>
    </row>
    <row r="178" spans="1:21" x14ac:dyDescent="0.3">
      <c r="A178" s="2" t="s">
        <v>419</v>
      </c>
      <c r="B178" s="2" t="s">
        <v>427</v>
      </c>
      <c r="C178" s="2" t="s">
        <v>428</v>
      </c>
      <c r="D178" s="2" t="s">
        <v>64</v>
      </c>
      <c r="E178" s="2" t="s">
        <v>422</v>
      </c>
      <c r="F178" s="5">
        <v>92.76</v>
      </c>
      <c r="G178" s="5">
        <v>97.852000000000004</v>
      </c>
      <c r="H178" s="5">
        <v>5.0919999999999987</v>
      </c>
      <c r="I178" s="5">
        <f>IFERROR(INDEX(Baseline_Entry!$P:$P,MATCH($B178,Baseline_Entry!$B:$B,0)),"")</f>
        <v>56.769953051643192</v>
      </c>
      <c r="J178" s="2" t="str">
        <f t="shared" si="6"/>
        <v>Yes</v>
      </c>
      <c r="K178" s="2" t="str">
        <f t="shared" si="7"/>
        <v>Low starter</v>
      </c>
      <c r="L178" s="2" t="s">
        <v>66</v>
      </c>
      <c r="M178" s="2" t="s">
        <v>66</v>
      </c>
      <c r="N178" s="2">
        <v>0</v>
      </c>
      <c r="O178" s="2" t="str">
        <f>IFERROR(INDEX(University_Exit!$D:$D,MATCH($B178,University_Exit!$B:$B,0)),"")</f>
        <v>Carnegie Mellon University</v>
      </c>
      <c r="P178" s="2" t="str">
        <f>IFERROR(INDEX(University_Exit!$F:$F,MATCH($B178,University_Exit!$B:$B,0)),"")</f>
        <v>Information Technology System</v>
      </c>
      <c r="Q178" s="2" t="str">
        <f>IFERROR(INDEX(University_Exit!$L:$L,MATCH($B178,University_Exit!$B:$B,0)),"")</f>
        <v>Yes</v>
      </c>
      <c r="R178" s="2" t="str">
        <f t="shared" si="8"/>
        <v>Yes</v>
      </c>
      <c r="S178" s="5">
        <f>IFERROR(INDEX(University_Exit!$H:$H,MATCH($B178,University_Exit!$B:$B,0)),"")</f>
        <v>97.88</v>
      </c>
      <c r="T178" s="6">
        <f>IFERROR(INDEX(University_Exit!$K:$K,MATCH($B178,University_Exit!$B:$B,0)),"")</f>
        <v>940</v>
      </c>
      <c r="U178" s="2">
        <f>IFERROR(INDEX(University_Exit!$G:$G,MATCH($B178,University_Exit!$B:$B,0)),"")</f>
        <v>0</v>
      </c>
    </row>
    <row r="179" spans="1:21" x14ac:dyDescent="0.3">
      <c r="A179" s="2" t="s">
        <v>419</v>
      </c>
      <c r="B179" s="2" t="s">
        <v>429</v>
      </c>
      <c r="C179" s="2" t="s">
        <v>430</v>
      </c>
      <c r="D179" s="2" t="s">
        <v>64</v>
      </c>
      <c r="E179" s="2" t="s">
        <v>422</v>
      </c>
      <c r="F179" s="5">
        <v>84</v>
      </c>
      <c r="G179" s="5">
        <v>88.6</v>
      </c>
      <c r="H179" s="5">
        <v>4.5999999999999943</v>
      </c>
      <c r="I179" s="5">
        <f>IFERROR(INDEX(Baseline_Entry!$P:$P,MATCH($B179,Baseline_Entry!$B:$B,0)),"")</f>
        <v>52.833802816901404</v>
      </c>
      <c r="J179" s="2" t="str">
        <f t="shared" si="6"/>
        <v>Yes</v>
      </c>
      <c r="K179" s="2" t="str">
        <f t="shared" si="7"/>
        <v>Low starter</v>
      </c>
      <c r="L179" s="2" t="s">
        <v>65</v>
      </c>
      <c r="M179" s="2" t="s">
        <v>65</v>
      </c>
      <c r="N179" s="2">
        <v>0</v>
      </c>
      <c r="O179" s="2" t="str">
        <f>IFERROR(INDEX(University_Exit!$D:$D,MATCH($B179,University_Exit!$B:$B,0)),"")</f>
        <v>University of Nottingham</v>
      </c>
      <c r="P179" s="2" t="str">
        <f>IFERROR(INDEX(University_Exit!$F:$F,MATCH($B179,University_Exit!$B:$B,0)),"")</f>
        <v>Mechanical Engineering</v>
      </c>
      <c r="Q179" s="2" t="str">
        <f>IFERROR(INDEX(University_Exit!$L:$L,MATCH($B179,University_Exit!$B:$B,0)),"")</f>
        <v>Yes</v>
      </c>
      <c r="R179" s="2" t="str">
        <f t="shared" si="8"/>
        <v>Yes</v>
      </c>
      <c r="S179" s="5">
        <f>IFERROR(INDEX(University_Exit!$H:$H,MATCH($B179,University_Exit!$B:$B,0)),"")</f>
        <v>87.75</v>
      </c>
      <c r="T179" s="6">
        <f>IFERROR(INDEX(University_Exit!$K:$K,MATCH($B179,University_Exit!$B:$B,0)),"")</f>
        <v>1060</v>
      </c>
      <c r="U179" s="2">
        <f>IFERROR(INDEX(University_Exit!$G:$G,MATCH($B179,University_Exit!$B:$B,0)),"")</f>
        <v>0</v>
      </c>
    </row>
    <row r="180" spans="1:21" x14ac:dyDescent="0.3">
      <c r="A180" s="2" t="s">
        <v>419</v>
      </c>
      <c r="B180" s="2" t="s">
        <v>431</v>
      </c>
      <c r="C180" s="2" t="s">
        <v>432</v>
      </c>
      <c r="D180" s="2" t="s">
        <v>64</v>
      </c>
      <c r="E180" s="2" t="s">
        <v>422</v>
      </c>
      <c r="F180" s="5">
        <v>83.632000000000005</v>
      </c>
      <c r="G180" s="5">
        <v>85.152000000000001</v>
      </c>
      <c r="H180" s="5">
        <v>1.519999999999996</v>
      </c>
      <c r="I180" s="5">
        <f>IFERROR(INDEX(Baseline_Entry!$P:$P,MATCH($B180,Baseline_Entry!$B:$B,0)),"")</f>
        <v>53.421596244131457</v>
      </c>
      <c r="J180" s="2" t="str">
        <f t="shared" si="6"/>
        <v>Yes</v>
      </c>
      <c r="K180" s="2" t="str">
        <f t="shared" si="7"/>
        <v>Low starter</v>
      </c>
      <c r="L180" s="2" t="s">
        <v>65</v>
      </c>
      <c r="M180" s="2" t="s">
        <v>65</v>
      </c>
      <c r="N180" s="2">
        <v>0</v>
      </c>
      <c r="O180" s="2" t="str">
        <f>IFERROR(INDEX(University_Exit!$D:$D,MATCH($B180,University_Exit!$B:$B,0)),"")</f>
        <v>University of Leeds</v>
      </c>
      <c r="P180" s="2" t="str">
        <f>IFERROR(INDEX(University_Exit!$F:$F,MATCH($B180,University_Exit!$B:$B,0)),"")</f>
        <v>Mechanical Engineering</v>
      </c>
      <c r="Q180" s="2" t="str">
        <f>IFERROR(INDEX(University_Exit!$L:$L,MATCH($B180,University_Exit!$B:$B,0)),"")</f>
        <v>Yes</v>
      </c>
      <c r="R180" s="2" t="str">
        <f t="shared" si="8"/>
        <v>Yes</v>
      </c>
      <c r="S180" s="5">
        <f>IFERROR(INDEX(University_Exit!$H:$H,MATCH($B180,University_Exit!$B:$B,0)),"")</f>
        <v>81.63</v>
      </c>
      <c r="T180" s="6">
        <f>IFERROR(INDEX(University_Exit!$K:$K,MATCH($B180,University_Exit!$B:$B,0)),"")</f>
        <v>1010</v>
      </c>
      <c r="U180" s="2">
        <f>IFERROR(INDEX(University_Exit!$G:$G,MATCH($B180,University_Exit!$B:$B,0)),"")</f>
        <v>0</v>
      </c>
    </row>
    <row r="181" spans="1:21" x14ac:dyDescent="0.3">
      <c r="A181" s="2" t="s">
        <v>419</v>
      </c>
      <c r="B181" s="2" t="s">
        <v>433</v>
      </c>
      <c r="C181" s="2" t="s">
        <v>434</v>
      </c>
      <c r="D181" s="2" t="s">
        <v>64</v>
      </c>
      <c r="E181" s="2" t="s">
        <v>422</v>
      </c>
      <c r="F181" s="5">
        <v>83.323999999999984</v>
      </c>
      <c r="G181" s="5">
        <v>96.024000000000001</v>
      </c>
      <c r="H181" s="5">
        <v>12.700000000000021</v>
      </c>
      <c r="I181" s="5">
        <f>IFERROR(INDEX(Baseline_Entry!$P:$P,MATCH($B181,Baseline_Entry!$B:$B,0)),"")</f>
        <v>64.456338028169014</v>
      </c>
      <c r="J181" s="2" t="str">
        <f t="shared" si="6"/>
        <v>Yes</v>
      </c>
      <c r="K181" s="2" t="str">
        <f t="shared" si="7"/>
        <v>Low starter</v>
      </c>
      <c r="L181" s="2" t="s">
        <v>65</v>
      </c>
      <c r="M181" s="2" t="s">
        <v>66</v>
      </c>
      <c r="N181" s="2">
        <v>1</v>
      </c>
      <c r="O181" s="2" t="str">
        <f>IFERROR(INDEX(University_Exit!$D:$D,MATCH($B181,University_Exit!$B:$B,0)),"")</f>
        <v>Carnegie Mellon University</v>
      </c>
      <c r="P181" s="2" t="str">
        <f>IFERROR(INDEX(University_Exit!$F:$F,MATCH($B181,University_Exit!$B:$B,0)),"")</f>
        <v>Information Technology System</v>
      </c>
      <c r="Q181" s="2" t="str">
        <f>IFERROR(INDEX(University_Exit!$L:$L,MATCH($B181,University_Exit!$B:$B,0)),"")</f>
        <v>Yes</v>
      </c>
      <c r="R181" s="2" t="str">
        <f t="shared" si="8"/>
        <v>Yes</v>
      </c>
      <c r="S181" s="5">
        <f>IFERROR(INDEX(University_Exit!$H:$H,MATCH($B181,University_Exit!$B:$B,0)),"")</f>
        <v>96.81</v>
      </c>
      <c r="T181" s="6">
        <f>IFERROR(INDEX(University_Exit!$K:$K,MATCH($B181,University_Exit!$B:$B,0)),"")</f>
        <v>1080</v>
      </c>
      <c r="U181" s="2">
        <f>IFERROR(INDEX(University_Exit!$G:$G,MATCH($B181,University_Exit!$B:$B,0)),"")</f>
        <v>0</v>
      </c>
    </row>
    <row r="182" spans="1:21" x14ac:dyDescent="0.3">
      <c r="A182" s="2" t="s">
        <v>419</v>
      </c>
      <c r="B182" s="2" t="s">
        <v>435</v>
      </c>
      <c r="C182" s="2" t="s">
        <v>436</v>
      </c>
      <c r="D182" s="2" t="s">
        <v>64</v>
      </c>
      <c r="E182" s="2" t="s">
        <v>422</v>
      </c>
      <c r="F182" s="5">
        <v>92.711999999999989</v>
      </c>
      <c r="G182" s="5">
        <v>95.475999999999999</v>
      </c>
      <c r="H182" s="5">
        <v>2.76400000000001</v>
      </c>
      <c r="I182" s="5">
        <f>IFERROR(INDEX(Baseline_Entry!$P:$P,MATCH($B182,Baseline_Entry!$B:$B,0)),"")</f>
        <v>69.586854460093889</v>
      </c>
      <c r="J182" s="2" t="str">
        <f t="shared" si="6"/>
        <v>Yes</v>
      </c>
      <c r="K182" s="2" t="str">
        <f t="shared" si="7"/>
        <v>Low starter</v>
      </c>
      <c r="L182" s="2" t="s">
        <v>66</v>
      </c>
      <c r="M182" s="2" t="s">
        <v>66</v>
      </c>
      <c r="N182" s="2">
        <v>0</v>
      </c>
      <c r="O182" s="2" t="str">
        <f>IFERROR(INDEX(University_Exit!$D:$D,MATCH($B182,University_Exit!$B:$B,0)),"")</f>
        <v>University of Leeds</v>
      </c>
      <c r="P182" s="2" t="str">
        <f>IFERROR(INDEX(University_Exit!$F:$F,MATCH($B182,University_Exit!$B:$B,0)),"")</f>
        <v>Mechanical Engineering</v>
      </c>
      <c r="Q182" s="2" t="str">
        <f>IFERROR(INDEX(University_Exit!$L:$L,MATCH($B182,University_Exit!$B:$B,0)),"")</f>
        <v>Yes</v>
      </c>
      <c r="R182" s="2" t="str">
        <f t="shared" si="8"/>
        <v>Yes</v>
      </c>
      <c r="S182" s="5">
        <f>IFERROR(INDEX(University_Exit!$H:$H,MATCH($B182,University_Exit!$B:$B,0)),"")</f>
        <v>95.69</v>
      </c>
      <c r="T182" s="6">
        <f>IFERROR(INDEX(University_Exit!$K:$K,MATCH($B182,University_Exit!$B:$B,0)),"")</f>
        <v>1210</v>
      </c>
      <c r="U182" s="2">
        <f>IFERROR(INDEX(University_Exit!$G:$G,MATCH($B182,University_Exit!$B:$B,0)),"")</f>
        <v>0</v>
      </c>
    </row>
    <row r="183" spans="1:21" x14ac:dyDescent="0.3">
      <c r="A183" s="2" t="s">
        <v>419</v>
      </c>
      <c r="B183" s="2" t="s">
        <v>437</v>
      </c>
      <c r="C183" s="2" t="s">
        <v>438</v>
      </c>
      <c r="D183" s="2" t="s">
        <v>64</v>
      </c>
      <c r="E183" s="2" t="s">
        <v>422</v>
      </c>
      <c r="F183" s="5">
        <v>81.631999999999991</v>
      </c>
      <c r="G183" s="5">
        <v>88.775999999999996</v>
      </c>
      <c r="H183" s="5">
        <v>7.1440000000000046</v>
      </c>
      <c r="I183" s="5">
        <f>IFERROR(INDEX(Baseline_Entry!$P:$P,MATCH($B183,Baseline_Entry!$B:$B,0)),"")</f>
        <v>59.943661971830984</v>
      </c>
      <c r="J183" s="2" t="str">
        <f t="shared" si="6"/>
        <v>Yes</v>
      </c>
      <c r="K183" s="2" t="str">
        <f t="shared" si="7"/>
        <v>Low starter</v>
      </c>
      <c r="L183" s="2" t="s">
        <v>65</v>
      </c>
      <c r="M183" s="2" t="s">
        <v>65</v>
      </c>
      <c r="N183" s="2">
        <v>0</v>
      </c>
      <c r="O183" s="2" t="str">
        <f>IFERROR(INDEX(University_Exit!$D:$D,MATCH($B183,University_Exit!$B:$B,0)),"")</f>
        <v>University of Leeds</v>
      </c>
      <c r="P183" s="2" t="str">
        <f>IFERROR(INDEX(University_Exit!$F:$F,MATCH($B183,University_Exit!$B:$B,0)),"")</f>
        <v>Chemical Engineering</v>
      </c>
      <c r="Q183" s="2" t="str">
        <f>IFERROR(INDEX(University_Exit!$L:$L,MATCH($B183,University_Exit!$B:$B,0)),"")</f>
        <v>Yes</v>
      </c>
      <c r="R183" s="2" t="str">
        <f t="shared" si="8"/>
        <v>Yes</v>
      </c>
      <c r="S183" s="5">
        <f>IFERROR(INDEX(University_Exit!$H:$H,MATCH($B183,University_Exit!$B:$B,0)),"")</f>
        <v>87.44</v>
      </c>
      <c r="T183" s="6">
        <f>IFERROR(INDEX(University_Exit!$K:$K,MATCH($B183,University_Exit!$B:$B,0)),"")</f>
        <v>1130</v>
      </c>
      <c r="U183" s="2">
        <f>IFERROR(INDEX(University_Exit!$G:$G,MATCH($B183,University_Exit!$B:$B,0)),"")</f>
        <v>0</v>
      </c>
    </row>
    <row r="184" spans="1:21" x14ac:dyDescent="0.3">
      <c r="A184" s="2" t="s">
        <v>419</v>
      </c>
      <c r="B184" s="2" t="s">
        <v>439</v>
      </c>
      <c r="C184" s="2" t="s">
        <v>440</v>
      </c>
      <c r="D184" s="2" t="s">
        <v>64</v>
      </c>
      <c r="E184" s="2" t="s">
        <v>422</v>
      </c>
      <c r="F184" s="5">
        <v>79.72</v>
      </c>
      <c r="G184" s="5">
        <v>90.152000000000001</v>
      </c>
      <c r="H184" s="5">
        <v>10.432</v>
      </c>
      <c r="I184" s="5">
        <f>IFERROR(INDEX(Baseline_Entry!$P:$P,MATCH($B184,Baseline_Entry!$B:$B,0)),"")</f>
        <v>21.83098591549296</v>
      </c>
      <c r="J184" s="2" t="str">
        <f t="shared" si="6"/>
        <v>Yes</v>
      </c>
      <c r="K184" s="2" t="str">
        <f t="shared" si="7"/>
        <v>Low starter</v>
      </c>
      <c r="L184" s="2" t="s">
        <v>99</v>
      </c>
      <c r="M184" s="2" t="s">
        <v>66</v>
      </c>
      <c r="N184" s="2">
        <v>2</v>
      </c>
      <c r="O184" s="2" t="str">
        <f>IFERROR(INDEX(University_Exit!$D:$D,MATCH($B184,University_Exit!$B:$B,0)),"")</f>
        <v>PennState University</v>
      </c>
      <c r="P184" s="2" t="str">
        <f>IFERROR(INDEX(University_Exit!$F:$F,MATCH($B184,University_Exit!$B:$B,0)),"")</f>
        <v>Mechanical Engineering</v>
      </c>
      <c r="Q184" s="2" t="str">
        <f>IFERROR(INDEX(University_Exit!$L:$L,MATCH($B184,University_Exit!$B:$B,0)),"")</f>
        <v>Yes</v>
      </c>
      <c r="R184" s="2" t="str">
        <f t="shared" si="8"/>
        <v>Yes</v>
      </c>
      <c r="S184" s="5">
        <f>IFERROR(INDEX(University_Exit!$H:$H,MATCH($B184,University_Exit!$B:$B,0)),"")</f>
        <v>91.63</v>
      </c>
      <c r="T184" s="6">
        <f>IFERROR(INDEX(University_Exit!$K:$K,MATCH($B184,University_Exit!$B:$B,0)),"")</f>
        <v>1140</v>
      </c>
      <c r="U184" s="2">
        <f>IFERROR(INDEX(University_Exit!$G:$G,MATCH($B184,University_Exit!$B:$B,0)),"")</f>
        <v>0</v>
      </c>
    </row>
    <row r="185" spans="1:21" x14ac:dyDescent="0.3">
      <c r="A185" s="2" t="s">
        <v>419</v>
      </c>
      <c r="B185" s="2" t="s">
        <v>441</v>
      </c>
      <c r="C185" s="2" t="s">
        <v>442</v>
      </c>
      <c r="D185" s="2" t="s">
        <v>64</v>
      </c>
      <c r="E185" s="2" t="s">
        <v>422</v>
      </c>
      <c r="F185" s="5">
        <v>90.820000000000007</v>
      </c>
      <c r="G185" s="5">
        <v>92</v>
      </c>
      <c r="H185" s="5">
        <v>1.1799999999999931</v>
      </c>
      <c r="I185" s="5">
        <f>IFERROR(INDEX(Baseline_Entry!$P:$P,MATCH($B185,Baseline_Entry!$B:$B,0)),"")</f>
        <v>57.442253521126759</v>
      </c>
      <c r="J185" s="2" t="str">
        <f t="shared" si="6"/>
        <v>Yes</v>
      </c>
      <c r="K185" s="2" t="str">
        <f t="shared" si="7"/>
        <v>Low starter</v>
      </c>
      <c r="L185" s="2" t="s">
        <v>66</v>
      </c>
      <c r="M185" s="2" t="s">
        <v>66</v>
      </c>
      <c r="N185" s="2">
        <v>0</v>
      </c>
      <c r="O185" s="2" t="str">
        <f>IFERROR(INDEX(University_Exit!$D:$D,MATCH($B185,University_Exit!$B:$B,0)),"")</f>
        <v>University of Leeds</v>
      </c>
      <c r="P185" s="2" t="str">
        <f>IFERROR(INDEX(University_Exit!$F:$F,MATCH($B185,University_Exit!$B:$B,0)),"")</f>
        <v>Architectural Engineering</v>
      </c>
      <c r="Q185" s="2" t="str">
        <f>IFERROR(INDEX(University_Exit!$L:$L,MATCH($B185,University_Exit!$B:$B,0)),"")</f>
        <v>Yes</v>
      </c>
      <c r="R185" s="2" t="str">
        <f t="shared" si="8"/>
        <v>Yes</v>
      </c>
      <c r="S185" s="5">
        <f>IFERROR(INDEX(University_Exit!$H:$H,MATCH($B185,University_Exit!$B:$B,0)),"")</f>
        <v>90</v>
      </c>
      <c r="T185" s="6">
        <f>IFERROR(INDEX(University_Exit!$K:$K,MATCH($B185,University_Exit!$B:$B,0)),"")</f>
        <v>1040</v>
      </c>
      <c r="U185" s="2">
        <f>IFERROR(INDEX(University_Exit!$G:$G,MATCH($B185,University_Exit!$B:$B,0)),"")</f>
        <v>0</v>
      </c>
    </row>
    <row r="186" spans="1:21" x14ac:dyDescent="0.3">
      <c r="A186" s="2" t="s">
        <v>419</v>
      </c>
      <c r="B186" s="2" t="s">
        <v>443</v>
      </c>
      <c r="C186" s="2" t="s">
        <v>444</v>
      </c>
      <c r="D186" s="2" t="s">
        <v>64</v>
      </c>
      <c r="E186" s="2" t="s">
        <v>422</v>
      </c>
      <c r="F186" s="5">
        <v>92.908000000000001</v>
      </c>
      <c r="G186" s="5">
        <v>98.352000000000004</v>
      </c>
      <c r="H186" s="5">
        <v>5.4440000000000026</v>
      </c>
      <c r="I186" s="5">
        <f>IFERROR(INDEX(Baseline_Entry!$P:$P,MATCH($B186,Baseline_Entry!$B:$B,0)),"")</f>
        <v>56.097652582159618</v>
      </c>
      <c r="J186" s="2" t="str">
        <f t="shared" si="6"/>
        <v>Yes</v>
      </c>
      <c r="K186" s="2" t="str">
        <f t="shared" si="7"/>
        <v>Low starter</v>
      </c>
      <c r="L186" s="2" t="s">
        <v>66</v>
      </c>
      <c r="M186" s="2" t="s">
        <v>66</v>
      </c>
      <c r="N186" s="2">
        <v>0</v>
      </c>
      <c r="O186" s="2" t="str">
        <f>IFERROR(INDEX(University_Exit!$D:$D,MATCH($B186,University_Exit!$B:$B,0)),"")</f>
        <v>George Washington University</v>
      </c>
      <c r="P186" s="2" t="str">
        <f>IFERROR(INDEX(University_Exit!$F:$F,MATCH($B186,University_Exit!$B:$B,0)),"")</f>
        <v>Mechanical Engineering</v>
      </c>
      <c r="Q186" s="2" t="str">
        <f>IFERROR(INDEX(University_Exit!$L:$L,MATCH($B186,University_Exit!$B:$B,0)),"")</f>
        <v>Yes</v>
      </c>
      <c r="R186" s="2" t="str">
        <f t="shared" si="8"/>
        <v>Yes</v>
      </c>
      <c r="S186" s="5">
        <f>IFERROR(INDEX(University_Exit!$H:$H,MATCH($B186,University_Exit!$B:$B,0)),"")</f>
        <v>99.13</v>
      </c>
      <c r="T186" s="6">
        <f>IFERROR(INDEX(University_Exit!$K:$K,MATCH($B186,University_Exit!$B:$B,0)),"")</f>
        <v>1260</v>
      </c>
      <c r="U186" s="2">
        <f>IFERROR(INDEX(University_Exit!$G:$G,MATCH($B186,University_Exit!$B:$B,0)),"")</f>
        <v>0</v>
      </c>
    </row>
    <row r="187" spans="1:21" x14ac:dyDescent="0.3">
      <c r="A187" s="2" t="s">
        <v>419</v>
      </c>
      <c r="B187" s="2" t="s">
        <v>445</v>
      </c>
      <c r="C187" s="2" t="s">
        <v>446</v>
      </c>
      <c r="D187" s="2" t="s">
        <v>64</v>
      </c>
      <c r="E187" s="2" t="s">
        <v>422</v>
      </c>
      <c r="F187" s="5">
        <v>86.355999999999995</v>
      </c>
      <c r="G187" s="5">
        <v>88</v>
      </c>
      <c r="H187" s="5">
        <v>1.644000000000005</v>
      </c>
      <c r="I187" s="5">
        <f>IFERROR(INDEX(Baseline_Entry!$P:$P,MATCH($B187,Baseline_Entry!$B:$B,0)),"")</f>
        <v>60.972769953051646</v>
      </c>
      <c r="J187" s="2" t="str">
        <f t="shared" si="6"/>
        <v>Yes</v>
      </c>
      <c r="K187" s="2" t="str">
        <f t="shared" si="7"/>
        <v>Low starter</v>
      </c>
      <c r="L187" s="2" t="s">
        <v>65</v>
      </c>
      <c r="M187" s="2" t="s">
        <v>65</v>
      </c>
      <c r="N187" s="2">
        <v>0</v>
      </c>
      <c r="O187" s="2" t="str">
        <f>IFERROR(INDEX(University_Exit!$D:$D,MATCH($B187,University_Exit!$B:$B,0)),"")</f>
        <v>University of Leeds</v>
      </c>
      <c r="P187" s="2" t="str">
        <f>IFERROR(INDEX(University_Exit!$F:$F,MATCH($B187,University_Exit!$B:$B,0)),"")</f>
        <v>Chemical Engineering</v>
      </c>
      <c r="Q187" s="2" t="str">
        <f>IFERROR(INDEX(University_Exit!$L:$L,MATCH($B187,University_Exit!$B:$B,0)),"")</f>
        <v>Yes</v>
      </c>
      <c r="R187" s="2" t="str">
        <f t="shared" si="8"/>
        <v>Yes</v>
      </c>
      <c r="S187" s="5">
        <f>IFERROR(INDEX(University_Exit!$H:$H,MATCH($B187,University_Exit!$B:$B,0)),"")</f>
        <v>87.05</v>
      </c>
      <c r="T187" s="6">
        <f>IFERROR(INDEX(University_Exit!$K:$K,MATCH($B187,University_Exit!$B:$B,0)),"")</f>
        <v>1080</v>
      </c>
      <c r="U187" s="2">
        <f>IFERROR(INDEX(University_Exit!$G:$G,MATCH($B187,University_Exit!$B:$B,0)),"")</f>
        <v>0</v>
      </c>
    </row>
    <row r="188" spans="1:21" x14ac:dyDescent="0.3">
      <c r="A188" s="2" t="s">
        <v>419</v>
      </c>
      <c r="B188" s="2" t="s">
        <v>447</v>
      </c>
      <c r="C188" s="2" t="s">
        <v>448</v>
      </c>
      <c r="D188" s="2" t="s">
        <v>64</v>
      </c>
      <c r="E188" s="2" t="s">
        <v>422</v>
      </c>
      <c r="F188" s="5">
        <v>89.524000000000001</v>
      </c>
      <c r="G188" s="5">
        <v>93.475999999999999</v>
      </c>
      <c r="H188" s="5">
        <v>3.9519999999999982</v>
      </c>
      <c r="I188" s="5">
        <f>IFERROR(INDEX(Baseline_Entry!$P:$P,MATCH($B188,Baseline_Entry!$B:$B,0)),"")</f>
        <v>65.89107981220657</v>
      </c>
      <c r="J188" s="2" t="str">
        <f t="shared" si="6"/>
        <v>Yes</v>
      </c>
      <c r="K188" s="2" t="str">
        <f t="shared" si="7"/>
        <v>Low starter</v>
      </c>
      <c r="L188" s="2" t="s">
        <v>65</v>
      </c>
      <c r="M188" s="2" t="s">
        <v>66</v>
      </c>
      <c r="N188" s="2">
        <v>1</v>
      </c>
      <c r="O188" s="2" t="str">
        <f>IFERROR(INDEX(University_Exit!$D:$D,MATCH($B188,University_Exit!$B:$B,0)),"")</f>
        <v>Qatar University</v>
      </c>
      <c r="P188" s="2" t="str">
        <f>IFERROR(INDEX(University_Exit!$F:$F,MATCH($B188,University_Exit!$B:$B,0)),"")</f>
        <v>Mechanical Engineering</v>
      </c>
      <c r="Q188" s="2" t="str">
        <f>IFERROR(INDEX(University_Exit!$L:$L,MATCH($B188,University_Exit!$B:$B,0)),"")</f>
        <v>Yes</v>
      </c>
      <c r="R188" s="2" t="str">
        <f t="shared" si="8"/>
        <v>Yes</v>
      </c>
      <c r="S188" s="5">
        <f>IFERROR(INDEX(University_Exit!$H:$H,MATCH($B188,University_Exit!$B:$B,0)),"")</f>
        <v>94.94</v>
      </c>
      <c r="T188" s="6">
        <f>IFERROR(INDEX(University_Exit!$K:$K,MATCH($B188,University_Exit!$B:$B,0)),"")</f>
        <v>1100</v>
      </c>
      <c r="U188" s="2">
        <f>IFERROR(INDEX(University_Exit!$G:$G,MATCH($B188,University_Exit!$B:$B,0)),"")</f>
        <v>0</v>
      </c>
    </row>
    <row r="189" spans="1:21" x14ac:dyDescent="0.3">
      <c r="A189" s="2" t="s">
        <v>419</v>
      </c>
      <c r="B189" s="2" t="s">
        <v>449</v>
      </c>
      <c r="C189" s="2" t="s">
        <v>450</v>
      </c>
      <c r="D189" s="2" t="s">
        <v>64</v>
      </c>
      <c r="E189" s="2" t="s">
        <v>422</v>
      </c>
      <c r="F189" s="5">
        <v>83.896000000000001</v>
      </c>
      <c r="G189" s="5">
        <v>89.251999999999995</v>
      </c>
      <c r="H189" s="5">
        <v>5.3559999999999954</v>
      </c>
      <c r="I189" s="5">
        <f>IFERROR(INDEX(Baseline_Entry!$P:$P,MATCH($B189,Baseline_Entry!$B:$B,0)),"")</f>
        <v>22.535211267605632</v>
      </c>
      <c r="J189" s="2" t="str">
        <f t="shared" si="6"/>
        <v>Yes</v>
      </c>
      <c r="K189" s="2" t="str">
        <f t="shared" si="7"/>
        <v>Low starter</v>
      </c>
      <c r="L189" s="2" t="s">
        <v>65</v>
      </c>
      <c r="M189" s="2" t="s">
        <v>65</v>
      </c>
      <c r="N189" s="2">
        <v>0</v>
      </c>
      <c r="O189" s="2" t="str">
        <f>IFERROR(INDEX(University_Exit!$D:$D,MATCH($B189,University_Exit!$B:$B,0)),"")</f>
        <v>University of Central Lancashire</v>
      </c>
      <c r="P189" s="2" t="str">
        <f>IFERROR(INDEX(University_Exit!$F:$F,MATCH($B189,University_Exit!$B:$B,0)),"")</f>
        <v>Marine engineering</v>
      </c>
      <c r="Q189" s="2" t="str">
        <f>IFERROR(INDEX(University_Exit!$L:$L,MATCH($B189,University_Exit!$B:$B,0)),"")</f>
        <v>Yes</v>
      </c>
      <c r="R189" s="2" t="str">
        <f t="shared" si="8"/>
        <v>Yes</v>
      </c>
      <c r="S189" s="5">
        <f>IFERROR(INDEX(University_Exit!$H:$H,MATCH($B189,University_Exit!$B:$B,0)),"")</f>
        <v>91.38</v>
      </c>
      <c r="T189" s="6">
        <f>IFERROR(INDEX(University_Exit!$K:$K,MATCH($B189,University_Exit!$B:$B,0)),"")</f>
        <v>950</v>
      </c>
      <c r="U189" s="2">
        <f>IFERROR(INDEX(University_Exit!$G:$G,MATCH($B189,University_Exit!$B:$B,0)),"")</f>
        <v>0</v>
      </c>
    </row>
    <row r="190" spans="1:21" x14ac:dyDescent="0.3">
      <c r="A190" s="2" t="s">
        <v>419</v>
      </c>
      <c r="B190" s="2" t="s">
        <v>451</v>
      </c>
      <c r="C190" s="2" t="s">
        <v>452</v>
      </c>
      <c r="D190" s="2" t="s">
        <v>64</v>
      </c>
      <c r="E190" s="2" t="s">
        <v>422</v>
      </c>
      <c r="F190" s="5">
        <v>73.864000000000004</v>
      </c>
      <c r="G190" s="5">
        <v>75.900000000000006</v>
      </c>
      <c r="H190" s="5">
        <v>2.0360000000000009</v>
      </c>
      <c r="I190" s="5">
        <f>IFERROR(INDEX(Baseline_Entry!$P:$P,MATCH($B190,Baseline_Entry!$B:$B,0)),"")</f>
        <v>54.230985915492958</v>
      </c>
      <c r="J190" s="2" t="str">
        <f t="shared" si="6"/>
        <v>Yes</v>
      </c>
      <c r="K190" s="2" t="str">
        <f t="shared" si="7"/>
        <v>Low starter</v>
      </c>
      <c r="L190" s="2" t="s">
        <v>99</v>
      </c>
      <c r="M190" s="2" t="s">
        <v>99</v>
      </c>
      <c r="N190" s="2">
        <v>0</v>
      </c>
      <c r="O190" s="2" t="str">
        <f>IFERROR(INDEX(University_Exit!$D:$D,MATCH($B190,University_Exit!$B:$B,0)),"")</f>
        <v>Cardiff University</v>
      </c>
      <c r="P190" s="2" t="str">
        <f>IFERROR(INDEX(University_Exit!$F:$F,MATCH($B190,University_Exit!$B:$B,0)),"")</f>
        <v>Computer Science</v>
      </c>
      <c r="Q190" s="2" t="str">
        <f>IFERROR(INDEX(University_Exit!$L:$L,MATCH($B190,University_Exit!$B:$B,0)),"")</f>
        <v>Yes</v>
      </c>
      <c r="R190" s="2" t="str">
        <f t="shared" si="8"/>
        <v>Yes</v>
      </c>
      <c r="S190" s="5">
        <f>IFERROR(INDEX(University_Exit!$H:$H,MATCH($B190,University_Exit!$B:$B,0)),"")</f>
        <v>74.05</v>
      </c>
      <c r="T190" s="6">
        <f>IFERROR(INDEX(University_Exit!$K:$K,MATCH($B190,University_Exit!$B:$B,0)),"")</f>
        <v>960</v>
      </c>
      <c r="U190" s="2">
        <f>IFERROR(INDEX(University_Exit!$G:$G,MATCH($B190,University_Exit!$B:$B,0)),"")</f>
        <v>0</v>
      </c>
    </row>
    <row r="191" spans="1:21" x14ac:dyDescent="0.3">
      <c r="A191" s="2" t="s">
        <v>419</v>
      </c>
      <c r="B191" s="2" t="s">
        <v>453</v>
      </c>
      <c r="C191" s="2" t="s">
        <v>454</v>
      </c>
      <c r="D191" s="2" t="s">
        <v>64</v>
      </c>
      <c r="E191" s="2" t="s">
        <v>422</v>
      </c>
      <c r="F191" s="5">
        <v>89.84</v>
      </c>
      <c r="G191" s="5">
        <v>92.975999999999999</v>
      </c>
      <c r="H191" s="5">
        <v>3.1359999999999961</v>
      </c>
      <c r="I191" s="5">
        <f>IFERROR(INDEX(Baseline_Entry!$P:$P,MATCH($B191,Baseline_Entry!$B:$B,0)),"")</f>
        <v>69.479812206572774</v>
      </c>
      <c r="J191" s="2" t="str">
        <f t="shared" si="6"/>
        <v>Yes</v>
      </c>
      <c r="K191" s="2" t="str">
        <f t="shared" si="7"/>
        <v>Low starter</v>
      </c>
      <c r="L191" s="2" t="s">
        <v>65</v>
      </c>
      <c r="M191" s="2" t="s">
        <v>66</v>
      </c>
      <c r="N191" s="2">
        <v>1</v>
      </c>
      <c r="O191" s="2" t="str">
        <f>IFERROR(INDEX(University_Exit!$D:$D,MATCH($B191,University_Exit!$B:$B,0)),"")</f>
        <v>PennState University</v>
      </c>
      <c r="P191" s="2" t="str">
        <f>IFERROR(INDEX(University_Exit!$F:$F,MATCH($B191,University_Exit!$B:$B,0)),"")</f>
        <v>Petroleum Engineering</v>
      </c>
      <c r="Q191" s="2" t="str">
        <f>IFERROR(INDEX(University_Exit!$L:$L,MATCH($B191,University_Exit!$B:$B,0)),"")</f>
        <v>Yes</v>
      </c>
      <c r="R191" s="2" t="str">
        <f t="shared" si="8"/>
        <v>Yes</v>
      </c>
      <c r="S191" s="5">
        <f>IFERROR(INDEX(University_Exit!$H:$H,MATCH($B191,University_Exit!$B:$B,0)),"")</f>
        <v>92.69</v>
      </c>
      <c r="T191" s="6">
        <f>IFERROR(INDEX(University_Exit!$K:$K,MATCH($B191,University_Exit!$B:$B,0)),"")</f>
        <v>1150</v>
      </c>
      <c r="U191" s="2">
        <f>IFERROR(INDEX(University_Exit!$G:$G,MATCH($B191,University_Exit!$B:$B,0)),"")</f>
        <v>0</v>
      </c>
    </row>
    <row r="192" spans="1:21" x14ac:dyDescent="0.3">
      <c r="A192" s="2" t="s">
        <v>419</v>
      </c>
      <c r="B192" s="2" t="s">
        <v>455</v>
      </c>
      <c r="C192" s="2" t="s">
        <v>456</v>
      </c>
      <c r="D192" s="2" t="s">
        <v>64</v>
      </c>
      <c r="E192" s="2" t="s">
        <v>422</v>
      </c>
      <c r="F192" s="5">
        <v>81.907999999999987</v>
      </c>
      <c r="G192" s="5">
        <v>84.5</v>
      </c>
      <c r="H192" s="5">
        <v>2.592000000000013</v>
      </c>
      <c r="I192" s="5">
        <f>IFERROR(INDEX(Baseline_Entry!$P:$P,MATCH($B192,Baseline_Entry!$B:$B,0)),"")</f>
        <v>61.074178403755866</v>
      </c>
      <c r="J192" s="2" t="str">
        <f t="shared" si="6"/>
        <v>Yes</v>
      </c>
      <c r="K192" s="2" t="str">
        <f t="shared" si="7"/>
        <v>Low starter</v>
      </c>
      <c r="L192" s="2" t="s">
        <v>65</v>
      </c>
      <c r="M192" s="2" t="s">
        <v>65</v>
      </c>
      <c r="N192" s="2">
        <v>0</v>
      </c>
      <c r="O192" s="2" t="str">
        <f>IFERROR(INDEX(University_Exit!$D:$D,MATCH($B192,University_Exit!$B:$B,0)),"")</f>
        <v>Hamad Bin Khalifa University</v>
      </c>
      <c r="P192" s="2" t="str">
        <f>IFERROR(INDEX(University_Exit!$F:$F,MATCH($B192,University_Exit!$B:$B,0)),"")</f>
        <v>Mechanical Engineering</v>
      </c>
      <c r="Q192" s="2" t="str">
        <f>IFERROR(INDEX(University_Exit!$L:$L,MATCH($B192,University_Exit!$B:$B,0)),"")</f>
        <v>Yes</v>
      </c>
      <c r="R192" s="2" t="str">
        <f t="shared" si="8"/>
        <v>Yes</v>
      </c>
      <c r="S192" s="5">
        <f>IFERROR(INDEX(University_Exit!$H:$H,MATCH($B192,University_Exit!$B:$B,0)),"")</f>
        <v>85.75</v>
      </c>
      <c r="T192" s="6">
        <f>IFERROR(INDEX(University_Exit!$K:$K,MATCH($B192,University_Exit!$B:$B,0)),"")</f>
        <v>1020</v>
      </c>
      <c r="U192" s="2">
        <f>IFERROR(INDEX(University_Exit!$G:$G,MATCH($B192,University_Exit!$B:$B,0)),"")</f>
        <v>0</v>
      </c>
    </row>
    <row r="193" spans="1:21" x14ac:dyDescent="0.3">
      <c r="A193" s="2" t="s">
        <v>419</v>
      </c>
      <c r="B193" s="2" t="s">
        <v>457</v>
      </c>
      <c r="C193" s="2" t="s">
        <v>458</v>
      </c>
      <c r="D193" s="2" t="s">
        <v>64</v>
      </c>
      <c r="E193" s="2" t="s">
        <v>422</v>
      </c>
      <c r="F193" s="5">
        <v>85.296000000000006</v>
      </c>
      <c r="G193" s="5">
        <v>94.251999999999995</v>
      </c>
      <c r="H193" s="5">
        <v>8.9559999999999889</v>
      </c>
      <c r="I193" s="5">
        <f>IFERROR(INDEX(Baseline_Entry!$P:$P,MATCH($B193,Baseline_Entry!$B:$B,0)),"")</f>
        <v>60.845070422535208</v>
      </c>
      <c r="J193" s="2" t="str">
        <f t="shared" si="6"/>
        <v>Yes</v>
      </c>
      <c r="K193" s="2" t="str">
        <f t="shared" si="7"/>
        <v>Low starter</v>
      </c>
      <c r="L193" s="2" t="s">
        <v>65</v>
      </c>
      <c r="M193" s="2" t="s">
        <v>66</v>
      </c>
      <c r="N193" s="2">
        <v>1</v>
      </c>
      <c r="O193" s="2" t="str">
        <f>IFERROR(INDEX(University_Exit!$D:$D,MATCH($B193,University_Exit!$B:$B,0)),"")</f>
        <v>University of Nottingham</v>
      </c>
      <c r="P193" s="2" t="str">
        <f>IFERROR(INDEX(University_Exit!$F:$F,MATCH($B193,University_Exit!$B:$B,0)),"")</f>
        <v>Mechanical Engineering</v>
      </c>
      <c r="Q193" s="2" t="str">
        <f>IFERROR(INDEX(University_Exit!$L:$L,MATCH($B193,University_Exit!$B:$B,0)),"")</f>
        <v>Yes</v>
      </c>
      <c r="R193" s="2" t="str">
        <f t="shared" si="8"/>
        <v>Yes</v>
      </c>
      <c r="S193" s="5">
        <f>IFERROR(INDEX(University_Exit!$H:$H,MATCH($B193,University_Exit!$B:$B,0)),"")</f>
        <v>94.88</v>
      </c>
      <c r="T193" s="6">
        <f>IFERROR(INDEX(University_Exit!$K:$K,MATCH($B193,University_Exit!$B:$B,0)),"")</f>
        <v>1150</v>
      </c>
      <c r="U193" s="2">
        <f>IFERROR(INDEX(University_Exit!$G:$G,MATCH($B193,University_Exit!$B:$B,0)),"")</f>
        <v>0</v>
      </c>
    </row>
    <row r="194" spans="1:21" x14ac:dyDescent="0.3">
      <c r="A194" s="2" t="s">
        <v>419</v>
      </c>
      <c r="B194" s="2" t="s">
        <v>459</v>
      </c>
      <c r="C194" s="2" t="s">
        <v>460</v>
      </c>
      <c r="D194" s="2" t="s">
        <v>64</v>
      </c>
      <c r="E194" s="2" t="s">
        <v>422</v>
      </c>
      <c r="F194" s="5">
        <v>89.679999999999993</v>
      </c>
      <c r="G194" s="5">
        <v>95.775999999999996</v>
      </c>
      <c r="H194" s="5">
        <v>6.0960000000000036</v>
      </c>
      <c r="I194" s="5">
        <f>IFERROR(INDEX(Baseline_Entry!$P:$P,MATCH($B194,Baseline_Entry!$B:$B,0)),"")</f>
        <v>54.807511737089193</v>
      </c>
      <c r="J194" s="2" t="str">
        <f t="shared" ref="J194:J257" si="9">IF(I194="","No","Yes")</f>
        <v>Yes</v>
      </c>
      <c r="K194" s="2" t="str">
        <f t="shared" ref="K194:K232" si="10">IF(IF(I194="",F194,I194)&lt;70,"Low starter",IF(IF(I194="",F194,I194)&lt;85,"Middle starter","High starter"))</f>
        <v>Low starter</v>
      </c>
      <c r="L194" s="2" t="s">
        <v>65</v>
      </c>
      <c r="M194" s="2" t="s">
        <v>66</v>
      </c>
      <c r="N194" s="2">
        <v>1</v>
      </c>
      <c r="O194" s="2" t="str">
        <f>IFERROR(INDEX(University_Exit!$D:$D,MATCH($B194,University_Exit!$B:$B,0)),"")</f>
        <v>Qatar University</v>
      </c>
      <c r="P194" s="2" t="str">
        <f>IFERROR(INDEX(University_Exit!$F:$F,MATCH($B194,University_Exit!$B:$B,0)),"")</f>
        <v>Chemical Engineering</v>
      </c>
      <c r="Q194" s="2" t="str">
        <f>IFERROR(INDEX(University_Exit!$L:$L,MATCH($B194,University_Exit!$B:$B,0)),"")</f>
        <v>Yes</v>
      </c>
      <c r="R194" s="2" t="str">
        <f t="shared" ref="R194:R232" si="11">IF(O194="","No","Yes")</f>
        <v>Yes</v>
      </c>
      <c r="S194" s="5">
        <f>IFERROR(INDEX(University_Exit!$H:$H,MATCH($B194,University_Exit!$B:$B,0)),"")</f>
        <v>95.69</v>
      </c>
      <c r="T194" s="6">
        <f>IFERROR(INDEX(University_Exit!$K:$K,MATCH($B194,University_Exit!$B:$B,0)),"")</f>
        <v>870</v>
      </c>
      <c r="U194" s="2">
        <f>IFERROR(INDEX(University_Exit!$G:$G,MATCH($B194,University_Exit!$B:$B,0)),"")</f>
        <v>0</v>
      </c>
    </row>
    <row r="195" spans="1:21" x14ac:dyDescent="0.3">
      <c r="A195" s="2" t="s">
        <v>419</v>
      </c>
      <c r="B195" s="2" t="s">
        <v>461</v>
      </c>
      <c r="C195" s="2" t="s">
        <v>462</v>
      </c>
      <c r="D195" s="2" t="s">
        <v>64</v>
      </c>
      <c r="E195" s="2" t="s">
        <v>422</v>
      </c>
      <c r="F195" s="5">
        <v>85.715999999999994</v>
      </c>
      <c r="G195" s="5">
        <v>89.4</v>
      </c>
      <c r="H195" s="5">
        <v>3.6840000000000122</v>
      </c>
      <c r="I195" s="5">
        <f>IFERROR(INDEX(Baseline_Entry!$P:$P,MATCH($B195,Baseline_Entry!$B:$B,0)),"")</f>
        <v>62.514553990610331</v>
      </c>
      <c r="J195" s="2" t="str">
        <f t="shared" si="9"/>
        <v>Yes</v>
      </c>
      <c r="K195" s="2" t="str">
        <f t="shared" si="10"/>
        <v>Low starter</v>
      </c>
      <c r="L195" s="2" t="s">
        <v>65</v>
      </c>
      <c r="M195" s="2" t="s">
        <v>65</v>
      </c>
      <c r="N195" s="2">
        <v>0</v>
      </c>
      <c r="O195" s="2" t="str">
        <f>IFERROR(INDEX(University_Exit!$D:$D,MATCH($B195,University_Exit!$B:$B,0)),"")</f>
        <v>University of Leeds</v>
      </c>
      <c r="P195" s="2" t="str">
        <f>IFERROR(INDEX(University_Exit!$F:$F,MATCH($B195,University_Exit!$B:$B,0)),"")</f>
        <v>Chemical Engineering</v>
      </c>
      <c r="Q195" s="2" t="str">
        <f>IFERROR(INDEX(University_Exit!$L:$L,MATCH($B195,University_Exit!$B:$B,0)),"")</f>
        <v>Yes</v>
      </c>
      <c r="R195" s="2" t="str">
        <f t="shared" si="11"/>
        <v>Yes</v>
      </c>
      <c r="S195" s="5">
        <f>IFERROR(INDEX(University_Exit!$H:$H,MATCH($B195,University_Exit!$B:$B,0)),"")</f>
        <v>90.75</v>
      </c>
      <c r="T195" s="6">
        <f>IFERROR(INDEX(University_Exit!$K:$K,MATCH($B195,University_Exit!$B:$B,0)),"")</f>
        <v>1250</v>
      </c>
      <c r="U195" s="2">
        <f>IFERROR(INDEX(University_Exit!$G:$G,MATCH($B195,University_Exit!$B:$B,0)),"")</f>
        <v>0</v>
      </c>
    </row>
    <row r="196" spans="1:21" x14ac:dyDescent="0.3">
      <c r="A196" s="2" t="s">
        <v>419</v>
      </c>
      <c r="B196" s="2" t="s">
        <v>463</v>
      </c>
      <c r="C196" s="2" t="s">
        <v>464</v>
      </c>
      <c r="D196" s="2" t="s">
        <v>64</v>
      </c>
      <c r="E196" s="2" t="s">
        <v>422</v>
      </c>
      <c r="F196" s="5">
        <v>88.763999999999996</v>
      </c>
      <c r="G196" s="5">
        <v>90.975999999999999</v>
      </c>
      <c r="H196" s="5">
        <v>2.2120000000000029</v>
      </c>
      <c r="I196" s="5">
        <f>IFERROR(INDEX(Baseline_Entry!$P:$P,MATCH($B196,Baseline_Entry!$B:$B,0)),"")</f>
        <v>67.55492957746479</v>
      </c>
      <c r="J196" s="2" t="str">
        <f t="shared" si="9"/>
        <v>Yes</v>
      </c>
      <c r="K196" s="2" t="str">
        <f t="shared" si="10"/>
        <v>Low starter</v>
      </c>
      <c r="L196" s="2" t="s">
        <v>65</v>
      </c>
      <c r="M196" s="2" t="s">
        <v>66</v>
      </c>
      <c r="N196" s="2">
        <v>1</v>
      </c>
      <c r="O196" s="2" t="str">
        <f>IFERROR(INDEX(University_Exit!$D:$D,MATCH($B196,University_Exit!$B:$B,0)),"")</f>
        <v>Carnegie Mellon University</v>
      </c>
      <c r="P196" s="2" t="str">
        <f>IFERROR(INDEX(University_Exit!$F:$F,MATCH($B196,University_Exit!$B:$B,0)),"")</f>
        <v>Information Technology System</v>
      </c>
      <c r="Q196" s="2" t="str">
        <f>IFERROR(INDEX(University_Exit!$L:$L,MATCH($B196,University_Exit!$B:$B,0)),"")</f>
        <v>Yes</v>
      </c>
      <c r="R196" s="2" t="str">
        <f t="shared" si="11"/>
        <v>Yes</v>
      </c>
      <c r="S196" s="5">
        <f>IFERROR(INDEX(University_Exit!$H:$H,MATCH($B196,University_Exit!$B:$B,0)),"")</f>
        <v>91.44</v>
      </c>
      <c r="T196" s="6">
        <f>IFERROR(INDEX(University_Exit!$K:$K,MATCH($B196,University_Exit!$B:$B,0)),"")</f>
        <v>1190</v>
      </c>
      <c r="U196" s="2">
        <f>IFERROR(INDEX(University_Exit!$G:$G,MATCH($B196,University_Exit!$B:$B,0)),"")</f>
        <v>0</v>
      </c>
    </row>
    <row r="197" spans="1:21" x14ac:dyDescent="0.3">
      <c r="A197" s="2" t="s">
        <v>419</v>
      </c>
      <c r="B197" s="2" t="s">
        <v>465</v>
      </c>
      <c r="C197" s="2" t="s">
        <v>466</v>
      </c>
      <c r="D197" s="2" t="s">
        <v>64</v>
      </c>
      <c r="E197" s="2" t="s">
        <v>422</v>
      </c>
      <c r="F197" s="5">
        <v>88.54</v>
      </c>
      <c r="G197" s="5">
        <v>96.176000000000002</v>
      </c>
      <c r="H197" s="5">
        <v>7.6359999999999957</v>
      </c>
      <c r="I197" s="5">
        <f>IFERROR(INDEX(Baseline_Entry!$P:$P,MATCH($B197,Baseline_Entry!$B:$B,0)),"")</f>
        <v>61.87417840375587</v>
      </c>
      <c r="J197" s="2" t="str">
        <f t="shared" si="9"/>
        <v>Yes</v>
      </c>
      <c r="K197" s="2" t="str">
        <f t="shared" si="10"/>
        <v>Low starter</v>
      </c>
      <c r="L197" s="2" t="s">
        <v>65</v>
      </c>
      <c r="M197" s="2" t="s">
        <v>66</v>
      </c>
      <c r="N197" s="2">
        <v>1</v>
      </c>
      <c r="O197" s="2" t="str">
        <f>IFERROR(INDEX(University_Exit!$D:$D,MATCH($B197,University_Exit!$B:$B,0)),"")</f>
        <v>University of Nottingham</v>
      </c>
      <c r="P197" s="2" t="str">
        <f>IFERROR(INDEX(University_Exit!$F:$F,MATCH($B197,University_Exit!$B:$B,0)),"")</f>
        <v>Mechanical Engineering</v>
      </c>
      <c r="Q197" s="2" t="str">
        <f>IFERROR(INDEX(University_Exit!$L:$L,MATCH($B197,University_Exit!$B:$B,0)),"")</f>
        <v>Yes</v>
      </c>
      <c r="R197" s="2" t="str">
        <f t="shared" si="11"/>
        <v>Yes</v>
      </c>
      <c r="S197" s="5">
        <f>IFERROR(INDEX(University_Exit!$H:$H,MATCH($B197,University_Exit!$B:$B,0)),"")</f>
        <v>95.69</v>
      </c>
      <c r="T197" s="6">
        <f>IFERROR(INDEX(University_Exit!$K:$K,MATCH($B197,University_Exit!$B:$B,0)),"")</f>
        <v>1190</v>
      </c>
      <c r="U197" s="2">
        <f>IFERROR(INDEX(University_Exit!$G:$G,MATCH($B197,University_Exit!$B:$B,0)),"")</f>
        <v>0</v>
      </c>
    </row>
    <row r="198" spans="1:21" x14ac:dyDescent="0.3">
      <c r="A198" s="2" t="s">
        <v>419</v>
      </c>
      <c r="B198" s="2" t="s">
        <v>467</v>
      </c>
      <c r="C198" s="2" t="s">
        <v>468</v>
      </c>
      <c r="D198" s="2" t="s">
        <v>64</v>
      </c>
      <c r="E198" s="2" t="s">
        <v>422</v>
      </c>
      <c r="F198" s="5">
        <v>85.015999999999991</v>
      </c>
      <c r="G198" s="5">
        <v>86.7</v>
      </c>
      <c r="H198" s="5">
        <v>1.6840000000000119</v>
      </c>
      <c r="I198" s="5">
        <f>IFERROR(INDEX(Baseline_Entry!$P:$P,MATCH($B198,Baseline_Entry!$B:$B,0)),"")</f>
        <v>23.708920187793428</v>
      </c>
      <c r="J198" s="2" t="str">
        <f t="shared" si="9"/>
        <v>Yes</v>
      </c>
      <c r="K198" s="2" t="str">
        <f t="shared" si="10"/>
        <v>Low starter</v>
      </c>
      <c r="L198" s="2" t="s">
        <v>65</v>
      </c>
      <c r="M198" s="2" t="s">
        <v>65</v>
      </c>
      <c r="N198" s="2">
        <v>0</v>
      </c>
      <c r="O198" s="2" t="str">
        <f>IFERROR(INDEX(University_Exit!$D:$D,MATCH($B198,University_Exit!$B:$B,0)),"")</f>
        <v>Qatar University</v>
      </c>
      <c r="P198" s="2" t="str">
        <f>IFERROR(INDEX(University_Exit!$F:$F,MATCH($B198,University_Exit!$B:$B,0)),"")</f>
        <v>Mechanical Engineering</v>
      </c>
      <c r="Q198" s="2" t="str">
        <f>IFERROR(INDEX(University_Exit!$L:$L,MATCH($B198,University_Exit!$B:$B,0)),"")</f>
        <v>Yes</v>
      </c>
      <c r="R198" s="2" t="str">
        <f t="shared" si="11"/>
        <v>Yes</v>
      </c>
      <c r="S198" s="5">
        <f>IFERROR(INDEX(University_Exit!$H:$H,MATCH($B198,University_Exit!$B:$B,0)),"")</f>
        <v>88.25</v>
      </c>
      <c r="T198" s="6">
        <f>IFERROR(INDEX(University_Exit!$K:$K,MATCH($B198,University_Exit!$B:$B,0)),"")</f>
        <v>0</v>
      </c>
      <c r="U198" s="2">
        <f>IFERROR(INDEX(University_Exit!$G:$G,MATCH($B198,University_Exit!$B:$B,0)),"")</f>
        <v>0</v>
      </c>
    </row>
    <row r="199" spans="1:21" x14ac:dyDescent="0.3">
      <c r="A199" s="2" t="s">
        <v>419</v>
      </c>
      <c r="B199" s="2" t="s">
        <v>469</v>
      </c>
      <c r="C199" s="2" t="s">
        <v>470</v>
      </c>
      <c r="D199" s="2" t="s">
        <v>64</v>
      </c>
      <c r="E199" s="2" t="s">
        <v>422</v>
      </c>
      <c r="F199" s="5">
        <v>78.872</v>
      </c>
      <c r="G199" s="5">
        <v>88.024000000000001</v>
      </c>
      <c r="H199" s="5">
        <v>9.152000000000001</v>
      </c>
      <c r="I199" s="5">
        <f>IFERROR(INDEX(Baseline_Entry!$P:$P,MATCH($B199,Baseline_Entry!$B:$B,0)),"")</f>
        <v>56.775586854460094</v>
      </c>
      <c r="J199" s="2" t="str">
        <f t="shared" si="9"/>
        <v>Yes</v>
      </c>
      <c r="K199" s="2" t="str">
        <f t="shared" si="10"/>
        <v>Low starter</v>
      </c>
      <c r="L199" s="2" t="s">
        <v>99</v>
      </c>
      <c r="M199" s="2" t="s">
        <v>65</v>
      </c>
      <c r="N199" s="2">
        <v>1</v>
      </c>
      <c r="O199" s="2" t="str">
        <f>IFERROR(INDEX(University_Exit!$D:$D,MATCH($B199,University_Exit!$B:$B,0)),"")</f>
        <v>Carnegie Mellon University</v>
      </c>
      <c r="P199" s="2" t="str">
        <f>IFERROR(INDEX(University_Exit!$F:$F,MATCH($B199,University_Exit!$B:$B,0)),"")</f>
        <v>Information Technology System</v>
      </c>
      <c r="Q199" s="2" t="str">
        <f>IFERROR(INDEX(University_Exit!$L:$L,MATCH($B199,University_Exit!$B:$B,0)),"")</f>
        <v>Yes</v>
      </c>
      <c r="R199" s="2" t="str">
        <f t="shared" si="11"/>
        <v>Yes</v>
      </c>
      <c r="S199" s="5">
        <f>IFERROR(INDEX(University_Exit!$H:$H,MATCH($B199,University_Exit!$B:$B,0)),"")</f>
        <v>88.31</v>
      </c>
      <c r="T199" s="6">
        <f>IFERROR(INDEX(University_Exit!$K:$K,MATCH($B199,University_Exit!$B:$B,0)),"")</f>
        <v>1050</v>
      </c>
      <c r="U199" s="2">
        <f>IFERROR(INDEX(University_Exit!$G:$G,MATCH($B199,University_Exit!$B:$B,0)),"")</f>
        <v>0</v>
      </c>
    </row>
    <row r="200" spans="1:21" x14ac:dyDescent="0.3">
      <c r="A200" s="2" t="s">
        <v>419</v>
      </c>
      <c r="B200" s="2" t="s">
        <v>471</v>
      </c>
      <c r="C200" s="2" t="s">
        <v>472</v>
      </c>
      <c r="D200" s="2" t="s">
        <v>64</v>
      </c>
      <c r="E200" s="2" t="s">
        <v>422</v>
      </c>
      <c r="F200" s="5">
        <v>90.16</v>
      </c>
      <c r="G200" s="5">
        <v>91.224000000000004</v>
      </c>
      <c r="H200" s="5">
        <v>1.0640000000000069</v>
      </c>
      <c r="I200" s="5">
        <f>IFERROR(INDEX(Baseline_Entry!$P:$P,MATCH($B200,Baseline_Entry!$B:$B,0)),"")</f>
        <v>61.340845070422539</v>
      </c>
      <c r="J200" s="2" t="str">
        <f t="shared" si="9"/>
        <v>Yes</v>
      </c>
      <c r="K200" s="2" t="str">
        <f t="shared" si="10"/>
        <v>Low starter</v>
      </c>
      <c r="L200" s="2" t="s">
        <v>66</v>
      </c>
      <c r="M200" s="2" t="s">
        <v>66</v>
      </c>
      <c r="N200" s="2">
        <v>0</v>
      </c>
      <c r="O200" s="2" t="str">
        <f>IFERROR(INDEX(University_Exit!$D:$D,MATCH($B200,University_Exit!$B:$B,0)),"")</f>
        <v>Qatar University</v>
      </c>
      <c r="P200" s="2" t="str">
        <f>IFERROR(INDEX(University_Exit!$F:$F,MATCH($B200,University_Exit!$B:$B,0)),"")</f>
        <v>Mechanical Engineering</v>
      </c>
      <c r="Q200" s="2" t="str">
        <f>IFERROR(INDEX(University_Exit!$L:$L,MATCH($B200,University_Exit!$B:$B,0)),"")</f>
        <v>Yes</v>
      </c>
      <c r="R200" s="2" t="str">
        <f t="shared" si="11"/>
        <v>Yes</v>
      </c>
      <c r="S200" s="5">
        <f>IFERROR(INDEX(University_Exit!$H:$H,MATCH($B200,University_Exit!$B:$B,0)),"")</f>
        <v>92.56</v>
      </c>
      <c r="T200" s="6">
        <f>IFERROR(INDEX(University_Exit!$K:$K,MATCH($B200,University_Exit!$B:$B,0)),"")</f>
        <v>1170</v>
      </c>
      <c r="U200" s="2">
        <f>IFERROR(INDEX(University_Exit!$G:$G,MATCH($B200,University_Exit!$B:$B,0)),"")</f>
        <v>0</v>
      </c>
    </row>
    <row r="201" spans="1:21" x14ac:dyDescent="0.3">
      <c r="A201" s="2" t="s">
        <v>419</v>
      </c>
      <c r="B201" s="2" t="s">
        <v>473</v>
      </c>
      <c r="C201" s="2" t="s">
        <v>474</v>
      </c>
      <c r="D201" s="2" t="s">
        <v>64</v>
      </c>
      <c r="E201" s="2" t="s">
        <v>422</v>
      </c>
      <c r="F201" s="5">
        <v>81.872</v>
      </c>
      <c r="G201" s="5">
        <v>90.024000000000001</v>
      </c>
      <c r="H201" s="5">
        <v>8.152000000000001</v>
      </c>
      <c r="I201" s="5">
        <f>IFERROR(INDEX(Baseline_Entry!$P:$P,MATCH($B201,Baseline_Entry!$B:$B,0)),"")</f>
        <v>61.106103286384972</v>
      </c>
      <c r="J201" s="2" t="str">
        <f t="shared" si="9"/>
        <v>Yes</v>
      </c>
      <c r="K201" s="2" t="str">
        <f t="shared" si="10"/>
        <v>Low starter</v>
      </c>
      <c r="L201" s="2" t="s">
        <v>65</v>
      </c>
      <c r="M201" s="2" t="s">
        <v>66</v>
      </c>
      <c r="N201" s="2">
        <v>1</v>
      </c>
      <c r="O201" s="2" t="str">
        <f>IFERROR(INDEX(University_Exit!$D:$D,MATCH($B201,University_Exit!$B:$B,0)),"")</f>
        <v>George Washington University</v>
      </c>
      <c r="P201" s="2" t="str">
        <f>IFERROR(INDEX(University_Exit!$F:$F,MATCH($B201,University_Exit!$B:$B,0)),"")</f>
        <v>Mechanical Engineering</v>
      </c>
      <c r="Q201" s="2" t="str">
        <f>IFERROR(INDEX(University_Exit!$L:$L,MATCH($B201,University_Exit!$B:$B,0)),"")</f>
        <v>Yes</v>
      </c>
      <c r="R201" s="2" t="str">
        <f t="shared" si="11"/>
        <v>Yes</v>
      </c>
      <c r="S201" s="5">
        <f>IFERROR(INDEX(University_Exit!$H:$H,MATCH($B201,University_Exit!$B:$B,0)),"")</f>
        <v>90.56</v>
      </c>
      <c r="T201" s="6">
        <f>IFERROR(INDEX(University_Exit!$K:$K,MATCH($B201,University_Exit!$B:$B,0)),"")</f>
        <v>420</v>
      </c>
      <c r="U201" s="2">
        <f>IFERROR(INDEX(University_Exit!$G:$G,MATCH($B201,University_Exit!$B:$B,0)),"")</f>
        <v>0</v>
      </c>
    </row>
    <row r="202" spans="1:21" x14ac:dyDescent="0.3">
      <c r="A202" s="2" t="s">
        <v>419</v>
      </c>
      <c r="B202" s="2" t="s">
        <v>475</v>
      </c>
      <c r="C202" s="2" t="s">
        <v>476</v>
      </c>
      <c r="D202" s="2" t="s">
        <v>64</v>
      </c>
      <c r="E202" s="2" t="s">
        <v>422</v>
      </c>
      <c r="F202" s="5">
        <v>86.78</v>
      </c>
      <c r="G202" s="5">
        <v>95.4</v>
      </c>
      <c r="H202" s="5">
        <v>8.6200000000000045</v>
      </c>
      <c r="I202" s="5">
        <f>IFERROR(INDEX(Baseline_Entry!$P:$P,MATCH($B202,Baseline_Entry!$B:$B,0)),"")</f>
        <v>61.436619718309856</v>
      </c>
      <c r="J202" s="2" t="str">
        <f t="shared" si="9"/>
        <v>Yes</v>
      </c>
      <c r="K202" s="2" t="str">
        <f t="shared" si="10"/>
        <v>Low starter</v>
      </c>
      <c r="L202" s="2" t="s">
        <v>65</v>
      </c>
      <c r="M202" s="2" t="s">
        <v>66</v>
      </c>
      <c r="N202" s="2">
        <v>1</v>
      </c>
      <c r="O202" s="2" t="str">
        <f>IFERROR(INDEX(University_Exit!$D:$D,MATCH($B202,University_Exit!$B:$B,0)),"")</f>
        <v>Qatar University</v>
      </c>
      <c r="P202" s="2" t="str">
        <f>IFERROR(INDEX(University_Exit!$F:$F,MATCH($B202,University_Exit!$B:$B,0)),"")</f>
        <v>Mechanical Engineering</v>
      </c>
      <c r="Q202" s="2" t="str">
        <f>IFERROR(INDEX(University_Exit!$L:$L,MATCH($B202,University_Exit!$B:$B,0)),"")</f>
        <v>Yes</v>
      </c>
      <c r="R202" s="2" t="str">
        <f t="shared" si="11"/>
        <v>Yes</v>
      </c>
      <c r="S202" s="5">
        <f>IFERROR(INDEX(University_Exit!$H:$H,MATCH($B202,University_Exit!$B:$B,0)),"")</f>
        <v>95.75</v>
      </c>
      <c r="T202" s="6">
        <f>IFERROR(INDEX(University_Exit!$K:$K,MATCH($B202,University_Exit!$B:$B,0)),"")</f>
        <v>1390</v>
      </c>
      <c r="U202" s="2">
        <f>IFERROR(INDEX(University_Exit!$G:$G,MATCH($B202,University_Exit!$B:$B,0)),"")</f>
        <v>0</v>
      </c>
    </row>
    <row r="203" spans="1:21" x14ac:dyDescent="0.3">
      <c r="A203" s="2" t="s">
        <v>419</v>
      </c>
      <c r="B203" s="2" t="s">
        <v>477</v>
      </c>
      <c r="C203" s="2" t="s">
        <v>478</v>
      </c>
      <c r="D203" s="2" t="s">
        <v>64</v>
      </c>
      <c r="E203" s="2" t="s">
        <v>422</v>
      </c>
      <c r="F203" s="5">
        <v>80.760000000000005</v>
      </c>
      <c r="G203" s="5">
        <v>84.775999999999996</v>
      </c>
      <c r="H203" s="5">
        <v>4.0159999999999911</v>
      </c>
      <c r="I203" s="5">
        <f>IFERROR(INDEX(Baseline_Entry!$P:$P,MATCH($B203,Baseline_Entry!$B:$B,0)),"")</f>
        <v>22.300469483568076</v>
      </c>
      <c r="J203" s="2" t="str">
        <f t="shared" si="9"/>
        <v>Yes</v>
      </c>
      <c r="K203" s="2" t="str">
        <f t="shared" si="10"/>
        <v>Low starter</v>
      </c>
      <c r="L203" s="2" t="s">
        <v>65</v>
      </c>
      <c r="M203" s="2" t="s">
        <v>65</v>
      </c>
      <c r="N203" s="2">
        <v>0</v>
      </c>
      <c r="O203" s="2" t="str">
        <f>IFERROR(INDEX(University_Exit!$D:$D,MATCH($B203,University_Exit!$B:$B,0)),"")</f>
        <v>Hamad Bin Khalifa University</v>
      </c>
      <c r="P203" s="2" t="str">
        <f>IFERROR(INDEX(University_Exit!$F:$F,MATCH($B203,University_Exit!$B:$B,0)),"")</f>
        <v>Mechanical Engineering</v>
      </c>
      <c r="Q203" s="2" t="str">
        <f>IFERROR(INDEX(University_Exit!$L:$L,MATCH($B203,University_Exit!$B:$B,0)),"")</f>
        <v>Yes</v>
      </c>
      <c r="R203" s="2" t="str">
        <f t="shared" si="11"/>
        <v>Yes</v>
      </c>
      <c r="S203" s="5">
        <f>IFERROR(INDEX(University_Exit!$H:$H,MATCH($B203,University_Exit!$B:$B,0)),"")</f>
        <v>85.44</v>
      </c>
      <c r="T203" s="6">
        <f>IFERROR(INDEX(University_Exit!$K:$K,MATCH($B203,University_Exit!$B:$B,0)),"")</f>
        <v>840</v>
      </c>
      <c r="U203" s="2">
        <f>IFERROR(INDEX(University_Exit!$G:$G,MATCH($B203,University_Exit!$B:$B,0)),"")</f>
        <v>0</v>
      </c>
    </row>
    <row r="204" spans="1:21" x14ac:dyDescent="0.3">
      <c r="A204" s="2" t="s">
        <v>419</v>
      </c>
      <c r="B204" s="2" t="s">
        <v>479</v>
      </c>
      <c r="C204" s="2" t="s">
        <v>480</v>
      </c>
      <c r="D204" s="2" t="s">
        <v>64</v>
      </c>
      <c r="E204" s="2" t="s">
        <v>422</v>
      </c>
      <c r="F204" s="5">
        <v>80.804000000000002</v>
      </c>
      <c r="G204" s="5">
        <v>93.075999999999993</v>
      </c>
      <c r="H204" s="5">
        <v>12.27199999999999</v>
      </c>
      <c r="I204" s="5">
        <f>IFERROR(INDEX(Baseline_Entry!$P:$P,MATCH($B204,Baseline_Entry!$B:$B,0)),"")</f>
        <v>53.72957746478874</v>
      </c>
      <c r="J204" s="2" t="str">
        <f t="shared" si="9"/>
        <v>Yes</v>
      </c>
      <c r="K204" s="2" t="str">
        <f t="shared" si="10"/>
        <v>Low starter</v>
      </c>
      <c r="L204" s="2" t="s">
        <v>65</v>
      </c>
      <c r="M204" s="2" t="s">
        <v>66</v>
      </c>
      <c r="N204" s="2">
        <v>1</v>
      </c>
      <c r="O204" s="2" t="str">
        <f>IFERROR(INDEX(University_Exit!$D:$D,MATCH($B204,University_Exit!$B:$B,0)),"")</f>
        <v>Qatar University</v>
      </c>
      <c r="P204" s="2" t="str">
        <f>IFERROR(INDEX(University_Exit!$F:$F,MATCH($B204,University_Exit!$B:$B,0)),"")</f>
        <v>General Medicine</v>
      </c>
      <c r="Q204" s="2" t="str">
        <f>IFERROR(INDEX(University_Exit!$L:$L,MATCH($B204,University_Exit!$B:$B,0)),"")</f>
        <v>Yes</v>
      </c>
      <c r="R204" s="2" t="str">
        <f t="shared" si="11"/>
        <v>Yes</v>
      </c>
      <c r="S204" s="5">
        <f>IFERROR(INDEX(University_Exit!$H:$H,MATCH($B204,University_Exit!$B:$B,0)),"")</f>
        <v>94.19</v>
      </c>
      <c r="T204" s="6">
        <f>IFERROR(INDEX(University_Exit!$K:$K,MATCH($B204,University_Exit!$B:$B,0)),"")</f>
        <v>1130</v>
      </c>
      <c r="U204" s="2">
        <f>IFERROR(INDEX(University_Exit!$G:$G,MATCH($B204,University_Exit!$B:$B,0)),"")</f>
        <v>0</v>
      </c>
    </row>
    <row r="205" spans="1:21" x14ac:dyDescent="0.3">
      <c r="A205" s="2" t="s">
        <v>419</v>
      </c>
      <c r="B205" s="2" t="s">
        <v>481</v>
      </c>
      <c r="C205" s="2" t="s">
        <v>482</v>
      </c>
      <c r="D205" s="2" t="s">
        <v>64</v>
      </c>
      <c r="E205" s="2" t="s">
        <v>422</v>
      </c>
      <c r="F205" s="5">
        <v>88.207999999999998</v>
      </c>
      <c r="G205" s="5">
        <v>96.475999999999999</v>
      </c>
      <c r="H205" s="5">
        <v>8.2680000000000007</v>
      </c>
      <c r="I205" s="5">
        <f>IFERROR(INDEX(Baseline_Entry!$P:$P,MATCH($B205,Baseline_Entry!$B:$B,0)),"")</f>
        <v>74.531455399061031</v>
      </c>
      <c r="J205" s="2" t="str">
        <f t="shared" si="9"/>
        <v>Yes</v>
      </c>
      <c r="K205" s="2" t="str">
        <f t="shared" si="10"/>
        <v>Middle starter</v>
      </c>
      <c r="L205" s="2" t="s">
        <v>65</v>
      </c>
      <c r="M205" s="2" t="s">
        <v>66</v>
      </c>
      <c r="N205" s="2">
        <v>1</v>
      </c>
      <c r="O205" s="2" t="str">
        <f>IFERROR(INDEX(University_Exit!$D:$D,MATCH($B205,University_Exit!$B:$B,0)),"")</f>
        <v>Weill Cornell Medicine – Qatar</v>
      </c>
      <c r="P205" s="2" t="str">
        <f>IFERROR(INDEX(University_Exit!$F:$F,MATCH($B205,University_Exit!$B:$B,0)),"")</f>
        <v>General Medicine</v>
      </c>
      <c r="Q205" s="2" t="str">
        <f>IFERROR(INDEX(University_Exit!$L:$L,MATCH($B205,University_Exit!$B:$B,0)),"")</f>
        <v>Yes</v>
      </c>
      <c r="R205" s="2" t="str">
        <f t="shared" si="11"/>
        <v>Yes</v>
      </c>
      <c r="S205" s="5">
        <f>IFERROR(INDEX(University_Exit!$H:$H,MATCH($B205,University_Exit!$B:$B,0)),"")</f>
        <v>96.94</v>
      </c>
      <c r="T205" s="6">
        <f>IFERROR(INDEX(University_Exit!$K:$K,MATCH($B205,University_Exit!$B:$B,0)),"")</f>
        <v>1260</v>
      </c>
      <c r="U205" s="2">
        <f>IFERROR(INDEX(University_Exit!$G:$G,MATCH($B205,University_Exit!$B:$B,0)),"")</f>
        <v>0</v>
      </c>
    </row>
    <row r="206" spans="1:21" x14ac:dyDescent="0.3">
      <c r="A206" s="2" t="s">
        <v>419</v>
      </c>
      <c r="B206" s="2" t="s">
        <v>483</v>
      </c>
      <c r="C206" s="2" t="s">
        <v>484</v>
      </c>
      <c r="D206" s="2" t="s">
        <v>64</v>
      </c>
      <c r="E206" s="2" t="s">
        <v>422</v>
      </c>
      <c r="F206" s="5">
        <v>81.408000000000001</v>
      </c>
      <c r="G206" s="5">
        <v>92.475999999999999</v>
      </c>
      <c r="H206" s="5">
        <v>11.068</v>
      </c>
      <c r="I206" s="5">
        <f>IFERROR(INDEX(Baseline_Entry!$P:$P,MATCH($B206,Baseline_Entry!$B:$B,0)),"")</f>
        <v>48.721126760563379</v>
      </c>
      <c r="J206" s="2" t="str">
        <f t="shared" si="9"/>
        <v>Yes</v>
      </c>
      <c r="K206" s="2" t="str">
        <f t="shared" si="10"/>
        <v>Low starter</v>
      </c>
      <c r="L206" s="2" t="s">
        <v>65</v>
      </c>
      <c r="M206" s="2" t="s">
        <v>66</v>
      </c>
      <c r="N206" s="2">
        <v>1</v>
      </c>
      <c r="O206" s="2" t="str">
        <f>IFERROR(INDEX(University_Exit!$D:$D,MATCH($B206,University_Exit!$B:$B,0)),"")</f>
        <v>Hamad Bin Khalifa University</v>
      </c>
      <c r="P206" s="2" t="str">
        <f>IFERROR(INDEX(University_Exit!$F:$F,MATCH($B206,University_Exit!$B:$B,0)),"")</f>
        <v>Mechanical Engineering</v>
      </c>
      <c r="Q206" s="2" t="str">
        <f>IFERROR(INDEX(University_Exit!$L:$L,MATCH($B206,University_Exit!$B:$B,0)),"")</f>
        <v>Yes</v>
      </c>
      <c r="R206" s="2" t="str">
        <f t="shared" si="11"/>
        <v>Yes</v>
      </c>
      <c r="S206" s="5">
        <f>IFERROR(INDEX(University_Exit!$H:$H,MATCH($B206,University_Exit!$B:$B,0)),"")</f>
        <v>93.44</v>
      </c>
      <c r="T206" s="6">
        <f>IFERROR(INDEX(University_Exit!$K:$K,MATCH($B206,University_Exit!$B:$B,0)),"")</f>
        <v>980</v>
      </c>
      <c r="U206" s="2">
        <f>IFERROR(INDEX(University_Exit!$G:$G,MATCH($B206,University_Exit!$B:$B,0)),"")</f>
        <v>0</v>
      </c>
    </row>
    <row r="207" spans="1:21" x14ac:dyDescent="0.3">
      <c r="A207" s="2" t="s">
        <v>419</v>
      </c>
      <c r="B207" s="2" t="s">
        <v>485</v>
      </c>
      <c r="C207" s="2" t="s">
        <v>486</v>
      </c>
      <c r="D207" s="2" t="s">
        <v>64</v>
      </c>
      <c r="E207" s="2" t="s">
        <v>422</v>
      </c>
      <c r="F207" s="5">
        <v>89.792000000000002</v>
      </c>
      <c r="G207" s="5">
        <v>96.9</v>
      </c>
      <c r="H207" s="5">
        <v>7.1080000000000041</v>
      </c>
      <c r="I207" s="5">
        <f>IFERROR(INDEX(Baseline_Entry!$P:$P,MATCH($B207,Baseline_Entry!$B:$B,0)),"")</f>
        <v>55.169953051643184</v>
      </c>
      <c r="J207" s="2" t="str">
        <f t="shared" si="9"/>
        <v>Yes</v>
      </c>
      <c r="K207" s="2" t="str">
        <f t="shared" si="10"/>
        <v>Low starter</v>
      </c>
      <c r="L207" s="2" t="s">
        <v>65</v>
      </c>
      <c r="M207" s="2" t="s">
        <v>66</v>
      </c>
      <c r="N207" s="2">
        <v>1</v>
      </c>
      <c r="O207" s="2" t="str">
        <f>IFERROR(INDEX(University_Exit!$D:$D,MATCH($B207,University_Exit!$B:$B,0)),"")</f>
        <v>University of Nottingham</v>
      </c>
      <c r="P207" s="2" t="str">
        <f>IFERROR(INDEX(University_Exit!$F:$F,MATCH($B207,University_Exit!$B:$B,0)),"")</f>
        <v>Mechanical Engineering</v>
      </c>
      <c r="Q207" s="2" t="str">
        <f>IFERROR(INDEX(University_Exit!$L:$L,MATCH($B207,University_Exit!$B:$B,0)),"")</f>
        <v>Yes</v>
      </c>
      <c r="R207" s="2" t="str">
        <f t="shared" si="11"/>
        <v>Yes</v>
      </c>
      <c r="S207" s="5">
        <f>IFERROR(INDEX(University_Exit!$H:$H,MATCH($B207,University_Exit!$B:$B,0)),"")</f>
        <v>98</v>
      </c>
      <c r="T207" s="6">
        <f>IFERROR(INDEX(University_Exit!$K:$K,MATCH($B207,University_Exit!$B:$B,0)),"")</f>
        <v>1200</v>
      </c>
      <c r="U207" s="2">
        <f>IFERROR(INDEX(University_Exit!$G:$G,MATCH($B207,University_Exit!$B:$B,0)),"")</f>
        <v>0</v>
      </c>
    </row>
    <row r="208" spans="1:21" x14ac:dyDescent="0.3">
      <c r="A208" s="2" t="s">
        <v>419</v>
      </c>
      <c r="B208" s="2" t="s">
        <v>487</v>
      </c>
      <c r="C208" s="2" t="s">
        <v>488</v>
      </c>
      <c r="D208" s="2" t="s">
        <v>64</v>
      </c>
      <c r="E208" s="2" t="s">
        <v>422</v>
      </c>
      <c r="F208" s="5">
        <v>75.067999999999998</v>
      </c>
      <c r="G208" s="5">
        <v>93.852000000000004</v>
      </c>
      <c r="H208" s="5">
        <v>18.78400000000001</v>
      </c>
      <c r="I208" s="5">
        <f>IFERROR(INDEX(Baseline_Entry!$P:$P,MATCH($B208,Baseline_Entry!$B:$B,0)),"")</f>
        <v>21.126760563380284</v>
      </c>
      <c r="J208" s="2" t="str">
        <f t="shared" si="9"/>
        <v>Yes</v>
      </c>
      <c r="K208" s="2" t="str">
        <f t="shared" si="10"/>
        <v>Low starter</v>
      </c>
      <c r="L208" s="2" t="s">
        <v>99</v>
      </c>
      <c r="M208" s="2" t="s">
        <v>66</v>
      </c>
      <c r="N208" s="2">
        <v>2</v>
      </c>
      <c r="O208" s="2" t="str">
        <f>IFERROR(INDEX(University_Exit!$D:$D,MATCH($B208,University_Exit!$B:$B,0)),"")</f>
        <v>University of Nottingham</v>
      </c>
      <c r="P208" s="2" t="str">
        <f>IFERROR(INDEX(University_Exit!$F:$F,MATCH($B208,University_Exit!$B:$B,0)),"")</f>
        <v>Chemical Engineering</v>
      </c>
      <c r="Q208" s="2" t="str">
        <f>IFERROR(INDEX(University_Exit!$L:$L,MATCH($B208,University_Exit!$B:$B,0)),"")</f>
        <v>Yes</v>
      </c>
      <c r="R208" s="2" t="str">
        <f t="shared" si="11"/>
        <v>Yes</v>
      </c>
      <c r="S208" s="5">
        <f>IFERROR(INDEX(University_Exit!$H:$H,MATCH($B208,University_Exit!$B:$B,0)),"")</f>
        <v>94.88</v>
      </c>
      <c r="T208" s="6">
        <f>IFERROR(INDEX(University_Exit!$K:$K,MATCH($B208,University_Exit!$B:$B,0)),"")</f>
        <v>940</v>
      </c>
      <c r="U208" s="2">
        <f>IFERROR(INDEX(University_Exit!$G:$G,MATCH($B208,University_Exit!$B:$B,0)),"")</f>
        <v>0</v>
      </c>
    </row>
    <row r="209" spans="1:21" x14ac:dyDescent="0.3">
      <c r="A209" s="2" t="s">
        <v>419</v>
      </c>
      <c r="B209" s="2" t="s">
        <v>489</v>
      </c>
      <c r="C209" s="2" t="s">
        <v>490</v>
      </c>
      <c r="D209" s="2" t="s">
        <v>64</v>
      </c>
      <c r="E209" s="2" t="s">
        <v>422</v>
      </c>
      <c r="F209" s="5">
        <v>83.97999999999999</v>
      </c>
      <c r="G209" s="5">
        <v>91.4</v>
      </c>
      <c r="H209" s="5">
        <v>7.4200000000000159</v>
      </c>
      <c r="I209" s="5">
        <f>IFERROR(INDEX(Baseline_Entry!$P:$P,MATCH($B209,Baseline_Entry!$B:$B,0)),"")</f>
        <v>57.372769953051638</v>
      </c>
      <c r="J209" s="2" t="str">
        <f t="shared" si="9"/>
        <v>Yes</v>
      </c>
      <c r="K209" s="2" t="str">
        <f t="shared" si="10"/>
        <v>Low starter</v>
      </c>
      <c r="L209" s="2" t="s">
        <v>65</v>
      </c>
      <c r="M209" s="2" t="s">
        <v>66</v>
      </c>
      <c r="N209" s="2">
        <v>1</v>
      </c>
      <c r="O209" s="2" t="str">
        <f>IFERROR(INDEX(University_Exit!$D:$D,MATCH($B209,University_Exit!$B:$B,0)),"")</f>
        <v>Hamad Bin Khalifa University</v>
      </c>
      <c r="P209" s="2" t="str">
        <f>IFERROR(INDEX(University_Exit!$F:$F,MATCH($B209,University_Exit!$B:$B,0)),"")</f>
        <v>Computer Engineering</v>
      </c>
      <c r="Q209" s="2" t="str">
        <f>IFERROR(INDEX(University_Exit!$L:$L,MATCH($B209,University_Exit!$B:$B,0)),"")</f>
        <v>Yes</v>
      </c>
      <c r="R209" s="2" t="str">
        <f t="shared" si="11"/>
        <v>Yes</v>
      </c>
      <c r="S209" s="5">
        <f>IFERROR(INDEX(University_Exit!$H:$H,MATCH($B209,University_Exit!$B:$B,0)),"")</f>
        <v>90</v>
      </c>
      <c r="T209" s="6">
        <f>IFERROR(INDEX(University_Exit!$K:$K,MATCH($B209,University_Exit!$B:$B,0)),"")</f>
        <v>1020</v>
      </c>
      <c r="U209" s="2">
        <f>IFERROR(INDEX(University_Exit!$G:$G,MATCH($B209,University_Exit!$B:$B,0)),"")</f>
        <v>0</v>
      </c>
    </row>
    <row r="210" spans="1:21" x14ac:dyDescent="0.3">
      <c r="A210" s="2" t="s">
        <v>419</v>
      </c>
      <c r="B210" s="2" t="s">
        <v>491</v>
      </c>
      <c r="C210" s="2" t="s">
        <v>492</v>
      </c>
      <c r="D210" s="2" t="s">
        <v>64</v>
      </c>
      <c r="E210" s="2" t="s">
        <v>422</v>
      </c>
      <c r="F210" s="5">
        <v>87.996000000000009</v>
      </c>
      <c r="G210" s="5">
        <v>95.451999999999998</v>
      </c>
      <c r="H210" s="5">
        <v>7.4559999999999889</v>
      </c>
      <c r="I210" s="5">
        <f>IFERROR(INDEX(Baseline_Entry!$P:$P,MATCH($B210,Baseline_Entry!$B:$B,0)),"")</f>
        <v>62.268544600938959</v>
      </c>
      <c r="J210" s="2" t="str">
        <f t="shared" si="9"/>
        <v>Yes</v>
      </c>
      <c r="K210" s="2" t="str">
        <f t="shared" si="10"/>
        <v>Low starter</v>
      </c>
      <c r="L210" s="2" t="s">
        <v>65</v>
      </c>
      <c r="M210" s="2" t="s">
        <v>66</v>
      </c>
      <c r="N210" s="2">
        <v>1</v>
      </c>
      <c r="O210" s="2" t="str">
        <f>IFERROR(INDEX(University_Exit!$D:$D,MATCH($B210,University_Exit!$B:$B,0)),"")</f>
        <v>University of Leeds</v>
      </c>
      <c r="P210" s="2" t="str">
        <f>IFERROR(INDEX(University_Exit!$F:$F,MATCH($B210,University_Exit!$B:$B,0)),"")</f>
        <v>Electrical and Electronics Engineering</v>
      </c>
      <c r="Q210" s="2" t="str">
        <f>IFERROR(INDEX(University_Exit!$L:$L,MATCH($B210,University_Exit!$B:$B,0)),"")</f>
        <v>Yes</v>
      </c>
      <c r="R210" s="2" t="str">
        <f t="shared" si="11"/>
        <v>Yes</v>
      </c>
      <c r="S210" s="5">
        <f>IFERROR(INDEX(University_Exit!$H:$H,MATCH($B210,University_Exit!$B:$B,0)),"")</f>
        <v>95.88</v>
      </c>
      <c r="T210" s="6">
        <f>IFERROR(INDEX(University_Exit!$K:$K,MATCH($B210,University_Exit!$B:$B,0)),"")</f>
        <v>0</v>
      </c>
      <c r="U210" s="2">
        <f>IFERROR(INDEX(University_Exit!$G:$G,MATCH($B210,University_Exit!$B:$B,0)),"")</f>
        <v>0</v>
      </c>
    </row>
    <row r="211" spans="1:21" x14ac:dyDescent="0.3">
      <c r="A211" s="2" t="s">
        <v>419</v>
      </c>
      <c r="B211" s="2" t="s">
        <v>493</v>
      </c>
      <c r="C211" s="2" t="s">
        <v>494</v>
      </c>
      <c r="D211" s="2" t="s">
        <v>64</v>
      </c>
      <c r="E211" s="2" t="s">
        <v>422</v>
      </c>
      <c r="F211" s="5">
        <v>86.86</v>
      </c>
      <c r="G211" s="5">
        <v>80.852000000000004</v>
      </c>
      <c r="H211" s="5">
        <v>-6.0079999999999956</v>
      </c>
      <c r="I211" s="5">
        <f>IFERROR(INDEX(Baseline_Entry!$P:$P,MATCH($B211,Baseline_Entry!$B:$B,0)),"")</f>
        <v>63.260093896713613</v>
      </c>
      <c r="J211" s="2" t="str">
        <f t="shared" si="9"/>
        <v>Yes</v>
      </c>
      <c r="K211" s="2" t="str">
        <f t="shared" si="10"/>
        <v>Low starter</v>
      </c>
      <c r="L211" s="2" t="s">
        <v>65</v>
      </c>
      <c r="M211" s="2" t="s">
        <v>65</v>
      </c>
      <c r="N211" s="2">
        <v>0</v>
      </c>
      <c r="O211" s="2" t="str">
        <f>IFERROR(INDEX(University_Exit!$D:$D,MATCH($B211,University_Exit!$B:$B,0)),"")</f>
        <v>Qatar University</v>
      </c>
      <c r="P211" s="2" t="str">
        <f>IFERROR(INDEX(University_Exit!$F:$F,MATCH($B211,University_Exit!$B:$B,0)),"")</f>
        <v>Mechanical Engineering</v>
      </c>
      <c r="Q211" s="2" t="str">
        <f>IFERROR(INDEX(University_Exit!$L:$L,MATCH($B211,University_Exit!$B:$B,0)),"")</f>
        <v>Yes</v>
      </c>
      <c r="R211" s="2" t="str">
        <f t="shared" si="11"/>
        <v>Yes</v>
      </c>
      <c r="S211" s="5">
        <f>IFERROR(INDEX(University_Exit!$H:$H,MATCH($B211,University_Exit!$B:$B,0)),"")</f>
        <v>79.88</v>
      </c>
      <c r="T211" s="6">
        <f>IFERROR(INDEX(University_Exit!$K:$K,MATCH($B211,University_Exit!$B:$B,0)),"")</f>
        <v>880</v>
      </c>
      <c r="U211" s="2">
        <f>IFERROR(INDEX(University_Exit!$G:$G,MATCH($B211,University_Exit!$B:$B,0)),"")</f>
        <v>0</v>
      </c>
    </row>
    <row r="212" spans="1:21" x14ac:dyDescent="0.3">
      <c r="A212" s="2" t="s">
        <v>419</v>
      </c>
      <c r="B212" s="2" t="s">
        <v>495</v>
      </c>
      <c r="C212" s="2" t="s">
        <v>496</v>
      </c>
      <c r="D212" s="2" t="s">
        <v>64</v>
      </c>
      <c r="E212" s="2" t="s">
        <v>422</v>
      </c>
      <c r="F212" s="5">
        <v>87.811999999999998</v>
      </c>
      <c r="G212" s="5">
        <v>87.676000000000002</v>
      </c>
      <c r="H212" s="5">
        <v>-0.13599999999999571</v>
      </c>
      <c r="I212" s="5">
        <f>IFERROR(INDEX(Baseline_Entry!$P:$P,MATCH($B212,Baseline_Entry!$B:$B,0)),"")</f>
        <v>21.36150234741784</v>
      </c>
      <c r="J212" s="2" t="str">
        <f t="shared" si="9"/>
        <v>Yes</v>
      </c>
      <c r="K212" s="2" t="str">
        <f t="shared" si="10"/>
        <v>Low starter</v>
      </c>
      <c r="L212" s="2" t="s">
        <v>65</v>
      </c>
      <c r="M212" s="2" t="s">
        <v>65</v>
      </c>
      <c r="N212" s="2">
        <v>0</v>
      </c>
      <c r="O212" s="2" t="str">
        <f>IFERROR(INDEX(University_Exit!$D:$D,MATCH($B212,University_Exit!$B:$B,0)),"")</f>
        <v>Qatar University</v>
      </c>
      <c r="P212" s="2" t="str">
        <f>IFERROR(INDEX(University_Exit!$F:$F,MATCH($B212,University_Exit!$B:$B,0)),"")</f>
        <v>Mechanical Engineering</v>
      </c>
      <c r="Q212" s="2" t="str">
        <f>IFERROR(INDEX(University_Exit!$L:$L,MATCH($B212,University_Exit!$B:$B,0)),"")</f>
        <v>Yes</v>
      </c>
      <c r="R212" s="2" t="str">
        <f t="shared" si="11"/>
        <v>Yes</v>
      </c>
      <c r="S212" s="5">
        <f>IFERROR(INDEX(University_Exit!$H:$H,MATCH($B212,University_Exit!$B:$B,0)),"")</f>
        <v>88.44</v>
      </c>
      <c r="T212" s="6">
        <f>IFERROR(INDEX(University_Exit!$K:$K,MATCH($B212,University_Exit!$B:$B,0)),"")</f>
        <v>930</v>
      </c>
      <c r="U212" s="2">
        <f>IFERROR(INDEX(University_Exit!$G:$G,MATCH($B212,University_Exit!$B:$B,0)),"")</f>
        <v>0</v>
      </c>
    </row>
    <row r="213" spans="1:21" x14ac:dyDescent="0.3">
      <c r="A213" s="2" t="s">
        <v>419</v>
      </c>
      <c r="B213" s="2" t="s">
        <v>497</v>
      </c>
      <c r="C213" s="2" t="s">
        <v>498</v>
      </c>
      <c r="D213" s="2" t="s">
        <v>64</v>
      </c>
      <c r="E213" s="2" t="s">
        <v>422</v>
      </c>
      <c r="F213" s="5">
        <v>83.492000000000004</v>
      </c>
      <c r="G213" s="5">
        <v>84.9</v>
      </c>
      <c r="H213" s="5">
        <v>1.408000000000001</v>
      </c>
      <c r="I213" s="5">
        <f>IFERROR(INDEX(Baseline_Entry!$P:$P,MATCH($B213,Baseline_Entry!$B:$B,0)),"")</f>
        <v>60.552112676056339</v>
      </c>
      <c r="J213" s="2" t="str">
        <f t="shared" si="9"/>
        <v>Yes</v>
      </c>
      <c r="K213" s="2" t="str">
        <f t="shared" si="10"/>
        <v>Low starter</v>
      </c>
      <c r="L213" s="2" t="s">
        <v>65</v>
      </c>
      <c r="M213" s="2" t="s">
        <v>65</v>
      </c>
      <c r="N213" s="2">
        <v>0</v>
      </c>
      <c r="O213" s="2" t="str">
        <f>IFERROR(INDEX(University_Exit!$D:$D,MATCH($B213,University_Exit!$B:$B,0)),"")</f>
        <v>Qatar University</v>
      </c>
      <c r="P213" s="2" t="str">
        <f>IFERROR(INDEX(University_Exit!$F:$F,MATCH($B213,University_Exit!$B:$B,0)),"")</f>
        <v>General Medicine</v>
      </c>
      <c r="Q213" s="2" t="str">
        <f>IFERROR(INDEX(University_Exit!$L:$L,MATCH($B213,University_Exit!$B:$B,0)),"")</f>
        <v>Yes</v>
      </c>
      <c r="R213" s="2" t="str">
        <f t="shared" si="11"/>
        <v>Yes</v>
      </c>
      <c r="S213" s="5">
        <f>IFERROR(INDEX(University_Exit!$H:$H,MATCH($B213,University_Exit!$B:$B,0)),"")</f>
        <v>86</v>
      </c>
      <c r="T213" s="6">
        <f>IFERROR(INDEX(University_Exit!$K:$K,MATCH($B213,University_Exit!$B:$B,0)),"")</f>
        <v>1000</v>
      </c>
      <c r="U213" s="2">
        <f>IFERROR(INDEX(University_Exit!$G:$G,MATCH($B213,University_Exit!$B:$B,0)),"")</f>
        <v>0</v>
      </c>
    </row>
    <row r="214" spans="1:21" x14ac:dyDescent="0.3">
      <c r="A214" s="2" t="s">
        <v>419</v>
      </c>
      <c r="B214" s="2" t="s">
        <v>499</v>
      </c>
      <c r="C214" s="2" t="s">
        <v>500</v>
      </c>
      <c r="D214" s="2" t="s">
        <v>64</v>
      </c>
      <c r="E214" s="2" t="s">
        <v>422</v>
      </c>
      <c r="F214" s="5">
        <v>93.347999999999985</v>
      </c>
      <c r="G214" s="5">
        <v>97.152000000000001</v>
      </c>
      <c r="H214" s="5">
        <v>3.8040000000000158</v>
      </c>
      <c r="I214" s="5">
        <f>IFERROR(INDEX(Baseline_Entry!$P:$P,MATCH($B214,Baseline_Entry!$B:$B,0)),"")</f>
        <v>19.953051643192488</v>
      </c>
      <c r="J214" s="2" t="str">
        <f t="shared" si="9"/>
        <v>Yes</v>
      </c>
      <c r="K214" s="2" t="str">
        <f t="shared" si="10"/>
        <v>Low starter</v>
      </c>
      <c r="L214" s="2" t="s">
        <v>66</v>
      </c>
      <c r="M214" s="2" t="s">
        <v>66</v>
      </c>
      <c r="N214" s="2">
        <v>0</v>
      </c>
      <c r="O214" s="2" t="str">
        <f>IFERROR(INDEX(University_Exit!$D:$D,MATCH($B214,University_Exit!$B:$B,0)),"")</f>
        <v>George Washington University</v>
      </c>
      <c r="P214" s="2" t="str">
        <f>IFERROR(INDEX(University_Exit!$F:$F,MATCH($B214,University_Exit!$B:$B,0)),"")</f>
        <v>Mechanical Engineering</v>
      </c>
      <c r="Q214" s="2" t="str">
        <f>IFERROR(INDEX(University_Exit!$L:$L,MATCH($B214,University_Exit!$B:$B,0)),"")</f>
        <v>Yes</v>
      </c>
      <c r="R214" s="2" t="str">
        <f t="shared" si="11"/>
        <v>Yes</v>
      </c>
      <c r="S214" s="5">
        <f>IFERROR(INDEX(University_Exit!$H:$H,MATCH($B214,University_Exit!$B:$B,0)),"")</f>
        <v>98.63</v>
      </c>
      <c r="T214" s="6">
        <f>IFERROR(INDEX(University_Exit!$K:$K,MATCH($B214,University_Exit!$B:$B,0)),"")</f>
        <v>970</v>
      </c>
      <c r="U214" s="2">
        <f>IFERROR(INDEX(University_Exit!$G:$G,MATCH($B214,University_Exit!$B:$B,0)),"")</f>
        <v>0</v>
      </c>
    </row>
    <row r="215" spans="1:21" x14ac:dyDescent="0.3">
      <c r="A215" s="2" t="s">
        <v>419</v>
      </c>
      <c r="B215" s="2" t="s">
        <v>501</v>
      </c>
      <c r="C215" s="2" t="s">
        <v>502</v>
      </c>
      <c r="D215" s="2" t="s">
        <v>64</v>
      </c>
      <c r="E215" s="2" t="s">
        <v>422</v>
      </c>
      <c r="F215" s="5">
        <v>94.62</v>
      </c>
      <c r="G215" s="5">
        <v>96.251999999999995</v>
      </c>
      <c r="H215" s="5">
        <v>1.631999999999991</v>
      </c>
      <c r="I215" s="5">
        <f>IFERROR(INDEX(Baseline_Entry!$P:$P,MATCH($B215,Baseline_Entry!$B:$B,0)),"")</f>
        <v>61.729577464788726</v>
      </c>
      <c r="J215" s="2" t="str">
        <f t="shared" si="9"/>
        <v>Yes</v>
      </c>
      <c r="K215" s="2" t="str">
        <f t="shared" si="10"/>
        <v>Low starter</v>
      </c>
      <c r="L215" s="2" t="s">
        <v>66</v>
      </c>
      <c r="M215" s="2" t="s">
        <v>66</v>
      </c>
      <c r="N215" s="2">
        <v>0</v>
      </c>
      <c r="O215" s="2" t="str">
        <f>IFERROR(INDEX(University_Exit!$D:$D,MATCH($B215,University_Exit!$B:$B,0)),"")</f>
        <v>George Washington University</v>
      </c>
      <c r="P215" s="2" t="str">
        <f>IFERROR(INDEX(University_Exit!$F:$F,MATCH($B215,University_Exit!$B:$B,0)),"")</f>
        <v>Mechanical Engineering</v>
      </c>
      <c r="Q215" s="2" t="str">
        <f>IFERROR(INDEX(University_Exit!$L:$L,MATCH($B215,University_Exit!$B:$B,0)),"")</f>
        <v>Yes</v>
      </c>
      <c r="R215" s="2" t="str">
        <f t="shared" si="11"/>
        <v>Yes</v>
      </c>
      <c r="S215" s="5">
        <f>IFERROR(INDEX(University_Exit!$H:$H,MATCH($B215,University_Exit!$B:$B,0)),"")</f>
        <v>98.13</v>
      </c>
      <c r="T215" s="6">
        <f>IFERROR(INDEX(University_Exit!$K:$K,MATCH($B215,University_Exit!$B:$B,0)),"")</f>
        <v>1090</v>
      </c>
      <c r="U215" s="2">
        <f>IFERROR(INDEX(University_Exit!$G:$G,MATCH($B215,University_Exit!$B:$B,0)),"")</f>
        <v>0</v>
      </c>
    </row>
    <row r="216" spans="1:21" x14ac:dyDescent="0.3">
      <c r="A216" s="2" t="s">
        <v>419</v>
      </c>
      <c r="B216" s="2" t="s">
        <v>503</v>
      </c>
      <c r="C216" s="2" t="s">
        <v>504</v>
      </c>
      <c r="D216" s="2" t="s">
        <v>64</v>
      </c>
      <c r="E216" s="2" t="s">
        <v>422</v>
      </c>
      <c r="F216" s="5">
        <v>85.396000000000001</v>
      </c>
      <c r="G216" s="5">
        <v>83.951999999999998</v>
      </c>
      <c r="H216" s="5">
        <v>-1.4440000000000031</v>
      </c>
      <c r="I216" s="5">
        <f>IFERROR(INDEX(Baseline_Entry!$P:$P,MATCH($B216,Baseline_Entry!$B:$B,0)),"")</f>
        <v>56.903286384976525</v>
      </c>
      <c r="J216" s="2" t="str">
        <f t="shared" si="9"/>
        <v>Yes</v>
      </c>
      <c r="K216" s="2" t="str">
        <f t="shared" si="10"/>
        <v>Low starter</v>
      </c>
      <c r="L216" s="2" t="s">
        <v>65</v>
      </c>
      <c r="M216" s="2" t="s">
        <v>65</v>
      </c>
      <c r="N216" s="2">
        <v>0</v>
      </c>
      <c r="O216" s="2" t="str">
        <f>IFERROR(INDEX(University_Exit!$D:$D,MATCH($B216,University_Exit!$B:$B,0)),"")</f>
        <v>Qatar University</v>
      </c>
      <c r="P216" s="2" t="str">
        <f>IFERROR(INDEX(University_Exit!$F:$F,MATCH($B216,University_Exit!$B:$B,0)),"")</f>
        <v>Computer Engineering</v>
      </c>
      <c r="Q216" s="2" t="str">
        <f>IFERROR(INDEX(University_Exit!$L:$L,MATCH($B216,University_Exit!$B:$B,0)),"")</f>
        <v>Yes</v>
      </c>
      <c r="R216" s="2" t="str">
        <f t="shared" si="11"/>
        <v>Yes</v>
      </c>
      <c r="S216" s="5">
        <f>IFERROR(INDEX(University_Exit!$H:$H,MATCH($B216,University_Exit!$B:$B,0)),"")</f>
        <v>80.38</v>
      </c>
      <c r="T216" s="6">
        <f>IFERROR(INDEX(University_Exit!$K:$K,MATCH($B216,University_Exit!$B:$B,0)),"")</f>
        <v>1060</v>
      </c>
      <c r="U216" s="2">
        <f>IFERROR(INDEX(University_Exit!$G:$G,MATCH($B216,University_Exit!$B:$B,0)),"")</f>
        <v>0</v>
      </c>
    </row>
    <row r="217" spans="1:21" x14ac:dyDescent="0.3">
      <c r="A217" s="2" t="s">
        <v>419</v>
      </c>
      <c r="B217" s="2" t="s">
        <v>505</v>
      </c>
      <c r="C217" s="2" t="s">
        <v>506</v>
      </c>
      <c r="D217" s="2" t="s">
        <v>64</v>
      </c>
      <c r="E217" s="2" t="s">
        <v>422</v>
      </c>
      <c r="F217" s="5">
        <v>77.768000000000001</v>
      </c>
      <c r="G217" s="5">
        <v>88.152000000000001</v>
      </c>
      <c r="H217" s="5">
        <v>10.384</v>
      </c>
      <c r="I217" s="5">
        <f>IFERROR(INDEX(Baseline_Entry!$P:$P,MATCH($B217,Baseline_Entry!$B:$B,0)),"")</f>
        <v>21.83098591549296</v>
      </c>
      <c r="J217" s="2" t="str">
        <f t="shared" si="9"/>
        <v>Yes</v>
      </c>
      <c r="K217" s="2" t="str">
        <f t="shared" si="10"/>
        <v>Low starter</v>
      </c>
      <c r="L217" s="2" t="s">
        <v>99</v>
      </c>
      <c r="M217" s="2" t="s">
        <v>65</v>
      </c>
      <c r="N217" s="2">
        <v>1</v>
      </c>
      <c r="O217" s="2" t="str">
        <f>IFERROR(INDEX(University_Exit!$D:$D,MATCH($B217,University_Exit!$B:$B,0)),"")</f>
        <v>الكلية العسكرية</v>
      </c>
      <c r="P217" s="2" t="str">
        <f>IFERROR(INDEX(University_Exit!$F:$F,MATCH($B217,University_Exit!$B:$B,0)),"")</f>
        <v>مرشح ظابط</v>
      </c>
      <c r="Q217" s="2" t="str">
        <f>IFERROR(INDEX(University_Exit!$L:$L,MATCH($B217,University_Exit!$B:$B,0)),"")</f>
        <v>No</v>
      </c>
      <c r="R217" s="2" t="str">
        <f t="shared" si="11"/>
        <v>Yes</v>
      </c>
      <c r="S217" s="5">
        <f>IFERROR(INDEX(University_Exit!$H:$H,MATCH($B217,University_Exit!$B:$B,0)),"")</f>
        <v>90.13</v>
      </c>
      <c r="T217" s="6">
        <f>IFERROR(INDEX(University_Exit!$K:$K,MATCH($B217,University_Exit!$B:$B,0)),"")</f>
        <v>950</v>
      </c>
      <c r="U217" s="2">
        <f>IFERROR(INDEX(University_Exit!$G:$G,MATCH($B217,University_Exit!$B:$B,0)),"")</f>
        <v>0</v>
      </c>
    </row>
    <row r="218" spans="1:21" x14ac:dyDescent="0.3">
      <c r="A218" s="2" t="s">
        <v>419</v>
      </c>
      <c r="B218" s="2" t="s">
        <v>507</v>
      </c>
      <c r="C218" s="2" t="s">
        <v>508</v>
      </c>
      <c r="D218" s="2" t="s">
        <v>64</v>
      </c>
      <c r="E218" s="2" t="s">
        <v>422</v>
      </c>
      <c r="F218" s="5">
        <v>85.372</v>
      </c>
      <c r="G218" s="5">
        <v>75.5</v>
      </c>
      <c r="H218" s="5">
        <v>-9.8719999999999999</v>
      </c>
      <c r="I218" s="5">
        <f>IFERROR(INDEX(Baseline_Entry!$P:$P,MATCH($B218,Baseline_Entry!$B:$B,0)),"")</f>
        <v>22.065727699530516</v>
      </c>
      <c r="J218" s="2" t="str">
        <f t="shared" si="9"/>
        <v>Yes</v>
      </c>
      <c r="K218" s="2" t="str">
        <f t="shared" si="10"/>
        <v>Low starter</v>
      </c>
      <c r="L218" s="2" t="s">
        <v>65</v>
      </c>
      <c r="M218" s="2" t="s">
        <v>99</v>
      </c>
      <c r="N218" s="2">
        <v>-1</v>
      </c>
      <c r="O218" s="2" t="str">
        <f>IFERROR(INDEX(University_Exit!$D:$D,MATCH($B218,University_Exit!$B:$B,0)),"")</f>
        <v>Doha university</v>
      </c>
      <c r="P218" s="2" t="str">
        <f>IFERROR(INDEX(University_Exit!$F:$F,MATCH($B218,University_Exit!$B:$B,0)),"")</f>
        <v>Chemical Engineering</v>
      </c>
      <c r="Q218" s="2" t="str">
        <f>IFERROR(INDEX(University_Exit!$L:$L,MATCH($B218,University_Exit!$B:$B,0)),"")</f>
        <v>Yes</v>
      </c>
      <c r="R218" s="2" t="str">
        <f t="shared" si="11"/>
        <v>Yes</v>
      </c>
      <c r="S218" s="5">
        <f>IFERROR(INDEX(University_Exit!$H:$H,MATCH($B218,University_Exit!$B:$B,0)),"")</f>
        <v>0</v>
      </c>
      <c r="T218" s="6">
        <f>IFERROR(INDEX(University_Exit!$K:$K,MATCH($B218,University_Exit!$B:$B,0)),"")</f>
        <v>1020</v>
      </c>
      <c r="U218" s="2">
        <f>IFERROR(INDEX(University_Exit!$G:$G,MATCH($B218,University_Exit!$B:$B,0)),"")</f>
        <v>0</v>
      </c>
    </row>
    <row r="219" spans="1:21" x14ac:dyDescent="0.3">
      <c r="A219" s="2" t="s">
        <v>419</v>
      </c>
      <c r="B219" s="2" t="s">
        <v>509</v>
      </c>
      <c r="C219" s="2" t="s">
        <v>510</v>
      </c>
      <c r="D219" s="2" t="s">
        <v>64</v>
      </c>
      <c r="E219" s="2" t="s">
        <v>422</v>
      </c>
      <c r="F219" s="5">
        <v>90.591999999999999</v>
      </c>
      <c r="G219" s="5">
        <v>97.152000000000001</v>
      </c>
      <c r="H219" s="5">
        <v>6.5600000000000023</v>
      </c>
      <c r="I219" s="5">
        <f>IFERROR(INDEX(Baseline_Entry!$P:$P,MATCH($B219,Baseline_Entry!$B:$B,0)),"")</f>
        <v>55.138028169014092</v>
      </c>
      <c r="J219" s="2" t="str">
        <f t="shared" si="9"/>
        <v>Yes</v>
      </c>
      <c r="K219" s="2" t="str">
        <f t="shared" si="10"/>
        <v>Low starter</v>
      </c>
      <c r="L219" s="2" t="s">
        <v>66</v>
      </c>
      <c r="M219" s="2" t="s">
        <v>66</v>
      </c>
      <c r="N219" s="2">
        <v>0</v>
      </c>
      <c r="O219" s="2" t="str">
        <f>IFERROR(INDEX(University_Exit!$D:$D,MATCH($B219,University_Exit!$B:$B,0)),"")</f>
        <v>Hamad Bin Khalifa University</v>
      </c>
      <c r="P219" s="2" t="str">
        <f>IFERROR(INDEX(University_Exit!$F:$F,MATCH($B219,University_Exit!$B:$B,0)),"")</f>
        <v>Electrical Engineering</v>
      </c>
      <c r="Q219" s="2" t="str">
        <f>IFERROR(INDEX(University_Exit!$L:$L,MATCH($B219,University_Exit!$B:$B,0)),"")</f>
        <v>Yes</v>
      </c>
      <c r="R219" s="2" t="str">
        <f t="shared" si="11"/>
        <v>Yes</v>
      </c>
      <c r="S219" s="5">
        <f>IFERROR(INDEX(University_Exit!$H:$H,MATCH($B219,University_Exit!$B:$B,0)),"")</f>
        <v>98.39</v>
      </c>
      <c r="T219" s="6">
        <f>IFERROR(INDEX(University_Exit!$K:$K,MATCH($B219,University_Exit!$B:$B,0)),"")</f>
        <v>1030</v>
      </c>
      <c r="U219" s="2">
        <f>IFERROR(INDEX(University_Exit!$G:$G,MATCH($B219,University_Exit!$B:$B,0)),"")</f>
        <v>0</v>
      </c>
    </row>
    <row r="220" spans="1:21" x14ac:dyDescent="0.3">
      <c r="A220" s="2" t="s">
        <v>419</v>
      </c>
      <c r="B220" s="2" t="s">
        <v>511</v>
      </c>
      <c r="C220" s="2" t="s">
        <v>512</v>
      </c>
      <c r="D220" s="2" t="s">
        <v>64</v>
      </c>
      <c r="E220" s="2" t="s">
        <v>422</v>
      </c>
      <c r="F220" s="5">
        <v>95.044000000000011</v>
      </c>
      <c r="G220" s="5">
        <v>96.575999999999993</v>
      </c>
      <c r="H220" s="5">
        <v>1.531999999999982</v>
      </c>
      <c r="I220" s="5">
        <f>IFERROR(INDEX(Baseline_Entry!$P:$P,MATCH($B220,Baseline_Entry!$B:$B,0)),"")</f>
        <v>60.903286384976525</v>
      </c>
      <c r="J220" s="2" t="str">
        <f t="shared" si="9"/>
        <v>Yes</v>
      </c>
      <c r="K220" s="2" t="str">
        <f t="shared" si="10"/>
        <v>Low starter</v>
      </c>
      <c r="L220" s="2" t="s">
        <v>66</v>
      </c>
      <c r="M220" s="2" t="s">
        <v>66</v>
      </c>
      <c r="N220" s="2">
        <v>0</v>
      </c>
      <c r="O220" s="2" t="str">
        <f>IFERROR(INDEX(University_Exit!$D:$D,MATCH($B220,University_Exit!$B:$B,0)),"")</f>
        <v>University of Nottingham</v>
      </c>
      <c r="P220" s="2" t="str">
        <f>IFERROR(INDEX(University_Exit!$F:$F,MATCH($B220,University_Exit!$B:$B,0)),"")</f>
        <v>Mechanical Engineering</v>
      </c>
      <c r="Q220" s="2" t="str">
        <f>IFERROR(INDEX(University_Exit!$L:$L,MATCH($B220,University_Exit!$B:$B,0)),"")</f>
        <v>Yes</v>
      </c>
      <c r="R220" s="2" t="str">
        <f t="shared" si="11"/>
        <v>Yes</v>
      </c>
      <c r="S220" s="5">
        <f>IFERROR(INDEX(University_Exit!$H:$H,MATCH($B220,University_Exit!$B:$B,0)),"")</f>
        <v>95.94</v>
      </c>
      <c r="T220" s="6">
        <f>IFERROR(INDEX(University_Exit!$K:$K,MATCH($B220,University_Exit!$B:$B,0)),"")</f>
        <v>1240</v>
      </c>
      <c r="U220" s="2">
        <f>IFERROR(INDEX(University_Exit!$G:$G,MATCH($B220,University_Exit!$B:$B,0)),"")</f>
        <v>0</v>
      </c>
    </row>
    <row r="221" spans="1:21" x14ac:dyDescent="0.3">
      <c r="A221" s="2" t="s">
        <v>419</v>
      </c>
      <c r="B221" s="2" t="s">
        <v>513</v>
      </c>
      <c r="C221" s="2" t="s">
        <v>514</v>
      </c>
      <c r="D221" s="2" t="s">
        <v>64</v>
      </c>
      <c r="E221" s="2" t="s">
        <v>422</v>
      </c>
      <c r="F221" s="5">
        <v>86.244</v>
      </c>
      <c r="G221" s="5">
        <v>87.224000000000004</v>
      </c>
      <c r="H221" s="5">
        <v>0.98000000000000398</v>
      </c>
      <c r="I221" s="5">
        <f>IFERROR(INDEX(Baseline_Entry!$P:$P,MATCH($B221,Baseline_Entry!$B:$B,0)),"")</f>
        <v>59.613145539906107</v>
      </c>
      <c r="J221" s="2" t="str">
        <f t="shared" si="9"/>
        <v>Yes</v>
      </c>
      <c r="K221" s="2" t="str">
        <f t="shared" si="10"/>
        <v>Low starter</v>
      </c>
      <c r="L221" s="2" t="s">
        <v>65</v>
      </c>
      <c r="M221" s="2" t="s">
        <v>65</v>
      </c>
      <c r="N221" s="2">
        <v>0</v>
      </c>
      <c r="O221" s="2" t="str">
        <f>IFERROR(INDEX(University_Exit!$D:$D,MATCH($B221,University_Exit!$B:$B,0)),"")</f>
        <v>Qatar University</v>
      </c>
      <c r="P221" s="2" t="str">
        <f>IFERROR(INDEX(University_Exit!$F:$F,MATCH($B221,University_Exit!$B:$B,0)),"")</f>
        <v>Mechanical Engineering</v>
      </c>
      <c r="Q221" s="2" t="str">
        <f>IFERROR(INDEX(University_Exit!$L:$L,MATCH($B221,University_Exit!$B:$B,0)),"")</f>
        <v>Yes</v>
      </c>
      <c r="R221" s="2" t="str">
        <f t="shared" si="11"/>
        <v>Yes</v>
      </c>
      <c r="S221" s="5">
        <f>IFERROR(INDEX(University_Exit!$H:$H,MATCH($B221,University_Exit!$B:$B,0)),"")</f>
        <v>88.06</v>
      </c>
      <c r="T221" s="6">
        <f>IFERROR(INDEX(University_Exit!$K:$K,MATCH($B221,University_Exit!$B:$B,0)),"")</f>
        <v>1070</v>
      </c>
      <c r="U221" s="2">
        <f>IFERROR(INDEX(University_Exit!$G:$G,MATCH($B221,University_Exit!$B:$B,0)),"")</f>
        <v>0</v>
      </c>
    </row>
    <row r="222" spans="1:21" x14ac:dyDescent="0.3">
      <c r="A222" s="2" t="s">
        <v>419</v>
      </c>
      <c r="B222" s="2" t="s">
        <v>515</v>
      </c>
      <c r="C222" s="2" t="s">
        <v>516</v>
      </c>
      <c r="D222" s="2" t="s">
        <v>64</v>
      </c>
      <c r="E222" s="2" t="s">
        <v>422</v>
      </c>
      <c r="F222" s="5">
        <v>78.872</v>
      </c>
      <c r="G222" s="5">
        <v>87.975999999999999</v>
      </c>
      <c r="H222" s="5">
        <v>9.1039999999999992</v>
      </c>
      <c r="I222" s="5">
        <f>IFERROR(INDEX(Baseline_Entry!$P:$P,MATCH($B222,Baseline_Entry!$B:$B,0)),"")</f>
        <v>62.450704225352105</v>
      </c>
      <c r="J222" s="2" t="str">
        <f t="shared" si="9"/>
        <v>Yes</v>
      </c>
      <c r="K222" s="2" t="str">
        <f t="shared" si="10"/>
        <v>Low starter</v>
      </c>
      <c r="L222" s="2" t="s">
        <v>99</v>
      </c>
      <c r="M222" s="2" t="s">
        <v>65</v>
      </c>
      <c r="N222" s="2">
        <v>1</v>
      </c>
      <c r="O222" s="2" t="str">
        <f>IFERROR(INDEX(University_Exit!$D:$D,MATCH($B222,University_Exit!$B:$B,0)),"")</f>
        <v>Weill Cornell Medicine – Qatar</v>
      </c>
      <c r="P222" s="2" t="str">
        <f>IFERROR(INDEX(University_Exit!$F:$F,MATCH($B222,University_Exit!$B:$B,0)),"")</f>
        <v>General Medicine</v>
      </c>
      <c r="Q222" s="2" t="str">
        <f>IFERROR(INDEX(University_Exit!$L:$L,MATCH($B222,University_Exit!$B:$B,0)),"")</f>
        <v>Yes</v>
      </c>
      <c r="R222" s="2" t="str">
        <f t="shared" si="11"/>
        <v>Yes</v>
      </c>
      <c r="S222" s="5">
        <f>IFERROR(INDEX(University_Exit!$H:$H,MATCH($B222,University_Exit!$B:$B,0)),"")</f>
        <v>88.44</v>
      </c>
      <c r="T222" s="6">
        <f>IFERROR(INDEX(University_Exit!$K:$K,MATCH($B222,University_Exit!$B:$B,0)),"")</f>
        <v>1200</v>
      </c>
      <c r="U222" s="2">
        <f>IFERROR(INDEX(University_Exit!$G:$G,MATCH($B222,University_Exit!$B:$B,0)),"")</f>
        <v>0</v>
      </c>
    </row>
    <row r="223" spans="1:21" x14ac:dyDescent="0.3">
      <c r="A223" s="2" t="s">
        <v>419</v>
      </c>
      <c r="B223" s="2" t="s">
        <v>517</v>
      </c>
      <c r="C223" s="2" t="s">
        <v>518</v>
      </c>
      <c r="D223" s="2" t="s">
        <v>64</v>
      </c>
      <c r="E223" s="2" t="s">
        <v>422</v>
      </c>
      <c r="F223" s="5">
        <v>93.756</v>
      </c>
      <c r="G223" s="5">
        <v>97.275999999999996</v>
      </c>
      <c r="H223" s="5">
        <v>3.519999999999996</v>
      </c>
      <c r="I223" s="5">
        <f>IFERROR(INDEX(Baseline_Entry!$P:$P,MATCH($B223,Baseline_Entry!$B:$B,0)),"")</f>
        <v>58.230985915492958</v>
      </c>
      <c r="J223" s="2" t="str">
        <f t="shared" si="9"/>
        <v>Yes</v>
      </c>
      <c r="K223" s="2" t="str">
        <f t="shared" si="10"/>
        <v>Low starter</v>
      </c>
      <c r="L223" s="2" t="s">
        <v>66</v>
      </c>
      <c r="M223" s="2" t="s">
        <v>66</v>
      </c>
      <c r="N223" s="2">
        <v>0</v>
      </c>
      <c r="O223" s="2" t="str">
        <f>IFERROR(INDEX(University_Exit!$D:$D,MATCH($B223,University_Exit!$B:$B,0)),"")</f>
        <v>WEILL CORNELL MEDICINE</v>
      </c>
      <c r="P223" s="2" t="str">
        <f>IFERROR(INDEX(University_Exit!$F:$F,MATCH($B223,University_Exit!$B:$B,0)),"")</f>
        <v>General Medicine</v>
      </c>
      <c r="Q223" s="2" t="str">
        <f>IFERROR(INDEX(University_Exit!$L:$L,MATCH($B223,University_Exit!$B:$B,0)),"")</f>
        <v>Yes</v>
      </c>
      <c r="R223" s="2" t="str">
        <f t="shared" si="11"/>
        <v>Yes</v>
      </c>
      <c r="S223" s="5">
        <f>IFERROR(INDEX(University_Exit!$H:$H,MATCH($B223,University_Exit!$B:$B,0)),"")</f>
        <v>98.19</v>
      </c>
      <c r="T223" s="6">
        <f>IFERROR(INDEX(University_Exit!$K:$K,MATCH($B223,University_Exit!$B:$B,0)),"")</f>
        <v>1240</v>
      </c>
      <c r="U223" s="2">
        <f>IFERROR(INDEX(University_Exit!$G:$G,MATCH($B223,University_Exit!$B:$B,0)),"")</f>
        <v>0</v>
      </c>
    </row>
    <row r="224" spans="1:21" x14ac:dyDescent="0.3">
      <c r="A224" s="2" t="s">
        <v>419</v>
      </c>
      <c r="B224" s="2" t="s">
        <v>519</v>
      </c>
      <c r="C224" s="2" t="s">
        <v>520</v>
      </c>
      <c r="D224" s="2" t="s">
        <v>64</v>
      </c>
      <c r="E224" s="2" t="s">
        <v>422</v>
      </c>
      <c r="F224" s="5">
        <v>81.284000000000006</v>
      </c>
      <c r="G224" s="5">
        <v>95.451999999999998</v>
      </c>
      <c r="H224" s="5">
        <v>14.16799999999999</v>
      </c>
      <c r="I224" s="5">
        <f>IFERROR(INDEX(Baseline_Entry!$P:$P,MATCH($B224,Baseline_Entry!$B:$B,0)),"")</f>
        <v>56.445070422535217</v>
      </c>
      <c r="J224" s="2" t="str">
        <f t="shared" si="9"/>
        <v>Yes</v>
      </c>
      <c r="K224" s="2" t="str">
        <f t="shared" si="10"/>
        <v>Low starter</v>
      </c>
      <c r="L224" s="2" t="s">
        <v>65</v>
      </c>
      <c r="M224" s="2" t="s">
        <v>66</v>
      </c>
      <c r="N224" s="2">
        <v>1</v>
      </c>
      <c r="O224" s="2" t="str">
        <f>IFERROR(INDEX(University_Exit!$D:$D,MATCH($B224,University_Exit!$B:$B,0)),"")</f>
        <v>WEILL CORNELL MEDICINE</v>
      </c>
      <c r="P224" s="2" t="str">
        <f>IFERROR(INDEX(University_Exit!$F:$F,MATCH($B224,University_Exit!$B:$B,0)),"")</f>
        <v>General Medicine</v>
      </c>
      <c r="Q224" s="2" t="str">
        <f>IFERROR(INDEX(University_Exit!$L:$L,MATCH($B224,University_Exit!$B:$B,0)),"")</f>
        <v>Yes</v>
      </c>
      <c r="R224" s="2" t="str">
        <f t="shared" si="11"/>
        <v>Yes</v>
      </c>
      <c r="S224" s="5">
        <f>IFERROR(INDEX(University_Exit!$H:$H,MATCH($B224,University_Exit!$B:$B,0)),"")</f>
        <v>93.38</v>
      </c>
      <c r="T224" s="6">
        <f>IFERROR(INDEX(University_Exit!$K:$K,MATCH($B224,University_Exit!$B:$B,0)),"")</f>
        <v>1190</v>
      </c>
      <c r="U224" s="2">
        <f>IFERROR(INDEX(University_Exit!$G:$G,MATCH($B224,University_Exit!$B:$B,0)),"")</f>
        <v>0</v>
      </c>
    </row>
    <row r="225" spans="1:21" x14ac:dyDescent="0.3">
      <c r="A225" s="2" t="s">
        <v>419</v>
      </c>
      <c r="B225" s="2" t="s">
        <v>521</v>
      </c>
      <c r="C225" s="2" t="s">
        <v>522</v>
      </c>
      <c r="D225" s="2" t="s">
        <v>64</v>
      </c>
      <c r="E225" s="2" t="s">
        <v>422</v>
      </c>
      <c r="F225" s="5">
        <v>93.2</v>
      </c>
      <c r="G225" s="5">
        <v>97.7</v>
      </c>
      <c r="H225" s="5">
        <v>4.5</v>
      </c>
      <c r="I225" s="5">
        <f>IFERROR(INDEX(Baseline_Entry!$P:$P,MATCH($B225,Baseline_Entry!$B:$B,0)),"")</f>
        <v>57.697652582159627</v>
      </c>
      <c r="J225" s="2" t="str">
        <f t="shared" si="9"/>
        <v>Yes</v>
      </c>
      <c r="K225" s="2" t="str">
        <f t="shared" si="10"/>
        <v>Low starter</v>
      </c>
      <c r="L225" s="2" t="s">
        <v>66</v>
      </c>
      <c r="M225" s="2" t="s">
        <v>66</v>
      </c>
      <c r="N225" s="2">
        <v>0</v>
      </c>
      <c r="O225" s="2" t="str">
        <f>IFERROR(INDEX(University_Exit!$D:$D,MATCH($B225,University_Exit!$B:$B,0)),"")</f>
        <v>WEILL CORNELL MEDICINE</v>
      </c>
      <c r="P225" s="2" t="str">
        <f>IFERROR(INDEX(University_Exit!$F:$F,MATCH($B225,University_Exit!$B:$B,0)),"")</f>
        <v>General Medicine</v>
      </c>
      <c r="Q225" s="2" t="str">
        <f>IFERROR(INDEX(University_Exit!$L:$L,MATCH($B225,University_Exit!$B:$B,0)),"")</f>
        <v>Yes</v>
      </c>
      <c r="R225" s="2" t="str">
        <f t="shared" si="11"/>
        <v>Yes</v>
      </c>
      <c r="S225" s="5">
        <f>IFERROR(INDEX(University_Exit!$H:$H,MATCH($B225,University_Exit!$B:$B,0)),"")</f>
        <v>96.25</v>
      </c>
      <c r="T225" s="6">
        <f>IFERROR(INDEX(University_Exit!$K:$K,MATCH($B225,University_Exit!$B:$B,0)),"")</f>
        <v>1320</v>
      </c>
      <c r="U225" s="2">
        <f>IFERROR(INDEX(University_Exit!$G:$G,MATCH($B225,University_Exit!$B:$B,0)),"")</f>
        <v>0</v>
      </c>
    </row>
    <row r="226" spans="1:21" x14ac:dyDescent="0.3">
      <c r="A226" s="2" t="s">
        <v>419</v>
      </c>
      <c r="B226" s="2" t="s">
        <v>523</v>
      </c>
      <c r="C226" s="2" t="s">
        <v>524</v>
      </c>
      <c r="D226" s="2" t="s">
        <v>64</v>
      </c>
      <c r="E226" s="2" t="s">
        <v>422</v>
      </c>
      <c r="F226" s="5">
        <v>77.263999999999982</v>
      </c>
      <c r="G226" s="5">
        <v>89.1</v>
      </c>
      <c r="H226" s="5">
        <v>11.836000000000009</v>
      </c>
      <c r="I226" s="5">
        <f>IFERROR(INDEX(Baseline_Entry!$P:$P,MATCH($B226,Baseline_Entry!$B:$B,0)),"")</f>
        <v>58.413145539906111</v>
      </c>
      <c r="J226" s="2" t="str">
        <f t="shared" si="9"/>
        <v>Yes</v>
      </c>
      <c r="K226" s="2" t="str">
        <f t="shared" si="10"/>
        <v>Low starter</v>
      </c>
      <c r="L226" s="2" t="s">
        <v>99</v>
      </c>
      <c r="M226" s="2" t="s">
        <v>65</v>
      </c>
      <c r="N226" s="2">
        <v>1</v>
      </c>
      <c r="O226" s="2" t="str">
        <f>IFERROR(INDEX(University_Exit!$D:$D,MATCH($B226,University_Exit!$B:$B,0)),"")</f>
        <v>Qatar University</v>
      </c>
      <c r="P226" s="2" t="str">
        <f>IFERROR(INDEX(University_Exit!$F:$F,MATCH($B226,University_Exit!$B:$B,0)),"")</f>
        <v>General Medicine</v>
      </c>
      <c r="Q226" s="2" t="str">
        <f>IFERROR(INDEX(University_Exit!$L:$L,MATCH($B226,University_Exit!$B:$B,0)),"")</f>
        <v>Yes</v>
      </c>
      <c r="R226" s="2" t="str">
        <f t="shared" si="11"/>
        <v>Yes</v>
      </c>
      <c r="S226" s="5">
        <f>IFERROR(INDEX(University_Exit!$H:$H,MATCH($B226,University_Exit!$B:$B,0)),"")</f>
        <v>90.75</v>
      </c>
      <c r="T226" s="6">
        <f>IFERROR(INDEX(University_Exit!$K:$K,MATCH($B226,University_Exit!$B:$B,0)),"")</f>
        <v>1080</v>
      </c>
      <c r="U226" s="2">
        <f>IFERROR(INDEX(University_Exit!$G:$G,MATCH($B226,University_Exit!$B:$B,0)),"")</f>
        <v>0</v>
      </c>
    </row>
    <row r="227" spans="1:21" x14ac:dyDescent="0.3">
      <c r="A227" s="2" t="s">
        <v>419</v>
      </c>
      <c r="B227" s="2" t="s">
        <v>525</v>
      </c>
      <c r="C227" s="2" t="s">
        <v>526</v>
      </c>
      <c r="D227" s="2" t="s">
        <v>64</v>
      </c>
      <c r="E227" s="2" t="s">
        <v>422</v>
      </c>
      <c r="F227" s="5">
        <v>87.183999999999997</v>
      </c>
      <c r="G227" s="5">
        <v>90.051999999999992</v>
      </c>
      <c r="H227" s="5">
        <v>2.867999999999995</v>
      </c>
      <c r="I227" s="5">
        <f>IFERROR(INDEX(Baseline_Entry!$P:$P,MATCH($B227,Baseline_Entry!$B:$B,0)),"")</f>
        <v>67.021596244131459</v>
      </c>
      <c r="J227" s="2" t="str">
        <f t="shared" si="9"/>
        <v>Yes</v>
      </c>
      <c r="K227" s="2" t="str">
        <f t="shared" si="10"/>
        <v>Low starter</v>
      </c>
      <c r="L227" s="2" t="s">
        <v>65</v>
      </c>
      <c r="M227" s="2" t="s">
        <v>66</v>
      </c>
      <c r="N227" s="2">
        <v>1</v>
      </c>
      <c r="O227" s="2" t="str">
        <f>IFERROR(INDEX(University_Exit!$D:$D,MATCH($B227,University_Exit!$B:$B,0)),"")</f>
        <v>PennState University</v>
      </c>
      <c r="P227" s="2" t="str">
        <f>IFERROR(INDEX(University_Exit!$F:$F,MATCH($B227,University_Exit!$B:$B,0)),"")</f>
        <v>Petroleum Engineering</v>
      </c>
      <c r="Q227" s="2" t="str">
        <f>IFERROR(INDEX(University_Exit!$L:$L,MATCH($B227,University_Exit!$B:$B,0)),"")</f>
        <v>Yes</v>
      </c>
      <c r="R227" s="2" t="str">
        <f t="shared" si="11"/>
        <v>Yes</v>
      </c>
      <c r="S227" s="5">
        <f>IFERROR(INDEX(University_Exit!$H:$H,MATCH($B227,University_Exit!$B:$B,0)),"")</f>
        <v>86.38</v>
      </c>
      <c r="T227" s="6">
        <f>IFERROR(INDEX(University_Exit!$K:$K,MATCH($B227,University_Exit!$B:$B,0)),"")</f>
        <v>1110</v>
      </c>
      <c r="U227" s="2">
        <f>IFERROR(INDEX(University_Exit!$G:$G,MATCH($B227,University_Exit!$B:$B,0)),"")</f>
        <v>0</v>
      </c>
    </row>
    <row r="228" spans="1:21" x14ac:dyDescent="0.3">
      <c r="A228" s="2" t="s">
        <v>419</v>
      </c>
      <c r="B228" s="2" t="s">
        <v>527</v>
      </c>
      <c r="C228" s="2" t="s">
        <v>528</v>
      </c>
      <c r="D228" s="2" t="s">
        <v>64</v>
      </c>
      <c r="E228" s="2" t="s">
        <v>422</v>
      </c>
      <c r="F228" s="5">
        <v>94.72</v>
      </c>
      <c r="G228" s="5">
        <v>94.751999999999995</v>
      </c>
      <c r="H228" s="5">
        <v>3.1999999999996483E-2</v>
      </c>
      <c r="I228" s="5">
        <f>IFERROR(INDEX(Baseline_Entry!$P:$P,MATCH($B228,Baseline_Entry!$B:$B,0)),"")</f>
        <v>61.40469483568075</v>
      </c>
      <c r="J228" s="2" t="str">
        <f t="shared" si="9"/>
        <v>Yes</v>
      </c>
      <c r="K228" s="2" t="str">
        <f t="shared" si="10"/>
        <v>Low starter</v>
      </c>
      <c r="L228" s="2" t="s">
        <v>66</v>
      </c>
      <c r="M228" s="2" t="s">
        <v>66</v>
      </c>
      <c r="N228" s="2">
        <v>0</v>
      </c>
      <c r="O228" s="2" t="str">
        <f>IFERROR(INDEX(University_Exit!$D:$D,MATCH($B228,University_Exit!$B:$B,0)),"")</f>
        <v>Royal College of Surgeons in Ireland</v>
      </c>
      <c r="P228" s="2" t="str">
        <f>IFERROR(INDEX(University_Exit!$F:$F,MATCH($B228,University_Exit!$B:$B,0)),"")</f>
        <v>General Medicine</v>
      </c>
      <c r="Q228" s="2" t="str">
        <f>IFERROR(INDEX(University_Exit!$L:$L,MATCH($B228,University_Exit!$B:$B,0)),"")</f>
        <v>Yes</v>
      </c>
      <c r="R228" s="2" t="str">
        <f t="shared" si="11"/>
        <v>Yes</v>
      </c>
      <c r="S228" s="5">
        <f>IFERROR(INDEX(University_Exit!$H:$H,MATCH($B228,University_Exit!$B:$B,0)),"")</f>
        <v>96.38</v>
      </c>
      <c r="T228" s="6">
        <f>IFERROR(INDEX(University_Exit!$K:$K,MATCH($B228,University_Exit!$B:$B,0)),"")</f>
        <v>1010</v>
      </c>
      <c r="U228" s="2">
        <f>IFERROR(INDEX(University_Exit!$G:$G,MATCH($B228,University_Exit!$B:$B,0)),"")</f>
        <v>0</v>
      </c>
    </row>
    <row r="229" spans="1:21" x14ac:dyDescent="0.3">
      <c r="A229" s="2" t="s">
        <v>419</v>
      </c>
      <c r="B229" s="2" t="s">
        <v>529</v>
      </c>
      <c r="C229" s="2" t="s">
        <v>530</v>
      </c>
      <c r="D229" s="2" t="s">
        <v>64</v>
      </c>
      <c r="E229" s="2" t="s">
        <v>422</v>
      </c>
      <c r="F229" s="5">
        <v>84.635999999999996</v>
      </c>
      <c r="G229" s="5">
        <v>93.8</v>
      </c>
      <c r="H229" s="5">
        <v>9.1640000000000015</v>
      </c>
      <c r="I229" s="5">
        <f>IFERROR(INDEX(Baseline_Entry!$P:$P,MATCH($B229,Baseline_Entry!$B:$B,0)),"")</f>
        <v>61.111737089201881</v>
      </c>
      <c r="J229" s="2" t="str">
        <f t="shared" si="9"/>
        <v>Yes</v>
      </c>
      <c r="K229" s="2" t="str">
        <f t="shared" si="10"/>
        <v>Low starter</v>
      </c>
      <c r="L229" s="2" t="s">
        <v>65</v>
      </c>
      <c r="M229" s="2" t="s">
        <v>66</v>
      </c>
      <c r="N229" s="2">
        <v>1</v>
      </c>
      <c r="O229" s="2" t="str">
        <f>IFERROR(INDEX(University_Exit!$D:$D,MATCH($B229,University_Exit!$B:$B,0)),"")</f>
        <v>Royal College of Surgeons in Ireland</v>
      </c>
      <c r="P229" s="2" t="str">
        <f>IFERROR(INDEX(University_Exit!$F:$F,MATCH($B229,University_Exit!$B:$B,0)),"")</f>
        <v>General Medicine</v>
      </c>
      <c r="Q229" s="2" t="str">
        <f>IFERROR(INDEX(University_Exit!$L:$L,MATCH($B229,University_Exit!$B:$B,0)),"")</f>
        <v>Yes</v>
      </c>
      <c r="R229" s="2" t="str">
        <f t="shared" si="11"/>
        <v>Yes</v>
      </c>
      <c r="S229" s="5">
        <f>IFERROR(INDEX(University_Exit!$H:$H,MATCH($B229,University_Exit!$B:$B,0)),"")</f>
        <v>94.75</v>
      </c>
      <c r="T229" s="6">
        <f>IFERROR(INDEX(University_Exit!$K:$K,MATCH($B229,University_Exit!$B:$B,0)),"")</f>
        <v>1220</v>
      </c>
      <c r="U229" s="2">
        <f>IFERROR(INDEX(University_Exit!$G:$G,MATCH($B229,University_Exit!$B:$B,0)),"")</f>
        <v>0</v>
      </c>
    </row>
    <row r="230" spans="1:21" x14ac:dyDescent="0.3">
      <c r="A230" s="2" t="s">
        <v>419</v>
      </c>
      <c r="B230" s="2" t="s">
        <v>531</v>
      </c>
      <c r="C230" s="2" t="s">
        <v>532</v>
      </c>
      <c r="D230" s="2" t="s">
        <v>64</v>
      </c>
      <c r="E230" s="2" t="s">
        <v>422</v>
      </c>
      <c r="F230" s="5">
        <v>93.26</v>
      </c>
      <c r="G230" s="5">
        <v>96.7</v>
      </c>
      <c r="H230" s="5">
        <v>3.4399999999999982</v>
      </c>
      <c r="I230" s="5">
        <f>IFERROR(INDEX(Baseline_Entry!$P:$P,MATCH($B230,Baseline_Entry!$B:$B,0)),"")</f>
        <v>61.5962441314554</v>
      </c>
      <c r="J230" s="2" t="str">
        <f t="shared" si="9"/>
        <v>Yes</v>
      </c>
      <c r="K230" s="2" t="str">
        <f t="shared" si="10"/>
        <v>Low starter</v>
      </c>
      <c r="L230" s="2" t="s">
        <v>66</v>
      </c>
      <c r="M230" s="2" t="s">
        <v>66</v>
      </c>
      <c r="N230" s="2">
        <v>0</v>
      </c>
      <c r="O230" s="2" t="str">
        <f>IFERROR(INDEX(University_Exit!$D:$D,MATCH($B230,University_Exit!$B:$B,0)),"")</f>
        <v>University Of Sheffield</v>
      </c>
      <c r="P230" s="2" t="str">
        <f>IFERROR(INDEX(University_Exit!$F:$F,MATCH($B230,University_Exit!$B:$B,0)),"")</f>
        <v>Biomedical Engineering</v>
      </c>
      <c r="Q230" s="2" t="str">
        <f>IFERROR(INDEX(University_Exit!$L:$L,MATCH($B230,University_Exit!$B:$B,0)),"")</f>
        <v>Yes</v>
      </c>
      <c r="R230" s="2" t="str">
        <f t="shared" si="11"/>
        <v>Yes</v>
      </c>
      <c r="S230" s="5">
        <f>IFERROR(INDEX(University_Exit!$H:$H,MATCH($B230,University_Exit!$B:$B,0)),"")</f>
        <v>97</v>
      </c>
      <c r="T230" s="6">
        <f>IFERROR(INDEX(University_Exit!$K:$K,MATCH($B230,University_Exit!$B:$B,0)),"")</f>
        <v>1090</v>
      </c>
      <c r="U230" s="2">
        <f>IFERROR(INDEX(University_Exit!$G:$G,MATCH($B230,University_Exit!$B:$B,0)),"")</f>
        <v>0</v>
      </c>
    </row>
    <row r="231" spans="1:21" x14ac:dyDescent="0.3">
      <c r="A231" s="2" t="s">
        <v>419</v>
      </c>
      <c r="B231" s="2" t="s">
        <v>533</v>
      </c>
      <c r="C231" s="2" t="s">
        <v>534</v>
      </c>
      <c r="D231" s="2" t="s">
        <v>64</v>
      </c>
      <c r="E231" s="2" t="s">
        <v>422</v>
      </c>
      <c r="F231" s="5">
        <v>88.195999999999998</v>
      </c>
      <c r="G231" s="5">
        <v>93.475999999999999</v>
      </c>
      <c r="H231" s="5">
        <v>5.2800000000000011</v>
      </c>
      <c r="I231" s="5">
        <f>IFERROR(INDEX(Baseline_Entry!$P:$P,MATCH($B231,Baseline_Entry!$B:$B,0)),"")</f>
        <v>61.138028169014092</v>
      </c>
      <c r="J231" s="2" t="str">
        <f t="shared" si="9"/>
        <v>Yes</v>
      </c>
      <c r="K231" s="2" t="str">
        <f t="shared" si="10"/>
        <v>Low starter</v>
      </c>
      <c r="L231" s="2" t="s">
        <v>65</v>
      </c>
      <c r="M231" s="2" t="s">
        <v>66</v>
      </c>
      <c r="N231" s="2">
        <v>1</v>
      </c>
      <c r="O231" s="2" t="str">
        <f>IFERROR(INDEX(University_Exit!$D:$D,MATCH($B231,University_Exit!$B:$B,0)),"")</f>
        <v>WEILL CORNELL MEDICINE</v>
      </c>
      <c r="P231" s="2" t="str">
        <f>IFERROR(INDEX(University_Exit!$F:$F,MATCH($B231,University_Exit!$B:$B,0)),"")</f>
        <v>General Medicine</v>
      </c>
      <c r="Q231" s="2" t="str">
        <f>IFERROR(INDEX(University_Exit!$L:$L,MATCH($B231,University_Exit!$B:$B,0)),"")</f>
        <v>Yes</v>
      </c>
      <c r="R231" s="2" t="str">
        <f t="shared" si="11"/>
        <v>Yes</v>
      </c>
      <c r="S231" s="5">
        <f>IFERROR(INDEX(University_Exit!$H:$H,MATCH($B231,University_Exit!$B:$B,0)),"")</f>
        <v>92.19</v>
      </c>
      <c r="T231" s="6">
        <f>IFERROR(INDEX(University_Exit!$K:$K,MATCH($B231,University_Exit!$B:$B,0)),"")</f>
        <v>1170</v>
      </c>
      <c r="U231" s="2">
        <f>IFERROR(INDEX(University_Exit!$G:$G,MATCH($B231,University_Exit!$B:$B,0)),"")</f>
        <v>0</v>
      </c>
    </row>
    <row r="232" spans="1:21" x14ac:dyDescent="0.3">
      <c r="A232" s="2" t="s">
        <v>419</v>
      </c>
      <c r="B232" s="2" t="s">
        <v>535</v>
      </c>
      <c r="C232" s="2" t="s">
        <v>536</v>
      </c>
      <c r="D232" s="2" t="s">
        <v>64</v>
      </c>
      <c r="E232" s="2" t="s">
        <v>422</v>
      </c>
      <c r="F232" s="5">
        <v>82.555999999999997</v>
      </c>
      <c r="G232" s="5">
        <v>92.975999999999999</v>
      </c>
      <c r="H232" s="5">
        <v>10.42</v>
      </c>
      <c r="I232" s="5">
        <f>IFERROR(INDEX(Baseline_Entry!$P:$P,MATCH($B232,Baseline_Entry!$B:$B,0)),"")</f>
        <v>59.543661971830979</v>
      </c>
      <c r="J232" s="2" t="str">
        <f t="shared" si="9"/>
        <v>Yes</v>
      </c>
      <c r="K232" s="2" t="str">
        <f t="shared" si="10"/>
        <v>Low starter</v>
      </c>
      <c r="L232" s="2" t="s">
        <v>65</v>
      </c>
      <c r="M232" s="2" t="s">
        <v>66</v>
      </c>
      <c r="N232" s="2">
        <v>1</v>
      </c>
      <c r="O232" s="2" t="str">
        <f>IFERROR(INDEX(University_Exit!$D:$D,MATCH($B232,University_Exit!$B:$B,0)),"")</f>
        <v>Royal College of Surgeons in Ireland</v>
      </c>
      <c r="P232" s="2" t="str">
        <f>IFERROR(INDEX(University_Exit!$F:$F,MATCH($B232,University_Exit!$B:$B,0)),"")</f>
        <v>General Medicine</v>
      </c>
      <c r="Q232" s="2" t="str">
        <f>IFERROR(INDEX(University_Exit!$L:$L,MATCH($B232,University_Exit!$B:$B,0)),"")</f>
        <v>Yes</v>
      </c>
      <c r="R232" s="2" t="str">
        <f t="shared" si="11"/>
        <v>Yes</v>
      </c>
      <c r="S232" s="5">
        <f>IFERROR(INDEX(University_Exit!$H:$H,MATCH($B232,University_Exit!$B:$B,0)),"")</f>
        <v>94.69</v>
      </c>
      <c r="T232" s="6">
        <f>IFERROR(INDEX(University_Exit!$K:$K,MATCH($B232,University_Exit!$B:$B,0)),"")</f>
        <v>1270</v>
      </c>
      <c r="U232" s="2">
        <f>IFERROR(INDEX(University_Exit!$G:$G,MATCH($B232,University_Exit!$B:$B,0)),"")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32"/>
  <sheetViews>
    <sheetView workbookViewId="0"/>
  </sheetViews>
  <sheetFormatPr defaultRowHeight="14.4" x14ac:dyDescent="0.3"/>
  <cols>
    <col min="3" max="4" width="28" customWidth="1"/>
  </cols>
  <sheetData>
    <row r="1" spans="1:23" ht="43.2" customHeight="1" x14ac:dyDescent="0.3">
      <c r="A1" s="27" t="s">
        <v>39</v>
      </c>
      <c r="B1" s="27" t="s">
        <v>40</v>
      </c>
      <c r="C1" s="27" t="s">
        <v>41</v>
      </c>
      <c r="D1" s="27" t="s">
        <v>537</v>
      </c>
      <c r="E1" s="27" t="s">
        <v>538</v>
      </c>
      <c r="F1" s="27" t="s">
        <v>539</v>
      </c>
      <c r="G1" s="27" t="s">
        <v>540</v>
      </c>
      <c r="H1" s="27" t="s">
        <v>541</v>
      </c>
      <c r="I1" s="27" t="s">
        <v>542</v>
      </c>
      <c r="J1" s="27" t="s">
        <v>543</v>
      </c>
      <c r="K1" s="27" t="s">
        <v>544</v>
      </c>
      <c r="L1" s="27" t="s">
        <v>545</v>
      </c>
      <c r="M1" s="27" t="s">
        <v>546</v>
      </c>
      <c r="N1" s="27" t="s">
        <v>547</v>
      </c>
      <c r="O1" s="27" t="s">
        <v>548</v>
      </c>
      <c r="P1" s="27" t="s">
        <v>47</v>
      </c>
      <c r="Q1" s="27" t="s">
        <v>549</v>
      </c>
      <c r="R1" s="27" t="s">
        <v>550</v>
      </c>
      <c r="S1" s="27" t="s">
        <v>551</v>
      </c>
      <c r="T1" s="27" t="s">
        <v>552</v>
      </c>
      <c r="U1" s="27" t="s">
        <v>553</v>
      </c>
      <c r="V1" s="27" t="s">
        <v>554</v>
      </c>
      <c r="W1" s="27" t="s">
        <v>555</v>
      </c>
    </row>
    <row r="2" spans="1:23" x14ac:dyDescent="0.3">
      <c r="A2" t="s">
        <v>60</v>
      </c>
      <c r="B2" t="s">
        <v>61</v>
      </c>
      <c r="C2" t="s">
        <v>62</v>
      </c>
      <c r="D2">
        <f>IFERROR(INDEX(Admissions_2024_2025!D:D,MATCH($B2,Admissions_2024_2025!$B:$B,0)),"")</f>
        <v>0</v>
      </c>
      <c r="E2">
        <f>IFERROR(INDEX(Admissions_2024_2025!E:E,MATCH($B2,Admissions_2024_2025!$B:$B,0)),"")</f>
        <v>0</v>
      </c>
      <c r="F2">
        <f>IFERROR(INDEX(Admissions_2024_2025!F:F,MATCH($B2,Admissions_2024_2025!$B:$B,0)),"")</f>
        <v>46</v>
      </c>
      <c r="G2">
        <f>IFERROR(INDEX(Admissions_2024_2025!G:G,MATCH($B2,Admissions_2024_2025!$B:$B,0)),"")</f>
        <v>68</v>
      </c>
      <c r="H2">
        <f>IFERROR(INDEX(Admissions_2024_2025!H:H,MATCH($B2,Admissions_2024_2025!$B:$B,0)),"")</f>
        <v>80</v>
      </c>
      <c r="I2">
        <f>IFERROR(INDEX(Admissions_2024_2025!I:I,MATCH($B2,Admissions_2024_2025!$B:$B,0)),"")</f>
        <v>0</v>
      </c>
      <c r="J2">
        <f>IFERROR(INDEX(Admissions_2024_2025!J:J,MATCH($B2,Admissions_2024_2025!$B:$B,0)),"")</f>
        <v>115</v>
      </c>
      <c r="K2">
        <f t="shared" ref="K2:K65" si="0">IF(J2="","",J2/250*100)</f>
        <v>46</v>
      </c>
      <c r="L2">
        <f>IFERROR(INDEX(Admissions_2024_2025!L:L,MATCH($B2,Admissions_2024_2025!$B:$B,0)),"")</f>
        <v>60</v>
      </c>
      <c r="M2">
        <f t="shared" ref="M2:M65" si="1">IF(L2="","",L2/50*100)</f>
        <v>120</v>
      </c>
      <c r="N2" t="str">
        <f t="shared" ref="N2:N65" si="2">IF(COUNT(R2:U2)=0,"",ROUND(AVERAGE(R2:U2),0))</f>
        <v/>
      </c>
      <c r="O2" t="str">
        <f t="shared" ref="O2:O65" si="3">IF(N2="","",N2/142*100)</f>
        <v/>
      </c>
      <c r="P2">
        <f t="shared" ref="P2:P65" si="4">IF(COUNT(K2,M2,O2)=0,"",AVERAGE(K2,M2,O2))</f>
        <v>83</v>
      </c>
      <c r="Q2" t="str">
        <f>IFERROR(INDEX(Admissions_2024_2025!Q:Q,MATCH($B2,Admissions_2024_2025!$B:$B,0)),"")</f>
        <v/>
      </c>
      <c r="R2" t="str">
        <f>IFERROR(INDEX(Admissions_2024_2025!R:R,MATCH($B2,Admissions_2024_2025!$B:$B,0)),"")</f>
        <v/>
      </c>
      <c r="S2" t="str">
        <f>IFERROR(INDEX(Admissions_2024_2025!S:S,MATCH($B2,Admissions_2024_2025!$B:$B,0)),"")</f>
        <v/>
      </c>
      <c r="T2" t="str">
        <f>IFERROR(INDEX(Admissions_2024_2025!T:T,MATCH($B2,Admissions_2024_2025!$B:$B,0)),"")</f>
        <v/>
      </c>
      <c r="U2" t="str">
        <f>IFERROR(INDEX(Admissions_2024_2025!U:U,MATCH($B2,Admissions_2024_2025!$B:$B,0)),"")</f>
        <v/>
      </c>
      <c r="W2" t="str">
        <f>IFERROR(INDEX(Admissions_2024_2025!W:W,MATCH($B2,Admissions_2024_2025!$B:$B,0)),"")</f>
        <v>2022 admissions (name-matched to QID); outcomes</v>
      </c>
    </row>
    <row r="3" spans="1:23" x14ac:dyDescent="0.3">
      <c r="A3" t="s">
        <v>60</v>
      </c>
      <c r="B3" t="s">
        <v>67</v>
      </c>
      <c r="C3" t="s">
        <v>68</v>
      </c>
      <c r="D3">
        <f>IFERROR(INDEX(Admissions_2024_2025!D:D,MATCH($B3,Admissions_2024_2025!$B:$B,0)),"")</f>
        <v>0</v>
      </c>
      <c r="E3">
        <f>IFERROR(INDEX(Admissions_2024_2025!E:E,MATCH($B3,Admissions_2024_2025!$B:$B,0)),"")</f>
        <v>0</v>
      </c>
      <c r="F3">
        <f>IFERROR(INDEX(Admissions_2024_2025!F:F,MATCH($B3,Admissions_2024_2025!$B:$B,0)),"")</f>
        <v>70.8</v>
      </c>
      <c r="G3">
        <f>IFERROR(INDEX(Admissions_2024_2025!G:G,MATCH($B3,Admissions_2024_2025!$B:$B,0)),"")</f>
        <v>88.000000000000014</v>
      </c>
      <c r="H3">
        <f>IFERROR(INDEX(Admissions_2024_2025!H:H,MATCH($B3,Admissions_2024_2025!$B:$B,0)),"")</f>
        <v>78.666666666666671</v>
      </c>
      <c r="I3">
        <f>IFERROR(INDEX(Admissions_2024_2025!I:I,MATCH($B3,Admissions_2024_2025!$B:$B,0)),"")</f>
        <v>0</v>
      </c>
      <c r="J3">
        <f>IFERROR(INDEX(Admissions_2024_2025!J:J,MATCH($B3,Admissions_2024_2025!$B:$B,0)),"")</f>
        <v>177</v>
      </c>
      <c r="K3">
        <f t="shared" si="0"/>
        <v>70.8</v>
      </c>
      <c r="L3">
        <f>IFERROR(INDEX(Admissions_2024_2025!L:L,MATCH($B3,Admissions_2024_2025!$B:$B,0)),"")</f>
        <v>59</v>
      </c>
      <c r="M3">
        <f t="shared" si="1"/>
        <v>118</v>
      </c>
      <c r="N3" t="str">
        <f t="shared" si="2"/>
        <v/>
      </c>
      <c r="O3" t="str">
        <f t="shared" si="3"/>
        <v/>
      </c>
      <c r="P3">
        <f t="shared" si="4"/>
        <v>94.4</v>
      </c>
      <c r="Q3" t="str">
        <f>IFERROR(INDEX(Admissions_2024_2025!Q:Q,MATCH($B3,Admissions_2024_2025!$B:$B,0)),"")</f>
        <v/>
      </c>
      <c r="R3" t="str">
        <f>IFERROR(INDEX(Admissions_2024_2025!R:R,MATCH($B3,Admissions_2024_2025!$B:$B,0)),"")</f>
        <v/>
      </c>
      <c r="S3" t="str">
        <f>IFERROR(INDEX(Admissions_2024_2025!S:S,MATCH($B3,Admissions_2024_2025!$B:$B,0)),"")</f>
        <v/>
      </c>
      <c r="T3" t="str">
        <f>IFERROR(INDEX(Admissions_2024_2025!T:T,MATCH($B3,Admissions_2024_2025!$B:$B,0)),"")</f>
        <v/>
      </c>
      <c r="U3" t="str">
        <f>IFERROR(INDEX(Admissions_2024_2025!U:U,MATCH($B3,Admissions_2024_2025!$B:$B,0)),"")</f>
        <v/>
      </c>
      <c r="W3" t="str">
        <f>IFERROR(INDEX(Admissions_2024_2025!W:W,MATCH($B3,Admissions_2024_2025!$B:$B,0)),"")</f>
        <v>2022 admissions (name-matched to QID); outcomes</v>
      </c>
    </row>
    <row r="4" spans="1:23" x14ac:dyDescent="0.3">
      <c r="A4" t="s">
        <v>60</v>
      </c>
      <c r="B4" t="s">
        <v>69</v>
      </c>
      <c r="C4" t="s">
        <v>70</v>
      </c>
      <c r="D4">
        <f>IFERROR(INDEX(Admissions_2024_2025!D:D,MATCH($B4,Admissions_2024_2025!$B:$B,0)),"")</f>
        <v>0</v>
      </c>
      <c r="E4">
        <f>IFERROR(INDEX(Admissions_2024_2025!E:E,MATCH($B4,Admissions_2024_2025!$B:$B,0)),"")</f>
        <v>0</v>
      </c>
      <c r="F4">
        <f>IFERROR(INDEX(Admissions_2024_2025!F:F,MATCH($B4,Admissions_2024_2025!$B:$B,0)),"")</f>
        <v>56</v>
      </c>
      <c r="G4">
        <f>IFERROR(INDEX(Admissions_2024_2025!G:G,MATCH($B4,Admissions_2024_2025!$B:$B,0)),"")</f>
        <v>72</v>
      </c>
      <c r="H4">
        <f>IFERROR(INDEX(Admissions_2024_2025!H:H,MATCH($B4,Admissions_2024_2025!$B:$B,0)),"")</f>
        <v>72</v>
      </c>
      <c r="I4">
        <f>IFERROR(INDEX(Admissions_2024_2025!I:I,MATCH($B4,Admissions_2024_2025!$B:$B,0)),"")</f>
        <v>0</v>
      </c>
      <c r="J4">
        <f>IFERROR(INDEX(Admissions_2024_2025!J:J,MATCH($B4,Admissions_2024_2025!$B:$B,0)),"")</f>
        <v>140</v>
      </c>
      <c r="K4">
        <f t="shared" si="0"/>
        <v>56.000000000000007</v>
      </c>
      <c r="L4">
        <f>IFERROR(INDEX(Admissions_2024_2025!L:L,MATCH($B4,Admissions_2024_2025!$B:$B,0)),"")</f>
        <v>54</v>
      </c>
      <c r="M4">
        <f t="shared" si="1"/>
        <v>108</v>
      </c>
      <c r="N4" t="str">
        <f t="shared" si="2"/>
        <v/>
      </c>
      <c r="O4" t="str">
        <f t="shared" si="3"/>
        <v/>
      </c>
      <c r="P4">
        <f t="shared" si="4"/>
        <v>82</v>
      </c>
      <c r="Q4" t="str">
        <f>IFERROR(INDEX(Admissions_2024_2025!Q:Q,MATCH($B4,Admissions_2024_2025!$B:$B,0)),"")</f>
        <v/>
      </c>
      <c r="R4" t="str">
        <f>IFERROR(INDEX(Admissions_2024_2025!R:R,MATCH($B4,Admissions_2024_2025!$B:$B,0)),"")</f>
        <v/>
      </c>
      <c r="S4" t="str">
        <f>IFERROR(INDEX(Admissions_2024_2025!S:S,MATCH($B4,Admissions_2024_2025!$B:$B,0)),"")</f>
        <v/>
      </c>
      <c r="T4" t="str">
        <f>IFERROR(INDEX(Admissions_2024_2025!T:T,MATCH($B4,Admissions_2024_2025!$B:$B,0)),"")</f>
        <v/>
      </c>
      <c r="U4" t="str">
        <f>IFERROR(INDEX(Admissions_2024_2025!U:U,MATCH($B4,Admissions_2024_2025!$B:$B,0)),"")</f>
        <v/>
      </c>
      <c r="W4" t="str">
        <f>IFERROR(INDEX(Admissions_2024_2025!W:W,MATCH($B4,Admissions_2024_2025!$B:$B,0)),"")</f>
        <v>2022 admissions (name-matched to QID); outcomes</v>
      </c>
    </row>
    <row r="5" spans="1:23" x14ac:dyDescent="0.3">
      <c r="A5" t="s">
        <v>60</v>
      </c>
      <c r="B5" t="s">
        <v>71</v>
      </c>
      <c r="C5" t="s">
        <v>72</v>
      </c>
      <c r="D5">
        <f>IFERROR(INDEX(Admissions_2024_2025!D:D,MATCH($B5,Admissions_2024_2025!$B:$B,0)),"")</f>
        <v>0</v>
      </c>
      <c r="E5">
        <f>IFERROR(INDEX(Admissions_2024_2025!E:E,MATCH($B5,Admissions_2024_2025!$B:$B,0)),"")</f>
        <v>0</v>
      </c>
      <c r="F5">
        <f>IFERROR(INDEX(Admissions_2024_2025!F:F,MATCH($B5,Admissions_2024_2025!$B:$B,0)),"")</f>
        <v>54.4</v>
      </c>
      <c r="G5">
        <f>IFERROR(INDEX(Admissions_2024_2025!G:G,MATCH($B5,Admissions_2024_2025!$B:$B,0)),"")</f>
        <v>84</v>
      </c>
      <c r="H5">
        <f>IFERROR(INDEX(Admissions_2024_2025!H:H,MATCH($B5,Admissions_2024_2025!$B:$B,0)),"")</f>
        <v>69.333333333333329</v>
      </c>
      <c r="I5">
        <f>IFERROR(INDEX(Admissions_2024_2025!I:I,MATCH($B5,Admissions_2024_2025!$B:$B,0)),"")</f>
        <v>0</v>
      </c>
      <c r="J5">
        <f>IFERROR(INDEX(Admissions_2024_2025!J:J,MATCH($B5,Admissions_2024_2025!$B:$B,0)),"")</f>
        <v>136</v>
      </c>
      <c r="K5">
        <f t="shared" si="0"/>
        <v>54.400000000000006</v>
      </c>
      <c r="L5">
        <f>IFERROR(INDEX(Admissions_2024_2025!L:L,MATCH($B5,Admissions_2024_2025!$B:$B,0)),"")</f>
        <v>52</v>
      </c>
      <c r="M5">
        <f t="shared" si="1"/>
        <v>104</v>
      </c>
      <c r="N5" t="str">
        <f t="shared" si="2"/>
        <v/>
      </c>
      <c r="O5" t="str">
        <f t="shared" si="3"/>
        <v/>
      </c>
      <c r="P5">
        <f t="shared" si="4"/>
        <v>79.2</v>
      </c>
      <c r="Q5" t="str">
        <f>IFERROR(INDEX(Admissions_2024_2025!Q:Q,MATCH($B5,Admissions_2024_2025!$B:$B,0)),"")</f>
        <v/>
      </c>
      <c r="R5" t="str">
        <f>IFERROR(INDEX(Admissions_2024_2025!R:R,MATCH($B5,Admissions_2024_2025!$B:$B,0)),"")</f>
        <v/>
      </c>
      <c r="S5" t="str">
        <f>IFERROR(INDEX(Admissions_2024_2025!S:S,MATCH($B5,Admissions_2024_2025!$B:$B,0)),"")</f>
        <v/>
      </c>
      <c r="T5" t="str">
        <f>IFERROR(INDEX(Admissions_2024_2025!T:T,MATCH($B5,Admissions_2024_2025!$B:$B,0)),"")</f>
        <v/>
      </c>
      <c r="U5" t="str">
        <f>IFERROR(INDEX(Admissions_2024_2025!U:U,MATCH($B5,Admissions_2024_2025!$B:$B,0)),"")</f>
        <v/>
      </c>
      <c r="W5" t="str">
        <f>IFERROR(INDEX(Admissions_2024_2025!W:W,MATCH($B5,Admissions_2024_2025!$B:$B,0)),"")</f>
        <v>2022 admissions (name-matched to QID); outcomes</v>
      </c>
    </row>
    <row r="6" spans="1:23" x14ac:dyDescent="0.3">
      <c r="A6" t="s">
        <v>60</v>
      </c>
      <c r="B6" t="s">
        <v>73</v>
      </c>
      <c r="C6" t="s">
        <v>74</v>
      </c>
      <c r="D6">
        <f>IFERROR(INDEX(Admissions_2024_2025!D:D,MATCH($B6,Admissions_2024_2025!$B:$B,0)),"")</f>
        <v>0</v>
      </c>
      <c r="E6">
        <f>IFERROR(INDEX(Admissions_2024_2025!E:E,MATCH($B6,Admissions_2024_2025!$B:$B,0)),"")</f>
        <v>0</v>
      </c>
      <c r="F6">
        <f>IFERROR(INDEX(Admissions_2024_2025!F:F,MATCH($B6,Admissions_2024_2025!$B:$B,0)),"")</f>
        <v>59.2</v>
      </c>
      <c r="G6">
        <f>IFERROR(INDEX(Admissions_2024_2025!G:G,MATCH($B6,Admissions_2024_2025!$B:$B,0)),"")</f>
        <v>80</v>
      </c>
      <c r="H6">
        <f>IFERROR(INDEX(Admissions_2024_2025!H:H,MATCH($B6,Admissions_2024_2025!$B:$B,0)),"")</f>
        <v>76</v>
      </c>
      <c r="I6">
        <f>IFERROR(INDEX(Admissions_2024_2025!I:I,MATCH($B6,Admissions_2024_2025!$B:$B,0)),"")</f>
        <v>0</v>
      </c>
      <c r="J6">
        <f>IFERROR(INDEX(Admissions_2024_2025!J:J,MATCH($B6,Admissions_2024_2025!$B:$B,0)),"")</f>
        <v>148</v>
      </c>
      <c r="K6">
        <f t="shared" si="0"/>
        <v>59.199999999999996</v>
      </c>
      <c r="L6">
        <f>IFERROR(INDEX(Admissions_2024_2025!L:L,MATCH($B6,Admissions_2024_2025!$B:$B,0)),"")</f>
        <v>57</v>
      </c>
      <c r="M6">
        <f t="shared" si="1"/>
        <v>113.99999999999999</v>
      </c>
      <c r="N6" t="str">
        <f t="shared" si="2"/>
        <v/>
      </c>
      <c r="O6" t="str">
        <f t="shared" si="3"/>
        <v/>
      </c>
      <c r="P6">
        <f t="shared" si="4"/>
        <v>86.6</v>
      </c>
      <c r="Q6" t="str">
        <f>IFERROR(INDEX(Admissions_2024_2025!Q:Q,MATCH($B6,Admissions_2024_2025!$B:$B,0)),"")</f>
        <v/>
      </c>
      <c r="R6" t="str">
        <f>IFERROR(INDEX(Admissions_2024_2025!R:R,MATCH($B6,Admissions_2024_2025!$B:$B,0)),"")</f>
        <v/>
      </c>
      <c r="S6" t="str">
        <f>IFERROR(INDEX(Admissions_2024_2025!S:S,MATCH($B6,Admissions_2024_2025!$B:$B,0)),"")</f>
        <v/>
      </c>
      <c r="T6" t="str">
        <f>IFERROR(INDEX(Admissions_2024_2025!T:T,MATCH($B6,Admissions_2024_2025!$B:$B,0)),"")</f>
        <v/>
      </c>
      <c r="U6" t="str">
        <f>IFERROR(INDEX(Admissions_2024_2025!U:U,MATCH($B6,Admissions_2024_2025!$B:$B,0)),"")</f>
        <v/>
      </c>
      <c r="W6" t="str">
        <f>IFERROR(INDEX(Admissions_2024_2025!W:W,MATCH($B6,Admissions_2024_2025!$B:$B,0)),"")</f>
        <v>2022 admissions (name-matched to QID); outcomes</v>
      </c>
    </row>
    <row r="7" spans="1:23" x14ac:dyDescent="0.3">
      <c r="A7" t="s">
        <v>60</v>
      </c>
      <c r="B7" t="s">
        <v>75</v>
      </c>
      <c r="C7" t="s">
        <v>76</v>
      </c>
      <c r="D7">
        <f>IFERROR(INDEX(Admissions_2024_2025!D:D,MATCH($B7,Admissions_2024_2025!$B:$B,0)),"")</f>
        <v>0</v>
      </c>
      <c r="E7">
        <f>IFERROR(INDEX(Admissions_2024_2025!E:E,MATCH($B7,Admissions_2024_2025!$B:$B,0)),"")</f>
        <v>0</v>
      </c>
      <c r="F7">
        <f>IFERROR(INDEX(Admissions_2024_2025!F:F,MATCH($B7,Admissions_2024_2025!$B:$B,0)),"")</f>
        <v>67.2</v>
      </c>
      <c r="G7">
        <f>IFERROR(INDEX(Admissions_2024_2025!G:G,MATCH($B7,Admissions_2024_2025!$B:$B,0)),"")</f>
        <v>96</v>
      </c>
      <c r="H7">
        <f>IFERROR(INDEX(Admissions_2024_2025!H:H,MATCH($B7,Admissions_2024_2025!$B:$B,0)),"")</f>
        <v>54.666666666666657</v>
      </c>
      <c r="I7">
        <f>IFERROR(INDEX(Admissions_2024_2025!I:I,MATCH($B7,Admissions_2024_2025!$B:$B,0)),"")</f>
        <v>0</v>
      </c>
      <c r="J7">
        <f>IFERROR(INDEX(Admissions_2024_2025!J:J,MATCH($B7,Admissions_2024_2025!$B:$B,0)),"")</f>
        <v>168</v>
      </c>
      <c r="K7">
        <f t="shared" si="0"/>
        <v>67.2</v>
      </c>
      <c r="L7">
        <f>IFERROR(INDEX(Admissions_2024_2025!L:L,MATCH($B7,Admissions_2024_2025!$B:$B,0)),"")</f>
        <v>41</v>
      </c>
      <c r="M7">
        <f t="shared" si="1"/>
        <v>82</v>
      </c>
      <c r="N7" t="str">
        <f t="shared" si="2"/>
        <v/>
      </c>
      <c r="O7" t="str">
        <f t="shared" si="3"/>
        <v/>
      </c>
      <c r="P7">
        <f t="shared" si="4"/>
        <v>74.599999999999994</v>
      </c>
      <c r="Q7" t="str">
        <f>IFERROR(INDEX(Admissions_2024_2025!Q:Q,MATCH($B7,Admissions_2024_2025!$B:$B,0)),"")</f>
        <v/>
      </c>
      <c r="R7" t="str">
        <f>IFERROR(INDEX(Admissions_2024_2025!R:R,MATCH($B7,Admissions_2024_2025!$B:$B,0)),"")</f>
        <v/>
      </c>
      <c r="S7" t="str">
        <f>IFERROR(INDEX(Admissions_2024_2025!S:S,MATCH($B7,Admissions_2024_2025!$B:$B,0)),"")</f>
        <v/>
      </c>
      <c r="T7" t="str">
        <f>IFERROR(INDEX(Admissions_2024_2025!T:T,MATCH($B7,Admissions_2024_2025!$B:$B,0)),"")</f>
        <v/>
      </c>
      <c r="U7" t="str">
        <f>IFERROR(INDEX(Admissions_2024_2025!U:U,MATCH($B7,Admissions_2024_2025!$B:$B,0)),"")</f>
        <v/>
      </c>
      <c r="W7" t="str">
        <f>IFERROR(INDEX(Admissions_2024_2025!W:W,MATCH($B7,Admissions_2024_2025!$B:$B,0)),"")</f>
        <v>2022 admissions (name-matched to QID); outcomes</v>
      </c>
    </row>
    <row r="8" spans="1:23" x14ac:dyDescent="0.3">
      <c r="A8" t="s">
        <v>60</v>
      </c>
      <c r="B8" t="s">
        <v>77</v>
      </c>
      <c r="C8" t="s">
        <v>78</v>
      </c>
      <c r="D8">
        <f>IFERROR(INDEX(Admissions_2024_2025!D:D,MATCH($B8,Admissions_2024_2025!$B:$B,0)),"")</f>
        <v>0</v>
      </c>
      <c r="E8">
        <f>IFERROR(INDEX(Admissions_2024_2025!E:E,MATCH($B8,Admissions_2024_2025!$B:$B,0)),"")</f>
        <v>0</v>
      </c>
      <c r="F8">
        <f>IFERROR(INDEX(Admissions_2024_2025!F:F,MATCH($B8,Admissions_2024_2025!$B:$B,0)),"")</f>
        <v>58.4</v>
      </c>
      <c r="G8">
        <f>IFERROR(INDEX(Admissions_2024_2025!G:G,MATCH($B8,Admissions_2024_2025!$B:$B,0)),"")</f>
        <v>88.000000000000014</v>
      </c>
      <c r="H8">
        <f>IFERROR(INDEX(Admissions_2024_2025!H:H,MATCH($B8,Admissions_2024_2025!$B:$B,0)),"")</f>
        <v>62.666666666666657</v>
      </c>
      <c r="I8">
        <f>IFERROR(INDEX(Admissions_2024_2025!I:I,MATCH($B8,Admissions_2024_2025!$B:$B,0)),"")</f>
        <v>0</v>
      </c>
      <c r="J8">
        <f>IFERROR(INDEX(Admissions_2024_2025!J:J,MATCH($B8,Admissions_2024_2025!$B:$B,0)),"")</f>
        <v>146</v>
      </c>
      <c r="K8">
        <f t="shared" si="0"/>
        <v>58.4</v>
      </c>
      <c r="L8">
        <f>IFERROR(INDEX(Admissions_2024_2025!L:L,MATCH($B8,Admissions_2024_2025!$B:$B,0)),"")</f>
        <v>47</v>
      </c>
      <c r="M8">
        <f t="shared" si="1"/>
        <v>94</v>
      </c>
      <c r="N8" t="str">
        <f t="shared" si="2"/>
        <v/>
      </c>
      <c r="O8" t="str">
        <f t="shared" si="3"/>
        <v/>
      </c>
      <c r="P8">
        <f t="shared" si="4"/>
        <v>76.2</v>
      </c>
      <c r="Q8" t="str">
        <f>IFERROR(INDEX(Admissions_2024_2025!Q:Q,MATCH($B8,Admissions_2024_2025!$B:$B,0)),"")</f>
        <v/>
      </c>
      <c r="R8" t="str">
        <f>IFERROR(INDEX(Admissions_2024_2025!R:R,MATCH($B8,Admissions_2024_2025!$B:$B,0)),"")</f>
        <v/>
      </c>
      <c r="S8" t="str">
        <f>IFERROR(INDEX(Admissions_2024_2025!S:S,MATCH($B8,Admissions_2024_2025!$B:$B,0)),"")</f>
        <v/>
      </c>
      <c r="T8" t="str">
        <f>IFERROR(INDEX(Admissions_2024_2025!T:T,MATCH($B8,Admissions_2024_2025!$B:$B,0)),"")</f>
        <v/>
      </c>
      <c r="U8" t="str">
        <f>IFERROR(INDEX(Admissions_2024_2025!U:U,MATCH($B8,Admissions_2024_2025!$B:$B,0)),"")</f>
        <v/>
      </c>
      <c r="W8" t="str">
        <f>IFERROR(INDEX(Admissions_2024_2025!W:W,MATCH($B8,Admissions_2024_2025!$B:$B,0)),"")</f>
        <v>2022 admissions (name-matched to QID); outcomes</v>
      </c>
    </row>
    <row r="9" spans="1:23" x14ac:dyDescent="0.3">
      <c r="A9" t="s">
        <v>60</v>
      </c>
      <c r="B9" t="s">
        <v>79</v>
      </c>
      <c r="C9" t="s">
        <v>80</v>
      </c>
      <c r="D9">
        <f>IFERROR(INDEX(Admissions_2024_2025!D:D,MATCH($B9,Admissions_2024_2025!$B:$B,0)),"")</f>
        <v>0</v>
      </c>
      <c r="E9">
        <f>IFERROR(INDEX(Admissions_2024_2025!E:E,MATCH($B9,Admissions_2024_2025!$B:$B,0)),"")</f>
        <v>0</v>
      </c>
      <c r="F9">
        <f>IFERROR(INDEX(Admissions_2024_2025!F:F,MATCH($B9,Admissions_2024_2025!$B:$B,0)),"")</f>
        <v>57.6</v>
      </c>
      <c r="G9">
        <f>IFERROR(INDEX(Admissions_2024_2025!G:G,MATCH($B9,Admissions_2024_2025!$B:$B,0)),"")</f>
        <v>88.000000000000014</v>
      </c>
      <c r="H9">
        <f>IFERROR(INDEX(Admissions_2024_2025!H:H,MATCH($B9,Admissions_2024_2025!$B:$B,0)),"")</f>
        <v>74.666666666666671</v>
      </c>
      <c r="I9">
        <f>IFERROR(INDEX(Admissions_2024_2025!I:I,MATCH($B9,Admissions_2024_2025!$B:$B,0)),"")</f>
        <v>0</v>
      </c>
      <c r="J9">
        <f>IFERROR(INDEX(Admissions_2024_2025!J:J,MATCH($B9,Admissions_2024_2025!$B:$B,0)),"")</f>
        <v>144</v>
      </c>
      <c r="K9">
        <f t="shared" si="0"/>
        <v>57.599999999999994</v>
      </c>
      <c r="L9">
        <f>IFERROR(INDEX(Admissions_2024_2025!L:L,MATCH($B9,Admissions_2024_2025!$B:$B,0)),"")</f>
        <v>56</v>
      </c>
      <c r="M9">
        <f t="shared" si="1"/>
        <v>112.00000000000001</v>
      </c>
      <c r="N9" t="str">
        <f t="shared" si="2"/>
        <v/>
      </c>
      <c r="O9" t="str">
        <f t="shared" si="3"/>
        <v/>
      </c>
      <c r="P9">
        <f t="shared" si="4"/>
        <v>84.800000000000011</v>
      </c>
      <c r="Q9" t="str">
        <f>IFERROR(INDEX(Admissions_2024_2025!Q:Q,MATCH($B9,Admissions_2024_2025!$B:$B,0)),"")</f>
        <v/>
      </c>
      <c r="R9" t="str">
        <f>IFERROR(INDEX(Admissions_2024_2025!R:R,MATCH($B9,Admissions_2024_2025!$B:$B,0)),"")</f>
        <v/>
      </c>
      <c r="S9" t="str">
        <f>IFERROR(INDEX(Admissions_2024_2025!S:S,MATCH($B9,Admissions_2024_2025!$B:$B,0)),"")</f>
        <v/>
      </c>
      <c r="T9" t="str">
        <f>IFERROR(INDEX(Admissions_2024_2025!T:T,MATCH($B9,Admissions_2024_2025!$B:$B,0)),"")</f>
        <v/>
      </c>
      <c r="U9" t="str">
        <f>IFERROR(INDEX(Admissions_2024_2025!U:U,MATCH($B9,Admissions_2024_2025!$B:$B,0)),"")</f>
        <v/>
      </c>
      <c r="W9" t="str">
        <f>IFERROR(INDEX(Admissions_2024_2025!W:W,MATCH($B9,Admissions_2024_2025!$B:$B,0)),"")</f>
        <v>2022 admissions (name-matched to QID); outcomes</v>
      </c>
    </row>
    <row r="10" spans="1:23" x14ac:dyDescent="0.3">
      <c r="A10" t="s">
        <v>60</v>
      </c>
      <c r="B10" t="s">
        <v>81</v>
      </c>
      <c r="C10" t="s">
        <v>82</v>
      </c>
      <c r="D10">
        <f>IFERROR(INDEX(Admissions_2024_2025!D:D,MATCH($B10,Admissions_2024_2025!$B:$B,0)),"")</f>
        <v>0</v>
      </c>
      <c r="E10">
        <f>IFERROR(INDEX(Admissions_2024_2025!E:E,MATCH($B10,Admissions_2024_2025!$B:$B,0)),"")</f>
        <v>0</v>
      </c>
      <c r="F10">
        <f>IFERROR(INDEX(Admissions_2024_2025!F:F,MATCH($B10,Admissions_2024_2025!$B:$B,0)),"")</f>
        <v>66</v>
      </c>
      <c r="G10">
        <f>IFERROR(INDEX(Admissions_2024_2025!G:G,MATCH($B10,Admissions_2024_2025!$B:$B,0)),"")</f>
        <v>96</v>
      </c>
      <c r="H10">
        <f>IFERROR(INDEX(Admissions_2024_2025!H:H,MATCH($B10,Admissions_2024_2025!$B:$B,0)),"")</f>
        <v>74.666666666666671</v>
      </c>
      <c r="I10">
        <f>IFERROR(INDEX(Admissions_2024_2025!I:I,MATCH($B10,Admissions_2024_2025!$B:$B,0)),"")</f>
        <v>0</v>
      </c>
      <c r="J10">
        <f>IFERROR(INDEX(Admissions_2024_2025!J:J,MATCH($B10,Admissions_2024_2025!$B:$B,0)),"")</f>
        <v>165</v>
      </c>
      <c r="K10">
        <f t="shared" si="0"/>
        <v>66</v>
      </c>
      <c r="L10">
        <f>IFERROR(INDEX(Admissions_2024_2025!L:L,MATCH($B10,Admissions_2024_2025!$B:$B,0)),"")</f>
        <v>56</v>
      </c>
      <c r="M10">
        <f t="shared" si="1"/>
        <v>112.00000000000001</v>
      </c>
      <c r="N10" t="str">
        <f t="shared" si="2"/>
        <v/>
      </c>
      <c r="O10" t="str">
        <f t="shared" si="3"/>
        <v/>
      </c>
      <c r="P10">
        <f t="shared" si="4"/>
        <v>89</v>
      </c>
      <c r="Q10" t="str">
        <f>IFERROR(INDEX(Admissions_2024_2025!Q:Q,MATCH($B10,Admissions_2024_2025!$B:$B,0)),"")</f>
        <v/>
      </c>
      <c r="R10" t="str">
        <f>IFERROR(INDEX(Admissions_2024_2025!R:R,MATCH($B10,Admissions_2024_2025!$B:$B,0)),"")</f>
        <v/>
      </c>
      <c r="S10" t="str">
        <f>IFERROR(INDEX(Admissions_2024_2025!S:S,MATCH($B10,Admissions_2024_2025!$B:$B,0)),"")</f>
        <v/>
      </c>
      <c r="T10" t="str">
        <f>IFERROR(INDEX(Admissions_2024_2025!T:T,MATCH($B10,Admissions_2024_2025!$B:$B,0)),"")</f>
        <v/>
      </c>
      <c r="U10" t="str">
        <f>IFERROR(INDEX(Admissions_2024_2025!U:U,MATCH($B10,Admissions_2024_2025!$B:$B,0)),"")</f>
        <v/>
      </c>
      <c r="W10" t="str">
        <f>IFERROR(INDEX(Admissions_2024_2025!W:W,MATCH($B10,Admissions_2024_2025!$B:$B,0)),"")</f>
        <v>2022 admissions (name-matched to QID); outcomes</v>
      </c>
    </row>
    <row r="11" spans="1:23" x14ac:dyDescent="0.3">
      <c r="A11" t="s">
        <v>60</v>
      </c>
      <c r="B11" t="s">
        <v>83</v>
      </c>
      <c r="C11" t="s">
        <v>84</v>
      </c>
      <c r="D11">
        <f>IFERROR(INDEX(Admissions_2024_2025!D:D,MATCH($B11,Admissions_2024_2025!$B:$B,0)),"")</f>
        <v>0</v>
      </c>
      <c r="E11">
        <f>IFERROR(INDEX(Admissions_2024_2025!E:E,MATCH($B11,Admissions_2024_2025!$B:$B,0)),"")</f>
        <v>0</v>
      </c>
      <c r="F11">
        <f>IFERROR(INDEX(Admissions_2024_2025!F:F,MATCH($B11,Admissions_2024_2025!$B:$B,0)),"")</f>
        <v>0</v>
      </c>
      <c r="G11">
        <f>IFERROR(INDEX(Admissions_2024_2025!G:G,MATCH($B11,Admissions_2024_2025!$B:$B,0)),"")</f>
        <v>96</v>
      </c>
      <c r="H11">
        <f>IFERROR(INDEX(Admissions_2024_2025!H:H,MATCH($B11,Admissions_2024_2025!$B:$B,0)),"")</f>
        <v>72</v>
      </c>
      <c r="I11">
        <f>IFERROR(INDEX(Admissions_2024_2025!I:I,MATCH($B11,Admissions_2024_2025!$B:$B,0)),"")</f>
        <v>0</v>
      </c>
      <c r="J11">
        <f>IFERROR(INDEX(Admissions_2024_2025!J:J,MATCH($B11,Admissions_2024_2025!$B:$B,0)),"")</f>
        <v>0</v>
      </c>
      <c r="K11">
        <f t="shared" si="0"/>
        <v>0</v>
      </c>
      <c r="L11">
        <f>IFERROR(INDEX(Admissions_2024_2025!L:L,MATCH($B11,Admissions_2024_2025!$B:$B,0)),"")</f>
        <v>54</v>
      </c>
      <c r="M11">
        <f t="shared" si="1"/>
        <v>108</v>
      </c>
      <c r="N11" t="str">
        <f t="shared" si="2"/>
        <v/>
      </c>
      <c r="O11" t="str">
        <f t="shared" si="3"/>
        <v/>
      </c>
      <c r="P11">
        <f t="shared" si="4"/>
        <v>54</v>
      </c>
      <c r="Q11" t="str">
        <f>IFERROR(INDEX(Admissions_2024_2025!Q:Q,MATCH($B11,Admissions_2024_2025!$B:$B,0)),"")</f>
        <v/>
      </c>
      <c r="R11" t="str">
        <f>IFERROR(INDEX(Admissions_2024_2025!R:R,MATCH($B11,Admissions_2024_2025!$B:$B,0)),"")</f>
        <v/>
      </c>
      <c r="S11" t="str">
        <f>IFERROR(INDEX(Admissions_2024_2025!S:S,MATCH($B11,Admissions_2024_2025!$B:$B,0)),"")</f>
        <v/>
      </c>
      <c r="T11" t="str">
        <f>IFERROR(INDEX(Admissions_2024_2025!T:T,MATCH($B11,Admissions_2024_2025!$B:$B,0)),"")</f>
        <v/>
      </c>
      <c r="U11" t="str">
        <f>IFERROR(INDEX(Admissions_2024_2025!U:U,MATCH($B11,Admissions_2024_2025!$B:$B,0)),"")</f>
        <v/>
      </c>
      <c r="W11" t="str">
        <f>IFERROR(INDEX(Admissions_2024_2025!W:W,MATCH($B11,Admissions_2024_2025!$B:$B,0)),"")</f>
        <v>2022 admissions (name-matched to QID); outcomes</v>
      </c>
    </row>
    <row r="12" spans="1:23" x14ac:dyDescent="0.3">
      <c r="A12" t="s">
        <v>60</v>
      </c>
      <c r="B12" t="s">
        <v>85</v>
      </c>
      <c r="C12" t="s">
        <v>86</v>
      </c>
      <c r="D12">
        <f>IFERROR(INDEX(Admissions_2024_2025!D:D,MATCH($B12,Admissions_2024_2025!$B:$B,0)),"")</f>
        <v>0</v>
      </c>
      <c r="E12">
        <f>IFERROR(INDEX(Admissions_2024_2025!E:E,MATCH($B12,Admissions_2024_2025!$B:$B,0)),"")</f>
        <v>0</v>
      </c>
      <c r="F12">
        <f>IFERROR(INDEX(Admissions_2024_2025!F:F,MATCH($B12,Admissions_2024_2025!$B:$B,0)),"")</f>
        <v>62</v>
      </c>
      <c r="G12">
        <f>IFERROR(INDEX(Admissions_2024_2025!G:G,MATCH($B12,Admissions_2024_2025!$B:$B,0)),"")</f>
        <v>91.999999999999986</v>
      </c>
      <c r="H12">
        <f>IFERROR(INDEX(Admissions_2024_2025!H:H,MATCH($B12,Admissions_2024_2025!$B:$B,0)),"")</f>
        <v>60</v>
      </c>
      <c r="I12">
        <f>IFERROR(INDEX(Admissions_2024_2025!I:I,MATCH($B12,Admissions_2024_2025!$B:$B,0)),"")</f>
        <v>0</v>
      </c>
      <c r="J12">
        <f>IFERROR(INDEX(Admissions_2024_2025!J:J,MATCH($B12,Admissions_2024_2025!$B:$B,0)),"")</f>
        <v>155</v>
      </c>
      <c r="K12">
        <f t="shared" si="0"/>
        <v>62</v>
      </c>
      <c r="L12">
        <f>IFERROR(INDEX(Admissions_2024_2025!L:L,MATCH($B12,Admissions_2024_2025!$B:$B,0)),"")</f>
        <v>45</v>
      </c>
      <c r="M12">
        <f t="shared" si="1"/>
        <v>90</v>
      </c>
      <c r="N12" t="str">
        <f t="shared" si="2"/>
        <v/>
      </c>
      <c r="O12" t="str">
        <f t="shared" si="3"/>
        <v/>
      </c>
      <c r="P12">
        <f t="shared" si="4"/>
        <v>76</v>
      </c>
      <c r="Q12" t="str">
        <f>IFERROR(INDEX(Admissions_2024_2025!Q:Q,MATCH($B12,Admissions_2024_2025!$B:$B,0)),"")</f>
        <v/>
      </c>
      <c r="R12" t="str">
        <f>IFERROR(INDEX(Admissions_2024_2025!R:R,MATCH($B12,Admissions_2024_2025!$B:$B,0)),"")</f>
        <v/>
      </c>
      <c r="S12" t="str">
        <f>IFERROR(INDEX(Admissions_2024_2025!S:S,MATCH($B12,Admissions_2024_2025!$B:$B,0)),"")</f>
        <v/>
      </c>
      <c r="T12" t="str">
        <f>IFERROR(INDEX(Admissions_2024_2025!T:T,MATCH($B12,Admissions_2024_2025!$B:$B,0)),"")</f>
        <v/>
      </c>
      <c r="U12" t="str">
        <f>IFERROR(INDEX(Admissions_2024_2025!U:U,MATCH($B12,Admissions_2024_2025!$B:$B,0)),"")</f>
        <v/>
      </c>
      <c r="W12" t="str">
        <f>IFERROR(INDEX(Admissions_2024_2025!W:W,MATCH($B12,Admissions_2024_2025!$B:$B,0)),"")</f>
        <v>2022 admissions (name-matched to QID); outcomes</v>
      </c>
    </row>
    <row r="13" spans="1:23" x14ac:dyDescent="0.3">
      <c r="A13" t="s">
        <v>60</v>
      </c>
      <c r="B13" t="s">
        <v>87</v>
      </c>
      <c r="C13" t="s">
        <v>88</v>
      </c>
      <c r="D13">
        <f>IFERROR(INDEX(Admissions_2024_2025!D:D,MATCH($B13,Admissions_2024_2025!$B:$B,0)),"")</f>
        <v>0</v>
      </c>
      <c r="E13">
        <f>IFERROR(INDEX(Admissions_2024_2025!E:E,MATCH($B13,Admissions_2024_2025!$B:$B,0)),"")</f>
        <v>0</v>
      </c>
      <c r="F13">
        <f>IFERROR(INDEX(Admissions_2024_2025!F:F,MATCH($B13,Admissions_2024_2025!$B:$B,0)),"")</f>
        <v>43.6</v>
      </c>
      <c r="G13">
        <f>IFERROR(INDEX(Admissions_2024_2025!G:G,MATCH($B13,Admissions_2024_2025!$B:$B,0)),"")</f>
        <v>56</v>
      </c>
      <c r="H13">
        <f>IFERROR(INDEX(Admissions_2024_2025!H:H,MATCH($B13,Admissions_2024_2025!$B:$B,0)),"")</f>
        <v>74.666666666666671</v>
      </c>
      <c r="I13">
        <f>IFERROR(INDEX(Admissions_2024_2025!I:I,MATCH($B13,Admissions_2024_2025!$B:$B,0)),"")</f>
        <v>0</v>
      </c>
      <c r="J13">
        <f>IFERROR(INDEX(Admissions_2024_2025!J:J,MATCH($B13,Admissions_2024_2025!$B:$B,0)),"")</f>
        <v>109</v>
      </c>
      <c r="K13">
        <f t="shared" si="0"/>
        <v>43.6</v>
      </c>
      <c r="L13">
        <f>IFERROR(INDEX(Admissions_2024_2025!L:L,MATCH($B13,Admissions_2024_2025!$B:$B,0)),"")</f>
        <v>56</v>
      </c>
      <c r="M13">
        <f t="shared" si="1"/>
        <v>112.00000000000001</v>
      </c>
      <c r="N13" t="str">
        <f t="shared" si="2"/>
        <v/>
      </c>
      <c r="O13" t="str">
        <f t="shared" si="3"/>
        <v/>
      </c>
      <c r="P13">
        <f t="shared" si="4"/>
        <v>77.800000000000011</v>
      </c>
      <c r="Q13" t="str">
        <f>IFERROR(INDEX(Admissions_2024_2025!Q:Q,MATCH($B13,Admissions_2024_2025!$B:$B,0)),"")</f>
        <v/>
      </c>
      <c r="R13" t="str">
        <f>IFERROR(INDEX(Admissions_2024_2025!R:R,MATCH($B13,Admissions_2024_2025!$B:$B,0)),"")</f>
        <v/>
      </c>
      <c r="S13" t="str">
        <f>IFERROR(INDEX(Admissions_2024_2025!S:S,MATCH($B13,Admissions_2024_2025!$B:$B,0)),"")</f>
        <v/>
      </c>
      <c r="T13" t="str">
        <f>IFERROR(INDEX(Admissions_2024_2025!T:T,MATCH($B13,Admissions_2024_2025!$B:$B,0)),"")</f>
        <v/>
      </c>
      <c r="U13" t="str">
        <f>IFERROR(INDEX(Admissions_2024_2025!U:U,MATCH($B13,Admissions_2024_2025!$B:$B,0)),"")</f>
        <v/>
      </c>
      <c r="W13" t="str">
        <f>IFERROR(INDEX(Admissions_2024_2025!W:W,MATCH($B13,Admissions_2024_2025!$B:$B,0)),"")</f>
        <v>2022 admissions (name-matched to QID); outcomes</v>
      </c>
    </row>
    <row r="14" spans="1:23" x14ac:dyDescent="0.3">
      <c r="A14" t="s">
        <v>60</v>
      </c>
      <c r="B14" t="s">
        <v>89</v>
      </c>
      <c r="C14" t="s">
        <v>90</v>
      </c>
      <c r="D14">
        <f>IFERROR(INDEX(Admissions_2024_2025!D:D,MATCH($B14,Admissions_2024_2025!$B:$B,0)),"")</f>
        <v>0</v>
      </c>
      <c r="E14">
        <f>IFERROR(INDEX(Admissions_2024_2025!E:E,MATCH($B14,Admissions_2024_2025!$B:$B,0)),"")</f>
        <v>0</v>
      </c>
      <c r="F14">
        <f>IFERROR(INDEX(Admissions_2024_2025!F:F,MATCH($B14,Admissions_2024_2025!$B:$B,0)),"")</f>
        <v>60.8</v>
      </c>
      <c r="G14">
        <f>IFERROR(INDEX(Admissions_2024_2025!G:G,MATCH($B14,Admissions_2024_2025!$B:$B,0)),"")</f>
        <v>88.000000000000014</v>
      </c>
      <c r="H14">
        <f>IFERROR(INDEX(Admissions_2024_2025!H:H,MATCH($B14,Admissions_2024_2025!$B:$B,0)),"")</f>
        <v>61.333333333333343</v>
      </c>
      <c r="I14">
        <f>IFERROR(INDEX(Admissions_2024_2025!I:I,MATCH($B14,Admissions_2024_2025!$B:$B,0)),"")</f>
        <v>0</v>
      </c>
      <c r="J14">
        <f>IFERROR(INDEX(Admissions_2024_2025!J:J,MATCH($B14,Admissions_2024_2025!$B:$B,0)),"")</f>
        <v>152</v>
      </c>
      <c r="K14">
        <f t="shared" si="0"/>
        <v>60.8</v>
      </c>
      <c r="L14">
        <f>IFERROR(INDEX(Admissions_2024_2025!L:L,MATCH($B14,Admissions_2024_2025!$B:$B,0)),"")</f>
        <v>46</v>
      </c>
      <c r="M14">
        <f t="shared" si="1"/>
        <v>92</v>
      </c>
      <c r="N14" t="str">
        <f t="shared" si="2"/>
        <v/>
      </c>
      <c r="O14" t="str">
        <f t="shared" si="3"/>
        <v/>
      </c>
      <c r="P14">
        <f t="shared" si="4"/>
        <v>76.400000000000006</v>
      </c>
      <c r="Q14" t="str">
        <f>IFERROR(INDEX(Admissions_2024_2025!Q:Q,MATCH($B14,Admissions_2024_2025!$B:$B,0)),"")</f>
        <v/>
      </c>
      <c r="R14" t="str">
        <f>IFERROR(INDEX(Admissions_2024_2025!R:R,MATCH($B14,Admissions_2024_2025!$B:$B,0)),"")</f>
        <v/>
      </c>
      <c r="S14" t="str">
        <f>IFERROR(INDEX(Admissions_2024_2025!S:S,MATCH($B14,Admissions_2024_2025!$B:$B,0)),"")</f>
        <v/>
      </c>
      <c r="T14" t="str">
        <f>IFERROR(INDEX(Admissions_2024_2025!T:T,MATCH($B14,Admissions_2024_2025!$B:$B,0)),"")</f>
        <v/>
      </c>
      <c r="U14" t="str">
        <f>IFERROR(INDEX(Admissions_2024_2025!U:U,MATCH($B14,Admissions_2024_2025!$B:$B,0)),"")</f>
        <v/>
      </c>
      <c r="W14" t="str">
        <f>IFERROR(INDEX(Admissions_2024_2025!W:W,MATCH($B14,Admissions_2024_2025!$B:$B,0)),"")</f>
        <v>2022 admissions (name-matched to QID); outcomes</v>
      </c>
    </row>
    <row r="15" spans="1:23" x14ac:dyDescent="0.3">
      <c r="A15" t="s">
        <v>60</v>
      </c>
      <c r="B15" t="s">
        <v>91</v>
      </c>
      <c r="C15" t="s">
        <v>92</v>
      </c>
      <c r="D15">
        <f>IFERROR(INDEX(Admissions_2024_2025!D:D,MATCH($B15,Admissions_2024_2025!$B:$B,0)),"")</f>
        <v>0</v>
      </c>
      <c r="E15">
        <f>IFERROR(INDEX(Admissions_2024_2025!E:E,MATCH($B15,Admissions_2024_2025!$B:$B,0)),"")</f>
        <v>0</v>
      </c>
      <c r="F15">
        <f>IFERROR(INDEX(Admissions_2024_2025!F:F,MATCH($B15,Admissions_2024_2025!$B:$B,0)),"")</f>
        <v>61.2</v>
      </c>
      <c r="G15">
        <f>IFERROR(INDEX(Admissions_2024_2025!G:G,MATCH($B15,Admissions_2024_2025!$B:$B,0)),"")</f>
        <v>91.999999999999986</v>
      </c>
      <c r="H15">
        <f>IFERROR(INDEX(Admissions_2024_2025!H:H,MATCH($B15,Admissions_2024_2025!$B:$B,0)),"")</f>
        <v>62.666666666666657</v>
      </c>
      <c r="I15">
        <f>IFERROR(INDEX(Admissions_2024_2025!I:I,MATCH($B15,Admissions_2024_2025!$B:$B,0)),"")</f>
        <v>0</v>
      </c>
      <c r="J15">
        <f>IFERROR(INDEX(Admissions_2024_2025!J:J,MATCH($B15,Admissions_2024_2025!$B:$B,0)),"")</f>
        <v>153</v>
      </c>
      <c r="K15">
        <f t="shared" si="0"/>
        <v>61.199999999999996</v>
      </c>
      <c r="L15">
        <f>IFERROR(INDEX(Admissions_2024_2025!L:L,MATCH($B15,Admissions_2024_2025!$B:$B,0)),"")</f>
        <v>47</v>
      </c>
      <c r="M15">
        <f t="shared" si="1"/>
        <v>94</v>
      </c>
      <c r="N15" t="str">
        <f t="shared" si="2"/>
        <v/>
      </c>
      <c r="O15" t="str">
        <f t="shared" si="3"/>
        <v/>
      </c>
      <c r="P15">
        <f t="shared" si="4"/>
        <v>77.599999999999994</v>
      </c>
      <c r="Q15" t="str">
        <f>IFERROR(INDEX(Admissions_2024_2025!Q:Q,MATCH($B15,Admissions_2024_2025!$B:$B,0)),"")</f>
        <v/>
      </c>
      <c r="R15" t="str">
        <f>IFERROR(INDEX(Admissions_2024_2025!R:R,MATCH($B15,Admissions_2024_2025!$B:$B,0)),"")</f>
        <v/>
      </c>
      <c r="S15" t="str">
        <f>IFERROR(INDEX(Admissions_2024_2025!S:S,MATCH($B15,Admissions_2024_2025!$B:$B,0)),"")</f>
        <v/>
      </c>
      <c r="T15" t="str">
        <f>IFERROR(INDEX(Admissions_2024_2025!T:T,MATCH($B15,Admissions_2024_2025!$B:$B,0)),"")</f>
        <v/>
      </c>
      <c r="U15" t="str">
        <f>IFERROR(INDEX(Admissions_2024_2025!U:U,MATCH($B15,Admissions_2024_2025!$B:$B,0)),"")</f>
        <v/>
      </c>
      <c r="W15" t="str">
        <f>IFERROR(INDEX(Admissions_2024_2025!W:W,MATCH($B15,Admissions_2024_2025!$B:$B,0)),"")</f>
        <v>2022 admissions (name-matched to QID); outcomes</v>
      </c>
    </row>
    <row r="16" spans="1:23" x14ac:dyDescent="0.3">
      <c r="A16" t="s">
        <v>60</v>
      </c>
      <c r="B16" t="s">
        <v>93</v>
      </c>
      <c r="C16" t="s">
        <v>94</v>
      </c>
      <c r="D16">
        <f>IFERROR(INDEX(Admissions_2024_2025!D:D,MATCH($B16,Admissions_2024_2025!$B:$B,0)),"")</f>
        <v>0</v>
      </c>
      <c r="E16">
        <f>IFERROR(INDEX(Admissions_2024_2025!E:E,MATCH($B16,Admissions_2024_2025!$B:$B,0)),"")</f>
        <v>0</v>
      </c>
      <c r="F16">
        <f>IFERROR(INDEX(Admissions_2024_2025!F:F,MATCH($B16,Admissions_2024_2025!$B:$B,0)),"")</f>
        <v>56.8</v>
      </c>
      <c r="G16">
        <f>IFERROR(INDEX(Admissions_2024_2025!G:G,MATCH($B16,Admissions_2024_2025!$B:$B,0)),"")</f>
        <v>100</v>
      </c>
      <c r="H16">
        <f>IFERROR(INDEX(Admissions_2024_2025!H:H,MATCH($B16,Admissions_2024_2025!$B:$B,0)),"")</f>
        <v>53.333333333333343</v>
      </c>
      <c r="I16">
        <f>IFERROR(INDEX(Admissions_2024_2025!I:I,MATCH($B16,Admissions_2024_2025!$B:$B,0)),"")</f>
        <v>0</v>
      </c>
      <c r="J16">
        <f>IFERROR(INDEX(Admissions_2024_2025!J:J,MATCH($B16,Admissions_2024_2025!$B:$B,0)),"")</f>
        <v>142</v>
      </c>
      <c r="K16">
        <f t="shared" si="0"/>
        <v>56.8</v>
      </c>
      <c r="L16">
        <f>IFERROR(INDEX(Admissions_2024_2025!L:L,MATCH($B16,Admissions_2024_2025!$B:$B,0)),"")</f>
        <v>40</v>
      </c>
      <c r="M16">
        <f t="shared" si="1"/>
        <v>80</v>
      </c>
      <c r="N16" t="str">
        <f t="shared" si="2"/>
        <v/>
      </c>
      <c r="O16" t="str">
        <f t="shared" si="3"/>
        <v/>
      </c>
      <c r="P16">
        <f t="shared" si="4"/>
        <v>68.400000000000006</v>
      </c>
      <c r="Q16" t="str">
        <f>IFERROR(INDEX(Admissions_2024_2025!Q:Q,MATCH($B16,Admissions_2024_2025!$B:$B,0)),"")</f>
        <v/>
      </c>
      <c r="R16" t="str">
        <f>IFERROR(INDEX(Admissions_2024_2025!R:R,MATCH($B16,Admissions_2024_2025!$B:$B,0)),"")</f>
        <v/>
      </c>
      <c r="S16" t="str">
        <f>IFERROR(INDEX(Admissions_2024_2025!S:S,MATCH($B16,Admissions_2024_2025!$B:$B,0)),"")</f>
        <v/>
      </c>
      <c r="T16" t="str">
        <f>IFERROR(INDEX(Admissions_2024_2025!T:T,MATCH($B16,Admissions_2024_2025!$B:$B,0)),"")</f>
        <v/>
      </c>
      <c r="U16" t="str">
        <f>IFERROR(INDEX(Admissions_2024_2025!U:U,MATCH($B16,Admissions_2024_2025!$B:$B,0)),"")</f>
        <v/>
      </c>
      <c r="W16" t="str">
        <f>IFERROR(INDEX(Admissions_2024_2025!W:W,MATCH($B16,Admissions_2024_2025!$B:$B,0)),"")</f>
        <v>2022 admissions (name-matched to QID); outcomes</v>
      </c>
    </row>
    <row r="17" spans="1:23" x14ac:dyDescent="0.3">
      <c r="A17" t="s">
        <v>60</v>
      </c>
      <c r="B17" t="s">
        <v>95</v>
      </c>
      <c r="C17" t="s">
        <v>96</v>
      </c>
      <c r="D17">
        <f>IFERROR(INDEX(Admissions_2024_2025!D:D,MATCH($B17,Admissions_2024_2025!$B:$B,0)),"")</f>
        <v>0</v>
      </c>
      <c r="E17">
        <f>IFERROR(INDEX(Admissions_2024_2025!E:E,MATCH($B17,Admissions_2024_2025!$B:$B,0)),"")</f>
        <v>0</v>
      </c>
      <c r="F17">
        <f>IFERROR(INDEX(Admissions_2024_2025!F:F,MATCH($B17,Admissions_2024_2025!$B:$B,0)),"")</f>
        <v>60.4</v>
      </c>
      <c r="G17">
        <f>IFERROR(INDEX(Admissions_2024_2025!G:G,MATCH($B17,Admissions_2024_2025!$B:$B,0)),"")</f>
        <v>84</v>
      </c>
      <c r="H17">
        <f>IFERROR(INDEX(Admissions_2024_2025!H:H,MATCH($B17,Admissions_2024_2025!$B:$B,0)),"")</f>
        <v>62.666666666666657</v>
      </c>
      <c r="I17">
        <f>IFERROR(INDEX(Admissions_2024_2025!I:I,MATCH($B17,Admissions_2024_2025!$B:$B,0)),"")</f>
        <v>0</v>
      </c>
      <c r="J17">
        <f>IFERROR(INDEX(Admissions_2024_2025!J:J,MATCH($B17,Admissions_2024_2025!$B:$B,0)),"")</f>
        <v>151</v>
      </c>
      <c r="K17">
        <f t="shared" si="0"/>
        <v>60.4</v>
      </c>
      <c r="L17">
        <f>IFERROR(INDEX(Admissions_2024_2025!L:L,MATCH($B17,Admissions_2024_2025!$B:$B,0)),"")</f>
        <v>47</v>
      </c>
      <c r="M17">
        <f t="shared" si="1"/>
        <v>94</v>
      </c>
      <c r="N17" t="str">
        <f t="shared" si="2"/>
        <v/>
      </c>
      <c r="O17" t="str">
        <f t="shared" si="3"/>
        <v/>
      </c>
      <c r="P17">
        <f t="shared" si="4"/>
        <v>77.2</v>
      </c>
      <c r="Q17" t="str">
        <f>IFERROR(INDEX(Admissions_2024_2025!Q:Q,MATCH($B17,Admissions_2024_2025!$B:$B,0)),"")</f>
        <v/>
      </c>
      <c r="R17" t="str">
        <f>IFERROR(INDEX(Admissions_2024_2025!R:R,MATCH($B17,Admissions_2024_2025!$B:$B,0)),"")</f>
        <v/>
      </c>
      <c r="S17" t="str">
        <f>IFERROR(INDEX(Admissions_2024_2025!S:S,MATCH($B17,Admissions_2024_2025!$B:$B,0)),"")</f>
        <v/>
      </c>
      <c r="T17" t="str">
        <f>IFERROR(INDEX(Admissions_2024_2025!T:T,MATCH($B17,Admissions_2024_2025!$B:$B,0)),"")</f>
        <v/>
      </c>
      <c r="U17" t="str">
        <f>IFERROR(INDEX(Admissions_2024_2025!U:U,MATCH($B17,Admissions_2024_2025!$B:$B,0)),"")</f>
        <v/>
      </c>
      <c r="W17" t="str">
        <f>IFERROR(INDEX(Admissions_2024_2025!W:W,MATCH($B17,Admissions_2024_2025!$B:$B,0)),"")</f>
        <v>2022 admissions (name-matched to QID); outcomes</v>
      </c>
    </row>
    <row r="18" spans="1:23" x14ac:dyDescent="0.3">
      <c r="A18" t="s">
        <v>60</v>
      </c>
      <c r="B18" t="s">
        <v>97</v>
      </c>
      <c r="C18" t="s">
        <v>98</v>
      </c>
      <c r="D18">
        <f>IFERROR(INDEX(Admissions_2024_2025!D:D,MATCH($B18,Admissions_2024_2025!$B:$B,0)),"")</f>
        <v>0</v>
      </c>
      <c r="E18">
        <f>IFERROR(INDEX(Admissions_2024_2025!E:E,MATCH($B18,Admissions_2024_2025!$B:$B,0)),"")</f>
        <v>0</v>
      </c>
      <c r="F18">
        <f>IFERROR(INDEX(Admissions_2024_2025!F:F,MATCH($B18,Admissions_2024_2025!$B:$B,0)),"")</f>
        <v>40.4</v>
      </c>
      <c r="G18">
        <f>IFERROR(INDEX(Admissions_2024_2025!G:G,MATCH($B18,Admissions_2024_2025!$B:$B,0)),"")</f>
        <v>68</v>
      </c>
      <c r="H18">
        <f>IFERROR(INDEX(Admissions_2024_2025!H:H,MATCH($B18,Admissions_2024_2025!$B:$B,0)),"")</f>
        <v>53.333333333333343</v>
      </c>
      <c r="I18">
        <f>IFERROR(INDEX(Admissions_2024_2025!I:I,MATCH($B18,Admissions_2024_2025!$B:$B,0)),"")</f>
        <v>0</v>
      </c>
      <c r="J18">
        <f>IFERROR(INDEX(Admissions_2024_2025!J:J,MATCH($B18,Admissions_2024_2025!$B:$B,0)),"")</f>
        <v>101</v>
      </c>
      <c r="K18">
        <f t="shared" si="0"/>
        <v>40.400000000000006</v>
      </c>
      <c r="L18">
        <f>IFERROR(INDEX(Admissions_2024_2025!L:L,MATCH($B18,Admissions_2024_2025!$B:$B,0)),"")</f>
        <v>40</v>
      </c>
      <c r="M18">
        <f t="shared" si="1"/>
        <v>80</v>
      </c>
      <c r="N18" t="str">
        <f t="shared" si="2"/>
        <v/>
      </c>
      <c r="O18" t="str">
        <f t="shared" si="3"/>
        <v/>
      </c>
      <c r="P18">
        <f t="shared" si="4"/>
        <v>60.2</v>
      </c>
      <c r="Q18" t="str">
        <f>IFERROR(INDEX(Admissions_2024_2025!Q:Q,MATCH($B18,Admissions_2024_2025!$B:$B,0)),"")</f>
        <v/>
      </c>
      <c r="R18" t="str">
        <f>IFERROR(INDEX(Admissions_2024_2025!R:R,MATCH($B18,Admissions_2024_2025!$B:$B,0)),"")</f>
        <v/>
      </c>
      <c r="S18" t="str">
        <f>IFERROR(INDEX(Admissions_2024_2025!S:S,MATCH($B18,Admissions_2024_2025!$B:$B,0)),"")</f>
        <v/>
      </c>
      <c r="T18" t="str">
        <f>IFERROR(INDEX(Admissions_2024_2025!T:T,MATCH($B18,Admissions_2024_2025!$B:$B,0)),"")</f>
        <v/>
      </c>
      <c r="U18" t="str">
        <f>IFERROR(INDEX(Admissions_2024_2025!U:U,MATCH($B18,Admissions_2024_2025!$B:$B,0)),"")</f>
        <v/>
      </c>
      <c r="W18" t="str">
        <f>IFERROR(INDEX(Admissions_2024_2025!W:W,MATCH($B18,Admissions_2024_2025!$B:$B,0)),"")</f>
        <v>2022 admissions (name-matched to QID); outcomes</v>
      </c>
    </row>
    <row r="19" spans="1:23" x14ac:dyDescent="0.3">
      <c r="A19" t="s">
        <v>60</v>
      </c>
      <c r="B19" t="s">
        <v>100</v>
      </c>
      <c r="C19" t="s">
        <v>101</v>
      </c>
      <c r="D19">
        <f>IFERROR(INDEX(Admissions_2024_2025!D:D,MATCH($B19,Admissions_2024_2025!$B:$B,0)),"")</f>
        <v>0</v>
      </c>
      <c r="E19">
        <f>IFERROR(INDEX(Admissions_2024_2025!E:E,MATCH($B19,Admissions_2024_2025!$B:$B,0)),"")</f>
        <v>0</v>
      </c>
      <c r="F19">
        <f>IFERROR(INDEX(Admissions_2024_2025!F:F,MATCH($B19,Admissions_2024_2025!$B:$B,0)),"")</f>
        <v>63.2</v>
      </c>
      <c r="G19">
        <f>IFERROR(INDEX(Admissions_2024_2025!G:G,MATCH($B19,Admissions_2024_2025!$B:$B,0)),"")</f>
        <v>96</v>
      </c>
      <c r="H19">
        <f>IFERROR(INDEX(Admissions_2024_2025!H:H,MATCH($B19,Admissions_2024_2025!$B:$B,0)),"")</f>
        <v>57.333333333333343</v>
      </c>
      <c r="I19">
        <f>IFERROR(INDEX(Admissions_2024_2025!I:I,MATCH($B19,Admissions_2024_2025!$B:$B,0)),"")</f>
        <v>0</v>
      </c>
      <c r="J19">
        <f>IFERROR(INDEX(Admissions_2024_2025!J:J,MATCH($B19,Admissions_2024_2025!$B:$B,0)),"")</f>
        <v>158</v>
      </c>
      <c r="K19">
        <f t="shared" si="0"/>
        <v>63.2</v>
      </c>
      <c r="L19">
        <f>IFERROR(INDEX(Admissions_2024_2025!L:L,MATCH($B19,Admissions_2024_2025!$B:$B,0)),"")</f>
        <v>43</v>
      </c>
      <c r="M19">
        <f t="shared" si="1"/>
        <v>86</v>
      </c>
      <c r="N19" t="str">
        <f t="shared" si="2"/>
        <v/>
      </c>
      <c r="O19" t="str">
        <f t="shared" si="3"/>
        <v/>
      </c>
      <c r="P19">
        <f t="shared" si="4"/>
        <v>74.599999999999994</v>
      </c>
      <c r="Q19" t="str">
        <f>IFERROR(INDEX(Admissions_2024_2025!Q:Q,MATCH($B19,Admissions_2024_2025!$B:$B,0)),"")</f>
        <v/>
      </c>
      <c r="R19" t="str">
        <f>IFERROR(INDEX(Admissions_2024_2025!R:R,MATCH($B19,Admissions_2024_2025!$B:$B,0)),"")</f>
        <v/>
      </c>
      <c r="S19" t="str">
        <f>IFERROR(INDEX(Admissions_2024_2025!S:S,MATCH($B19,Admissions_2024_2025!$B:$B,0)),"")</f>
        <v/>
      </c>
      <c r="T19" t="str">
        <f>IFERROR(INDEX(Admissions_2024_2025!T:T,MATCH($B19,Admissions_2024_2025!$B:$B,0)),"")</f>
        <v/>
      </c>
      <c r="U19" t="str">
        <f>IFERROR(INDEX(Admissions_2024_2025!U:U,MATCH($B19,Admissions_2024_2025!$B:$B,0)),"")</f>
        <v/>
      </c>
      <c r="W19" t="str">
        <f>IFERROR(INDEX(Admissions_2024_2025!W:W,MATCH($B19,Admissions_2024_2025!$B:$B,0)),"")</f>
        <v>2022 admissions (name-matched to QID); outcomes</v>
      </c>
    </row>
    <row r="20" spans="1:23" x14ac:dyDescent="0.3">
      <c r="A20" t="s">
        <v>60</v>
      </c>
      <c r="B20" t="s">
        <v>102</v>
      </c>
      <c r="C20" t="s">
        <v>103</v>
      </c>
      <c r="D20">
        <f>IFERROR(INDEX(Admissions_2024_2025!D:D,MATCH($B20,Admissions_2024_2025!$B:$B,0)),"")</f>
        <v>0</v>
      </c>
      <c r="E20">
        <f>IFERROR(INDEX(Admissions_2024_2025!E:E,MATCH($B20,Admissions_2024_2025!$B:$B,0)),"")</f>
        <v>0</v>
      </c>
      <c r="F20">
        <f>IFERROR(INDEX(Admissions_2024_2025!F:F,MATCH($B20,Admissions_2024_2025!$B:$B,0)),"")</f>
        <v>46.4</v>
      </c>
      <c r="G20">
        <f>IFERROR(INDEX(Admissions_2024_2025!G:G,MATCH($B20,Admissions_2024_2025!$B:$B,0)),"")</f>
        <v>72</v>
      </c>
      <c r="H20">
        <f>IFERROR(INDEX(Admissions_2024_2025!H:H,MATCH($B20,Admissions_2024_2025!$B:$B,0)),"")</f>
        <v>77.333333333333329</v>
      </c>
      <c r="I20">
        <f>IFERROR(INDEX(Admissions_2024_2025!I:I,MATCH($B20,Admissions_2024_2025!$B:$B,0)),"")</f>
        <v>0</v>
      </c>
      <c r="J20">
        <f>IFERROR(INDEX(Admissions_2024_2025!J:J,MATCH($B20,Admissions_2024_2025!$B:$B,0)),"")</f>
        <v>116</v>
      </c>
      <c r="K20">
        <f t="shared" si="0"/>
        <v>46.400000000000006</v>
      </c>
      <c r="L20">
        <f>IFERROR(INDEX(Admissions_2024_2025!L:L,MATCH($B20,Admissions_2024_2025!$B:$B,0)),"")</f>
        <v>58</v>
      </c>
      <c r="M20">
        <f t="shared" si="1"/>
        <v>115.99999999999999</v>
      </c>
      <c r="N20" t="str">
        <f t="shared" si="2"/>
        <v/>
      </c>
      <c r="O20" t="str">
        <f t="shared" si="3"/>
        <v/>
      </c>
      <c r="P20">
        <f t="shared" si="4"/>
        <v>81.199999999999989</v>
      </c>
      <c r="Q20" t="str">
        <f>IFERROR(INDEX(Admissions_2024_2025!Q:Q,MATCH($B20,Admissions_2024_2025!$B:$B,0)),"")</f>
        <v/>
      </c>
      <c r="R20" t="str">
        <f>IFERROR(INDEX(Admissions_2024_2025!R:R,MATCH($B20,Admissions_2024_2025!$B:$B,0)),"")</f>
        <v/>
      </c>
      <c r="S20" t="str">
        <f>IFERROR(INDEX(Admissions_2024_2025!S:S,MATCH($B20,Admissions_2024_2025!$B:$B,0)),"")</f>
        <v/>
      </c>
      <c r="T20" t="str">
        <f>IFERROR(INDEX(Admissions_2024_2025!T:T,MATCH($B20,Admissions_2024_2025!$B:$B,0)),"")</f>
        <v/>
      </c>
      <c r="U20" t="str">
        <f>IFERROR(INDEX(Admissions_2024_2025!U:U,MATCH($B20,Admissions_2024_2025!$B:$B,0)),"")</f>
        <v/>
      </c>
      <c r="W20" t="str">
        <f>IFERROR(INDEX(Admissions_2024_2025!W:W,MATCH($B20,Admissions_2024_2025!$B:$B,0)),"")</f>
        <v>2022 admissions (name-matched to QID); outcomes</v>
      </c>
    </row>
    <row r="21" spans="1:23" x14ac:dyDescent="0.3">
      <c r="A21" t="s">
        <v>60</v>
      </c>
      <c r="B21" t="s">
        <v>104</v>
      </c>
      <c r="C21" t="s">
        <v>105</v>
      </c>
      <c r="D21">
        <f>IFERROR(INDEX(Admissions_2024_2025!D:D,MATCH($B21,Admissions_2024_2025!$B:$B,0)),"")</f>
        <v>0</v>
      </c>
      <c r="E21">
        <f>IFERROR(INDEX(Admissions_2024_2025!E:E,MATCH($B21,Admissions_2024_2025!$B:$B,0)),"")</f>
        <v>0</v>
      </c>
      <c r="F21">
        <f>IFERROR(INDEX(Admissions_2024_2025!F:F,MATCH($B21,Admissions_2024_2025!$B:$B,0)),"")</f>
        <v>60.8</v>
      </c>
      <c r="G21">
        <f>IFERROR(INDEX(Admissions_2024_2025!G:G,MATCH($B21,Admissions_2024_2025!$B:$B,0)),"")</f>
        <v>88.000000000000014</v>
      </c>
      <c r="H21">
        <f>IFERROR(INDEX(Admissions_2024_2025!H:H,MATCH($B21,Admissions_2024_2025!$B:$B,0)),"")</f>
        <v>61.333333333333343</v>
      </c>
      <c r="I21">
        <f>IFERROR(INDEX(Admissions_2024_2025!I:I,MATCH($B21,Admissions_2024_2025!$B:$B,0)),"")</f>
        <v>0</v>
      </c>
      <c r="J21">
        <f>IFERROR(INDEX(Admissions_2024_2025!J:J,MATCH($B21,Admissions_2024_2025!$B:$B,0)),"")</f>
        <v>152</v>
      </c>
      <c r="K21">
        <f t="shared" si="0"/>
        <v>60.8</v>
      </c>
      <c r="L21">
        <f>IFERROR(INDEX(Admissions_2024_2025!L:L,MATCH($B21,Admissions_2024_2025!$B:$B,0)),"")</f>
        <v>46</v>
      </c>
      <c r="M21">
        <f t="shared" si="1"/>
        <v>92</v>
      </c>
      <c r="N21" t="str">
        <f t="shared" si="2"/>
        <v/>
      </c>
      <c r="O21" t="str">
        <f t="shared" si="3"/>
        <v/>
      </c>
      <c r="P21">
        <f t="shared" si="4"/>
        <v>76.400000000000006</v>
      </c>
      <c r="Q21" t="str">
        <f>IFERROR(INDEX(Admissions_2024_2025!Q:Q,MATCH($B21,Admissions_2024_2025!$B:$B,0)),"")</f>
        <v/>
      </c>
      <c r="R21" t="str">
        <f>IFERROR(INDEX(Admissions_2024_2025!R:R,MATCH($B21,Admissions_2024_2025!$B:$B,0)),"")</f>
        <v/>
      </c>
      <c r="S21" t="str">
        <f>IFERROR(INDEX(Admissions_2024_2025!S:S,MATCH($B21,Admissions_2024_2025!$B:$B,0)),"")</f>
        <v/>
      </c>
      <c r="T21" t="str">
        <f>IFERROR(INDEX(Admissions_2024_2025!T:T,MATCH($B21,Admissions_2024_2025!$B:$B,0)),"")</f>
        <v/>
      </c>
      <c r="U21" t="str">
        <f>IFERROR(INDEX(Admissions_2024_2025!U:U,MATCH($B21,Admissions_2024_2025!$B:$B,0)),"")</f>
        <v/>
      </c>
      <c r="W21" t="str">
        <f>IFERROR(INDEX(Admissions_2024_2025!W:W,MATCH($B21,Admissions_2024_2025!$B:$B,0)),"")</f>
        <v>2022 admissions (name-matched to QID); outcomes</v>
      </c>
    </row>
    <row r="22" spans="1:23" x14ac:dyDescent="0.3">
      <c r="A22" t="s">
        <v>60</v>
      </c>
      <c r="B22" t="s">
        <v>106</v>
      </c>
      <c r="C22" t="s">
        <v>107</v>
      </c>
      <c r="D22">
        <f>IFERROR(INDEX(Admissions_2024_2025!D:D,MATCH($B22,Admissions_2024_2025!$B:$B,0)),"")</f>
        <v>0</v>
      </c>
      <c r="E22">
        <f>IFERROR(INDEX(Admissions_2024_2025!E:E,MATCH($B22,Admissions_2024_2025!$B:$B,0)),"")</f>
        <v>0</v>
      </c>
      <c r="F22">
        <f>IFERROR(INDEX(Admissions_2024_2025!F:F,MATCH($B22,Admissions_2024_2025!$B:$B,0)),"")</f>
        <v>47.2</v>
      </c>
      <c r="G22">
        <f>IFERROR(INDEX(Admissions_2024_2025!G:G,MATCH($B22,Admissions_2024_2025!$B:$B,0)),"")</f>
        <v>72</v>
      </c>
      <c r="H22">
        <f>IFERROR(INDEX(Admissions_2024_2025!H:H,MATCH($B22,Admissions_2024_2025!$B:$B,0)),"")</f>
        <v>80</v>
      </c>
      <c r="I22">
        <f>IFERROR(INDEX(Admissions_2024_2025!I:I,MATCH($B22,Admissions_2024_2025!$B:$B,0)),"")</f>
        <v>0</v>
      </c>
      <c r="J22">
        <f>IFERROR(INDEX(Admissions_2024_2025!J:J,MATCH($B22,Admissions_2024_2025!$B:$B,0)),"")</f>
        <v>118</v>
      </c>
      <c r="K22">
        <f t="shared" si="0"/>
        <v>47.199999999999996</v>
      </c>
      <c r="L22">
        <f>IFERROR(INDEX(Admissions_2024_2025!L:L,MATCH($B22,Admissions_2024_2025!$B:$B,0)),"")</f>
        <v>60</v>
      </c>
      <c r="M22">
        <f t="shared" si="1"/>
        <v>120</v>
      </c>
      <c r="N22" t="str">
        <f t="shared" si="2"/>
        <v/>
      </c>
      <c r="O22" t="str">
        <f t="shared" si="3"/>
        <v/>
      </c>
      <c r="P22">
        <f t="shared" si="4"/>
        <v>83.6</v>
      </c>
      <c r="Q22" t="str">
        <f>IFERROR(INDEX(Admissions_2024_2025!Q:Q,MATCH($B22,Admissions_2024_2025!$B:$B,0)),"")</f>
        <v/>
      </c>
      <c r="R22" t="str">
        <f>IFERROR(INDEX(Admissions_2024_2025!R:R,MATCH($B22,Admissions_2024_2025!$B:$B,0)),"")</f>
        <v/>
      </c>
      <c r="S22" t="str">
        <f>IFERROR(INDEX(Admissions_2024_2025!S:S,MATCH($B22,Admissions_2024_2025!$B:$B,0)),"")</f>
        <v/>
      </c>
      <c r="T22" t="str">
        <f>IFERROR(INDEX(Admissions_2024_2025!T:T,MATCH($B22,Admissions_2024_2025!$B:$B,0)),"")</f>
        <v/>
      </c>
      <c r="U22" t="str">
        <f>IFERROR(INDEX(Admissions_2024_2025!U:U,MATCH($B22,Admissions_2024_2025!$B:$B,0)),"")</f>
        <v/>
      </c>
      <c r="W22" t="str">
        <f>IFERROR(INDEX(Admissions_2024_2025!W:W,MATCH($B22,Admissions_2024_2025!$B:$B,0)),"")</f>
        <v>2022 admissions (name-matched to QID); outcomes</v>
      </c>
    </row>
    <row r="23" spans="1:23" x14ac:dyDescent="0.3">
      <c r="A23" t="s">
        <v>60</v>
      </c>
      <c r="B23" t="s">
        <v>108</v>
      </c>
      <c r="C23" t="s">
        <v>109</v>
      </c>
      <c r="D23">
        <f>IFERROR(INDEX(Admissions_2024_2025!D:D,MATCH($B23,Admissions_2024_2025!$B:$B,0)),"")</f>
        <v>0</v>
      </c>
      <c r="E23">
        <f>IFERROR(INDEX(Admissions_2024_2025!E:E,MATCH($B23,Admissions_2024_2025!$B:$B,0)),"")</f>
        <v>0</v>
      </c>
      <c r="F23">
        <f>IFERROR(INDEX(Admissions_2024_2025!F:F,MATCH($B23,Admissions_2024_2025!$B:$B,0)),"")</f>
        <v>49.2</v>
      </c>
      <c r="G23">
        <f>IFERROR(INDEX(Admissions_2024_2025!G:G,MATCH($B23,Admissions_2024_2025!$B:$B,0)),"")</f>
        <v>72</v>
      </c>
      <c r="H23">
        <f>IFERROR(INDEX(Admissions_2024_2025!H:H,MATCH($B23,Admissions_2024_2025!$B:$B,0)),"")</f>
        <v>52</v>
      </c>
      <c r="I23">
        <f>IFERROR(INDEX(Admissions_2024_2025!I:I,MATCH($B23,Admissions_2024_2025!$B:$B,0)),"")</f>
        <v>0</v>
      </c>
      <c r="J23">
        <f>IFERROR(INDEX(Admissions_2024_2025!J:J,MATCH($B23,Admissions_2024_2025!$B:$B,0)),"")</f>
        <v>123</v>
      </c>
      <c r="K23">
        <f t="shared" si="0"/>
        <v>49.2</v>
      </c>
      <c r="L23">
        <f>IFERROR(INDEX(Admissions_2024_2025!L:L,MATCH($B23,Admissions_2024_2025!$B:$B,0)),"")</f>
        <v>39</v>
      </c>
      <c r="M23">
        <f t="shared" si="1"/>
        <v>78</v>
      </c>
      <c r="N23" t="str">
        <f t="shared" si="2"/>
        <v/>
      </c>
      <c r="O23" t="str">
        <f t="shared" si="3"/>
        <v/>
      </c>
      <c r="P23">
        <f t="shared" si="4"/>
        <v>63.6</v>
      </c>
      <c r="Q23" t="str">
        <f>IFERROR(INDEX(Admissions_2024_2025!Q:Q,MATCH($B23,Admissions_2024_2025!$B:$B,0)),"")</f>
        <v/>
      </c>
      <c r="R23" t="str">
        <f>IFERROR(INDEX(Admissions_2024_2025!R:R,MATCH($B23,Admissions_2024_2025!$B:$B,0)),"")</f>
        <v/>
      </c>
      <c r="S23" t="str">
        <f>IFERROR(INDEX(Admissions_2024_2025!S:S,MATCH($B23,Admissions_2024_2025!$B:$B,0)),"")</f>
        <v/>
      </c>
      <c r="T23" t="str">
        <f>IFERROR(INDEX(Admissions_2024_2025!T:T,MATCH($B23,Admissions_2024_2025!$B:$B,0)),"")</f>
        <v/>
      </c>
      <c r="U23" t="str">
        <f>IFERROR(INDEX(Admissions_2024_2025!U:U,MATCH($B23,Admissions_2024_2025!$B:$B,0)),"")</f>
        <v/>
      </c>
      <c r="W23" t="str">
        <f>IFERROR(INDEX(Admissions_2024_2025!W:W,MATCH($B23,Admissions_2024_2025!$B:$B,0)),"")</f>
        <v>2022 admissions (name-matched to QID); outcomes</v>
      </c>
    </row>
    <row r="24" spans="1:23" x14ac:dyDescent="0.3">
      <c r="A24" t="s">
        <v>60</v>
      </c>
      <c r="B24" t="s">
        <v>110</v>
      </c>
      <c r="C24" t="s">
        <v>111</v>
      </c>
      <c r="D24">
        <f>IFERROR(INDEX(Admissions_2024_2025!D:D,MATCH($B24,Admissions_2024_2025!$B:$B,0)),"")</f>
        <v>0</v>
      </c>
      <c r="E24">
        <f>IFERROR(INDEX(Admissions_2024_2025!E:E,MATCH($B24,Admissions_2024_2025!$B:$B,0)),"")</f>
        <v>0</v>
      </c>
      <c r="F24">
        <f>IFERROR(INDEX(Admissions_2024_2025!F:F,MATCH($B24,Admissions_2024_2025!$B:$B,0)),"")</f>
        <v>48.8</v>
      </c>
      <c r="G24">
        <f>IFERROR(INDEX(Admissions_2024_2025!G:G,MATCH($B24,Admissions_2024_2025!$B:$B,0)),"")</f>
        <v>56</v>
      </c>
      <c r="H24">
        <f>IFERROR(INDEX(Admissions_2024_2025!H:H,MATCH($B24,Admissions_2024_2025!$B:$B,0)),"")</f>
        <v>56</v>
      </c>
      <c r="I24">
        <f>IFERROR(INDEX(Admissions_2024_2025!I:I,MATCH($B24,Admissions_2024_2025!$B:$B,0)),"")</f>
        <v>0</v>
      </c>
      <c r="J24">
        <f>IFERROR(INDEX(Admissions_2024_2025!J:J,MATCH($B24,Admissions_2024_2025!$B:$B,0)),"")</f>
        <v>122</v>
      </c>
      <c r="K24">
        <f t="shared" si="0"/>
        <v>48.8</v>
      </c>
      <c r="L24">
        <f>IFERROR(INDEX(Admissions_2024_2025!L:L,MATCH($B24,Admissions_2024_2025!$B:$B,0)),"")</f>
        <v>42</v>
      </c>
      <c r="M24">
        <f t="shared" si="1"/>
        <v>84</v>
      </c>
      <c r="N24" t="str">
        <f t="shared" si="2"/>
        <v/>
      </c>
      <c r="O24" t="str">
        <f t="shared" si="3"/>
        <v/>
      </c>
      <c r="P24">
        <f t="shared" si="4"/>
        <v>66.400000000000006</v>
      </c>
      <c r="Q24" t="str">
        <f>IFERROR(INDEX(Admissions_2024_2025!Q:Q,MATCH($B24,Admissions_2024_2025!$B:$B,0)),"")</f>
        <v/>
      </c>
      <c r="R24" t="str">
        <f>IFERROR(INDEX(Admissions_2024_2025!R:R,MATCH($B24,Admissions_2024_2025!$B:$B,0)),"")</f>
        <v/>
      </c>
      <c r="S24" t="str">
        <f>IFERROR(INDEX(Admissions_2024_2025!S:S,MATCH($B24,Admissions_2024_2025!$B:$B,0)),"")</f>
        <v/>
      </c>
      <c r="T24" t="str">
        <f>IFERROR(INDEX(Admissions_2024_2025!T:T,MATCH($B24,Admissions_2024_2025!$B:$B,0)),"")</f>
        <v/>
      </c>
      <c r="U24" t="str">
        <f>IFERROR(INDEX(Admissions_2024_2025!U:U,MATCH($B24,Admissions_2024_2025!$B:$B,0)),"")</f>
        <v/>
      </c>
      <c r="W24" t="str">
        <f>IFERROR(INDEX(Admissions_2024_2025!W:W,MATCH($B24,Admissions_2024_2025!$B:$B,0)),"")</f>
        <v>2022 admissions (name-matched to QID); outcomes</v>
      </c>
    </row>
    <row r="25" spans="1:23" x14ac:dyDescent="0.3">
      <c r="A25" t="s">
        <v>60</v>
      </c>
      <c r="B25" t="s">
        <v>112</v>
      </c>
      <c r="C25" t="s">
        <v>113</v>
      </c>
      <c r="D25">
        <f>IFERROR(INDEX(Admissions_2024_2025!D:D,MATCH($B25,Admissions_2024_2025!$B:$B,0)),"")</f>
        <v>0</v>
      </c>
      <c r="E25">
        <f>IFERROR(INDEX(Admissions_2024_2025!E:E,MATCH($B25,Admissions_2024_2025!$B:$B,0)),"")</f>
        <v>0</v>
      </c>
      <c r="F25">
        <f>IFERROR(INDEX(Admissions_2024_2025!F:F,MATCH($B25,Admissions_2024_2025!$B:$B,0)),"")</f>
        <v>66</v>
      </c>
      <c r="G25">
        <f>IFERROR(INDEX(Admissions_2024_2025!G:G,MATCH($B25,Admissions_2024_2025!$B:$B,0)),"")</f>
        <v>96</v>
      </c>
      <c r="H25">
        <f>IFERROR(INDEX(Admissions_2024_2025!H:H,MATCH($B25,Admissions_2024_2025!$B:$B,0)),"")</f>
        <v>72</v>
      </c>
      <c r="I25">
        <f>IFERROR(INDEX(Admissions_2024_2025!I:I,MATCH($B25,Admissions_2024_2025!$B:$B,0)),"")</f>
        <v>0</v>
      </c>
      <c r="J25">
        <f>IFERROR(INDEX(Admissions_2024_2025!J:J,MATCH($B25,Admissions_2024_2025!$B:$B,0)),"")</f>
        <v>165</v>
      </c>
      <c r="K25">
        <f t="shared" si="0"/>
        <v>66</v>
      </c>
      <c r="L25">
        <f>IFERROR(INDEX(Admissions_2024_2025!L:L,MATCH($B25,Admissions_2024_2025!$B:$B,0)),"")</f>
        <v>54</v>
      </c>
      <c r="M25">
        <f t="shared" si="1"/>
        <v>108</v>
      </c>
      <c r="N25" t="str">
        <f t="shared" si="2"/>
        <v/>
      </c>
      <c r="O25" t="str">
        <f t="shared" si="3"/>
        <v/>
      </c>
      <c r="P25">
        <f t="shared" si="4"/>
        <v>87</v>
      </c>
      <c r="Q25" t="str">
        <f>IFERROR(INDEX(Admissions_2024_2025!Q:Q,MATCH($B25,Admissions_2024_2025!$B:$B,0)),"")</f>
        <v/>
      </c>
      <c r="R25" t="str">
        <f>IFERROR(INDEX(Admissions_2024_2025!R:R,MATCH($B25,Admissions_2024_2025!$B:$B,0)),"")</f>
        <v/>
      </c>
      <c r="S25" t="str">
        <f>IFERROR(INDEX(Admissions_2024_2025!S:S,MATCH($B25,Admissions_2024_2025!$B:$B,0)),"")</f>
        <v/>
      </c>
      <c r="T25" t="str">
        <f>IFERROR(INDEX(Admissions_2024_2025!T:T,MATCH($B25,Admissions_2024_2025!$B:$B,0)),"")</f>
        <v/>
      </c>
      <c r="U25" t="str">
        <f>IFERROR(INDEX(Admissions_2024_2025!U:U,MATCH($B25,Admissions_2024_2025!$B:$B,0)),"")</f>
        <v/>
      </c>
      <c r="W25" t="str">
        <f>IFERROR(INDEX(Admissions_2024_2025!W:W,MATCH($B25,Admissions_2024_2025!$B:$B,0)),"")</f>
        <v>2022 admissions (name-matched to QID); outcomes</v>
      </c>
    </row>
    <row r="26" spans="1:23" x14ac:dyDescent="0.3">
      <c r="A26" t="s">
        <v>60</v>
      </c>
      <c r="B26" t="s">
        <v>114</v>
      </c>
      <c r="C26" t="s">
        <v>115</v>
      </c>
      <c r="D26">
        <f>IFERROR(INDEX(Admissions_2024_2025!D:D,MATCH($B26,Admissions_2024_2025!$B:$B,0)),"")</f>
        <v>0</v>
      </c>
      <c r="E26">
        <f>IFERROR(INDEX(Admissions_2024_2025!E:E,MATCH($B26,Admissions_2024_2025!$B:$B,0)),"")</f>
        <v>0</v>
      </c>
      <c r="F26">
        <f>IFERROR(INDEX(Admissions_2024_2025!F:F,MATCH($B26,Admissions_2024_2025!$B:$B,0)),"")</f>
        <v>55.2</v>
      </c>
      <c r="G26">
        <f>IFERROR(INDEX(Admissions_2024_2025!G:G,MATCH($B26,Admissions_2024_2025!$B:$B,0)),"")</f>
        <v>76</v>
      </c>
      <c r="H26">
        <f>IFERROR(INDEX(Admissions_2024_2025!H:H,MATCH($B26,Admissions_2024_2025!$B:$B,0)),"")</f>
        <v>65.333333333333329</v>
      </c>
      <c r="I26">
        <f>IFERROR(INDEX(Admissions_2024_2025!I:I,MATCH($B26,Admissions_2024_2025!$B:$B,0)),"")</f>
        <v>0</v>
      </c>
      <c r="J26">
        <f>IFERROR(INDEX(Admissions_2024_2025!J:J,MATCH($B26,Admissions_2024_2025!$B:$B,0)),"")</f>
        <v>138</v>
      </c>
      <c r="K26">
        <f t="shared" si="0"/>
        <v>55.2</v>
      </c>
      <c r="L26">
        <f>IFERROR(INDEX(Admissions_2024_2025!L:L,MATCH($B26,Admissions_2024_2025!$B:$B,0)),"")</f>
        <v>49</v>
      </c>
      <c r="M26">
        <f t="shared" si="1"/>
        <v>98</v>
      </c>
      <c r="N26" t="str">
        <f t="shared" si="2"/>
        <v/>
      </c>
      <c r="O26" t="str">
        <f t="shared" si="3"/>
        <v/>
      </c>
      <c r="P26">
        <f t="shared" si="4"/>
        <v>76.599999999999994</v>
      </c>
      <c r="Q26" t="str">
        <f>IFERROR(INDEX(Admissions_2024_2025!Q:Q,MATCH($B26,Admissions_2024_2025!$B:$B,0)),"")</f>
        <v/>
      </c>
      <c r="R26" t="str">
        <f>IFERROR(INDEX(Admissions_2024_2025!R:R,MATCH($B26,Admissions_2024_2025!$B:$B,0)),"")</f>
        <v/>
      </c>
      <c r="S26" t="str">
        <f>IFERROR(INDEX(Admissions_2024_2025!S:S,MATCH($B26,Admissions_2024_2025!$B:$B,0)),"")</f>
        <v/>
      </c>
      <c r="T26" t="str">
        <f>IFERROR(INDEX(Admissions_2024_2025!T:T,MATCH($B26,Admissions_2024_2025!$B:$B,0)),"")</f>
        <v/>
      </c>
      <c r="U26" t="str">
        <f>IFERROR(INDEX(Admissions_2024_2025!U:U,MATCH($B26,Admissions_2024_2025!$B:$B,0)),"")</f>
        <v/>
      </c>
      <c r="W26" t="str">
        <f>IFERROR(INDEX(Admissions_2024_2025!W:W,MATCH($B26,Admissions_2024_2025!$B:$B,0)),"")</f>
        <v>2022 admissions (name-matched to QID); outcomes</v>
      </c>
    </row>
    <row r="27" spans="1:23" x14ac:dyDescent="0.3">
      <c r="A27" t="s">
        <v>60</v>
      </c>
      <c r="B27" t="s">
        <v>116</v>
      </c>
      <c r="C27" t="s">
        <v>117</v>
      </c>
      <c r="D27">
        <f>IFERROR(INDEX(Admissions_2024_2025!D:D,MATCH($B27,Admissions_2024_2025!$B:$B,0)),"")</f>
        <v>0</v>
      </c>
      <c r="E27">
        <f>IFERROR(INDEX(Admissions_2024_2025!E:E,MATCH($B27,Admissions_2024_2025!$B:$B,0)),"")</f>
        <v>0</v>
      </c>
      <c r="F27">
        <f>IFERROR(INDEX(Admissions_2024_2025!F:F,MATCH($B27,Admissions_2024_2025!$B:$B,0)),"")</f>
        <v>52</v>
      </c>
      <c r="G27">
        <f>IFERROR(INDEX(Admissions_2024_2025!G:G,MATCH($B27,Admissions_2024_2025!$B:$B,0)),"")</f>
        <v>60</v>
      </c>
      <c r="H27">
        <f>IFERROR(INDEX(Admissions_2024_2025!H:H,MATCH($B27,Admissions_2024_2025!$B:$B,0)),"")</f>
        <v>60</v>
      </c>
      <c r="I27">
        <f>IFERROR(INDEX(Admissions_2024_2025!I:I,MATCH($B27,Admissions_2024_2025!$B:$B,0)),"")</f>
        <v>0</v>
      </c>
      <c r="J27">
        <f>IFERROR(INDEX(Admissions_2024_2025!J:J,MATCH($B27,Admissions_2024_2025!$B:$B,0)),"")</f>
        <v>130</v>
      </c>
      <c r="K27">
        <f t="shared" si="0"/>
        <v>52</v>
      </c>
      <c r="L27">
        <f>IFERROR(INDEX(Admissions_2024_2025!L:L,MATCH($B27,Admissions_2024_2025!$B:$B,0)),"")</f>
        <v>45</v>
      </c>
      <c r="M27">
        <f t="shared" si="1"/>
        <v>90</v>
      </c>
      <c r="N27" t="str">
        <f t="shared" si="2"/>
        <v/>
      </c>
      <c r="O27" t="str">
        <f t="shared" si="3"/>
        <v/>
      </c>
      <c r="P27">
        <f t="shared" si="4"/>
        <v>71</v>
      </c>
      <c r="Q27" t="str">
        <f>IFERROR(INDEX(Admissions_2024_2025!Q:Q,MATCH($B27,Admissions_2024_2025!$B:$B,0)),"")</f>
        <v/>
      </c>
      <c r="R27" t="str">
        <f>IFERROR(INDEX(Admissions_2024_2025!R:R,MATCH($B27,Admissions_2024_2025!$B:$B,0)),"")</f>
        <v/>
      </c>
      <c r="S27" t="str">
        <f>IFERROR(INDEX(Admissions_2024_2025!S:S,MATCH($B27,Admissions_2024_2025!$B:$B,0)),"")</f>
        <v/>
      </c>
      <c r="T27" t="str">
        <f>IFERROR(INDEX(Admissions_2024_2025!T:T,MATCH($B27,Admissions_2024_2025!$B:$B,0)),"")</f>
        <v/>
      </c>
      <c r="U27" t="str">
        <f>IFERROR(INDEX(Admissions_2024_2025!U:U,MATCH($B27,Admissions_2024_2025!$B:$B,0)),"")</f>
        <v/>
      </c>
      <c r="W27" t="str">
        <f>IFERROR(INDEX(Admissions_2024_2025!W:W,MATCH($B27,Admissions_2024_2025!$B:$B,0)),"")</f>
        <v>2022 admissions (name-matched to QID); outcomes</v>
      </c>
    </row>
    <row r="28" spans="1:23" x14ac:dyDescent="0.3">
      <c r="A28" t="s">
        <v>60</v>
      </c>
      <c r="B28" t="s">
        <v>118</v>
      </c>
      <c r="C28" t="s">
        <v>119</v>
      </c>
      <c r="D28">
        <f>IFERROR(INDEX(Admissions_2024_2025!D:D,MATCH($B28,Admissions_2024_2025!$B:$B,0)),"")</f>
        <v>0</v>
      </c>
      <c r="E28">
        <f>IFERROR(INDEX(Admissions_2024_2025!E:E,MATCH($B28,Admissions_2024_2025!$B:$B,0)),"")</f>
        <v>0</v>
      </c>
      <c r="F28">
        <f>IFERROR(INDEX(Admissions_2024_2025!F:F,MATCH($B28,Admissions_2024_2025!$B:$B,0)),"")</f>
        <v>45.6</v>
      </c>
      <c r="G28">
        <f>IFERROR(INDEX(Admissions_2024_2025!G:G,MATCH($B28,Admissions_2024_2025!$B:$B,0)),"")</f>
        <v>76</v>
      </c>
      <c r="H28">
        <f>IFERROR(INDEX(Admissions_2024_2025!H:H,MATCH($B28,Admissions_2024_2025!$B:$B,0)),"")</f>
        <v>90.666666666666671</v>
      </c>
      <c r="I28">
        <f>IFERROR(INDEX(Admissions_2024_2025!I:I,MATCH($B28,Admissions_2024_2025!$B:$B,0)),"")</f>
        <v>0</v>
      </c>
      <c r="J28">
        <f>IFERROR(INDEX(Admissions_2024_2025!J:J,MATCH($B28,Admissions_2024_2025!$B:$B,0)),"")</f>
        <v>114</v>
      </c>
      <c r="K28">
        <f t="shared" si="0"/>
        <v>45.6</v>
      </c>
      <c r="L28">
        <f>IFERROR(INDEX(Admissions_2024_2025!L:L,MATCH($B28,Admissions_2024_2025!$B:$B,0)),"")</f>
        <v>68</v>
      </c>
      <c r="M28">
        <f t="shared" si="1"/>
        <v>136</v>
      </c>
      <c r="N28" t="str">
        <f t="shared" si="2"/>
        <v/>
      </c>
      <c r="O28" t="str">
        <f t="shared" si="3"/>
        <v/>
      </c>
      <c r="P28">
        <f t="shared" si="4"/>
        <v>90.8</v>
      </c>
      <c r="Q28" t="str">
        <f>IFERROR(INDEX(Admissions_2024_2025!Q:Q,MATCH($B28,Admissions_2024_2025!$B:$B,0)),"")</f>
        <v/>
      </c>
      <c r="R28" t="str">
        <f>IFERROR(INDEX(Admissions_2024_2025!R:R,MATCH($B28,Admissions_2024_2025!$B:$B,0)),"")</f>
        <v/>
      </c>
      <c r="S28" t="str">
        <f>IFERROR(INDEX(Admissions_2024_2025!S:S,MATCH($B28,Admissions_2024_2025!$B:$B,0)),"")</f>
        <v/>
      </c>
      <c r="T28" t="str">
        <f>IFERROR(INDEX(Admissions_2024_2025!T:T,MATCH($B28,Admissions_2024_2025!$B:$B,0)),"")</f>
        <v/>
      </c>
      <c r="U28" t="str">
        <f>IFERROR(INDEX(Admissions_2024_2025!U:U,MATCH($B28,Admissions_2024_2025!$B:$B,0)),"")</f>
        <v/>
      </c>
      <c r="W28" t="str">
        <f>IFERROR(INDEX(Admissions_2024_2025!W:W,MATCH($B28,Admissions_2024_2025!$B:$B,0)),"")</f>
        <v>2022 admissions (name-matched to QID); outcomes</v>
      </c>
    </row>
    <row r="29" spans="1:23" x14ac:dyDescent="0.3">
      <c r="A29" t="s">
        <v>60</v>
      </c>
      <c r="B29" t="s">
        <v>121</v>
      </c>
      <c r="C29" t="s">
        <v>122</v>
      </c>
      <c r="D29">
        <f>IFERROR(INDEX(Admissions_2024_2025!D:D,MATCH($B29,Admissions_2024_2025!$B:$B,0)),"")</f>
        <v>0</v>
      </c>
      <c r="E29">
        <f>IFERROR(INDEX(Admissions_2024_2025!E:E,MATCH($B29,Admissions_2024_2025!$B:$B,0)),"")</f>
        <v>0</v>
      </c>
      <c r="F29">
        <f>IFERROR(INDEX(Admissions_2024_2025!F:F,MATCH($B29,Admissions_2024_2025!$B:$B,0)),"")</f>
        <v>0</v>
      </c>
      <c r="G29">
        <f>IFERROR(INDEX(Admissions_2024_2025!G:G,MATCH($B29,Admissions_2024_2025!$B:$B,0)),"")</f>
        <v>88.000000000000014</v>
      </c>
      <c r="H29">
        <f>IFERROR(INDEX(Admissions_2024_2025!H:H,MATCH($B29,Admissions_2024_2025!$B:$B,0)),"")</f>
        <v>66.666666666666671</v>
      </c>
      <c r="I29">
        <f>IFERROR(INDEX(Admissions_2024_2025!I:I,MATCH($B29,Admissions_2024_2025!$B:$B,0)),"")</f>
        <v>0</v>
      </c>
      <c r="J29">
        <f>IFERROR(INDEX(Admissions_2024_2025!J:J,MATCH($B29,Admissions_2024_2025!$B:$B,0)),"")</f>
        <v>0</v>
      </c>
      <c r="K29">
        <f t="shared" si="0"/>
        <v>0</v>
      </c>
      <c r="L29">
        <f>IFERROR(INDEX(Admissions_2024_2025!L:L,MATCH($B29,Admissions_2024_2025!$B:$B,0)),"")</f>
        <v>50</v>
      </c>
      <c r="M29">
        <f t="shared" si="1"/>
        <v>100</v>
      </c>
      <c r="N29" t="str">
        <f t="shared" si="2"/>
        <v/>
      </c>
      <c r="O29" t="str">
        <f t="shared" si="3"/>
        <v/>
      </c>
      <c r="P29">
        <f t="shared" si="4"/>
        <v>50</v>
      </c>
      <c r="Q29" t="str">
        <f>IFERROR(INDEX(Admissions_2024_2025!Q:Q,MATCH($B29,Admissions_2024_2025!$B:$B,0)),"")</f>
        <v/>
      </c>
      <c r="R29" t="str">
        <f>IFERROR(INDEX(Admissions_2024_2025!R:R,MATCH($B29,Admissions_2024_2025!$B:$B,0)),"")</f>
        <v/>
      </c>
      <c r="S29" t="str">
        <f>IFERROR(INDEX(Admissions_2024_2025!S:S,MATCH($B29,Admissions_2024_2025!$B:$B,0)),"")</f>
        <v/>
      </c>
      <c r="T29" t="str">
        <f>IFERROR(INDEX(Admissions_2024_2025!T:T,MATCH($B29,Admissions_2024_2025!$B:$B,0)),"")</f>
        <v/>
      </c>
      <c r="U29" t="str">
        <f>IFERROR(INDEX(Admissions_2024_2025!U:U,MATCH($B29,Admissions_2024_2025!$B:$B,0)),"")</f>
        <v/>
      </c>
      <c r="W29" t="str">
        <f>IFERROR(INDEX(Admissions_2024_2025!W:W,MATCH($B29,Admissions_2024_2025!$B:$B,0)),"")</f>
        <v>2022 admissions (name-matched to QID); outcomes</v>
      </c>
    </row>
    <row r="30" spans="1:23" x14ac:dyDescent="0.3">
      <c r="A30" t="s">
        <v>60</v>
      </c>
      <c r="B30" t="s">
        <v>123</v>
      </c>
      <c r="C30" t="s">
        <v>124</v>
      </c>
      <c r="D30">
        <f>IFERROR(INDEX(Admissions_2024_2025!D:D,MATCH($B30,Admissions_2024_2025!$B:$B,0)),"")</f>
        <v>0</v>
      </c>
      <c r="E30">
        <f>IFERROR(INDEX(Admissions_2024_2025!E:E,MATCH($B30,Admissions_2024_2025!$B:$B,0)),"")</f>
        <v>0</v>
      </c>
      <c r="F30">
        <f>IFERROR(INDEX(Admissions_2024_2025!F:F,MATCH($B30,Admissions_2024_2025!$B:$B,0)),"")</f>
        <v>48</v>
      </c>
      <c r="G30">
        <f>IFERROR(INDEX(Admissions_2024_2025!G:G,MATCH($B30,Admissions_2024_2025!$B:$B,0)),"")</f>
        <v>100</v>
      </c>
      <c r="H30">
        <f>IFERROR(INDEX(Admissions_2024_2025!H:H,MATCH($B30,Admissions_2024_2025!$B:$B,0)),"")</f>
        <v>77.333333333333329</v>
      </c>
      <c r="I30">
        <f>IFERROR(INDEX(Admissions_2024_2025!I:I,MATCH($B30,Admissions_2024_2025!$B:$B,0)),"")</f>
        <v>0</v>
      </c>
      <c r="J30">
        <f>IFERROR(INDEX(Admissions_2024_2025!J:J,MATCH($B30,Admissions_2024_2025!$B:$B,0)),"")</f>
        <v>120</v>
      </c>
      <c r="K30">
        <f t="shared" si="0"/>
        <v>48</v>
      </c>
      <c r="L30">
        <f>IFERROR(INDEX(Admissions_2024_2025!L:L,MATCH($B30,Admissions_2024_2025!$B:$B,0)),"")</f>
        <v>58</v>
      </c>
      <c r="M30">
        <f t="shared" si="1"/>
        <v>115.99999999999999</v>
      </c>
      <c r="N30" t="str">
        <f t="shared" si="2"/>
        <v/>
      </c>
      <c r="O30" t="str">
        <f t="shared" si="3"/>
        <v/>
      </c>
      <c r="P30">
        <f t="shared" si="4"/>
        <v>82</v>
      </c>
      <c r="Q30" t="str">
        <f>IFERROR(INDEX(Admissions_2024_2025!Q:Q,MATCH($B30,Admissions_2024_2025!$B:$B,0)),"")</f>
        <v/>
      </c>
      <c r="R30" t="str">
        <f>IFERROR(INDEX(Admissions_2024_2025!R:R,MATCH($B30,Admissions_2024_2025!$B:$B,0)),"")</f>
        <v/>
      </c>
      <c r="S30" t="str">
        <f>IFERROR(INDEX(Admissions_2024_2025!S:S,MATCH($B30,Admissions_2024_2025!$B:$B,0)),"")</f>
        <v/>
      </c>
      <c r="T30" t="str">
        <f>IFERROR(INDEX(Admissions_2024_2025!T:T,MATCH($B30,Admissions_2024_2025!$B:$B,0)),"")</f>
        <v/>
      </c>
      <c r="U30" t="str">
        <f>IFERROR(INDEX(Admissions_2024_2025!U:U,MATCH($B30,Admissions_2024_2025!$B:$B,0)),"")</f>
        <v/>
      </c>
      <c r="W30" t="str">
        <f>IFERROR(INDEX(Admissions_2024_2025!W:W,MATCH($B30,Admissions_2024_2025!$B:$B,0)),"")</f>
        <v>2022 admissions (name-matched to QID); outcomes</v>
      </c>
    </row>
    <row r="31" spans="1:23" x14ac:dyDescent="0.3">
      <c r="A31" t="s">
        <v>60</v>
      </c>
      <c r="B31" t="s">
        <v>125</v>
      </c>
      <c r="C31" t="s">
        <v>126</v>
      </c>
      <c r="D31">
        <f>IFERROR(INDEX(Admissions_2024_2025!D:D,MATCH($B31,Admissions_2024_2025!$B:$B,0)),"")</f>
        <v>0</v>
      </c>
      <c r="E31">
        <f>IFERROR(INDEX(Admissions_2024_2025!E:E,MATCH($B31,Admissions_2024_2025!$B:$B,0)),"")</f>
        <v>0</v>
      </c>
      <c r="F31">
        <f>IFERROR(INDEX(Admissions_2024_2025!F:F,MATCH($B31,Admissions_2024_2025!$B:$B,0)),"")</f>
        <v>71.599999999999994</v>
      </c>
      <c r="G31">
        <f>IFERROR(INDEX(Admissions_2024_2025!G:G,MATCH($B31,Admissions_2024_2025!$B:$B,0)),"")</f>
        <v>91.999999999999986</v>
      </c>
      <c r="H31">
        <f>IFERROR(INDEX(Admissions_2024_2025!H:H,MATCH($B31,Admissions_2024_2025!$B:$B,0)),"")</f>
        <v>81.333333333333329</v>
      </c>
      <c r="I31">
        <f>IFERROR(INDEX(Admissions_2024_2025!I:I,MATCH($B31,Admissions_2024_2025!$B:$B,0)),"")</f>
        <v>0</v>
      </c>
      <c r="J31">
        <f>IFERROR(INDEX(Admissions_2024_2025!J:J,MATCH($B31,Admissions_2024_2025!$B:$B,0)),"")</f>
        <v>179</v>
      </c>
      <c r="K31">
        <f t="shared" si="0"/>
        <v>71.599999999999994</v>
      </c>
      <c r="L31">
        <f>IFERROR(INDEX(Admissions_2024_2025!L:L,MATCH($B31,Admissions_2024_2025!$B:$B,0)),"")</f>
        <v>61</v>
      </c>
      <c r="M31">
        <f t="shared" si="1"/>
        <v>122</v>
      </c>
      <c r="N31" t="str">
        <f t="shared" si="2"/>
        <v/>
      </c>
      <c r="O31" t="str">
        <f t="shared" si="3"/>
        <v/>
      </c>
      <c r="P31">
        <f t="shared" si="4"/>
        <v>96.8</v>
      </c>
      <c r="Q31" t="str">
        <f>IFERROR(INDEX(Admissions_2024_2025!Q:Q,MATCH($B31,Admissions_2024_2025!$B:$B,0)),"")</f>
        <v/>
      </c>
      <c r="R31" t="str">
        <f>IFERROR(INDEX(Admissions_2024_2025!R:R,MATCH($B31,Admissions_2024_2025!$B:$B,0)),"")</f>
        <v/>
      </c>
      <c r="S31" t="str">
        <f>IFERROR(INDEX(Admissions_2024_2025!S:S,MATCH($B31,Admissions_2024_2025!$B:$B,0)),"")</f>
        <v/>
      </c>
      <c r="T31" t="str">
        <f>IFERROR(INDEX(Admissions_2024_2025!T:T,MATCH($B31,Admissions_2024_2025!$B:$B,0)),"")</f>
        <v/>
      </c>
      <c r="U31" t="str">
        <f>IFERROR(INDEX(Admissions_2024_2025!U:U,MATCH($B31,Admissions_2024_2025!$B:$B,0)),"")</f>
        <v/>
      </c>
      <c r="W31" t="str">
        <f>IFERROR(INDEX(Admissions_2024_2025!W:W,MATCH($B31,Admissions_2024_2025!$B:$B,0)),"")</f>
        <v>2022 admissions (name-matched to QID); outcomes</v>
      </c>
    </row>
    <row r="32" spans="1:23" x14ac:dyDescent="0.3">
      <c r="A32" t="s">
        <v>60</v>
      </c>
      <c r="B32" t="s">
        <v>127</v>
      </c>
      <c r="C32" t="s">
        <v>128</v>
      </c>
      <c r="D32">
        <f>IFERROR(INDEX(Admissions_2024_2025!D:D,MATCH($B32,Admissions_2024_2025!$B:$B,0)),"")</f>
        <v>0</v>
      </c>
      <c r="E32">
        <f>IFERROR(INDEX(Admissions_2024_2025!E:E,MATCH($B32,Admissions_2024_2025!$B:$B,0)),"")</f>
        <v>0</v>
      </c>
      <c r="F32">
        <f>IFERROR(INDEX(Admissions_2024_2025!F:F,MATCH($B32,Admissions_2024_2025!$B:$B,0)),"")</f>
        <v>42.4</v>
      </c>
      <c r="G32">
        <f>IFERROR(INDEX(Admissions_2024_2025!G:G,MATCH($B32,Admissions_2024_2025!$B:$B,0)),"")</f>
        <v>76</v>
      </c>
      <c r="H32">
        <f>IFERROR(INDEX(Admissions_2024_2025!H:H,MATCH($B32,Admissions_2024_2025!$B:$B,0)),"")</f>
        <v>56</v>
      </c>
      <c r="I32">
        <f>IFERROR(INDEX(Admissions_2024_2025!I:I,MATCH($B32,Admissions_2024_2025!$B:$B,0)),"")</f>
        <v>0</v>
      </c>
      <c r="J32">
        <f>IFERROR(INDEX(Admissions_2024_2025!J:J,MATCH($B32,Admissions_2024_2025!$B:$B,0)),"")</f>
        <v>106</v>
      </c>
      <c r="K32">
        <f t="shared" si="0"/>
        <v>42.4</v>
      </c>
      <c r="L32">
        <f>IFERROR(INDEX(Admissions_2024_2025!L:L,MATCH($B32,Admissions_2024_2025!$B:$B,0)),"")</f>
        <v>42</v>
      </c>
      <c r="M32">
        <f t="shared" si="1"/>
        <v>84</v>
      </c>
      <c r="N32" t="str">
        <f t="shared" si="2"/>
        <v/>
      </c>
      <c r="O32" t="str">
        <f t="shared" si="3"/>
        <v/>
      </c>
      <c r="P32">
        <f t="shared" si="4"/>
        <v>63.2</v>
      </c>
      <c r="Q32" t="str">
        <f>IFERROR(INDEX(Admissions_2024_2025!Q:Q,MATCH($B32,Admissions_2024_2025!$B:$B,0)),"")</f>
        <v/>
      </c>
      <c r="R32" t="str">
        <f>IFERROR(INDEX(Admissions_2024_2025!R:R,MATCH($B32,Admissions_2024_2025!$B:$B,0)),"")</f>
        <v/>
      </c>
      <c r="S32" t="str">
        <f>IFERROR(INDEX(Admissions_2024_2025!S:S,MATCH($B32,Admissions_2024_2025!$B:$B,0)),"")</f>
        <v/>
      </c>
      <c r="T32" t="str">
        <f>IFERROR(INDEX(Admissions_2024_2025!T:T,MATCH($B32,Admissions_2024_2025!$B:$B,0)),"")</f>
        <v/>
      </c>
      <c r="U32" t="str">
        <f>IFERROR(INDEX(Admissions_2024_2025!U:U,MATCH($B32,Admissions_2024_2025!$B:$B,0)),"")</f>
        <v/>
      </c>
      <c r="W32" t="str">
        <f>IFERROR(INDEX(Admissions_2024_2025!W:W,MATCH($B32,Admissions_2024_2025!$B:$B,0)),"")</f>
        <v>2022 admissions (name-matched to QID); outcomes</v>
      </c>
    </row>
    <row r="33" spans="1:23" x14ac:dyDescent="0.3">
      <c r="A33" t="s">
        <v>60</v>
      </c>
      <c r="B33" t="s">
        <v>129</v>
      </c>
      <c r="C33" t="s">
        <v>130</v>
      </c>
      <c r="D33">
        <f>IFERROR(INDEX(Admissions_2024_2025!D:D,MATCH($B33,Admissions_2024_2025!$B:$B,0)),"")</f>
        <v>0</v>
      </c>
      <c r="E33">
        <f>IFERROR(INDEX(Admissions_2024_2025!E:E,MATCH($B33,Admissions_2024_2025!$B:$B,0)),"")</f>
        <v>0</v>
      </c>
      <c r="F33">
        <f>IFERROR(INDEX(Admissions_2024_2025!F:F,MATCH($B33,Admissions_2024_2025!$B:$B,0)),"")</f>
        <v>66.400000000000006</v>
      </c>
      <c r="G33">
        <f>IFERROR(INDEX(Admissions_2024_2025!G:G,MATCH($B33,Admissions_2024_2025!$B:$B,0)),"")</f>
        <v>96</v>
      </c>
      <c r="H33">
        <f>IFERROR(INDEX(Admissions_2024_2025!H:H,MATCH($B33,Admissions_2024_2025!$B:$B,0)),"")</f>
        <v>72</v>
      </c>
      <c r="I33">
        <f>IFERROR(INDEX(Admissions_2024_2025!I:I,MATCH($B33,Admissions_2024_2025!$B:$B,0)),"")</f>
        <v>0</v>
      </c>
      <c r="J33">
        <f>IFERROR(INDEX(Admissions_2024_2025!J:J,MATCH($B33,Admissions_2024_2025!$B:$B,0)),"")</f>
        <v>166</v>
      </c>
      <c r="K33">
        <f t="shared" si="0"/>
        <v>66.400000000000006</v>
      </c>
      <c r="L33">
        <f>IFERROR(INDEX(Admissions_2024_2025!L:L,MATCH($B33,Admissions_2024_2025!$B:$B,0)),"")</f>
        <v>54</v>
      </c>
      <c r="M33">
        <f t="shared" si="1"/>
        <v>108</v>
      </c>
      <c r="N33" t="str">
        <f t="shared" si="2"/>
        <v/>
      </c>
      <c r="O33" t="str">
        <f t="shared" si="3"/>
        <v/>
      </c>
      <c r="P33">
        <f t="shared" si="4"/>
        <v>87.2</v>
      </c>
      <c r="Q33" t="str">
        <f>IFERROR(INDEX(Admissions_2024_2025!Q:Q,MATCH($B33,Admissions_2024_2025!$B:$B,0)),"")</f>
        <v/>
      </c>
      <c r="R33" t="str">
        <f>IFERROR(INDEX(Admissions_2024_2025!R:R,MATCH($B33,Admissions_2024_2025!$B:$B,0)),"")</f>
        <v/>
      </c>
      <c r="S33" t="str">
        <f>IFERROR(INDEX(Admissions_2024_2025!S:S,MATCH($B33,Admissions_2024_2025!$B:$B,0)),"")</f>
        <v/>
      </c>
      <c r="T33" t="str">
        <f>IFERROR(INDEX(Admissions_2024_2025!T:T,MATCH($B33,Admissions_2024_2025!$B:$B,0)),"")</f>
        <v/>
      </c>
      <c r="U33" t="str">
        <f>IFERROR(INDEX(Admissions_2024_2025!U:U,MATCH($B33,Admissions_2024_2025!$B:$B,0)),"")</f>
        <v/>
      </c>
      <c r="W33" t="str">
        <f>IFERROR(INDEX(Admissions_2024_2025!W:W,MATCH($B33,Admissions_2024_2025!$B:$B,0)),"")</f>
        <v>2022 admissions (name-matched to QID); outcomes</v>
      </c>
    </row>
    <row r="34" spans="1:23" x14ac:dyDescent="0.3">
      <c r="A34" t="s">
        <v>60</v>
      </c>
      <c r="B34" t="s">
        <v>131</v>
      </c>
      <c r="C34" t="s">
        <v>132</v>
      </c>
      <c r="D34">
        <f>IFERROR(INDEX(Admissions_2024_2025!D:D,MATCH($B34,Admissions_2024_2025!$B:$B,0)),"")</f>
        <v>0</v>
      </c>
      <c r="E34">
        <f>IFERROR(INDEX(Admissions_2024_2025!E:E,MATCH($B34,Admissions_2024_2025!$B:$B,0)),"")</f>
        <v>0</v>
      </c>
      <c r="F34">
        <f>IFERROR(INDEX(Admissions_2024_2025!F:F,MATCH($B34,Admissions_2024_2025!$B:$B,0)),"")</f>
        <v>57.6</v>
      </c>
      <c r="G34">
        <f>IFERROR(INDEX(Admissions_2024_2025!G:G,MATCH($B34,Admissions_2024_2025!$B:$B,0)),"")</f>
        <v>91.999999999999986</v>
      </c>
      <c r="H34">
        <f>IFERROR(INDEX(Admissions_2024_2025!H:H,MATCH($B34,Admissions_2024_2025!$B:$B,0)),"")</f>
        <v>78.666666666666671</v>
      </c>
      <c r="I34">
        <f>IFERROR(INDEX(Admissions_2024_2025!I:I,MATCH($B34,Admissions_2024_2025!$B:$B,0)),"")</f>
        <v>0</v>
      </c>
      <c r="J34">
        <f>IFERROR(INDEX(Admissions_2024_2025!J:J,MATCH($B34,Admissions_2024_2025!$B:$B,0)),"")</f>
        <v>144</v>
      </c>
      <c r="K34">
        <f t="shared" si="0"/>
        <v>57.599999999999994</v>
      </c>
      <c r="L34">
        <f>IFERROR(INDEX(Admissions_2024_2025!L:L,MATCH($B34,Admissions_2024_2025!$B:$B,0)),"")</f>
        <v>59</v>
      </c>
      <c r="M34">
        <f t="shared" si="1"/>
        <v>118</v>
      </c>
      <c r="N34" t="str">
        <f t="shared" si="2"/>
        <v/>
      </c>
      <c r="O34" t="str">
        <f t="shared" si="3"/>
        <v/>
      </c>
      <c r="P34">
        <f t="shared" si="4"/>
        <v>87.8</v>
      </c>
      <c r="Q34" t="str">
        <f>IFERROR(INDEX(Admissions_2024_2025!Q:Q,MATCH($B34,Admissions_2024_2025!$B:$B,0)),"")</f>
        <v/>
      </c>
      <c r="R34" t="str">
        <f>IFERROR(INDEX(Admissions_2024_2025!R:R,MATCH($B34,Admissions_2024_2025!$B:$B,0)),"")</f>
        <v/>
      </c>
      <c r="S34" t="str">
        <f>IFERROR(INDEX(Admissions_2024_2025!S:S,MATCH($B34,Admissions_2024_2025!$B:$B,0)),"")</f>
        <v/>
      </c>
      <c r="T34" t="str">
        <f>IFERROR(INDEX(Admissions_2024_2025!T:T,MATCH($B34,Admissions_2024_2025!$B:$B,0)),"")</f>
        <v/>
      </c>
      <c r="U34" t="str">
        <f>IFERROR(INDEX(Admissions_2024_2025!U:U,MATCH($B34,Admissions_2024_2025!$B:$B,0)),"")</f>
        <v/>
      </c>
      <c r="W34" t="str">
        <f>IFERROR(INDEX(Admissions_2024_2025!W:W,MATCH($B34,Admissions_2024_2025!$B:$B,0)),"")</f>
        <v>2022 admissions (name-matched to QID); outcomes</v>
      </c>
    </row>
    <row r="35" spans="1:23" x14ac:dyDescent="0.3">
      <c r="A35" t="s">
        <v>60</v>
      </c>
      <c r="B35" t="s">
        <v>133</v>
      </c>
      <c r="C35" t="s">
        <v>134</v>
      </c>
      <c r="D35">
        <f>IFERROR(INDEX(Admissions_2024_2025!D:D,MATCH($B35,Admissions_2024_2025!$B:$B,0)),"")</f>
        <v>0</v>
      </c>
      <c r="E35">
        <f>IFERROR(INDEX(Admissions_2024_2025!E:E,MATCH($B35,Admissions_2024_2025!$B:$B,0)),"")</f>
        <v>0</v>
      </c>
      <c r="F35">
        <f>IFERROR(INDEX(Admissions_2024_2025!F:F,MATCH($B35,Admissions_2024_2025!$B:$B,0)),"")</f>
        <v>60.8</v>
      </c>
      <c r="G35">
        <f>IFERROR(INDEX(Admissions_2024_2025!G:G,MATCH($B35,Admissions_2024_2025!$B:$B,0)),"")</f>
        <v>76</v>
      </c>
      <c r="H35">
        <f>IFERROR(INDEX(Admissions_2024_2025!H:H,MATCH($B35,Admissions_2024_2025!$B:$B,0)),"")</f>
        <v>72</v>
      </c>
      <c r="I35">
        <f>IFERROR(INDEX(Admissions_2024_2025!I:I,MATCH($B35,Admissions_2024_2025!$B:$B,0)),"")</f>
        <v>0</v>
      </c>
      <c r="J35">
        <f>IFERROR(INDEX(Admissions_2024_2025!J:J,MATCH($B35,Admissions_2024_2025!$B:$B,0)),"")</f>
        <v>152</v>
      </c>
      <c r="K35">
        <f t="shared" si="0"/>
        <v>60.8</v>
      </c>
      <c r="L35">
        <f>IFERROR(INDEX(Admissions_2024_2025!L:L,MATCH($B35,Admissions_2024_2025!$B:$B,0)),"")</f>
        <v>54</v>
      </c>
      <c r="M35">
        <f t="shared" si="1"/>
        <v>108</v>
      </c>
      <c r="N35" t="str">
        <f t="shared" si="2"/>
        <v/>
      </c>
      <c r="O35" t="str">
        <f t="shared" si="3"/>
        <v/>
      </c>
      <c r="P35">
        <f t="shared" si="4"/>
        <v>84.4</v>
      </c>
      <c r="Q35" t="str">
        <f>IFERROR(INDEX(Admissions_2024_2025!Q:Q,MATCH($B35,Admissions_2024_2025!$B:$B,0)),"")</f>
        <v/>
      </c>
      <c r="R35" t="str">
        <f>IFERROR(INDEX(Admissions_2024_2025!R:R,MATCH($B35,Admissions_2024_2025!$B:$B,0)),"")</f>
        <v/>
      </c>
      <c r="S35" t="str">
        <f>IFERROR(INDEX(Admissions_2024_2025!S:S,MATCH($B35,Admissions_2024_2025!$B:$B,0)),"")</f>
        <v/>
      </c>
      <c r="T35" t="str">
        <f>IFERROR(INDEX(Admissions_2024_2025!T:T,MATCH($B35,Admissions_2024_2025!$B:$B,0)),"")</f>
        <v/>
      </c>
      <c r="U35" t="str">
        <f>IFERROR(INDEX(Admissions_2024_2025!U:U,MATCH($B35,Admissions_2024_2025!$B:$B,0)),"")</f>
        <v/>
      </c>
      <c r="W35" t="str">
        <f>IFERROR(INDEX(Admissions_2024_2025!W:W,MATCH($B35,Admissions_2024_2025!$B:$B,0)),"")</f>
        <v>2022 admissions (name-matched to QID); outcomes</v>
      </c>
    </row>
    <row r="36" spans="1:23" x14ac:dyDescent="0.3">
      <c r="A36" t="s">
        <v>60</v>
      </c>
      <c r="B36" t="s">
        <v>135</v>
      </c>
      <c r="C36" t="s">
        <v>136</v>
      </c>
      <c r="D36">
        <f>IFERROR(INDEX(Admissions_2024_2025!D:D,MATCH($B36,Admissions_2024_2025!$B:$B,0)),"")</f>
        <v>0</v>
      </c>
      <c r="E36">
        <f>IFERROR(INDEX(Admissions_2024_2025!E:E,MATCH($B36,Admissions_2024_2025!$B:$B,0)),"")</f>
        <v>0</v>
      </c>
      <c r="F36">
        <f>IFERROR(INDEX(Admissions_2024_2025!F:F,MATCH($B36,Admissions_2024_2025!$B:$B,0)),"")</f>
        <v>64.400000000000006</v>
      </c>
      <c r="G36">
        <f>IFERROR(INDEX(Admissions_2024_2025!G:G,MATCH($B36,Admissions_2024_2025!$B:$B,0)),"")</f>
        <v>76</v>
      </c>
      <c r="H36">
        <f>IFERROR(INDEX(Admissions_2024_2025!H:H,MATCH($B36,Admissions_2024_2025!$B:$B,0)),"")</f>
        <v>70.666666666666671</v>
      </c>
      <c r="I36">
        <f>IFERROR(INDEX(Admissions_2024_2025!I:I,MATCH($B36,Admissions_2024_2025!$B:$B,0)),"")</f>
        <v>0</v>
      </c>
      <c r="J36">
        <f>IFERROR(INDEX(Admissions_2024_2025!J:J,MATCH($B36,Admissions_2024_2025!$B:$B,0)),"")</f>
        <v>161</v>
      </c>
      <c r="K36">
        <f t="shared" si="0"/>
        <v>64.400000000000006</v>
      </c>
      <c r="L36">
        <f>IFERROR(INDEX(Admissions_2024_2025!L:L,MATCH($B36,Admissions_2024_2025!$B:$B,0)),"")</f>
        <v>53</v>
      </c>
      <c r="M36">
        <f t="shared" si="1"/>
        <v>106</v>
      </c>
      <c r="N36" t="str">
        <f t="shared" si="2"/>
        <v/>
      </c>
      <c r="O36" t="str">
        <f t="shared" si="3"/>
        <v/>
      </c>
      <c r="P36">
        <f t="shared" si="4"/>
        <v>85.2</v>
      </c>
      <c r="Q36" t="str">
        <f>IFERROR(INDEX(Admissions_2024_2025!Q:Q,MATCH($B36,Admissions_2024_2025!$B:$B,0)),"")</f>
        <v/>
      </c>
      <c r="R36" t="str">
        <f>IFERROR(INDEX(Admissions_2024_2025!R:R,MATCH($B36,Admissions_2024_2025!$B:$B,0)),"")</f>
        <v/>
      </c>
      <c r="S36" t="str">
        <f>IFERROR(INDEX(Admissions_2024_2025!S:S,MATCH($B36,Admissions_2024_2025!$B:$B,0)),"")</f>
        <v/>
      </c>
      <c r="T36" t="str">
        <f>IFERROR(INDEX(Admissions_2024_2025!T:T,MATCH($B36,Admissions_2024_2025!$B:$B,0)),"")</f>
        <v/>
      </c>
      <c r="U36" t="str">
        <f>IFERROR(INDEX(Admissions_2024_2025!U:U,MATCH($B36,Admissions_2024_2025!$B:$B,0)),"")</f>
        <v/>
      </c>
      <c r="W36" t="str">
        <f>IFERROR(INDEX(Admissions_2024_2025!W:W,MATCH($B36,Admissions_2024_2025!$B:$B,0)),"")</f>
        <v>2022 admissions (name-matched to QID); outcomes</v>
      </c>
    </row>
    <row r="37" spans="1:23" x14ac:dyDescent="0.3">
      <c r="A37" t="s">
        <v>60</v>
      </c>
      <c r="B37" t="s">
        <v>137</v>
      </c>
      <c r="C37" t="s">
        <v>138</v>
      </c>
      <c r="D37">
        <f>IFERROR(INDEX(Admissions_2024_2025!D:D,MATCH($B37,Admissions_2024_2025!$B:$B,0)),"")</f>
        <v>0</v>
      </c>
      <c r="E37">
        <f>IFERROR(INDEX(Admissions_2024_2025!E:E,MATCH($B37,Admissions_2024_2025!$B:$B,0)),"")</f>
        <v>0</v>
      </c>
      <c r="F37">
        <f>IFERROR(INDEX(Admissions_2024_2025!F:F,MATCH($B37,Admissions_2024_2025!$B:$B,0)),"")</f>
        <v>54</v>
      </c>
      <c r="G37">
        <f>IFERROR(INDEX(Admissions_2024_2025!G:G,MATCH($B37,Admissions_2024_2025!$B:$B,0)),"")</f>
        <v>91.999999999999986</v>
      </c>
      <c r="H37">
        <f>IFERROR(INDEX(Admissions_2024_2025!H:H,MATCH($B37,Admissions_2024_2025!$B:$B,0)),"")</f>
        <v>62.666666666666657</v>
      </c>
      <c r="I37">
        <f>IFERROR(INDEX(Admissions_2024_2025!I:I,MATCH($B37,Admissions_2024_2025!$B:$B,0)),"")</f>
        <v>0</v>
      </c>
      <c r="J37">
        <f>IFERROR(INDEX(Admissions_2024_2025!J:J,MATCH($B37,Admissions_2024_2025!$B:$B,0)),"")</f>
        <v>135</v>
      </c>
      <c r="K37">
        <f t="shared" si="0"/>
        <v>54</v>
      </c>
      <c r="L37">
        <f>IFERROR(INDEX(Admissions_2024_2025!L:L,MATCH($B37,Admissions_2024_2025!$B:$B,0)),"")</f>
        <v>47</v>
      </c>
      <c r="M37">
        <f t="shared" si="1"/>
        <v>94</v>
      </c>
      <c r="N37" t="str">
        <f t="shared" si="2"/>
        <v/>
      </c>
      <c r="O37" t="str">
        <f t="shared" si="3"/>
        <v/>
      </c>
      <c r="P37">
        <f t="shared" si="4"/>
        <v>74</v>
      </c>
      <c r="Q37" t="str">
        <f>IFERROR(INDEX(Admissions_2024_2025!Q:Q,MATCH($B37,Admissions_2024_2025!$B:$B,0)),"")</f>
        <v/>
      </c>
      <c r="R37" t="str">
        <f>IFERROR(INDEX(Admissions_2024_2025!R:R,MATCH($B37,Admissions_2024_2025!$B:$B,0)),"")</f>
        <v/>
      </c>
      <c r="S37" t="str">
        <f>IFERROR(INDEX(Admissions_2024_2025!S:S,MATCH($B37,Admissions_2024_2025!$B:$B,0)),"")</f>
        <v/>
      </c>
      <c r="T37" t="str">
        <f>IFERROR(INDEX(Admissions_2024_2025!T:T,MATCH($B37,Admissions_2024_2025!$B:$B,0)),"")</f>
        <v/>
      </c>
      <c r="U37" t="str">
        <f>IFERROR(INDEX(Admissions_2024_2025!U:U,MATCH($B37,Admissions_2024_2025!$B:$B,0)),"")</f>
        <v/>
      </c>
      <c r="W37" t="str">
        <f>IFERROR(INDEX(Admissions_2024_2025!W:W,MATCH($B37,Admissions_2024_2025!$B:$B,0)),"")</f>
        <v>2022 admissions (name-matched to QID); outcomes</v>
      </c>
    </row>
    <row r="38" spans="1:23" x14ac:dyDescent="0.3">
      <c r="A38" t="s">
        <v>60</v>
      </c>
      <c r="B38" t="s">
        <v>139</v>
      </c>
      <c r="C38" t="s">
        <v>140</v>
      </c>
      <c r="D38">
        <f>IFERROR(INDEX(Admissions_2024_2025!D:D,MATCH($B38,Admissions_2024_2025!$B:$B,0)),"")</f>
        <v>0</v>
      </c>
      <c r="E38">
        <f>IFERROR(INDEX(Admissions_2024_2025!E:E,MATCH($B38,Admissions_2024_2025!$B:$B,0)),"")</f>
        <v>0</v>
      </c>
      <c r="F38">
        <f>IFERROR(INDEX(Admissions_2024_2025!F:F,MATCH($B38,Admissions_2024_2025!$B:$B,0)),"")</f>
        <v>52</v>
      </c>
      <c r="G38">
        <f>IFERROR(INDEX(Admissions_2024_2025!G:G,MATCH($B38,Admissions_2024_2025!$B:$B,0)),"")</f>
        <v>76</v>
      </c>
      <c r="H38">
        <f>IFERROR(INDEX(Admissions_2024_2025!H:H,MATCH($B38,Admissions_2024_2025!$B:$B,0)),"")</f>
        <v>68</v>
      </c>
      <c r="I38">
        <f>IFERROR(INDEX(Admissions_2024_2025!I:I,MATCH($B38,Admissions_2024_2025!$B:$B,0)),"")</f>
        <v>0</v>
      </c>
      <c r="J38">
        <f>IFERROR(INDEX(Admissions_2024_2025!J:J,MATCH($B38,Admissions_2024_2025!$B:$B,0)),"")</f>
        <v>130</v>
      </c>
      <c r="K38">
        <f t="shared" si="0"/>
        <v>52</v>
      </c>
      <c r="L38">
        <f>IFERROR(INDEX(Admissions_2024_2025!L:L,MATCH($B38,Admissions_2024_2025!$B:$B,0)),"")</f>
        <v>51</v>
      </c>
      <c r="M38">
        <f t="shared" si="1"/>
        <v>102</v>
      </c>
      <c r="N38" t="str">
        <f t="shared" si="2"/>
        <v/>
      </c>
      <c r="O38" t="str">
        <f t="shared" si="3"/>
        <v/>
      </c>
      <c r="P38">
        <f t="shared" si="4"/>
        <v>77</v>
      </c>
      <c r="Q38" t="str">
        <f>IFERROR(INDEX(Admissions_2024_2025!Q:Q,MATCH($B38,Admissions_2024_2025!$B:$B,0)),"")</f>
        <v/>
      </c>
      <c r="R38" t="str">
        <f>IFERROR(INDEX(Admissions_2024_2025!R:R,MATCH($B38,Admissions_2024_2025!$B:$B,0)),"")</f>
        <v/>
      </c>
      <c r="S38" t="str">
        <f>IFERROR(INDEX(Admissions_2024_2025!S:S,MATCH($B38,Admissions_2024_2025!$B:$B,0)),"")</f>
        <v/>
      </c>
      <c r="T38" t="str">
        <f>IFERROR(INDEX(Admissions_2024_2025!T:T,MATCH($B38,Admissions_2024_2025!$B:$B,0)),"")</f>
        <v/>
      </c>
      <c r="U38" t="str">
        <f>IFERROR(INDEX(Admissions_2024_2025!U:U,MATCH($B38,Admissions_2024_2025!$B:$B,0)),"")</f>
        <v/>
      </c>
      <c r="W38" t="str">
        <f>IFERROR(INDEX(Admissions_2024_2025!W:W,MATCH($B38,Admissions_2024_2025!$B:$B,0)),"")</f>
        <v>2022 admissions (name-matched to QID); outcomes</v>
      </c>
    </row>
    <row r="39" spans="1:23" x14ac:dyDescent="0.3">
      <c r="A39" t="s">
        <v>60</v>
      </c>
      <c r="B39" t="s">
        <v>141</v>
      </c>
      <c r="C39" t="s">
        <v>142</v>
      </c>
      <c r="D39">
        <f>IFERROR(INDEX(Admissions_2024_2025!D:D,MATCH($B39,Admissions_2024_2025!$B:$B,0)),"")</f>
        <v>0</v>
      </c>
      <c r="E39">
        <f>IFERROR(INDEX(Admissions_2024_2025!E:E,MATCH($B39,Admissions_2024_2025!$B:$B,0)),"")</f>
        <v>0</v>
      </c>
      <c r="F39">
        <f>IFERROR(INDEX(Admissions_2024_2025!F:F,MATCH($B39,Admissions_2024_2025!$B:$B,0)),"")</f>
        <v>66</v>
      </c>
      <c r="G39">
        <f>IFERROR(INDEX(Admissions_2024_2025!G:G,MATCH($B39,Admissions_2024_2025!$B:$B,0)),"")</f>
        <v>100</v>
      </c>
      <c r="H39">
        <f>IFERROR(INDEX(Admissions_2024_2025!H:H,MATCH($B39,Admissions_2024_2025!$B:$B,0)),"")</f>
        <v>74.666666666666671</v>
      </c>
      <c r="I39">
        <f>IFERROR(INDEX(Admissions_2024_2025!I:I,MATCH($B39,Admissions_2024_2025!$B:$B,0)),"")</f>
        <v>0</v>
      </c>
      <c r="J39">
        <f>IFERROR(INDEX(Admissions_2024_2025!J:J,MATCH($B39,Admissions_2024_2025!$B:$B,0)),"")</f>
        <v>165</v>
      </c>
      <c r="K39">
        <f t="shared" si="0"/>
        <v>66</v>
      </c>
      <c r="L39">
        <f>IFERROR(INDEX(Admissions_2024_2025!L:L,MATCH($B39,Admissions_2024_2025!$B:$B,0)),"")</f>
        <v>56</v>
      </c>
      <c r="M39">
        <f t="shared" si="1"/>
        <v>112.00000000000001</v>
      </c>
      <c r="N39" t="str">
        <f t="shared" si="2"/>
        <v/>
      </c>
      <c r="O39" t="str">
        <f t="shared" si="3"/>
        <v/>
      </c>
      <c r="P39">
        <f t="shared" si="4"/>
        <v>89</v>
      </c>
      <c r="Q39" t="str">
        <f>IFERROR(INDEX(Admissions_2024_2025!Q:Q,MATCH($B39,Admissions_2024_2025!$B:$B,0)),"")</f>
        <v/>
      </c>
      <c r="R39" t="str">
        <f>IFERROR(INDEX(Admissions_2024_2025!R:R,MATCH($B39,Admissions_2024_2025!$B:$B,0)),"")</f>
        <v/>
      </c>
      <c r="S39" t="str">
        <f>IFERROR(INDEX(Admissions_2024_2025!S:S,MATCH($B39,Admissions_2024_2025!$B:$B,0)),"")</f>
        <v/>
      </c>
      <c r="T39" t="str">
        <f>IFERROR(INDEX(Admissions_2024_2025!T:T,MATCH($B39,Admissions_2024_2025!$B:$B,0)),"")</f>
        <v/>
      </c>
      <c r="U39" t="str">
        <f>IFERROR(INDEX(Admissions_2024_2025!U:U,MATCH($B39,Admissions_2024_2025!$B:$B,0)),"")</f>
        <v/>
      </c>
      <c r="W39" t="str">
        <f>IFERROR(INDEX(Admissions_2024_2025!W:W,MATCH($B39,Admissions_2024_2025!$B:$B,0)),"")</f>
        <v>2022 admissions (name-matched to QID); outcomes</v>
      </c>
    </row>
    <row r="40" spans="1:23" x14ac:dyDescent="0.3">
      <c r="A40" t="s">
        <v>60</v>
      </c>
      <c r="B40" t="s">
        <v>143</v>
      </c>
      <c r="C40" t="s">
        <v>144</v>
      </c>
      <c r="D40">
        <f>IFERROR(INDEX(Admissions_2024_2025!D:D,MATCH($B40,Admissions_2024_2025!$B:$B,0)),"")</f>
        <v>0</v>
      </c>
      <c r="E40">
        <f>IFERROR(INDEX(Admissions_2024_2025!E:E,MATCH($B40,Admissions_2024_2025!$B:$B,0)),"")</f>
        <v>0</v>
      </c>
      <c r="F40">
        <f>IFERROR(INDEX(Admissions_2024_2025!F:F,MATCH($B40,Admissions_2024_2025!$B:$B,0)),"")</f>
        <v>48</v>
      </c>
      <c r="G40">
        <f>IFERROR(INDEX(Admissions_2024_2025!G:G,MATCH($B40,Admissions_2024_2025!$B:$B,0)),"")</f>
        <v>100</v>
      </c>
      <c r="H40">
        <f>IFERROR(INDEX(Admissions_2024_2025!H:H,MATCH($B40,Admissions_2024_2025!$B:$B,0)),"")</f>
        <v>90.666666666666671</v>
      </c>
      <c r="I40">
        <f>IFERROR(INDEX(Admissions_2024_2025!I:I,MATCH($B40,Admissions_2024_2025!$B:$B,0)),"")</f>
        <v>0</v>
      </c>
      <c r="J40">
        <f>IFERROR(INDEX(Admissions_2024_2025!J:J,MATCH($B40,Admissions_2024_2025!$B:$B,0)),"")</f>
        <v>120</v>
      </c>
      <c r="K40">
        <f t="shared" si="0"/>
        <v>48</v>
      </c>
      <c r="L40">
        <f>IFERROR(INDEX(Admissions_2024_2025!L:L,MATCH($B40,Admissions_2024_2025!$B:$B,0)),"")</f>
        <v>68</v>
      </c>
      <c r="M40">
        <f t="shared" si="1"/>
        <v>136</v>
      </c>
      <c r="N40" t="str">
        <f t="shared" si="2"/>
        <v/>
      </c>
      <c r="O40" t="str">
        <f t="shared" si="3"/>
        <v/>
      </c>
      <c r="P40">
        <f t="shared" si="4"/>
        <v>92</v>
      </c>
      <c r="Q40" t="str">
        <f>IFERROR(INDEX(Admissions_2024_2025!Q:Q,MATCH($B40,Admissions_2024_2025!$B:$B,0)),"")</f>
        <v/>
      </c>
      <c r="R40" t="str">
        <f>IFERROR(INDEX(Admissions_2024_2025!R:R,MATCH($B40,Admissions_2024_2025!$B:$B,0)),"")</f>
        <v/>
      </c>
      <c r="S40" t="str">
        <f>IFERROR(INDEX(Admissions_2024_2025!S:S,MATCH($B40,Admissions_2024_2025!$B:$B,0)),"")</f>
        <v/>
      </c>
      <c r="T40" t="str">
        <f>IFERROR(INDEX(Admissions_2024_2025!T:T,MATCH($B40,Admissions_2024_2025!$B:$B,0)),"")</f>
        <v/>
      </c>
      <c r="U40" t="str">
        <f>IFERROR(INDEX(Admissions_2024_2025!U:U,MATCH($B40,Admissions_2024_2025!$B:$B,0)),"")</f>
        <v/>
      </c>
      <c r="W40" t="str">
        <f>IFERROR(INDEX(Admissions_2024_2025!W:W,MATCH($B40,Admissions_2024_2025!$B:$B,0)),"")</f>
        <v>2022 admissions (name-matched to QID); outcomes</v>
      </c>
    </row>
    <row r="41" spans="1:23" x14ac:dyDescent="0.3">
      <c r="A41" t="s">
        <v>60</v>
      </c>
      <c r="B41" t="s">
        <v>145</v>
      </c>
      <c r="C41" t="s">
        <v>146</v>
      </c>
      <c r="D41">
        <f>IFERROR(INDEX(Admissions_2024_2025!D:D,MATCH($B41,Admissions_2024_2025!$B:$B,0)),"")</f>
        <v>0</v>
      </c>
      <c r="E41">
        <f>IFERROR(INDEX(Admissions_2024_2025!E:E,MATCH($B41,Admissions_2024_2025!$B:$B,0)),"")</f>
        <v>0</v>
      </c>
      <c r="F41">
        <f>IFERROR(INDEX(Admissions_2024_2025!F:F,MATCH($B41,Admissions_2024_2025!$B:$B,0)),"")</f>
        <v>44.8</v>
      </c>
      <c r="G41">
        <f>IFERROR(INDEX(Admissions_2024_2025!G:G,MATCH($B41,Admissions_2024_2025!$B:$B,0)),"")</f>
        <v>64</v>
      </c>
      <c r="H41">
        <f>IFERROR(INDEX(Admissions_2024_2025!H:H,MATCH($B41,Admissions_2024_2025!$B:$B,0)),"")</f>
        <v>92</v>
      </c>
      <c r="I41">
        <f>IFERROR(INDEX(Admissions_2024_2025!I:I,MATCH($B41,Admissions_2024_2025!$B:$B,0)),"")</f>
        <v>0</v>
      </c>
      <c r="J41">
        <f>IFERROR(INDEX(Admissions_2024_2025!J:J,MATCH($B41,Admissions_2024_2025!$B:$B,0)),"")</f>
        <v>112</v>
      </c>
      <c r="K41">
        <f t="shared" si="0"/>
        <v>44.800000000000004</v>
      </c>
      <c r="L41">
        <f>IFERROR(INDEX(Admissions_2024_2025!L:L,MATCH($B41,Admissions_2024_2025!$B:$B,0)),"")</f>
        <v>69</v>
      </c>
      <c r="M41">
        <f t="shared" si="1"/>
        <v>138</v>
      </c>
      <c r="N41" t="str">
        <f t="shared" si="2"/>
        <v/>
      </c>
      <c r="O41" t="str">
        <f t="shared" si="3"/>
        <v/>
      </c>
      <c r="P41">
        <f t="shared" si="4"/>
        <v>91.4</v>
      </c>
      <c r="Q41" t="str">
        <f>IFERROR(INDEX(Admissions_2024_2025!Q:Q,MATCH($B41,Admissions_2024_2025!$B:$B,0)),"")</f>
        <v/>
      </c>
      <c r="R41" t="str">
        <f>IFERROR(INDEX(Admissions_2024_2025!R:R,MATCH($B41,Admissions_2024_2025!$B:$B,0)),"")</f>
        <v/>
      </c>
      <c r="S41" t="str">
        <f>IFERROR(INDEX(Admissions_2024_2025!S:S,MATCH($B41,Admissions_2024_2025!$B:$B,0)),"")</f>
        <v/>
      </c>
      <c r="T41" t="str">
        <f>IFERROR(INDEX(Admissions_2024_2025!T:T,MATCH($B41,Admissions_2024_2025!$B:$B,0)),"")</f>
        <v/>
      </c>
      <c r="U41" t="str">
        <f>IFERROR(INDEX(Admissions_2024_2025!U:U,MATCH($B41,Admissions_2024_2025!$B:$B,0)),"")</f>
        <v/>
      </c>
      <c r="W41" t="str">
        <f>IFERROR(INDEX(Admissions_2024_2025!W:W,MATCH($B41,Admissions_2024_2025!$B:$B,0)),"")</f>
        <v>2022 admissions (name-matched to QID); outcomes</v>
      </c>
    </row>
    <row r="42" spans="1:23" x14ac:dyDescent="0.3">
      <c r="A42" t="s">
        <v>60</v>
      </c>
      <c r="B42" t="s">
        <v>147</v>
      </c>
      <c r="C42" t="s">
        <v>148</v>
      </c>
      <c r="D42">
        <f>IFERROR(INDEX(Admissions_2024_2025!D:D,MATCH($B42,Admissions_2024_2025!$B:$B,0)),"")</f>
        <v>0</v>
      </c>
      <c r="E42">
        <f>IFERROR(INDEX(Admissions_2024_2025!E:E,MATCH($B42,Admissions_2024_2025!$B:$B,0)),"")</f>
        <v>0</v>
      </c>
      <c r="F42">
        <f>IFERROR(INDEX(Admissions_2024_2025!F:F,MATCH($B42,Admissions_2024_2025!$B:$B,0)),"")</f>
        <v>34.4</v>
      </c>
      <c r="G42">
        <f>IFERROR(INDEX(Admissions_2024_2025!G:G,MATCH($B42,Admissions_2024_2025!$B:$B,0)),"")</f>
        <v>56</v>
      </c>
      <c r="H42">
        <f>IFERROR(INDEX(Admissions_2024_2025!H:H,MATCH($B42,Admissions_2024_2025!$B:$B,0)),"")</f>
        <v>40</v>
      </c>
      <c r="I42">
        <f>IFERROR(INDEX(Admissions_2024_2025!I:I,MATCH($B42,Admissions_2024_2025!$B:$B,0)),"")</f>
        <v>0</v>
      </c>
      <c r="J42">
        <f>IFERROR(INDEX(Admissions_2024_2025!J:J,MATCH($B42,Admissions_2024_2025!$B:$B,0)),"")</f>
        <v>86</v>
      </c>
      <c r="K42">
        <f t="shared" si="0"/>
        <v>34.4</v>
      </c>
      <c r="L42">
        <f>IFERROR(INDEX(Admissions_2024_2025!L:L,MATCH($B42,Admissions_2024_2025!$B:$B,0)),"")</f>
        <v>30</v>
      </c>
      <c r="M42">
        <f t="shared" si="1"/>
        <v>60</v>
      </c>
      <c r="N42" t="str">
        <f t="shared" si="2"/>
        <v/>
      </c>
      <c r="O42" t="str">
        <f t="shared" si="3"/>
        <v/>
      </c>
      <c r="P42">
        <f t="shared" si="4"/>
        <v>47.2</v>
      </c>
      <c r="Q42" t="str">
        <f>IFERROR(INDEX(Admissions_2024_2025!Q:Q,MATCH($B42,Admissions_2024_2025!$B:$B,0)),"")</f>
        <v/>
      </c>
      <c r="R42" t="str">
        <f>IFERROR(INDEX(Admissions_2024_2025!R:R,MATCH($B42,Admissions_2024_2025!$B:$B,0)),"")</f>
        <v/>
      </c>
      <c r="S42" t="str">
        <f>IFERROR(INDEX(Admissions_2024_2025!S:S,MATCH($B42,Admissions_2024_2025!$B:$B,0)),"")</f>
        <v/>
      </c>
      <c r="T42" t="str">
        <f>IFERROR(INDEX(Admissions_2024_2025!T:T,MATCH($B42,Admissions_2024_2025!$B:$B,0)),"")</f>
        <v/>
      </c>
      <c r="U42" t="str">
        <f>IFERROR(INDEX(Admissions_2024_2025!U:U,MATCH($B42,Admissions_2024_2025!$B:$B,0)),"")</f>
        <v/>
      </c>
      <c r="W42" t="str">
        <f>IFERROR(INDEX(Admissions_2024_2025!W:W,MATCH($B42,Admissions_2024_2025!$B:$B,0)),"")</f>
        <v>2022 admissions (name-matched to QID); outcomes</v>
      </c>
    </row>
    <row r="43" spans="1:23" x14ac:dyDescent="0.3">
      <c r="A43" t="s">
        <v>60</v>
      </c>
      <c r="B43" t="s">
        <v>149</v>
      </c>
      <c r="C43" t="s">
        <v>150</v>
      </c>
      <c r="D43">
        <f>IFERROR(INDEX(Admissions_2024_2025!D:D,MATCH($B43,Admissions_2024_2025!$B:$B,0)),"")</f>
        <v>0</v>
      </c>
      <c r="E43">
        <f>IFERROR(INDEX(Admissions_2024_2025!E:E,MATCH($B43,Admissions_2024_2025!$B:$B,0)),"")</f>
        <v>0</v>
      </c>
      <c r="F43">
        <f>IFERROR(INDEX(Admissions_2024_2025!F:F,MATCH($B43,Admissions_2024_2025!$B:$B,0)),"")</f>
        <v>60.4</v>
      </c>
      <c r="G43">
        <f>IFERROR(INDEX(Admissions_2024_2025!G:G,MATCH($B43,Admissions_2024_2025!$B:$B,0)),"")</f>
        <v>91.999999999999986</v>
      </c>
      <c r="H43">
        <f>IFERROR(INDEX(Admissions_2024_2025!H:H,MATCH($B43,Admissions_2024_2025!$B:$B,0)),"")</f>
        <v>68</v>
      </c>
      <c r="I43">
        <f>IFERROR(INDEX(Admissions_2024_2025!I:I,MATCH($B43,Admissions_2024_2025!$B:$B,0)),"")</f>
        <v>0</v>
      </c>
      <c r="J43">
        <f>IFERROR(INDEX(Admissions_2024_2025!J:J,MATCH($B43,Admissions_2024_2025!$B:$B,0)),"")</f>
        <v>151</v>
      </c>
      <c r="K43">
        <f t="shared" si="0"/>
        <v>60.4</v>
      </c>
      <c r="L43">
        <f>IFERROR(INDEX(Admissions_2024_2025!L:L,MATCH($B43,Admissions_2024_2025!$B:$B,0)),"")</f>
        <v>51</v>
      </c>
      <c r="M43">
        <f t="shared" si="1"/>
        <v>102</v>
      </c>
      <c r="N43" t="str">
        <f t="shared" si="2"/>
        <v/>
      </c>
      <c r="O43" t="str">
        <f t="shared" si="3"/>
        <v/>
      </c>
      <c r="P43">
        <f t="shared" si="4"/>
        <v>81.2</v>
      </c>
      <c r="Q43" t="str">
        <f>IFERROR(INDEX(Admissions_2024_2025!Q:Q,MATCH($B43,Admissions_2024_2025!$B:$B,0)),"")</f>
        <v/>
      </c>
      <c r="R43" t="str">
        <f>IFERROR(INDEX(Admissions_2024_2025!R:R,MATCH($B43,Admissions_2024_2025!$B:$B,0)),"")</f>
        <v/>
      </c>
      <c r="S43" t="str">
        <f>IFERROR(INDEX(Admissions_2024_2025!S:S,MATCH($B43,Admissions_2024_2025!$B:$B,0)),"")</f>
        <v/>
      </c>
      <c r="T43" t="str">
        <f>IFERROR(INDEX(Admissions_2024_2025!T:T,MATCH($B43,Admissions_2024_2025!$B:$B,0)),"")</f>
        <v/>
      </c>
      <c r="U43" t="str">
        <f>IFERROR(INDEX(Admissions_2024_2025!U:U,MATCH($B43,Admissions_2024_2025!$B:$B,0)),"")</f>
        <v/>
      </c>
      <c r="W43" t="str">
        <f>IFERROR(INDEX(Admissions_2024_2025!W:W,MATCH($B43,Admissions_2024_2025!$B:$B,0)),"")</f>
        <v>2022 admissions (name-matched to QID); outcomes</v>
      </c>
    </row>
    <row r="44" spans="1:23" x14ac:dyDescent="0.3">
      <c r="A44" t="s">
        <v>60</v>
      </c>
      <c r="B44" t="s">
        <v>151</v>
      </c>
      <c r="C44" t="s">
        <v>152</v>
      </c>
      <c r="D44">
        <f>IFERROR(INDEX(Admissions_2024_2025!D:D,MATCH($B44,Admissions_2024_2025!$B:$B,0)),"")</f>
        <v>0</v>
      </c>
      <c r="E44">
        <f>IFERROR(INDEX(Admissions_2024_2025!E:E,MATCH($B44,Admissions_2024_2025!$B:$B,0)),"")</f>
        <v>0</v>
      </c>
      <c r="F44">
        <f>IFERROR(INDEX(Admissions_2024_2025!F:F,MATCH($B44,Admissions_2024_2025!$B:$B,0)),"")</f>
        <v>67.599999999999994</v>
      </c>
      <c r="G44">
        <f>IFERROR(INDEX(Admissions_2024_2025!G:G,MATCH($B44,Admissions_2024_2025!$B:$B,0)),"")</f>
        <v>68</v>
      </c>
      <c r="H44">
        <f>IFERROR(INDEX(Admissions_2024_2025!H:H,MATCH($B44,Admissions_2024_2025!$B:$B,0)),"")</f>
        <v>74.666666666666671</v>
      </c>
      <c r="I44">
        <f>IFERROR(INDEX(Admissions_2024_2025!I:I,MATCH($B44,Admissions_2024_2025!$B:$B,0)),"")</f>
        <v>0</v>
      </c>
      <c r="J44">
        <f>IFERROR(INDEX(Admissions_2024_2025!J:J,MATCH($B44,Admissions_2024_2025!$B:$B,0)),"")</f>
        <v>169</v>
      </c>
      <c r="K44">
        <f t="shared" si="0"/>
        <v>67.600000000000009</v>
      </c>
      <c r="L44">
        <f>IFERROR(INDEX(Admissions_2024_2025!L:L,MATCH($B44,Admissions_2024_2025!$B:$B,0)),"")</f>
        <v>56</v>
      </c>
      <c r="M44">
        <f t="shared" si="1"/>
        <v>112.00000000000001</v>
      </c>
      <c r="N44" t="str">
        <f t="shared" si="2"/>
        <v/>
      </c>
      <c r="O44" t="str">
        <f t="shared" si="3"/>
        <v/>
      </c>
      <c r="P44">
        <f t="shared" si="4"/>
        <v>89.800000000000011</v>
      </c>
      <c r="Q44" t="str">
        <f>IFERROR(INDEX(Admissions_2024_2025!Q:Q,MATCH($B44,Admissions_2024_2025!$B:$B,0)),"")</f>
        <v/>
      </c>
      <c r="R44" t="str">
        <f>IFERROR(INDEX(Admissions_2024_2025!R:R,MATCH($B44,Admissions_2024_2025!$B:$B,0)),"")</f>
        <v/>
      </c>
      <c r="S44" t="str">
        <f>IFERROR(INDEX(Admissions_2024_2025!S:S,MATCH($B44,Admissions_2024_2025!$B:$B,0)),"")</f>
        <v/>
      </c>
      <c r="T44" t="str">
        <f>IFERROR(INDEX(Admissions_2024_2025!T:T,MATCH($B44,Admissions_2024_2025!$B:$B,0)),"")</f>
        <v/>
      </c>
      <c r="U44" t="str">
        <f>IFERROR(INDEX(Admissions_2024_2025!U:U,MATCH($B44,Admissions_2024_2025!$B:$B,0)),"")</f>
        <v/>
      </c>
      <c r="W44" t="str">
        <f>IFERROR(INDEX(Admissions_2024_2025!W:W,MATCH($B44,Admissions_2024_2025!$B:$B,0)),"")</f>
        <v>2022 admissions (name-matched to QID); outcomes</v>
      </c>
    </row>
    <row r="45" spans="1:23" x14ac:dyDescent="0.3">
      <c r="A45" t="s">
        <v>60</v>
      </c>
      <c r="B45" t="s">
        <v>153</v>
      </c>
      <c r="C45" t="s">
        <v>154</v>
      </c>
      <c r="D45">
        <f>IFERROR(INDEX(Admissions_2024_2025!D:D,MATCH($B45,Admissions_2024_2025!$B:$B,0)),"")</f>
        <v>0</v>
      </c>
      <c r="E45">
        <f>IFERROR(INDEX(Admissions_2024_2025!E:E,MATCH($B45,Admissions_2024_2025!$B:$B,0)),"")</f>
        <v>0</v>
      </c>
      <c r="F45">
        <f>IFERROR(INDEX(Admissions_2024_2025!F:F,MATCH($B45,Admissions_2024_2025!$B:$B,0)),"")</f>
        <v>51.2</v>
      </c>
      <c r="G45">
        <f>IFERROR(INDEX(Admissions_2024_2025!G:G,MATCH($B45,Admissions_2024_2025!$B:$B,0)),"")</f>
        <v>64</v>
      </c>
      <c r="H45">
        <f>IFERROR(INDEX(Admissions_2024_2025!H:H,MATCH($B45,Admissions_2024_2025!$B:$B,0)),"")</f>
        <v>45.333333333333343</v>
      </c>
      <c r="I45">
        <f>IFERROR(INDEX(Admissions_2024_2025!I:I,MATCH($B45,Admissions_2024_2025!$B:$B,0)),"")</f>
        <v>0</v>
      </c>
      <c r="J45">
        <f>IFERROR(INDEX(Admissions_2024_2025!J:J,MATCH($B45,Admissions_2024_2025!$B:$B,0)),"")</f>
        <v>128</v>
      </c>
      <c r="K45">
        <f t="shared" si="0"/>
        <v>51.2</v>
      </c>
      <c r="L45">
        <f>IFERROR(INDEX(Admissions_2024_2025!L:L,MATCH($B45,Admissions_2024_2025!$B:$B,0)),"")</f>
        <v>34</v>
      </c>
      <c r="M45">
        <f t="shared" si="1"/>
        <v>68</v>
      </c>
      <c r="N45" t="str">
        <f t="shared" si="2"/>
        <v/>
      </c>
      <c r="O45" t="str">
        <f t="shared" si="3"/>
        <v/>
      </c>
      <c r="P45">
        <f t="shared" si="4"/>
        <v>59.6</v>
      </c>
      <c r="Q45" t="str">
        <f>IFERROR(INDEX(Admissions_2024_2025!Q:Q,MATCH($B45,Admissions_2024_2025!$B:$B,0)),"")</f>
        <v/>
      </c>
      <c r="R45" t="str">
        <f>IFERROR(INDEX(Admissions_2024_2025!R:R,MATCH($B45,Admissions_2024_2025!$B:$B,0)),"")</f>
        <v/>
      </c>
      <c r="S45" t="str">
        <f>IFERROR(INDEX(Admissions_2024_2025!S:S,MATCH($B45,Admissions_2024_2025!$B:$B,0)),"")</f>
        <v/>
      </c>
      <c r="T45" t="str">
        <f>IFERROR(INDEX(Admissions_2024_2025!T:T,MATCH($B45,Admissions_2024_2025!$B:$B,0)),"")</f>
        <v/>
      </c>
      <c r="U45" t="str">
        <f>IFERROR(INDEX(Admissions_2024_2025!U:U,MATCH($B45,Admissions_2024_2025!$B:$B,0)),"")</f>
        <v/>
      </c>
      <c r="W45" t="str">
        <f>IFERROR(INDEX(Admissions_2024_2025!W:W,MATCH($B45,Admissions_2024_2025!$B:$B,0)),"")</f>
        <v>2022 admissions (name-matched to QID); outcomes</v>
      </c>
    </row>
    <row r="46" spans="1:23" x14ac:dyDescent="0.3">
      <c r="A46" t="s">
        <v>60</v>
      </c>
      <c r="B46" t="s">
        <v>155</v>
      </c>
      <c r="C46" t="s">
        <v>156</v>
      </c>
      <c r="D46">
        <f>IFERROR(INDEX(Admissions_2024_2025!D:D,MATCH($B46,Admissions_2024_2025!$B:$B,0)),"")</f>
        <v>0</v>
      </c>
      <c r="E46">
        <f>IFERROR(INDEX(Admissions_2024_2025!E:E,MATCH($B46,Admissions_2024_2025!$B:$B,0)),"")</f>
        <v>0</v>
      </c>
      <c r="F46">
        <f>IFERROR(INDEX(Admissions_2024_2025!F:F,MATCH($B46,Admissions_2024_2025!$B:$B,0)),"")</f>
        <v>69.2</v>
      </c>
      <c r="G46">
        <f>IFERROR(INDEX(Admissions_2024_2025!G:G,MATCH($B46,Admissions_2024_2025!$B:$B,0)),"")</f>
        <v>56</v>
      </c>
      <c r="H46">
        <f>IFERROR(INDEX(Admissions_2024_2025!H:H,MATCH($B46,Admissions_2024_2025!$B:$B,0)),"")</f>
        <v>58.666666666666657</v>
      </c>
      <c r="I46">
        <f>IFERROR(INDEX(Admissions_2024_2025!I:I,MATCH($B46,Admissions_2024_2025!$B:$B,0)),"")</f>
        <v>0</v>
      </c>
      <c r="J46">
        <f>IFERROR(INDEX(Admissions_2024_2025!J:J,MATCH($B46,Admissions_2024_2025!$B:$B,0)),"")</f>
        <v>173</v>
      </c>
      <c r="K46">
        <f t="shared" si="0"/>
        <v>69.199999999999989</v>
      </c>
      <c r="L46">
        <f>IFERROR(INDEX(Admissions_2024_2025!L:L,MATCH($B46,Admissions_2024_2025!$B:$B,0)),"")</f>
        <v>44</v>
      </c>
      <c r="M46">
        <f t="shared" si="1"/>
        <v>88</v>
      </c>
      <c r="N46" t="str">
        <f t="shared" si="2"/>
        <v/>
      </c>
      <c r="O46" t="str">
        <f t="shared" si="3"/>
        <v/>
      </c>
      <c r="P46">
        <f t="shared" si="4"/>
        <v>78.599999999999994</v>
      </c>
      <c r="Q46" t="str">
        <f>IFERROR(INDEX(Admissions_2024_2025!Q:Q,MATCH($B46,Admissions_2024_2025!$B:$B,0)),"")</f>
        <v/>
      </c>
      <c r="R46" t="str">
        <f>IFERROR(INDEX(Admissions_2024_2025!R:R,MATCH($B46,Admissions_2024_2025!$B:$B,0)),"")</f>
        <v/>
      </c>
      <c r="S46" t="str">
        <f>IFERROR(INDEX(Admissions_2024_2025!S:S,MATCH($B46,Admissions_2024_2025!$B:$B,0)),"")</f>
        <v/>
      </c>
      <c r="T46" t="str">
        <f>IFERROR(INDEX(Admissions_2024_2025!T:T,MATCH($B46,Admissions_2024_2025!$B:$B,0)),"")</f>
        <v/>
      </c>
      <c r="U46" t="str">
        <f>IFERROR(INDEX(Admissions_2024_2025!U:U,MATCH($B46,Admissions_2024_2025!$B:$B,0)),"")</f>
        <v/>
      </c>
      <c r="W46" t="str">
        <f>IFERROR(INDEX(Admissions_2024_2025!W:W,MATCH($B46,Admissions_2024_2025!$B:$B,0)),"")</f>
        <v>2022 admissions (name-matched to QID); outcomes</v>
      </c>
    </row>
    <row r="47" spans="1:23" x14ac:dyDescent="0.3">
      <c r="A47" t="s">
        <v>60</v>
      </c>
      <c r="B47" t="s">
        <v>157</v>
      </c>
      <c r="C47" t="s">
        <v>158</v>
      </c>
      <c r="D47">
        <f>IFERROR(INDEX(Admissions_2024_2025!D:D,MATCH($B47,Admissions_2024_2025!$B:$B,0)),"")</f>
        <v>0</v>
      </c>
      <c r="E47">
        <f>IFERROR(INDEX(Admissions_2024_2025!E:E,MATCH($B47,Admissions_2024_2025!$B:$B,0)),"")</f>
        <v>0</v>
      </c>
      <c r="F47">
        <f>IFERROR(INDEX(Admissions_2024_2025!F:F,MATCH($B47,Admissions_2024_2025!$B:$B,0)),"")</f>
        <v>44.8</v>
      </c>
      <c r="G47">
        <f>IFERROR(INDEX(Admissions_2024_2025!G:G,MATCH($B47,Admissions_2024_2025!$B:$B,0)),"")</f>
        <v>68</v>
      </c>
      <c r="H47">
        <f>IFERROR(INDEX(Admissions_2024_2025!H:H,MATCH($B47,Admissions_2024_2025!$B:$B,0)),"")</f>
        <v>62.666666666666657</v>
      </c>
      <c r="I47">
        <f>IFERROR(INDEX(Admissions_2024_2025!I:I,MATCH($B47,Admissions_2024_2025!$B:$B,0)),"")</f>
        <v>0</v>
      </c>
      <c r="J47">
        <f>IFERROR(INDEX(Admissions_2024_2025!J:J,MATCH($B47,Admissions_2024_2025!$B:$B,0)),"")</f>
        <v>112</v>
      </c>
      <c r="K47">
        <f t="shared" si="0"/>
        <v>44.800000000000004</v>
      </c>
      <c r="L47">
        <f>IFERROR(INDEX(Admissions_2024_2025!L:L,MATCH($B47,Admissions_2024_2025!$B:$B,0)),"")</f>
        <v>47</v>
      </c>
      <c r="M47">
        <f t="shared" si="1"/>
        <v>94</v>
      </c>
      <c r="N47" t="str">
        <f t="shared" si="2"/>
        <v/>
      </c>
      <c r="O47" t="str">
        <f t="shared" si="3"/>
        <v/>
      </c>
      <c r="P47">
        <f t="shared" si="4"/>
        <v>69.400000000000006</v>
      </c>
      <c r="Q47" t="str">
        <f>IFERROR(INDEX(Admissions_2024_2025!Q:Q,MATCH($B47,Admissions_2024_2025!$B:$B,0)),"")</f>
        <v/>
      </c>
      <c r="R47" t="str">
        <f>IFERROR(INDEX(Admissions_2024_2025!R:R,MATCH($B47,Admissions_2024_2025!$B:$B,0)),"")</f>
        <v/>
      </c>
      <c r="S47" t="str">
        <f>IFERROR(INDEX(Admissions_2024_2025!S:S,MATCH($B47,Admissions_2024_2025!$B:$B,0)),"")</f>
        <v/>
      </c>
      <c r="T47" t="str">
        <f>IFERROR(INDEX(Admissions_2024_2025!T:T,MATCH($B47,Admissions_2024_2025!$B:$B,0)),"")</f>
        <v/>
      </c>
      <c r="U47" t="str">
        <f>IFERROR(INDEX(Admissions_2024_2025!U:U,MATCH($B47,Admissions_2024_2025!$B:$B,0)),"")</f>
        <v/>
      </c>
      <c r="W47" t="str">
        <f>IFERROR(INDEX(Admissions_2024_2025!W:W,MATCH($B47,Admissions_2024_2025!$B:$B,0)),"")</f>
        <v>2022 admissions (name-matched to QID); outcomes</v>
      </c>
    </row>
    <row r="48" spans="1:23" x14ac:dyDescent="0.3">
      <c r="A48" t="s">
        <v>60</v>
      </c>
      <c r="B48" t="s">
        <v>159</v>
      </c>
      <c r="C48" t="s">
        <v>160</v>
      </c>
      <c r="D48">
        <f>IFERROR(INDEX(Admissions_2024_2025!D:D,MATCH($B48,Admissions_2024_2025!$B:$B,0)),"")</f>
        <v>0</v>
      </c>
      <c r="E48">
        <f>IFERROR(INDEX(Admissions_2024_2025!E:E,MATCH($B48,Admissions_2024_2025!$B:$B,0)),"")</f>
        <v>0</v>
      </c>
      <c r="F48">
        <f>IFERROR(INDEX(Admissions_2024_2025!F:F,MATCH($B48,Admissions_2024_2025!$B:$B,0)),"")</f>
        <v>37.6</v>
      </c>
      <c r="G48">
        <f>IFERROR(INDEX(Admissions_2024_2025!G:G,MATCH($B48,Admissions_2024_2025!$B:$B,0)),"")</f>
        <v>91.999999999999986</v>
      </c>
      <c r="H48">
        <f>IFERROR(INDEX(Admissions_2024_2025!H:H,MATCH($B48,Admissions_2024_2025!$B:$B,0)),"")</f>
        <v>70.666666666666671</v>
      </c>
      <c r="I48">
        <f>IFERROR(INDEX(Admissions_2024_2025!I:I,MATCH($B48,Admissions_2024_2025!$B:$B,0)),"")</f>
        <v>0</v>
      </c>
      <c r="J48">
        <f>IFERROR(INDEX(Admissions_2024_2025!J:J,MATCH($B48,Admissions_2024_2025!$B:$B,0)),"")</f>
        <v>94</v>
      </c>
      <c r="K48">
        <f t="shared" si="0"/>
        <v>37.6</v>
      </c>
      <c r="L48">
        <f>IFERROR(INDEX(Admissions_2024_2025!L:L,MATCH($B48,Admissions_2024_2025!$B:$B,0)),"")</f>
        <v>53</v>
      </c>
      <c r="M48">
        <f t="shared" si="1"/>
        <v>106</v>
      </c>
      <c r="N48" t="str">
        <f t="shared" si="2"/>
        <v/>
      </c>
      <c r="O48" t="str">
        <f t="shared" si="3"/>
        <v/>
      </c>
      <c r="P48">
        <f t="shared" si="4"/>
        <v>71.8</v>
      </c>
      <c r="Q48" t="str">
        <f>IFERROR(INDEX(Admissions_2024_2025!Q:Q,MATCH($B48,Admissions_2024_2025!$B:$B,0)),"")</f>
        <v/>
      </c>
      <c r="R48" t="str">
        <f>IFERROR(INDEX(Admissions_2024_2025!R:R,MATCH($B48,Admissions_2024_2025!$B:$B,0)),"")</f>
        <v/>
      </c>
      <c r="S48" t="str">
        <f>IFERROR(INDEX(Admissions_2024_2025!S:S,MATCH($B48,Admissions_2024_2025!$B:$B,0)),"")</f>
        <v/>
      </c>
      <c r="T48" t="str">
        <f>IFERROR(INDEX(Admissions_2024_2025!T:T,MATCH($B48,Admissions_2024_2025!$B:$B,0)),"")</f>
        <v/>
      </c>
      <c r="U48" t="str">
        <f>IFERROR(INDEX(Admissions_2024_2025!U:U,MATCH($B48,Admissions_2024_2025!$B:$B,0)),"")</f>
        <v/>
      </c>
      <c r="W48" t="str">
        <f>IFERROR(INDEX(Admissions_2024_2025!W:W,MATCH($B48,Admissions_2024_2025!$B:$B,0)),"")</f>
        <v>2022 admissions (name-matched to QID); outcomes</v>
      </c>
    </row>
    <row r="49" spans="1:23" x14ac:dyDescent="0.3">
      <c r="A49" t="s">
        <v>60</v>
      </c>
      <c r="B49" t="s">
        <v>161</v>
      </c>
      <c r="C49" t="s">
        <v>162</v>
      </c>
      <c r="D49">
        <f>IFERROR(INDEX(Admissions_2024_2025!D:D,MATCH($B49,Admissions_2024_2025!$B:$B,0)),"")</f>
        <v>0</v>
      </c>
      <c r="E49">
        <f>IFERROR(INDEX(Admissions_2024_2025!E:E,MATCH($B49,Admissions_2024_2025!$B:$B,0)),"")</f>
        <v>0</v>
      </c>
      <c r="F49">
        <f>IFERROR(INDEX(Admissions_2024_2025!F:F,MATCH($B49,Admissions_2024_2025!$B:$B,0)),"")</f>
        <v>63.6</v>
      </c>
      <c r="G49">
        <f>IFERROR(INDEX(Admissions_2024_2025!G:G,MATCH($B49,Admissions_2024_2025!$B:$B,0)),"")</f>
        <v>76</v>
      </c>
      <c r="H49">
        <f>IFERROR(INDEX(Admissions_2024_2025!H:H,MATCH($B49,Admissions_2024_2025!$B:$B,0)),"")</f>
        <v>50.666666666666657</v>
      </c>
      <c r="I49">
        <f>IFERROR(INDEX(Admissions_2024_2025!I:I,MATCH($B49,Admissions_2024_2025!$B:$B,0)),"")</f>
        <v>0</v>
      </c>
      <c r="J49">
        <f>IFERROR(INDEX(Admissions_2024_2025!J:J,MATCH($B49,Admissions_2024_2025!$B:$B,0)),"")</f>
        <v>159</v>
      </c>
      <c r="K49">
        <f t="shared" si="0"/>
        <v>63.6</v>
      </c>
      <c r="L49">
        <f>IFERROR(INDEX(Admissions_2024_2025!L:L,MATCH($B49,Admissions_2024_2025!$B:$B,0)),"")</f>
        <v>38</v>
      </c>
      <c r="M49">
        <f t="shared" si="1"/>
        <v>76</v>
      </c>
      <c r="N49" t="str">
        <f t="shared" si="2"/>
        <v/>
      </c>
      <c r="O49" t="str">
        <f t="shared" si="3"/>
        <v/>
      </c>
      <c r="P49">
        <f t="shared" si="4"/>
        <v>69.8</v>
      </c>
      <c r="Q49" t="str">
        <f>IFERROR(INDEX(Admissions_2024_2025!Q:Q,MATCH($B49,Admissions_2024_2025!$B:$B,0)),"")</f>
        <v/>
      </c>
      <c r="R49" t="str">
        <f>IFERROR(INDEX(Admissions_2024_2025!R:R,MATCH($B49,Admissions_2024_2025!$B:$B,0)),"")</f>
        <v/>
      </c>
      <c r="S49" t="str">
        <f>IFERROR(INDEX(Admissions_2024_2025!S:S,MATCH($B49,Admissions_2024_2025!$B:$B,0)),"")</f>
        <v/>
      </c>
      <c r="T49" t="str">
        <f>IFERROR(INDEX(Admissions_2024_2025!T:T,MATCH($B49,Admissions_2024_2025!$B:$B,0)),"")</f>
        <v/>
      </c>
      <c r="U49" t="str">
        <f>IFERROR(INDEX(Admissions_2024_2025!U:U,MATCH($B49,Admissions_2024_2025!$B:$B,0)),"")</f>
        <v/>
      </c>
      <c r="W49" t="str">
        <f>IFERROR(INDEX(Admissions_2024_2025!W:W,MATCH($B49,Admissions_2024_2025!$B:$B,0)),"")</f>
        <v>2022 admissions (name-matched to QID); outcomes</v>
      </c>
    </row>
    <row r="50" spans="1:23" x14ac:dyDescent="0.3">
      <c r="A50" t="s">
        <v>60</v>
      </c>
      <c r="B50" t="s">
        <v>163</v>
      </c>
      <c r="C50" t="s">
        <v>164</v>
      </c>
      <c r="D50">
        <f>IFERROR(INDEX(Admissions_2024_2025!D:D,MATCH($B50,Admissions_2024_2025!$B:$B,0)),"")</f>
        <v>0</v>
      </c>
      <c r="E50">
        <f>IFERROR(INDEX(Admissions_2024_2025!E:E,MATCH($B50,Admissions_2024_2025!$B:$B,0)),"")</f>
        <v>0</v>
      </c>
      <c r="F50">
        <f>IFERROR(INDEX(Admissions_2024_2025!F:F,MATCH($B50,Admissions_2024_2025!$B:$B,0)),"")</f>
        <v>40.4</v>
      </c>
      <c r="G50">
        <f>IFERROR(INDEX(Admissions_2024_2025!G:G,MATCH($B50,Admissions_2024_2025!$B:$B,0)),"")</f>
        <v>64</v>
      </c>
      <c r="H50">
        <f>IFERROR(INDEX(Admissions_2024_2025!H:H,MATCH($B50,Admissions_2024_2025!$B:$B,0)),"")</f>
        <v>53.333333333333343</v>
      </c>
      <c r="I50">
        <f>IFERROR(INDEX(Admissions_2024_2025!I:I,MATCH($B50,Admissions_2024_2025!$B:$B,0)),"")</f>
        <v>0</v>
      </c>
      <c r="J50">
        <f>IFERROR(INDEX(Admissions_2024_2025!J:J,MATCH($B50,Admissions_2024_2025!$B:$B,0)),"")</f>
        <v>101</v>
      </c>
      <c r="K50">
        <f t="shared" si="0"/>
        <v>40.400000000000006</v>
      </c>
      <c r="L50">
        <f>IFERROR(INDEX(Admissions_2024_2025!L:L,MATCH($B50,Admissions_2024_2025!$B:$B,0)),"")</f>
        <v>40</v>
      </c>
      <c r="M50">
        <f t="shared" si="1"/>
        <v>80</v>
      </c>
      <c r="N50" t="str">
        <f t="shared" si="2"/>
        <v/>
      </c>
      <c r="O50" t="str">
        <f t="shared" si="3"/>
        <v/>
      </c>
      <c r="P50">
        <f t="shared" si="4"/>
        <v>60.2</v>
      </c>
      <c r="Q50" t="str">
        <f>IFERROR(INDEX(Admissions_2024_2025!Q:Q,MATCH($B50,Admissions_2024_2025!$B:$B,0)),"")</f>
        <v/>
      </c>
      <c r="R50" t="str">
        <f>IFERROR(INDEX(Admissions_2024_2025!R:R,MATCH($B50,Admissions_2024_2025!$B:$B,0)),"")</f>
        <v/>
      </c>
      <c r="S50" t="str">
        <f>IFERROR(INDEX(Admissions_2024_2025!S:S,MATCH($B50,Admissions_2024_2025!$B:$B,0)),"")</f>
        <v/>
      </c>
      <c r="T50" t="str">
        <f>IFERROR(INDEX(Admissions_2024_2025!T:T,MATCH($B50,Admissions_2024_2025!$B:$B,0)),"")</f>
        <v/>
      </c>
      <c r="U50" t="str">
        <f>IFERROR(INDEX(Admissions_2024_2025!U:U,MATCH($B50,Admissions_2024_2025!$B:$B,0)),"")</f>
        <v/>
      </c>
      <c r="W50" t="str">
        <f>IFERROR(INDEX(Admissions_2024_2025!W:W,MATCH($B50,Admissions_2024_2025!$B:$B,0)),"")</f>
        <v>2022 admissions (name-matched to QID); outcomes</v>
      </c>
    </row>
    <row r="51" spans="1:23" x14ac:dyDescent="0.3">
      <c r="A51" t="s">
        <v>60</v>
      </c>
      <c r="B51" t="s">
        <v>165</v>
      </c>
      <c r="C51" t="s">
        <v>166</v>
      </c>
      <c r="D51">
        <f>IFERROR(INDEX(Admissions_2024_2025!D:D,MATCH($B51,Admissions_2024_2025!$B:$B,0)),"")</f>
        <v>0</v>
      </c>
      <c r="E51">
        <f>IFERROR(INDEX(Admissions_2024_2025!E:E,MATCH($B51,Admissions_2024_2025!$B:$B,0)),"")</f>
        <v>0</v>
      </c>
      <c r="F51">
        <f>IFERROR(INDEX(Admissions_2024_2025!F:F,MATCH($B51,Admissions_2024_2025!$B:$B,0)),"")</f>
        <v>53.6</v>
      </c>
      <c r="G51">
        <f>IFERROR(INDEX(Admissions_2024_2025!G:G,MATCH($B51,Admissions_2024_2025!$B:$B,0)),"")</f>
        <v>100</v>
      </c>
      <c r="H51">
        <f>IFERROR(INDEX(Admissions_2024_2025!H:H,MATCH($B51,Admissions_2024_2025!$B:$B,0)),"")</f>
        <v>65.333333333333329</v>
      </c>
      <c r="I51">
        <f>IFERROR(INDEX(Admissions_2024_2025!I:I,MATCH($B51,Admissions_2024_2025!$B:$B,0)),"")</f>
        <v>0</v>
      </c>
      <c r="J51">
        <f>IFERROR(INDEX(Admissions_2024_2025!J:J,MATCH($B51,Admissions_2024_2025!$B:$B,0)),"")</f>
        <v>134</v>
      </c>
      <c r="K51">
        <f t="shared" si="0"/>
        <v>53.6</v>
      </c>
      <c r="L51">
        <f>IFERROR(INDEX(Admissions_2024_2025!L:L,MATCH($B51,Admissions_2024_2025!$B:$B,0)),"")</f>
        <v>49</v>
      </c>
      <c r="M51">
        <f t="shared" si="1"/>
        <v>98</v>
      </c>
      <c r="N51" t="str">
        <f t="shared" si="2"/>
        <v/>
      </c>
      <c r="O51" t="str">
        <f t="shared" si="3"/>
        <v/>
      </c>
      <c r="P51">
        <f t="shared" si="4"/>
        <v>75.8</v>
      </c>
      <c r="Q51" t="str">
        <f>IFERROR(INDEX(Admissions_2024_2025!Q:Q,MATCH($B51,Admissions_2024_2025!$B:$B,0)),"")</f>
        <v/>
      </c>
      <c r="R51" t="str">
        <f>IFERROR(INDEX(Admissions_2024_2025!R:R,MATCH($B51,Admissions_2024_2025!$B:$B,0)),"")</f>
        <v/>
      </c>
      <c r="S51" t="str">
        <f>IFERROR(INDEX(Admissions_2024_2025!S:S,MATCH($B51,Admissions_2024_2025!$B:$B,0)),"")</f>
        <v/>
      </c>
      <c r="T51" t="str">
        <f>IFERROR(INDEX(Admissions_2024_2025!T:T,MATCH($B51,Admissions_2024_2025!$B:$B,0)),"")</f>
        <v/>
      </c>
      <c r="U51" t="str">
        <f>IFERROR(INDEX(Admissions_2024_2025!U:U,MATCH($B51,Admissions_2024_2025!$B:$B,0)),"")</f>
        <v/>
      </c>
      <c r="W51" t="str">
        <f>IFERROR(INDEX(Admissions_2024_2025!W:W,MATCH($B51,Admissions_2024_2025!$B:$B,0)),"")</f>
        <v>2022 admissions (name-matched to QID); outcomes</v>
      </c>
    </row>
    <row r="52" spans="1:23" x14ac:dyDescent="0.3">
      <c r="A52" t="s">
        <v>60</v>
      </c>
      <c r="B52" t="s">
        <v>167</v>
      </c>
      <c r="C52" t="s">
        <v>168</v>
      </c>
      <c r="D52">
        <f>IFERROR(INDEX(Admissions_2024_2025!D:D,MATCH($B52,Admissions_2024_2025!$B:$B,0)),"")</f>
        <v>0</v>
      </c>
      <c r="E52">
        <f>IFERROR(INDEX(Admissions_2024_2025!E:E,MATCH($B52,Admissions_2024_2025!$B:$B,0)),"")</f>
        <v>0</v>
      </c>
      <c r="F52">
        <f>IFERROR(INDEX(Admissions_2024_2025!F:F,MATCH($B52,Admissions_2024_2025!$B:$B,0)),"")</f>
        <v>46.8</v>
      </c>
      <c r="G52">
        <f>IFERROR(INDEX(Admissions_2024_2025!G:G,MATCH($B52,Admissions_2024_2025!$B:$B,0)),"")</f>
        <v>72</v>
      </c>
      <c r="H52">
        <f>IFERROR(INDEX(Admissions_2024_2025!H:H,MATCH($B52,Admissions_2024_2025!$B:$B,0)),"")</f>
        <v>56</v>
      </c>
      <c r="I52">
        <f>IFERROR(INDEX(Admissions_2024_2025!I:I,MATCH($B52,Admissions_2024_2025!$B:$B,0)),"")</f>
        <v>0</v>
      </c>
      <c r="J52">
        <f>IFERROR(INDEX(Admissions_2024_2025!J:J,MATCH($B52,Admissions_2024_2025!$B:$B,0)),"")</f>
        <v>117</v>
      </c>
      <c r="K52">
        <f t="shared" si="0"/>
        <v>46.800000000000004</v>
      </c>
      <c r="L52">
        <f>IFERROR(INDEX(Admissions_2024_2025!L:L,MATCH($B52,Admissions_2024_2025!$B:$B,0)),"")</f>
        <v>42</v>
      </c>
      <c r="M52">
        <f t="shared" si="1"/>
        <v>84</v>
      </c>
      <c r="N52" t="str">
        <f t="shared" si="2"/>
        <v/>
      </c>
      <c r="O52" t="str">
        <f t="shared" si="3"/>
        <v/>
      </c>
      <c r="P52">
        <f t="shared" si="4"/>
        <v>65.400000000000006</v>
      </c>
      <c r="Q52" t="str">
        <f>IFERROR(INDEX(Admissions_2024_2025!Q:Q,MATCH($B52,Admissions_2024_2025!$B:$B,0)),"")</f>
        <v/>
      </c>
      <c r="R52" t="str">
        <f>IFERROR(INDEX(Admissions_2024_2025!R:R,MATCH($B52,Admissions_2024_2025!$B:$B,0)),"")</f>
        <v/>
      </c>
      <c r="S52" t="str">
        <f>IFERROR(INDEX(Admissions_2024_2025!S:S,MATCH($B52,Admissions_2024_2025!$B:$B,0)),"")</f>
        <v/>
      </c>
      <c r="T52" t="str">
        <f>IFERROR(INDEX(Admissions_2024_2025!T:T,MATCH($B52,Admissions_2024_2025!$B:$B,0)),"")</f>
        <v/>
      </c>
      <c r="U52" t="str">
        <f>IFERROR(INDEX(Admissions_2024_2025!U:U,MATCH($B52,Admissions_2024_2025!$B:$B,0)),"")</f>
        <v/>
      </c>
      <c r="W52" t="str">
        <f>IFERROR(INDEX(Admissions_2024_2025!W:W,MATCH($B52,Admissions_2024_2025!$B:$B,0)),"")</f>
        <v>2022 admissions (name-matched to QID); outcomes</v>
      </c>
    </row>
    <row r="53" spans="1:23" x14ac:dyDescent="0.3">
      <c r="A53" t="s">
        <v>60</v>
      </c>
      <c r="B53" t="s">
        <v>169</v>
      </c>
      <c r="C53" t="s">
        <v>170</v>
      </c>
      <c r="D53">
        <f>IFERROR(INDEX(Admissions_2024_2025!D:D,MATCH($B53,Admissions_2024_2025!$B:$B,0)),"")</f>
        <v>0</v>
      </c>
      <c r="E53">
        <f>IFERROR(INDEX(Admissions_2024_2025!E:E,MATCH($B53,Admissions_2024_2025!$B:$B,0)),"")</f>
        <v>0</v>
      </c>
      <c r="F53">
        <f>IFERROR(INDEX(Admissions_2024_2025!F:F,MATCH($B53,Admissions_2024_2025!$B:$B,0)),"")</f>
        <v>44</v>
      </c>
      <c r="G53">
        <f>IFERROR(INDEX(Admissions_2024_2025!G:G,MATCH($B53,Admissions_2024_2025!$B:$B,0)),"")</f>
        <v>88.000000000000014</v>
      </c>
      <c r="H53">
        <f>IFERROR(INDEX(Admissions_2024_2025!H:H,MATCH($B53,Admissions_2024_2025!$B:$B,0)),"")</f>
        <v>58.666666666666657</v>
      </c>
      <c r="I53">
        <f>IFERROR(INDEX(Admissions_2024_2025!I:I,MATCH($B53,Admissions_2024_2025!$B:$B,0)),"")</f>
        <v>0</v>
      </c>
      <c r="J53">
        <f>IFERROR(INDEX(Admissions_2024_2025!J:J,MATCH($B53,Admissions_2024_2025!$B:$B,0)),"")</f>
        <v>110</v>
      </c>
      <c r="K53">
        <f t="shared" si="0"/>
        <v>44</v>
      </c>
      <c r="L53">
        <f>IFERROR(INDEX(Admissions_2024_2025!L:L,MATCH($B53,Admissions_2024_2025!$B:$B,0)),"")</f>
        <v>44</v>
      </c>
      <c r="M53">
        <f t="shared" si="1"/>
        <v>88</v>
      </c>
      <c r="N53" t="str">
        <f t="shared" si="2"/>
        <v/>
      </c>
      <c r="O53" t="str">
        <f t="shared" si="3"/>
        <v/>
      </c>
      <c r="P53">
        <f t="shared" si="4"/>
        <v>66</v>
      </c>
      <c r="Q53" t="str">
        <f>IFERROR(INDEX(Admissions_2024_2025!Q:Q,MATCH($B53,Admissions_2024_2025!$B:$B,0)),"")</f>
        <v/>
      </c>
      <c r="R53" t="str">
        <f>IFERROR(INDEX(Admissions_2024_2025!R:R,MATCH($B53,Admissions_2024_2025!$B:$B,0)),"")</f>
        <v/>
      </c>
      <c r="S53" t="str">
        <f>IFERROR(INDEX(Admissions_2024_2025!S:S,MATCH($B53,Admissions_2024_2025!$B:$B,0)),"")</f>
        <v/>
      </c>
      <c r="T53" t="str">
        <f>IFERROR(INDEX(Admissions_2024_2025!T:T,MATCH($B53,Admissions_2024_2025!$B:$B,0)),"")</f>
        <v/>
      </c>
      <c r="U53" t="str">
        <f>IFERROR(INDEX(Admissions_2024_2025!U:U,MATCH($B53,Admissions_2024_2025!$B:$B,0)),"")</f>
        <v/>
      </c>
      <c r="W53" t="str">
        <f>IFERROR(INDEX(Admissions_2024_2025!W:W,MATCH($B53,Admissions_2024_2025!$B:$B,0)),"")</f>
        <v>2022 admissions (name-matched to QID); outcomes</v>
      </c>
    </row>
    <row r="54" spans="1:23" x14ac:dyDescent="0.3">
      <c r="A54" t="s">
        <v>60</v>
      </c>
      <c r="B54" t="s">
        <v>171</v>
      </c>
      <c r="C54" t="s">
        <v>172</v>
      </c>
      <c r="D54">
        <f>IFERROR(INDEX(Admissions_2024_2025!D:D,MATCH($B54,Admissions_2024_2025!$B:$B,0)),"")</f>
        <v>0</v>
      </c>
      <c r="E54">
        <f>IFERROR(INDEX(Admissions_2024_2025!E:E,MATCH($B54,Admissions_2024_2025!$B:$B,0)),"")</f>
        <v>0</v>
      </c>
      <c r="F54">
        <f>IFERROR(INDEX(Admissions_2024_2025!F:F,MATCH($B54,Admissions_2024_2025!$B:$B,0)),"")</f>
        <v>53.2</v>
      </c>
      <c r="G54">
        <f>IFERROR(INDEX(Admissions_2024_2025!G:G,MATCH($B54,Admissions_2024_2025!$B:$B,0)),"")</f>
        <v>91.999999999999986</v>
      </c>
      <c r="H54">
        <f>IFERROR(INDEX(Admissions_2024_2025!H:H,MATCH($B54,Admissions_2024_2025!$B:$B,0)),"")</f>
        <v>57.333333333333343</v>
      </c>
      <c r="I54">
        <f>IFERROR(INDEX(Admissions_2024_2025!I:I,MATCH($B54,Admissions_2024_2025!$B:$B,0)),"")</f>
        <v>0</v>
      </c>
      <c r="J54">
        <f>IFERROR(INDEX(Admissions_2024_2025!J:J,MATCH($B54,Admissions_2024_2025!$B:$B,0)),"")</f>
        <v>133</v>
      </c>
      <c r="K54">
        <f t="shared" si="0"/>
        <v>53.2</v>
      </c>
      <c r="L54">
        <f>IFERROR(INDEX(Admissions_2024_2025!L:L,MATCH($B54,Admissions_2024_2025!$B:$B,0)),"")</f>
        <v>43</v>
      </c>
      <c r="M54">
        <f t="shared" si="1"/>
        <v>86</v>
      </c>
      <c r="N54" t="str">
        <f t="shared" si="2"/>
        <v/>
      </c>
      <c r="O54" t="str">
        <f t="shared" si="3"/>
        <v/>
      </c>
      <c r="P54">
        <f t="shared" si="4"/>
        <v>69.599999999999994</v>
      </c>
      <c r="Q54" t="str">
        <f>IFERROR(INDEX(Admissions_2024_2025!Q:Q,MATCH($B54,Admissions_2024_2025!$B:$B,0)),"")</f>
        <v/>
      </c>
      <c r="R54" t="str">
        <f>IFERROR(INDEX(Admissions_2024_2025!R:R,MATCH($B54,Admissions_2024_2025!$B:$B,0)),"")</f>
        <v/>
      </c>
      <c r="S54" t="str">
        <f>IFERROR(INDEX(Admissions_2024_2025!S:S,MATCH($B54,Admissions_2024_2025!$B:$B,0)),"")</f>
        <v/>
      </c>
      <c r="T54" t="str">
        <f>IFERROR(INDEX(Admissions_2024_2025!T:T,MATCH($B54,Admissions_2024_2025!$B:$B,0)),"")</f>
        <v/>
      </c>
      <c r="U54" t="str">
        <f>IFERROR(INDEX(Admissions_2024_2025!U:U,MATCH($B54,Admissions_2024_2025!$B:$B,0)),"")</f>
        <v/>
      </c>
      <c r="W54" t="str">
        <f>IFERROR(INDEX(Admissions_2024_2025!W:W,MATCH($B54,Admissions_2024_2025!$B:$B,0)),"")</f>
        <v>2022 admissions (name-matched to QID); outcomes</v>
      </c>
    </row>
    <row r="55" spans="1:23" x14ac:dyDescent="0.3">
      <c r="A55" t="s">
        <v>60</v>
      </c>
      <c r="B55" t="s">
        <v>173</v>
      </c>
      <c r="C55" t="s">
        <v>174</v>
      </c>
      <c r="D55">
        <f>IFERROR(INDEX(Admissions_2024_2025!D:D,MATCH($B55,Admissions_2024_2025!$B:$B,0)),"")</f>
        <v>0</v>
      </c>
      <c r="E55">
        <f>IFERROR(INDEX(Admissions_2024_2025!E:E,MATCH($B55,Admissions_2024_2025!$B:$B,0)),"")</f>
        <v>0</v>
      </c>
      <c r="F55">
        <f>IFERROR(INDEX(Admissions_2024_2025!F:F,MATCH($B55,Admissions_2024_2025!$B:$B,0)),"")</f>
        <v>62.4</v>
      </c>
      <c r="G55">
        <f>IFERROR(INDEX(Admissions_2024_2025!G:G,MATCH($B55,Admissions_2024_2025!$B:$B,0)),"")</f>
        <v>64</v>
      </c>
      <c r="H55">
        <f>IFERROR(INDEX(Admissions_2024_2025!H:H,MATCH($B55,Admissions_2024_2025!$B:$B,0)),"")</f>
        <v>66.666666666666671</v>
      </c>
      <c r="I55">
        <f>IFERROR(INDEX(Admissions_2024_2025!I:I,MATCH($B55,Admissions_2024_2025!$B:$B,0)),"")</f>
        <v>0</v>
      </c>
      <c r="J55">
        <f>IFERROR(INDEX(Admissions_2024_2025!J:J,MATCH($B55,Admissions_2024_2025!$B:$B,0)),"")</f>
        <v>156</v>
      </c>
      <c r="K55">
        <f t="shared" si="0"/>
        <v>62.4</v>
      </c>
      <c r="L55">
        <f>IFERROR(INDEX(Admissions_2024_2025!L:L,MATCH($B55,Admissions_2024_2025!$B:$B,0)),"")</f>
        <v>50</v>
      </c>
      <c r="M55">
        <f t="shared" si="1"/>
        <v>100</v>
      </c>
      <c r="N55" t="str">
        <f t="shared" si="2"/>
        <v/>
      </c>
      <c r="O55" t="str">
        <f t="shared" si="3"/>
        <v/>
      </c>
      <c r="P55">
        <f t="shared" si="4"/>
        <v>81.2</v>
      </c>
      <c r="Q55" t="str">
        <f>IFERROR(INDEX(Admissions_2024_2025!Q:Q,MATCH($B55,Admissions_2024_2025!$B:$B,0)),"")</f>
        <v/>
      </c>
      <c r="R55" t="str">
        <f>IFERROR(INDEX(Admissions_2024_2025!R:R,MATCH($B55,Admissions_2024_2025!$B:$B,0)),"")</f>
        <v/>
      </c>
      <c r="S55" t="str">
        <f>IFERROR(INDEX(Admissions_2024_2025!S:S,MATCH($B55,Admissions_2024_2025!$B:$B,0)),"")</f>
        <v/>
      </c>
      <c r="T55" t="str">
        <f>IFERROR(INDEX(Admissions_2024_2025!T:T,MATCH($B55,Admissions_2024_2025!$B:$B,0)),"")</f>
        <v/>
      </c>
      <c r="U55" t="str">
        <f>IFERROR(INDEX(Admissions_2024_2025!U:U,MATCH($B55,Admissions_2024_2025!$B:$B,0)),"")</f>
        <v/>
      </c>
      <c r="W55" t="str">
        <f>IFERROR(INDEX(Admissions_2024_2025!W:W,MATCH($B55,Admissions_2024_2025!$B:$B,0)),"")</f>
        <v>2022 admissions (name-matched to QID); outcomes</v>
      </c>
    </row>
    <row r="56" spans="1:23" x14ac:dyDescent="0.3">
      <c r="A56" t="s">
        <v>60</v>
      </c>
      <c r="B56" t="s">
        <v>175</v>
      </c>
      <c r="C56" t="s">
        <v>176</v>
      </c>
      <c r="D56">
        <f>IFERROR(INDEX(Admissions_2024_2025!D:D,MATCH($B56,Admissions_2024_2025!$B:$B,0)),"")</f>
        <v>0</v>
      </c>
      <c r="E56">
        <f>IFERROR(INDEX(Admissions_2024_2025!E:E,MATCH($B56,Admissions_2024_2025!$B:$B,0)),"")</f>
        <v>0</v>
      </c>
      <c r="F56">
        <f>IFERROR(INDEX(Admissions_2024_2025!F:F,MATCH($B56,Admissions_2024_2025!$B:$B,0)),"")</f>
        <v>66.400000000000006</v>
      </c>
      <c r="G56">
        <f>IFERROR(INDEX(Admissions_2024_2025!G:G,MATCH($B56,Admissions_2024_2025!$B:$B,0)),"")</f>
        <v>91.999999999999986</v>
      </c>
      <c r="H56">
        <f>IFERROR(INDEX(Admissions_2024_2025!H:H,MATCH($B56,Admissions_2024_2025!$B:$B,0)),"")</f>
        <v>77.333333333333329</v>
      </c>
      <c r="I56">
        <f>IFERROR(INDEX(Admissions_2024_2025!I:I,MATCH($B56,Admissions_2024_2025!$B:$B,0)),"")</f>
        <v>0</v>
      </c>
      <c r="J56">
        <f>IFERROR(INDEX(Admissions_2024_2025!J:J,MATCH($B56,Admissions_2024_2025!$B:$B,0)),"")</f>
        <v>166</v>
      </c>
      <c r="K56">
        <f t="shared" si="0"/>
        <v>66.400000000000006</v>
      </c>
      <c r="L56">
        <f>IFERROR(INDEX(Admissions_2024_2025!L:L,MATCH($B56,Admissions_2024_2025!$B:$B,0)),"")</f>
        <v>58</v>
      </c>
      <c r="M56">
        <f t="shared" si="1"/>
        <v>115.99999999999999</v>
      </c>
      <c r="N56" t="str">
        <f t="shared" si="2"/>
        <v/>
      </c>
      <c r="O56" t="str">
        <f t="shared" si="3"/>
        <v/>
      </c>
      <c r="P56">
        <f t="shared" si="4"/>
        <v>91.199999999999989</v>
      </c>
      <c r="Q56" t="str">
        <f>IFERROR(INDEX(Admissions_2024_2025!Q:Q,MATCH($B56,Admissions_2024_2025!$B:$B,0)),"")</f>
        <v/>
      </c>
      <c r="R56" t="str">
        <f>IFERROR(INDEX(Admissions_2024_2025!R:R,MATCH($B56,Admissions_2024_2025!$B:$B,0)),"")</f>
        <v/>
      </c>
      <c r="S56" t="str">
        <f>IFERROR(INDEX(Admissions_2024_2025!S:S,MATCH($B56,Admissions_2024_2025!$B:$B,0)),"")</f>
        <v/>
      </c>
      <c r="T56" t="str">
        <f>IFERROR(INDEX(Admissions_2024_2025!T:T,MATCH($B56,Admissions_2024_2025!$B:$B,0)),"")</f>
        <v/>
      </c>
      <c r="U56" t="str">
        <f>IFERROR(INDEX(Admissions_2024_2025!U:U,MATCH($B56,Admissions_2024_2025!$B:$B,0)),"")</f>
        <v/>
      </c>
      <c r="W56" t="str">
        <f>IFERROR(INDEX(Admissions_2024_2025!W:W,MATCH($B56,Admissions_2024_2025!$B:$B,0)),"")</f>
        <v>2022 admissions (name-matched to QID); outcomes</v>
      </c>
    </row>
    <row r="57" spans="1:23" x14ac:dyDescent="0.3">
      <c r="A57" t="s">
        <v>60</v>
      </c>
      <c r="B57" t="s">
        <v>177</v>
      </c>
      <c r="C57" t="s">
        <v>178</v>
      </c>
      <c r="D57">
        <f>IFERROR(INDEX(Admissions_2024_2025!D:D,MATCH($B57,Admissions_2024_2025!$B:$B,0)),"")</f>
        <v>0</v>
      </c>
      <c r="E57">
        <f>IFERROR(INDEX(Admissions_2024_2025!E:E,MATCH($B57,Admissions_2024_2025!$B:$B,0)),"")</f>
        <v>0</v>
      </c>
      <c r="F57">
        <f>IFERROR(INDEX(Admissions_2024_2025!F:F,MATCH($B57,Admissions_2024_2025!$B:$B,0)),"")</f>
        <v>37.200000000000003</v>
      </c>
      <c r="G57">
        <f>IFERROR(INDEX(Admissions_2024_2025!G:G,MATCH($B57,Admissions_2024_2025!$B:$B,0)),"")</f>
        <v>56</v>
      </c>
      <c r="H57">
        <f>IFERROR(INDEX(Admissions_2024_2025!H:H,MATCH($B57,Admissions_2024_2025!$B:$B,0)),"")</f>
        <v>61.333333333333343</v>
      </c>
      <c r="I57">
        <f>IFERROR(INDEX(Admissions_2024_2025!I:I,MATCH($B57,Admissions_2024_2025!$B:$B,0)),"")</f>
        <v>0</v>
      </c>
      <c r="J57">
        <f>IFERROR(INDEX(Admissions_2024_2025!J:J,MATCH($B57,Admissions_2024_2025!$B:$B,0)),"")</f>
        <v>93</v>
      </c>
      <c r="K57">
        <f t="shared" si="0"/>
        <v>37.200000000000003</v>
      </c>
      <c r="L57">
        <f>IFERROR(INDEX(Admissions_2024_2025!L:L,MATCH($B57,Admissions_2024_2025!$B:$B,0)),"")</f>
        <v>46</v>
      </c>
      <c r="M57">
        <f t="shared" si="1"/>
        <v>92</v>
      </c>
      <c r="N57" t="str">
        <f t="shared" si="2"/>
        <v/>
      </c>
      <c r="O57" t="str">
        <f t="shared" si="3"/>
        <v/>
      </c>
      <c r="P57">
        <f t="shared" si="4"/>
        <v>64.599999999999994</v>
      </c>
      <c r="Q57" t="str">
        <f>IFERROR(INDEX(Admissions_2024_2025!Q:Q,MATCH($B57,Admissions_2024_2025!$B:$B,0)),"")</f>
        <v/>
      </c>
      <c r="R57" t="str">
        <f>IFERROR(INDEX(Admissions_2024_2025!R:R,MATCH($B57,Admissions_2024_2025!$B:$B,0)),"")</f>
        <v/>
      </c>
      <c r="S57" t="str">
        <f>IFERROR(INDEX(Admissions_2024_2025!S:S,MATCH($B57,Admissions_2024_2025!$B:$B,0)),"")</f>
        <v/>
      </c>
      <c r="T57" t="str">
        <f>IFERROR(INDEX(Admissions_2024_2025!T:T,MATCH($B57,Admissions_2024_2025!$B:$B,0)),"")</f>
        <v/>
      </c>
      <c r="U57" t="str">
        <f>IFERROR(INDEX(Admissions_2024_2025!U:U,MATCH($B57,Admissions_2024_2025!$B:$B,0)),"")</f>
        <v/>
      </c>
      <c r="W57" t="str">
        <f>IFERROR(INDEX(Admissions_2024_2025!W:W,MATCH($B57,Admissions_2024_2025!$B:$B,0)),"")</f>
        <v>2022 admissions (name-matched to QID); outcomes</v>
      </c>
    </row>
    <row r="58" spans="1:23" x14ac:dyDescent="0.3">
      <c r="A58" t="s">
        <v>60</v>
      </c>
      <c r="B58" t="s">
        <v>179</v>
      </c>
      <c r="C58" t="s">
        <v>180</v>
      </c>
      <c r="D58">
        <f>IFERROR(INDEX(Admissions_2024_2025!D:D,MATCH($B58,Admissions_2024_2025!$B:$B,0)),"")</f>
        <v>0</v>
      </c>
      <c r="E58">
        <f>IFERROR(INDEX(Admissions_2024_2025!E:E,MATCH($B58,Admissions_2024_2025!$B:$B,0)),"")</f>
        <v>0</v>
      </c>
      <c r="F58">
        <f>IFERROR(INDEX(Admissions_2024_2025!F:F,MATCH($B58,Admissions_2024_2025!$B:$B,0)),"")</f>
        <v>52.8</v>
      </c>
      <c r="G58">
        <f>IFERROR(INDEX(Admissions_2024_2025!G:G,MATCH($B58,Admissions_2024_2025!$B:$B,0)),"")</f>
        <v>100</v>
      </c>
      <c r="H58">
        <f>IFERROR(INDEX(Admissions_2024_2025!H:H,MATCH($B58,Admissions_2024_2025!$B:$B,0)),"")</f>
        <v>70.666666666666671</v>
      </c>
      <c r="I58">
        <f>IFERROR(INDEX(Admissions_2024_2025!I:I,MATCH($B58,Admissions_2024_2025!$B:$B,0)),"")</f>
        <v>0</v>
      </c>
      <c r="J58">
        <f>IFERROR(INDEX(Admissions_2024_2025!J:J,MATCH($B58,Admissions_2024_2025!$B:$B,0)),"")</f>
        <v>132</v>
      </c>
      <c r="K58">
        <f t="shared" si="0"/>
        <v>52.800000000000004</v>
      </c>
      <c r="L58">
        <f>IFERROR(INDEX(Admissions_2024_2025!L:L,MATCH($B58,Admissions_2024_2025!$B:$B,0)),"")</f>
        <v>53</v>
      </c>
      <c r="M58">
        <f t="shared" si="1"/>
        <v>106</v>
      </c>
      <c r="N58" t="str">
        <f t="shared" si="2"/>
        <v/>
      </c>
      <c r="O58" t="str">
        <f t="shared" si="3"/>
        <v/>
      </c>
      <c r="P58">
        <f t="shared" si="4"/>
        <v>79.400000000000006</v>
      </c>
      <c r="Q58" t="str">
        <f>IFERROR(INDEX(Admissions_2024_2025!Q:Q,MATCH($B58,Admissions_2024_2025!$B:$B,0)),"")</f>
        <v/>
      </c>
      <c r="R58" t="str">
        <f>IFERROR(INDEX(Admissions_2024_2025!R:R,MATCH($B58,Admissions_2024_2025!$B:$B,0)),"")</f>
        <v/>
      </c>
      <c r="S58" t="str">
        <f>IFERROR(INDEX(Admissions_2024_2025!S:S,MATCH($B58,Admissions_2024_2025!$B:$B,0)),"")</f>
        <v/>
      </c>
      <c r="T58" t="str">
        <f>IFERROR(INDEX(Admissions_2024_2025!T:T,MATCH($B58,Admissions_2024_2025!$B:$B,0)),"")</f>
        <v/>
      </c>
      <c r="U58" t="str">
        <f>IFERROR(INDEX(Admissions_2024_2025!U:U,MATCH($B58,Admissions_2024_2025!$B:$B,0)),"")</f>
        <v/>
      </c>
      <c r="W58" t="str">
        <f>IFERROR(INDEX(Admissions_2024_2025!W:W,MATCH($B58,Admissions_2024_2025!$B:$B,0)),"")</f>
        <v>2022 admissions (name-matched to QID); outcomes</v>
      </c>
    </row>
    <row r="59" spans="1:23" x14ac:dyDescent="0.3">
      <c r="A59" t="s">
        <v>60</v>
      </c>
      <c r="B59" t="s">
        <v>181</v>
      </c>
      <c r="C59" t="s">
        <v>182</v>
      </c>
      <c r="D59">
        <f>IFERROR(INDEX(Admissions_2024_2025!D:D,MATCH($B59,Admissions_2024_2025!$B:$B,0)),"")</f>
        <v>0</v>
      </c>
      <c r="E59">
        <f>IFERROR(INDEX(Admissions_2024_2025!E:E,MATCH($B59,Admissions_2024_2025!$B:$B,0)),"")</f>
        <v>0</v>
      </c>
      <c r="F59">
        <f>IFERROR(INDEX(Admissions_2024_2025!F:F,MATCH($B59,Admissions_2024_2025!$B:$B,0)),"")</f>
        <v>56.8</v>
      </c>
      <c r="G59">
        <f>IFERROR(INDEX(Admissions_2024_2025!G:G,MATCH($B59,Admissions_2024_2025!$B:$B,0)),"")</f>
        <v>96</v>
      </c>
      <c r="H59">
        <f>IFERROR(INDEX(Admissions_2024_2025!H:H,MATCH($B59,Admissions_2024_2025!$B:$B,0)),"")</f>
        <v>60</v>
      </c>
      <c r="I59">
        <f>IFERROR(INDEX(Admissions_2024_2025!I:I,MATCH($B59,Admissions_2024_2025!$B:$B,0)),"")</f>
        <v>0</v>
      </c>
      <c r="J59">
        <f>IFERROR(INDEX(Admissions_2024_2025!J:J,MATCH($B59,Admissions_2024_2025!$B:$B,0)),"")</f>
        <v>142</v>
      </c>
      <c r="K59">
        <f t="shared" si="0"/>
        <v>56.8</v>
      </c>
      <c r="L59">
        <f>IFERROR(INDEX(Admissions_2024_2025!L:L,MATCH($B59,Admissions_2024_2025!$B:$B,0)),"")</f>
        <v>45</v>
      </c>
      <c r="M59">
        <f t="shared" si="1"/>
        <v>90</v>
      </c>
      <c r="N59" t="str">
        <f t="shared" si="2"/>
        <v/>
      </c>
      <c r="O59" t="str">
        <f t="shared" si="3"/>
        <v/>
      </c>
      <c r="P59">
        <f t="shared" si="4"/>
        <v>73.400000000000006</v>
      </c>
      <c r="Q59" t="str">
        <f>IFERROR(INDEX(Admissions_2024_2025!Q:Q,MATCH($B59,Admissions_2024_2025!$B:$B,0)),"")</f>
        <v/>
      </c>
      <c r="R59" t="str">
        <f>IFERROR(INDEX(Admissions_2024_2025!R:R,MATCH($B59,Admissions_2024_2025!$B:$B,0)),"")</f>
        <v/>
      </c>
      <c r="S59" t="str">
        <f>IFERROR(INDEX(Admissions_2024_2025!S:S,MATCH($B59,Admissions_2024_2025!$B:$B,0)),"")</f>
        <v/>
      </c>
      <c r="T59" t="str">
        <f>IFERROR(INDEX(Admissions_2024_2025!T:T,MATCH($B59,Admissions_2024_2025!$B:$B,0)),"")</f>
        <v/>
      </c>
      <c r="U59" t="str">
        <f>IFERROR(INDEX(Admissions_2024_2025!U:U,MATCH($B59,Admissions_2024_2025!$B:$B,0)),"")</f>
        <v/>
      </c>
      <c r="W59" t="str">
        <f>IFERROR(INDEX(Admissions_2024_2025!W:W,MATCH($B59,Admissions_2024_2025!$B:$B,0)),"")</f>
        <v>2022 admissions (name-matched to QID); outcomes</v>
      </c>
    </row>
    <row r="60" spans="1:23" x14ac:dyDescent="0.3">
      <c r="A60" t="s">
        <v>60</v>
      </c>
      <c r="B60" t="s">
        <v>183</v>
      </c>
      <c r="C60" t="s">
        <v>184</v>
      </c>
      <c r="D60">
        <f>IFERROR(INDEX(Admissions_2024_2025!D:D,MATCH($B60,Admissions_2024_2025!$B:$B,0)),"")</f>
        <v>0</v>
      </c>
      <c r="E60">
        <f>IFERROR(INDEX(Admissions_2024_2025!E:E,MATCH($B60,Admissions_2024_2025!$B:$B,0)),"")</f>
        <v>0</v>
      </c>
      <c r="F60">
        <f>IFERROR(INDEX(Admissions_2024_2025!F:F,MATCH($B60,Admissions_2024_2025!$B:$B,0)),"")</f>
        <v>58</v>
      </c>
      <c r="G60">
        <f>IFERROR(INDEX(Admissions_2024_2025!G:G,MATCH($B60,Admissions_2024_2025!$B:$B,0)),"")</f>
        <v>100</v>
      </c>
      <c r="H60">
        <f>IFERROR(INDEX(Admissions_2024_2025!H:H,MATCH($B60,Admissions_2024_2025!$B:$B,0)),"")</f>
        <v>70.666666666666671</v>
      </c>
      <c r="I60">
        <f>IFERROR(INDEX(Admissions_2024_2025!I:I,MATCH($B60,Admissions_2024_2025!$B:$B,0)),"")</f>
        <v>0</v>
      </c>
      <c r="J60">
        <f>IFERROR(INDEX(Admissions_2024_2025!J:J,MATCH($B60,Admissions_2024_2025!$B:$B,0)),"")</f>
        <v>145</v>
      </c>
      <c r="K60">
        <f t="shared" si="0"/>
        <v>57.999999999999993</v>
      </c>
      <c r="L60">
        <f>IFERROR(INDEX(Admissions_2024_2025!L:L,MATCH($B60,Admissions_2024_2025!$B:$B,0)),"")</f>
        <v>53</v>
      </c>
      <c r="M60">
        <f t="shared" si="1"/>
        <v>106</v>
      </c>
      <c r="N60" t="str">
        <f t="shared" si="2"/>
        <v/>
      </c>
      <c r="O60" t="str">
        <f t="shared" si="3"/>
        <v/>
      </c>
      <c r="P60">
        <f t="shared" si="4"/>
        <v>82</v>
      </c>
      <c r="Q60" t="str">
        <f>IFERROR(INDEX(Admissions_2024_2025!Q:Q,MATCH($B60,Admissions_2024_2025!$B:$B,0)),"")</f>
        <v/>
      </c>
      <c r="R60" t="str">
        <f>IFERROR(INDEX(Admissions_2024_2025!R:R,MATCH($B60,Admissions_2024_2025!$B:$B,0)),"")</f>
        <v/>
      </c>
      <c r="S60" t="str">
        <f>IFERROR(INDEX(Admissions_2024_2025!S:S,MATCH($B60,Admissions_2024_2025!$B:$B,0)),"")</f>
        <v/>
      </c>
      <c r="T60" t="str">
        <f>IFERROR(INDEX(Admissions_2024_2025!T:T,MATCH($B60,Admissions_2024_2025!$B:$B,0)),"")</f>
        <v/>
      </c>
      <c r="U60" t="str">
        <f>IFERROR(INDEX(Admissions_2024_2025!U:U,MATCH($B60,Admissions_2024_2025!$B:$B,0)),"")</f>
        <v/>
      </c>
      <c r="W60" t="str">
        <f>IFERROR(INDEX(Admissions_2024_2025!W:W,MATCH($B60,Admissions_2024_2025!$B:$B,0)),"")</f>
        <v>2022 admissions (name-matched to QID); outcomes</v>
      </c>
    </row>
    <row r="61" spans="1:23" x14ac:dyDescent="0.3">
      <c r="A61" t="s">
        <v>185</v>
      </c>
      <c r="B61" t="s">
        <v>186</v>
      </c>
      <c r="C61" t="s">
        <v>187</v>
      </c>
      <c r="D61" t="str">
        <f>IFERROR(INDEX(Admissions_2024_2025!D:D,MATCH($B61,Admissions_2024_2025!$B:$B,0)),"")</f>
        <v>Umar ibn Al-Khattab Preparatory School for Boys</v>
      </c>
      <c r="E61" t="str">
        <f>IFERROR(INDEX(Admissions_2024_2025!E:E,MATCH($B61,Admissions_2024_2025!$B:$B,0)),"")</f>
        <v>General</v>
      </c>
      <c r="F61">
        <f>IFERROR(INDEX(Admissions_2024_2025!F:F,MATCH($B61,Admissions_2024_2025!$B:$B,0)),"")</f>
        <v>92</v>
      </c>
      <c r="G61">
        <f>IFERROR(INDEX(Admissions_2024_2025!G:G,MATCH($B61,Admissions_2024_2025!$B:$B,0)),"")</f>
        <v>0</v>
      </c>
      <c r="H61">
        <f>IFERROR(INDEX(Admissions_2024_2025!H:H,MATCH($B61,Admissions_2024_2025!$B:$B,0)),"")</f>
        <v>0</v>
      </c>
      <c r="I61" t="str">
        <f>IFERROR(INDEX(Admissions_2024_2025!I:I,MATCH($B61,Admissions_2024_2025!$B:$B,0)),"")</f>
        <v>B1</v>
      </c>
      <c r="J61">
        <f>IFERROR(INDEX(Admissions_2024_2025!J:J,MATCH($B61,Admissions_2024_2025!$B:$B,0)),"")</f>
        <v>112</v>
      </c>
      <c r="K61">
        <f t="shared" si="0"/>
        <v>44.800000000000004</v>
      </c>
      <c r="L61">
        <f>IFERROR(INDEX(Admissions_2024_2025!L:L,MATCH($B61,Admissions_2024_2025!$B:$B,0)),"")</f>
        <v>63</v>
      </c>
      <c r="M61">
        <f t="shared" si="1"/>
        <v>126</v>
      </c>
      <c r="N61">
        <f t="shared" si="2"/>
        <v>105</v>
      </c>
      <c r="O61">
        <f t="shared" si="3"/>
        <v>73.943661971830991</v>
      </c>
      <c r="P61">
        <f t="shared" si="4"/>
        <v>81.581220657277001</v>
      </c>
      <c r="Q61" t="str">
        <f>IFERROR(INDEX(Admissions_2024_2025!Q:Q,MATCH($B61,Admissions_2024_2025!$B:$B,0)),"")</f>
        <v>Moderate spatial bias</v>
      </c>
      <c r="R61">
        <f>IFERROR(INDEX(Admissions_2024_2025!R:R,MATCH($B61,Admissions_2024_2025!$B:$B,0)),"")</f>
        <v>86</v>
      </c>
      <c r="S61">
        <f>IFERROR(INDEX(Admissions_2024_2025!S:S,MATCH($B61,Admissions_2024_2025!$B:$B,0)),"")</f>
        <v>116</v>
      </c>
      <c r="T61">
        <f>IFERROR(INDEX(Admissions_2024_2025!T:T,MATCH($B61,Admissions_2024_2025!$B:$B,0)),"")</f>
        <v>111</v>
      </c>
      <c r="U61">
        <f>IFERROR(INDEX(Admissions_2024_2025!U:U,MATCH($B61,Admissions_2024_2025!$B:$B,0)),"")</f>
        <v>107</v>
      </c>
      <c r="V61">
        <f>IFERROR(INDEX(Admissions_2024_2025!V:V,MATCH($B2,Admissions_2024_2025!$B:$B,0)),"")</f>
        <v>0</v>
      </c>
      <c r="W61" t="str">
        <f>IFERROR(INDEX(Admissions_2024_2025!W:W,MATCH($B61,Admissions_2024_2025!$B:$B,0)),"")</f>
        <v>2023 admissions; 2019 accepted list; CAT new students</v>
      </c>
    </row>
    <row r="62" spans="1:23" x14ac:dyDescent="0.3">
      <c r="A62" t="s">
        <v>185</v>
      </c>
      <c r="B62" t="s">
        <v>190</v>
      </c>
      <c r="C62" t="s">
        <v>191</v>
      </c>
      <c r="D62" t="str">
        <f>IFERROR(INDEX(Admissions_2024_2025!D:D,MATCH($B62,Admissions_2024_2025!$B:$B,0)),"")</f>
        <v>Doha Preparatory School for Boys</v>
      </c>
      <c r="E62" t="str">
        <f>IFERROR(INDEX(Admissions_2024_2025!E:E,MATCH($B62,Admissions_2024_2025!$B:$B,0)),"")</f>
        <v>General</v>
      </c>
      <c r="F62">
        <f>IFERROR(INDEX(Admissions_2024_2025!F:F,MATCH($B62,Admissions_2024_2025!$B:$B,0)),"")</f>
        <v>96</v>
      </c>
      <c r="G62">
        <f>IFERROR(INDEX(Admissions_2024_2025!G:G,MATCH($B62,Admissions_2024_2025!$B:$B,0)),"")</f>
        <v>0</v>
      </c>
      <c r="H62">
        <f>IFERROR(INDEX(Admissions_2024_2025!H:H,MATCH($B62,Admissions_2024_2025!$B:$B,0)),"")</f>
        <v>0</v>
      </c>
      <c r="I62" t="str">
        <f>IFERROR(INDEX(Admissions_2024_2025!I:I,MATCH($B62,Admissions_2024_2025!$B:$B,0)),"")</f>
        <v>B1</v>
      </c>
      <c r="J62">
        <f>IFERROR(INDEX(Admissions_2024_2025!J:J,MATCH($B62,Admissions_2024_2025!$B:$B,0)),"")</f>
        <v>127</v>
      </c>
      <c r="K62">
        <f t="shared" si="0"/>
        <v>50.8</v>
      </c>
      <c r="L62">
        <f>IFERROR(INDEX(Admissions_2024_2025!L:L,MATCH($B62,Admissions_2024_2025!$B:$B,0)),"")</f>
        <v>75</v>
      </c>
      <c r="M62">
        <f t="shared" si="1"/>
        <v>150</v>
      </c>
      <c r="N62">
        <f t="shared" si="2"/>
        <v>107</v>
      </c>
      <c r="O62">
        <f t="shared" si="3"/>
        <v>75.352112676056336</v>
      </c>
      <c r="P62">
        <f t="shared" si="4"/>
        <v>92.050704225352106</v>
      </c>
      <c r="Q62" t="str">
        <f>IFERROR(INDEX(Admissions_2024_2025!Q:Q,MATCH($B62,Admissions_2024_2025!$B:$B,0)),"")</f>
        <v>Extreme spatial bias</v>
      </c>
      <c r="R62">
        <f>IFERROR(INDEX(Admissions_2024_2025!R:R,MATCH($B62,Admissions_2024_2025!$B:$B,0)),"")</f>
        <v>75</v>
      </c>
      <c r="S62">
        <f>IFERROR(INDEX(Admissions_2024_2025!S:S,MATCH($B62,Admissions_2024_2025!$B:$B,0)),"")</f>
        <v>112</v>
      </c>
      <c r="T62">
        <f>IFERROR(INDEX(Admissions_2024_2025!T:T,MATCH($B62,Admissions_2024_2025!$B:$B,0)),"")</f>
        <v>121</v>
      </c>
      <c r="U62">
        <f>IFERROR(INDEX(Admissions_2024_2025!U:U,MATCH($B62,Admissions_2024_2025!$B:$B,0)),"")</f>
        <v>118</v>
      </c>
      <c r="V62">
        <f>IFERROR(INDEX(Admissions_2024_2025!V:V,MATCH($B3,Admissions_2024_2025!$B:$B,0)),"")</f>
        <v>0</v>
      </c>
      <c r="W62" t="str">
        <f>IFERROR(INDEX(Admissions_2024_2025!W:W,MATCH($B62,Admissions_2024_2025!$B:$B,0)),"")</f>
        <v>2023 admissions; 2019 accepted list; CAT new students</v>
      </c>
    </row>
    <row r="63" spans="1:23" x14ac:dyDescent="0.3">
      <c r="A63" t="s">
        <v>185</v>
      </c>
      <c r="B63" t="s">
        <v>192</v>
      </c>
      <c r="C63" t="s">
        <v>193</v>
      </c>
      <c r="D63" t="str">
        <f>IFERROR(INDEX(Admissions_2024_2025!D:D,MATCH($B63,Admissions_2024_2025!$B:$B,0)),"")</f>
        <v>Abu Bakr as-Siddiq Preparatory School for Boys</v>
      </c>
      <c r="E63" t="str">
        <f>IFERROR(INDEX(Admissions_2024_2025!E:E,MATCH($B63,Admissions_2024_2025!$B:$B,0)),"")</f>
        <v>General</v>
      </c>
      <c r="F63">
        <f>IFERROR(INDEX(Admissions_2024_2025!F:F,MATCH($B63,Admissions_2024_2025!$B:$B,0)),"")</f>
        <v>91</v>
      </c>
      <c r="G63">
        <f>IFERROR(INDEX(Admissions_2024_2025!G:G,MATCH($B63,Admissions_2024_2025!$B:$B,0)),"")</f>
        <v>0</v>
      </c>
      <c r="H63">
        <f>IFERROR(INDEX(Admissions_2024_2025!H:H,MATCH($B63,Admissions_2024_2025!$B:$B,0)),"")</f>
        <v>0</v>
      </c>
      <c r="I63" t="str">
        <f>IFERROR(INDEX(Admissions_2024_2025!I:I,MATCH($B63,Admissions_2024_2025!$B:$B,0)),"")</f>
        <v>B2</v>
      </c>
      <c r="J63">
        <f>IFERROR(INDEX(Admissions_2024_2025!J:J,MATCH($B63,Admissions_2024_2025!$B:$B,0)),"")</f>
        <v>136</v>
      </c>
      <c r="K63">
        <f t="shared" si="0"/>
        <v>54.400000000000006</v>
      </c>
      <c r="L63">
        <f>IFERROR(INDEX(Admissions_2024_2025!L:L,MATCH($B63,Admissions_2024_2025!$B:$B,0)),"")</f>
        <v>40</v>
      </c>
      <c r="M63">
        <f t="shared" si="1"/>
        <v>80</v>
      </c>
      <c r="N63">
        <f t="shared" si="2"/>
        <v>93</v>
      </c>
      <c r="O63">
        <f t="shared" si="3"/>
        <v>65.492957746478879</v>
      </c>
      <c r="P63">
        <f t="shared" si="4"/>
        <v>66.630985915492957</v>
      </c>
      <c r="Q63" t="str">
        <f>IFERROR(INDEX(Admissions_2024_2025!Q:Q,MATCH($B63,Admissions_2024_2025!$B:$B,0)),"")</f>
        <v>No bias</v>
      </c>
      <c r="R63">
        <f>IFERROR(INDEX(Admissions_2024_2025!R:R,MATCH($B63,Admissions_2024_2025!$B:$B,0)),"")</f>
        <v>85</v>
      </c>
      <c r="S63">
        <f>IFERROR(INDEX(Admissions_2024_2025!S:S,MATCH($B63,Admissions_2024_2025!$B:$B,0)),"")</f>
        <v>101</v>
      </c>
      <c r="T63">
        <f>IFERROR(INDEX(Admissions_2024_2025!T:T,MATCH($B63,Admissions_2024_2025!$B:$B,0)),"")</f>
        <v>93</v>
      </c>
      <c r="U63">
        <f>IFERROR(INDEX(Admissions_2024_2025!U:U,MATCH($B63,Admissions_2024_2025!$B:$B,0)),"")</f>
        <v>94</v>
      </c>
      <c r="V63">
        <f>IFERROR(INDEX(Admissions_2024_2025!V:V,MATCH($B4,Admissions_2024_2025!$B:$B,0)),"")</f>
        <v>0</v>
      </c>
      <c r="W63" t="str">
        <f>IFERROR(INDEX(Admissions_2024_2025!W:W,MATCH($B63,Admissions_2024_2025!$B:$B,0)),"")</f>
        <v>2023 admissions; 2019 accepted list; CAT new students</v>
      </c>
    </row>
    <row r="64" spans="1:23" x14ac:dyDescent="0.3">
      <c r="A64" t="s">
        <v>185</v>
      </c>
      <c r="B64" t="s">
        <v>194</v>
      </c>
      <c r="C64" t="s">
        <v>195</v>
      </c>
      <c r="D64" t="str">
        <f>IFERROR(INDEX(Admissions_2024_2025!D:D,MATCH($B64,Admissions_2024_2025!$B:$B,0)),"")</f>
        <v>Abu Bakr as-Siddiq Preparatory School for Boys</v>
      </c>
      <c r="E64" t="str">
        <f>IFERROR(INDEX(Admissions_2024_2025!E:E,MATCH($B64,Admissions_2024_2025!$B:$B,0)),"")</f>
        <v>General</v>
      </c>
      <c r="F64">
        <f>IFERROR(INDEX(Admissions_2024_2025!F:F,MATCH($B64,Admissions_2024_2025!$B:$B,0)),"")</f>
        <v>95</v>
      </c>
      <c r="G64">
        <f>IFERROR(INDEX(Admissions_2024_2025!G:G,MATCH($B64,Admissions_2024_2025!$B:$B,0)),"")</f>
        <v>0</v>
      </c>
      <c r="H64">
        <f>IFERROR(INDEX(Admissions_2024_2025!H:H,MATCH($B64,Admissions_2024_2025!$B:$B,0)),"")</f>
        <v>0</v>
      </c>
      <c r="I64" t="str">
        <f>IFERROR(INDEX(Admissions_2024_2025!I:I,MATCH($B64,Admissions_2024_2025!$B:$B,0)),"")</f>
        <v>B1</v>
      </c>
      <c r="J64">
        <f>IFERROR(INDEX(Admissions_2024_2025!J:J,MATCH($B64,Admissions_2024_2025!$B:$B,0)),"")</f>
        <v>140</v>
      </c>
      <c r="K64">
        <f t="shared" si="0"/>
        <v>56.000000000000007</v>
      </c>
      <c r="L64">
        <f>IFERROR(INDEX(Admissions_2024_2025!L:L,MATCH($B64,Admissions_2024_2025!$B:$B,0)),"")</f>
        <v>83</v>
      </c>
      <c r="M64">
        <f t="shared" si="1"/>
        <v>166</v>
      </c>
      <c r="N64">
        <f t="shared" si="2"/>
        <v>96</v>
      </c>
      <c r="O64">
        <f t="shared" si="3"/>
        <v>67.605633802816897</v>
      </c>
      <c r="P64">
        <f t="shared" si="4"/>
        <v>96.535211267605632</v>
      </c>
      <c r="Q64" t="str">
        <f>IFERROR(INDEX(Admissions_2024_2025!Q:Q,MATCH($B64,Admissions_2024_2025!$B:$B,0)),"")</f>
        <v>Mild spatial bias</v>
      </c>
      <c r="R64">
        <f>IFERROR(INDEX(Admissions_2024_2025!R:R,MATCH($B64,Admissions_2024_2025!$B:$B,0)),"")</f>
        <v>75</v>
      </c>
      <c r="S64">
        <f>IFERROR(INDEX(Admissions_2024_2025!S:S,MATCH($B64,Admissions_2024_2025!$B:$B,0)),"")</f>
        <v>122</v>
      </c>
      <c r="T64">
        <f>IFERROR(INDEX(Admissions_2024_2025!T:T,MATCH($B64,Admissions_2024_2025!$B:$B,0)),"")</f>
        <v>93</v>
      </c>
      <c r="U64">
        <f>IFERROR(INDEX(Admissions_2024_2025!U:U,MATCH($B64,Admissions_2024_2025!$B:$B,0)),"")</f>
        <v>92</v>
      </c>
      <c r="V64">
        <f>IFERROR(INDEX(Admissions_2024_2025!V:V,MATCH($B5,Admissions_2024_2025!$B:$B,0)),"")</f>
        <v>0</v>
      </c>
      <c r="W64" t="str">
        <f>IFERROR(INDEX(Admissions_2024_2025!W:W,MATCH($B64,Admissions_2024_2025!$B:$B,0)),"")</f>
        <v>2023 admissions; 2019 accepted list; CAT new students</v>
      </c>
    </row>
    <row r="65" spans="1:23" x14ac:dyDescent="0.3">
      <c r="A65" t="s">
        <v>185</v>
      </c>
      <c r="B65" t="s">
        <v>196</v>
      </c>
      <c r="C65" t="s">
        <v>197</v>
      </c>
      <c r="D65" t="str">
        <f>IFERROR(INDEX(Admissions_2024_2025!D:D,MATCH($B65,Admissions_2024_2025!$B:$B,0)),"")</f>
        <v>Umar ibn Al-Khattab Preparatory School for Boys</v>
      </c>
      <c r="E65" t="str">
        <f>IFERROR(INDEX(Admissions_2024_2025!E:E,MATCH($B65,Admissions_2024_2025!$B:$B,0)),"")</f>
        <v>General</v>
      </c>
      <c r="F65">
        <f>IFERROR(INDEX(Admissions_2024_2025!F:F,MATCH($B65,Admissions_2024_2025!$B:$B,0)),"")</f>
        <v>84</v>
      </c>
      <c r="G65">
        <f>IFERROR(INDEX(Admissions_2024_2025!G:G,MATCH($B65,Admissions_2024_2025!$B:$B,0)),"")</f>
        <v>0</v>
      </c>
      <c r="H65">
        <f>IFERROR(INDEX(Admissions_2024_2025!H:H,MATCH($B65,Admissions_2024_2025!$B:$B,0)),"")</f>
        <v>0</v>
      </c>
      <c r="I65" t="str">
        <f>IFERROR(INDEX(Admissions_2024_2025!I:I,MATCH($B65,Admissions_2024_2025!$B:$B,0)),"")</f>
        <v>B1</v>
      </c>
      <c r="J65">
        <f>IFERROR(INDEX(Admissions_2024_2025!J:J,MATCH($B65,Admissions_2024_2025!$B:$B,0)),"")</f>
        <v>131</v>
      </c>
      <c r="K65">
        <f t="shared" si="0"/>
        <v>52.400000000000006</v>
      </c>
      <c r="L65">
        <f>IFERROR(INDEX(Admissions_2024_2025!L:L,MATCH($B65,Admissions_2024_2025!$B:$B,0)),"")</f>
        <v>75</v>
      </c>
      <c r="M65">
        <f t="shared" si="1"/>
        <v>150</v>
      </c>
      <c r="N65">
        <f t="shared" si="2"/>
        <v>96</v>
      </c>
      <c r="O65">
        <f t="shared" si="3"/>
        <v>67.605633802816897</v>
      </c>
      <c r="P65">
        <f t="shared" si="4"/>
        <v>90.001877934272287</v>
      </c>
      <c r="Q65" t="str">
        <f>IFERROR(INDEX(Admissions_2024_2025!Q:Q,MATCH($B65,Admissions_2024_2025!$B:$B,0)),"")</f>
        <v>Moderate spatial bias</v>
      </c>
      <c r="R65">
        <f>IFERROR(INDEX(Admissions_2024_2025!R:R,MATCH($B65,Admissions_2024_2025!$B:$B,0)),"")</f>
        <v>75</v>
      </c>
      <c r="S65">
        <f>IFERROR(INDEX(Admissions_2024_2025!S:S,MATCH($B65,Admissions_2024_2025!$B:$B,0)),"")</f>
        <v>116</v>
      </c>
      <c r="T65">
        <f>IFERROR(INDEX(Admissions_2024_2025!T:T,MATCH($B65,Admissions_2024_2025!$B:$B,0)),"")</f>
        <v>91</v>
      </c>
      <c r="U65">
        <f>IFERROR(INDEX(Admissions_2024_2025!U:U,MATCH($B65,Admissions_2024_2025!$B:$B,0)),"")</f>
        <v>102</v>
      </c>
      <c r="V65">
        <f>IFERROR(INDEX(Admissions_2024_2025!V:V,MATCH($B6,Admissions_2024_2025!$B:$B,0)),"")</f>
        <v>0</v>
      </c>
      <c r="W65" t="str">
        <f>IFERROR(INDEX(Admissions_2024_2025!W:W,MATCH($B65,Admissions_2024_2025!$B:$B,0)),"")</f>
        <v>2023 admissions; 2019 accepted list; CAT new students</v>
      </c>
    </row>
    <row r="66" spans="1:23" x14ac:dyDescent="0.3">
      <c r="A66" t="s">
        <v>185</v>
      </c>
      <c r="B66" t="s">
        <v>198</v>
      </c>
      <c r="C66" t="s">
        <v>199</v>
      </c>
      <c r="D66" t="str">
        <f>IFERROR(INDEX(Admissions_2024_2025!D:D,MATCH($B66,Admissions_2024_2025!$B:$B,0)),"")</f>
        <v>Doha British School</v>
      </c>
      <c r="E66" t="str">
        <f>IFERROR(INDEX(Admissions_2024_2025!E:E,MATCH($B66,Admissions_2024_2025!$B:$B,0)),"")</f>
        <v>British</v>
      </c>
      <c r="F66" t="str">
        <f>IFERROR(INDEX(Admissions_2024_2025!F:F,MATCH($B66,Admissions_2024_2025!$B:$B,0)),"")</f>
        <v>Step 5</v>
      </c>
      <c r="G66">
        <f>IFERROR(INDEX(Admissions_2024_2025!G:G,MATCH($B66,Admissions_2024_2025!$B:$B,0)),"")</f>
        <v>0</v>
      </c>
      <c r="H66">
        <f>IFERROR(INDEX(Admissions_2024_2025!H:H,MATCH($B66,Admissions_2024_2025!$B:$B,0)),"")</f>
        <v>0</v>
      </c>
      <c r="I66" t="str">
        <f>IFERROR(INDEX(Admissions_2024_2025!I:I,MATCH($B66,Admissions_2024_2025!$B:$B,0)),"")</f>
        <v>B2</v>
      </c>
      <c r="J66">
        <f>IFERROR(INDEX(Admissions_2024_2025!J:J,MATCH($B66,Admissions_2024_2025!$B:$B,0)),"")</f>
        <v>161</v>
      </c>
      <c r="K66">
        <f t="shared" ref="K66:K129" si="5">IF(J66="","",J66/250*100)</f>
        <v>64.400000000000006</v>
      </c>
      <c r="L66">
        <f>IFERROR(INDEX(Admissions_2024_2025!L:L,MATCH($B66,Admissions_2024_2025!$B:$B,0)),"")</f>
        <v>78</v>
      </c>
      <c r="M66">
        <f t="shared" ref="M66:M129" si="6">IF(L66="","",L66/50*100)</f>
        <v>156</v>
      </c>
      <c r="N66">
        <f t="shared" ref="N66:N129" si="7">IF(COUNT(R66:U66)=0,"",ROUND(AVERAGE(R66:U66),0))</f>
        <v>99</v>
      </c>
      <c r="O66">
        <f t="shared" ref="O66:O129" si="8">IF(N66="","",N66/142*100)</f>
        <v>69.718309859154928</v>
      </c>
      <c r="P66">
        <f t="shared" ref="P66:P129" si="9">IF(COUNT(K66,M66,O66)=0,"",AVERAGE(K66,M66,O66))</f>
        <v>96.706103286384973</v>
      </c>
      <c r="Q66" t="str">
        <f>IFERROR(INDEX(Admissions_2024_2025!Q:Q,MATCH($B66,Admissions_2024_2025!$B:$B,0)),"")</f>
        <v>Mild verbal bias</v>
      </c>
      <c r="R66">
        <f>IFERROR(INDEX(Admissions_2024_2025!R:R,MATCH($B66,Admissions_2024_2025!$B:$B,0)),"")</f>
        <v>104</v>
      </c>
      <c r="S66">
        <f>IFERROR(INDEX(Admissions_2024_2025!S:S,MATCH($B66,Admissions_2024_2025!$B:$B,0)),"")</f>
        <v>95</v>
      </c>
      <c r="T66">
        <f>IFERROR(INDEX(Admissions_2024_2025!T:T,MATCH($B66,Admissions_2024_2025!$B:$B,0)),"")</f>
        <v>102</v>
      </c>
      <c r="U66">
        <f>IFERROR(INDEX(Admissions_2024_2025!U:U,MATCH($B66,Admissions_2024_2025!$B:$B,0)),"")</f>
        <v>96</v>
      </c>
      <c r="V66">
        <f>IFERROR(INDEX(Admissions_2024_2025!V:V,MATCH($B7,Admissions_2024_2025!$B:$B,0)),"")</f>
        <v>0</v>
      </c>
      <c r="W66" t="str">
        <f>IFERROR(INDEX(Admissions_2024_2025!W:W,MATCH($B66,Admissions_2024_2025!$B:$B,0)),"")</f>
        <v>2023 admissions; 2019 accepted list; CAT new students</v>
      </c>
    </row>
    <row r="67" spans="1:23" x14ac:dyDescent="0.3">
      <c r="A67" t="s">
        <v>185</v>
      </c>
      <c r="B67" t="s">
        <v>200</v>
      </c>
      <c r="C67" t="s">
        <v>201</v>
      </c>
      <c r="D67" t="str">
        <f>IFERROR(INDEX(Admissions_2024_2025!D:D,MATCH($B67,Admissions_2024_2025!$B:$B,0)),"")</f>
        <v>Khalid Bin Ahmad Preparatory School for Boys</v>
      </c>
      <c r="E67" t="str">
        <f>IFERROR(INDEX(Admissions_2024_2025!E:E,MATCH($B67,Admissions_2024_2025!$B:$B,0)),"")</f>
        <v>General</v>
      </c>
      <c r="F67">
        <f>IFERROR(INDEX(Admissions_2024_2025!F:F,MATCH($B67,Admissions_2024_2025!$B:$B,0)),"")</f>
        <v>89</v>
      </c>
      <c r="G67">
        <f>IFERROR(INDEX(Admissions_2024_2025!G:G,MATCH($B67,Admissions_2024_2025!$B:$B,0)),"")</f>
        <v>0</v>
      </c>
      <c r="H67">
        <f>IFERROR(INDEX(Admissions_2024_2025!H:H,MATCH($B67,Admissions_2024_2025!$B:$B,0)),"")</f>
        <v>0</v>
      </c>
      <c r="I67" t="str">
        <f>IFERROR(INDEX(Admissions_2024_2025!I:I,MATCH($B67,Admissions_2024_2025!$B:$B,0)),"")</f>
        <v>B1</v>
      </c>
      <c r="J67">
        <f>IFERROR(INDEX(Admissions_2024_2025!J:J,MATCH($B67,Admissions_2024_2025!$B:$B,0)),"")</f>
        <v>138</v>
      </c>
      <c r="K67">
        <f t="shared" si="5"/>
        <v>55.2</v>
      </c>
      <c r="L67">
        <f>IFERROR(INDEX(Admissions_2024_2025!L:L,MATCH($B67,Admissions_2024_2025!$B:$B,0)),"")</f>
        <v>38</v>
      </c>
      <c r="M67">
        <f t="shared" si="6"/>
        <v>76</v>
      </c>
      <c r="N67">
        <f t="shared" si="7"/>
        <v>95</v>
      </c>
      <c r="O67">
        <f t="shared" si="8"/>
        <v>66.901408450704224</v>
      </c>
      <c r="P67">
        <f t="shared" si="9"/>
        <v>66.0338028169014</v>
      </c>
      <c r="Q67" t="str">
        <f>IFERROR(INDEX(Admissions_2024_2025!Q:Q,MATCH($B67,Admissions_2024_2025!$B:$B,0)),"")</f>
        <v>No bias</v>
      </c>
      <c r="R67">
        <f>IFERROR(INDEX(Admissions_2024_2025!R:R,MATCH($B67,Admissions_2024_2025!$B:$B,0)),"")</f>
        <v>77</v>
      </c>
      <c r="S67">
        <f>IFERROR(INDEX(Admissions_2024_2025!S:S,MATCH($B67,Admissions_2024_2025!$B:$B,0)),"")</f>
        <v>110</v>
      </c>
      <c r="T67">
        <f>IFERROR(INDEX(Admissions_2024_2025!T:T,MATCH($B67,Admissions_2024_2025!$B:$B,0)),"")</f>
        <v>105</v>
      </c>
      <c r="U67">
        <f>IFERROR(INDEX(Admissions_2024_2025!U:U,MATCH($B67,Admissions_2024_2025!$B:$B,0)),"")</f>
        <v>86</v>
      </c>
      <c r="V67">
        <f>IFERROR(INDEX(Admissions_2024_2025!V:V,MATCH($B8,Admissions_2024_2025!$B:$B,0)),"")</f>
        <v>0</v>
      </c>
      <c r="W67" t="str">
        <f>IFERROR(INDEX(Admissions_2024_2025!W:W,MATCH($B67,Admissions_2024_2025!$B:$B,0)),"")</f>
        <v>2023 admissions; 2019 accepted list; CAT new students</v>
      </c>
    </row>
    <row r="68" spans="1:23" x14ac:dyDescent="0.3">
      <c r="A68" t="s">
        <v>185</v>
      </c>
      <c r="B68" t="s">
        <v>202</v>
      </c>
      <c r="C68" t="s">
        <v>203</v>
      </c>
      <c r="D68" t="str">
        <f>IFERROR(INDEX(Admissions_2024_2025!D:D,MATCH($B68,Admissions_2024_2025!$B:$B,0)),"")</f>
        <v>Khalid ibn al-Walid Preparatory School for Boys</v>
      </c>
      <c r="E68" t="str">
        <f>IFERROR(INDEX(Admissions_2024_2025!E:E,MATCH($B68,Admissions_2024_2025!$B:$B,0)),"")</f>
        <v>General</v>
      </c>
      <c r="F68">
        <f>IFERROR(INDEX(Admissions_2024_2025!F:F,MATCH($B68,Admissions_2024_2025!$B:$B,0)),"")</f>
        <v>99</v>
      </c>
      <c r="G68">
        <f>IFERROR(INDEX(Admissions_2024_2025!G:G,MATCH($B68,Admissions_2024_2025!$B:$B,0)),"")</f>
        <v>0</v>
      </c>
      <c r="H68">
        <f>IFERROR(INDEX(Admissions_2024_2025!H:H,MATCH($B68,Admissions_2024_2025!$B:$B,0)),"")</f>
        <v>0</v>
      </c>
      <c r="I68" t="str">
        <f>IFERROR(INDEX(Admissions_2024_2025!I:I,MATCH($B68,Admissions_2024_2025!$B:$B,0)),"")</f>
        <v>B2</v>
      </c>
      <c r="J68">
        <f>IFERROR(INDEX(Admissions_2024_2025!J:J,MATCH($B68,Admissions_2024_2025!$B:$B,0)),"")</f>
        <v>148</v>
      </c>
      <c r="K68">
        <f t="shared" si="5"/>
        <v>59.199999999999996</v>
      </c>
      <c r="L68">
        <f>IFERROR(INDEX(Admissions_2024_2025!L:L,MATCH($B68,Admissions_2024_2025!$B:$B,0)),"")</f>
        <v>60</v>
      </c>
      <c r="M68">
        <f t="shared" si="6"/>
        <v>120</v>
      </c>
      <c r="N68">
        <f t="shared" si="7"/>
        <v>104</v>
      </c>
      <c r="O68">
        <f t="shared" si="8"/>
        <v>73.239436619718319</v>
      </c>
      <c r="P68">
        <f t="shared" si="9"/>
        <v>84.146478873239445</v>
      </c>
      <c r="Q68" t="str">
        <f>IFERROR(INDEX(Admissions_2024_2025!Q:Q,MATCH($B68,Admissions_2024_2025!$B:$B,0)),"")</f>
        <v>Mild spatial bias</v>
      </c>
      <c r="R68">
        <f>IFERROR(INDEX(Admissions_2024_2025!R:R,MATCH($B68,Admissions_2024_2025!$B:$B,0)),"")</f>
        <v>93</v>
      </c>
      <c r="S68">
        <f>IFERROR(INDEX(Admissions_2024_2025!S:S,MATCH($B68,Admissions_2024_2025!$B:$B,0)),"")</f>
        <v>111</v>
      </c>
      <c r="T68">
        <f>IFERROR(INDEX(Admissions_2024_2025!T:T,MATCH($B68,Admissions_2024_2025!$B:$B,0)),"")</f>
        <v>109</v>
      </c>
      <c r="U68">
        <f>IFERROR(INDEX(Admissions_2024_2025!U:U,MATCH($B68,Admissions_2024_2025!$B:$B,0)),"")</f>
        <v>104</v>
      </c>
      <c r="V68">
        <f>IFERROR(INDEX(Admissions_2024_2025!V:V,MATCH($B9,Admissions_2024_2025!$B:$B,0)),"")</f>
        <v>0</v>
      </c>
      <c r="W68" t="str">
        <f>IFERROR(INDEX(Admissions_2024_2025!W:W,MATCH($B68,Admissions_2024_2025!$B:$B,0)),"")</f>
        <v>2023 admissions; 2019 accepted list; CAT new students</v>
      </c>
    </row>
    <row r="69" spans="1:23" x14ac:dyDescent="0.3">
      <c r="A69" t="s">
        <v>185</v>
      </c>
      <c r="B69" t="s">
        <v>204</v>
      </c>
      <c r="C69" t="s">
        <v>205</v>
      </c>
      <c r="D69" t="str">
        <f>IFERROR(INDEX(Admissions_2024_2025!D:D,MATCH($B69,Admissions_2024_2025!$B:$B,0)),"")</f>
        <v>Umar ibn Al-Khattab Preparatory School for Boys</v>
      </c>
      <c r="E69" t="str">
        <f>IFERROR(INDEX(Admissions_2024_2025!E:E,MATCH($B69,Admissions_2024_2025!$B:$B,0)),"")</f>
        <v>General</v>
      </c>
      <c r="F69">
        <f>IFERROR(INDEX(Admissions_2024_2025!F:F,MATCH($B69,Admissions_2024_2025!$B:$B,0)),"")</f>
        <v>91</v>
      </c>
      <c r="G69">
        <f>IFERROR(INDEX(Admissions_2024_2025!G:G,MATCH($B69,Admissions_2024_2025!$B:$B,0)),"")</f>
        <v>0</v>
      </c>
      <c r="H69">
        <f>IFERROR(INDEX(Admissions_2024_2025!H:H,MATCH($B69,Admissions_2024_2025!$B:$B,0)),"")</f>
        <v>0</v>
      </c>
      <c r="I69" t="str">
        <f>IFERROR(INDEX(Admissions_2024_2025!I:I,MATCH($B69,Admissions_2024_2025!$B:$B,0)),"")</f>
        <v>B1</v>
      </c>
      <c r="J69">
        <f>IFERROR(INDEX(Admissions_2024_2025!J:J,MATCH($B69,Admissions_2024_2025!$B:$B,0)),"")</f>
        <v>131</v>
      </c>
      <c r="K69">
        <f t="shared" si="5"/>
        <v>52.400000000000006</v>
      </c>
      <c r="L69">
        <f>IFERROR(INDEX(Admissions_2024_2025!L:L,MATCH($B69,Admissions_2024_2025!$B:$B,0)),"")</f>
        <v>55</v>
      </c>
      <c r="M69">
        <f t="shared" si="6"/>
        <v>110.00000000000001</v>
      </c>
      <c r="N69">
        <f t="shared" si="7"/>
        <v>93</v>
      </c>
      <c r="O69">
        <f t="shared" si="8"/>
        <v>65.492957746478879</v>
      </c>
      <c r="P69">
        <f t="shared" si="9"/>
        <v>75.9643192488263</v>
      </c>
      <c r="Q69" t="str">
        <f>IFERROR(INDEX(Admissions_2024_2025!Q:Q,MATCH($B69,Admissions_2024_2025!$B:$B,0)),"")</f>
        <v>Moderate spatial bias</v>
      </c>
      <c r="R69">
        <f>IFERROR(INDEX(Admissions_2024_2025!R:R,MATCH($B69,Admissions_2024_2025!$B:$B,0)),"")</f>
        <v>69</v>
      </c>
      <c r="S69">
        <f>IFERROR(INDEX(Admissions_2024_2025!S:S,MATCH($B69,Admissions_2024_2025!$B:$B,0)),"")</f>
        <v>106</v>
      </c>
      <c r="T69">
        <f>IFERROR(INDEX(Admissions_2024_2025!T:T,MATCH($B69,Admissions_2024_2025!$B:$B,0)),"")</f>
        <v>102</v>
      </c>
      <c r="U69">
        <f>IFERROR(INDEX(Admissions_2024_2025!U:U,MATCH($B69,Admissions_2024_2025!$B:$B,0)),"")</f>
        <v>94</v>
      </c>
      <c r="V69">
        <f>IFERROR(INDEX(Admissions_2024_2025!V:V,MATCH($B10,Admissions_2024_2025!$B:$B,0)),"")</f>
        <v>0</v>
      </c>
      <c r="W69" t="str">
        <f>IFERROR(INDEX(Admissions_2024_2025!W:W,MATCH($B69,Admissions_2024_2025!$B:$B,0)),"")</f>
        <v>2023 admissions; 2019 accepted list; CAT new students</v>
      </c>
    </row>
    <row r="70" spans="1:23" x14ac:dyDescent="0.3">
      <c r="A70" t="s">
        <v>185</v>
      </c>
      <c r="B70" t="s">
        <v>206</v>
      </c>
      <c r="C70" t="s">
        <v>207</v>
      </c>
      <c r="D70" t="str">
        <f>IFERROR(INDEX(Admissions_2024_2025!D:D,MATCH($B70,Admissions_2024_2025!$B:$B,0)),"")</f>
        <v>Doha Preparatory School for Boys</v>
      </c>
      <c r="E70" t="str">
        <f>IFERROR(INDEX(Admissions_2024_2025!E:E,MATCH($B70,Admissions_2024_2025!$B:$B,0)),"")</f>
        <v>General</v>
      </c>
      <c r="F70">
        <f>IFERROR(INDEX(Admissions_2024_2025!F:F,MATCH($B70,Admissions_2024_2025!$B:$B,0)),"")</f>
        <v>100</v>
      </c>
      <c r="G70">
        <f>IFERROR(INDEX(Admissions_2024_2025!G:G,MATCH($B70,Admissions_2024_2025!$B:$B,0)),"")</f>
        <v>0</v>
      </c>
      <c r="H70">
        <f>IFERROR(INDEX(Admissions_2024_2025!H:H,MATCH($B70,Admissions_2024_2025!$B:$B,0)),"")</f>
        <v>0</v>
      </c>
      <c r="I70" t="str">
        <f>IFERROR(INDEX(Admissions_2024_2025!I:I,MATCH($B70,Admissions_2024_2025!$B:$B,0)),"")</f>
        <v>B2</v>
      </c>
      <c r="J70">
        <f>IFERROR(INDEX(Admissions_2024_2025!J:J,MATCH($B70,Admissions_2024_2025!$B:$B,0)),"")</f>
        <v>167</v>
      </c>
      <c r="K70">
        <f t="shared" si="5"/>
        <v>66.8</v>
      </c>
      <c r="L70">
        <f>IFERROR(INDEX(Admissions_2024_2025!L:L,MATCH($B70,Admissions_2024_2025!$B:$B,0)),"")</f>
        <v>63</v>
      </c>
      <c r="M70">
        <f t="shared" si="6"/>
        <v>126</v>
      </c>
      <c r="N70">
        <f t="shared" si="7"/>
        <v>101</v>
      </c>
      <c r="O70">
        <f t="shared" si="8"/>
        <v>71.126760563380287</v>
      </c>
      <c r="P70">
        <f t="shared" si="9"/>
        <v>87.975586854460104</v>
      </c>
      <c r="Q70" t="str">
        <f>IFERROR(INDEX(Admissions_2024_2025!Q:Q,MATCH($B70,Admissions_2024_2025!$B:$B,0)),"")</f>
        <v>No bias</v>
      </c>
      <c r="R70">
        <f>IFERROR(INDEX(Admissions_2024_2025!R:R,MATCH($B70,Admissions_2024_2025!$B:$B,0)),"")</f>
        <v>96</v>
      </c>
      <c r="S70">
        <f>IFERROR(INDEX(Admissions_2024_2025!S:S,MATCH($B70,Admissions_2024_2025!$B:$B,0)),"")</f>
        <v>100</v>
      </c>
      <c r="T70">
        <f>IFERROR(INDEX(Admissions_2024_2025!T:T,MATCH($B70,Admissions_2024_2025!$B:$B,0)),"")</f>
        <v>107</v>
      </c>
      <c r="U70">
        <f>IFERROR(INDEX(Admissions_2024_2025!U:U,MATCH($B70,Admissions_2024_2025!$B:$B,0)),"")</f>
        <v>99</v>
      </c>
      <c r="V70">
        <f>IFERROR(INDEX(Admissions_2024_2025!V:V,MATCH($B11,Admissions_2024_2025!$B:$B,0)),"")</f>
        <v>0</v>
      </c>
      <c r="W70" t="str">
        <f>IFERROR(INDEX(Admissions_2024_2025!W:W,MATCH($B70,Admissions_2024_2025!$B:$B,0)),"")</f>
        <v>2023 admissions; 2019 accepted list; CAT new students</v>
      </c>
    </row>
    <row r="71" spans="1:23" x14ac:dyDescent="0.3">
      <c r="A71" t="s">
        <v>185</v>
      </c>
      <c r="B71" t="s">
        <v>208</v>
      </c>
      <c r="C71" t="s">
        <v>209</v>
      </c>
      <c r="D71" t="str">
        <f>IFERROR(INDEX(Admissions_2024_2025!D:D,MATCH($B71,Admissions_2024_2025!$B:$B,0)),"")</f>
        <v>Al Maha English School - Pri - Boys</v>
      </c>
      <c r="E71" t="str">
        <f>IFERROR(INDEX(Admissions_2024_2025!E:E,MATCH($B71,Admissions_2024_2025!$B:$B,0)),"")</f>
        <v>British</v>
      </c>
      <c r="F71">
        <f>IFERROR(INDEX(Admissions_2024_2025!F:F,MATCH($B71,Admissions_2024_2025!$B:$B,0)),"")</f>
        <v>70</v>
      </c>
      <c r="G71">
        <f>IFERROR(INDEX(Admissions_2024_2025!G:G,MATCH($B71,Admissions_2024_2025!$B:$B,0)),"")</f>
        <v>0</v>
      </c>
      <c r="H71">
        <f>IFERROR(INDEX(Admissions_2024_2025!H:H,MATCH($B71,Admissions_2024_2025!$B:$B,0)),"")</f>
        <v>0</v>
      </c>
      <c r="I71" t="str">
        <f>IFERROR(INDEX(Admissions_2024_2025!I:I,MATCH($B71,Admissions_2024_2025!$B:$B,0)),"")</f>
        <v>B1</v>
      </c>
      <c r="J71">
        <f>IFERROR(INDEX(Admissions_2024_2025!J:J,MATCH($B71,Admissions_2024_2025!$B:$B,0)),"")</f>
        <v>137</v>
      </c>
      <c r="K71">
        <f t="shared" si="5"/>
        <v>54.800000000000004</v>
      </c>
      <c r="L71">
        <f>IFERROR(INDEX(Admissions_2024_2025!L:L,MATCH($B71,Admissions_2024_2025!$B:$B,0)),"")</f>
        <v>55</v>
      </c>
      <c r="M71">
        <f t="shared" si="6"/>
        <v>110.00000000000001</v>
      </c>
      <c r="N71">
        <f t="shared" si="7"/>
        <v>103</v>
      </c>
      <c r="O71">
        <f t="shared" si="8"/>
        <v>72.535211267605632</v>
      </c>
      <c r="P71">
        <f t="shared" si="9"/>
        <v>79.111737089201881</v>
      </c>
      <c r="Q71" t="str">
        <f>IFERROR(INDEX(Admissions_2024_2025!Q:Q,MATCH($B71,Admissions_2024_2025!$B:$B,0)),"")</f>
        <v>Moderate spatial bias</v>
      </c>
      <c r="R71">
        <f>IFERROR(INDEX(Admissions_2024_2025!R:R,MATCH($B71,Admissions_2024_2025!$B:$B,0)),"")</f>
        <v>83</v>
      </c>
      <c r="S71">
        <f>IFERROR(INDEX(Admissions_2024_2025!S:S,MATCH($B71,Admissions_2024_2025!$B:$B,0)),"")</f>
        <v>118</v>
      </c>
      <c r="T71">
        <f>IFERROR(INDEX(Admissions_2024_2025!T:T,MATCH($B71,Admissions_2024_2025!$B:$B,0)),"")</f>
        <v>106</v>
      </c>
      <c r="U71">
        <f>IFERROR(INDEX(Admissions_2024_2025!U:U,MATCH($B71,Admissions_2024_2025!$B:$B,0)),"")</f>
        <v>106</v>
      </c>
      <c r="V71">
        <f>IFERROR(INDEX(Admissions_2024_2025!V:V,MATCH($B12,Admissions_2024_2025!$B:$B,0)),"")</f>
        <v>0</v>
      </c>
      <c r="W71" t="str">
        <f>IFERROR(INDEX(Admissions_2024_2025!W:W,MATCH($B71,Admissions_2024_2025!$B:$B,0)),"")</f>
        <v>2023 admissions; 2019 accepted list; CAT new students</v>
      </c>
    </row>
    <row r="72" spans="1:23" x14ac:dyDescent="0.3">
      <c r="A72" t="s">
        <v>185</v>
      </c>
      <c r="B72" t="s">
        <v>210</v>
      </c>
      <c r="C72" t="s">
        <v>211</v>
      </c>
      <c r="D72" t="str">
        <f>IFERROR(INDEX(Admissions_2024_2025!D:D,MATCH($B72,Admissions_2024_2025!$B:$B,0)),"")</f>
        <v>Abd al-Rahman Bin Jassim Preparatory School for Boys</v>
      </c>
      <c r="E72" t="str">
        <f>IFERROR(INDEX(Admissions_2024_2025!E:E,MATCH($B72,Admissions_2024_2025!$B:$B,0)),"")</f>
        <v>General</v>
      </c>
      <c r="F72">
        <f>IFERROR(INDEX(Admissions_2024_2025!F:F,MATCH($B72,Admissions_2024_2025!$B:$B,0)),"")</f>
        <v>94</v>
      </c>
      <c r="G72">
        <f>IFERROR(INDEX(Admissions_2024_2025!G:G,MATCH($B72,Admissions_2024_2025!$B:$B,0)),"")</f>
        <v>0</v>
      </c>
      <c r="H72">
        <f>IFERROR(INDEX(Admissions_2024_2025!H:H,MATCH($B72,Admissions_2024_2025!$B:$B,0)),"")</f>
        <v>0</v>
      </c>
      <c r="I72" t="str">
        <f>IFERROR(INDEX(Admissions_2024_2025!I:I,MATCH($B72,Admissions_2024_2025!$B:$B,0)),"")</f>
        <v>B1</v>
      </c>
      <c r="J72">
        <f>IFERROR(INDEX(Admissions_2024_2025!J:J,MATCH($B72,Admissions_2024_2025!$B:$B,0)),"")</f>
        <v>100</v>
      </c>
      <c r="K72">
        <f t="shared" si="5"/>
        <v>40</v>
      </c>
      <c r="L72">
        <f>IFERROR(INDEX(Admissions_2024_2025!L:L,MATCH($B72,Admissions_2024_2025!$B:$B,0)),"")</f>
        <v>73</v>
      </c>
      <c r="M72">
        <f t="shared" si="6"/>
        <v>146</v>
      </c>
      <c r="N72">
        <f t="shared" si="7"/>
        <v>112</v>
      </c>
      <c r="O72">
        <f t="shared" si="8"/>
        <v>78.873239436619713</v>
      </c>
      <c r="P72">
        <f t="shared" si="9"/>
        <v>88.291079812206576</v>
      </c>
      <c r="Q72" t="str">
        <f>IFERROR(INDEX(Admissions_2024_2025!Q:Q,MATCH($B72,Admissions_2024_2025!$B:$B,0)),"")</f>
        <v>Extreme spatial bias</v>
      </c>
      <c r="R72">
        <f>IFERROR(INDEX(Admissions_2024_2025!R:R,MATCH($B72,Admissions_2024_2025!$B:$B,0)),"")</f>
        <v>74</v>
      </c>
      <c r="S72">
        <f>IFERROR(INDEX(Admissions_2024_2025!S:S,MATCH($B72,Admissions_2024_2025!$B:$B,0)),"")</f>
        <v>127</v>
      </c>
      <c r="T72">
        <f>IFERROR(INDEX(Admissions_2024_2025!T:T,MATCH($B72,Admissions_2024_2025!$B:$B,0)),"")</f>
        <v>135</v>
      </c>
      <c r="U72">
        <f>IFERROR(INDEX(Admissions_2024_2025!U:U,MATCH($B72,Admissions_2024_2025!$B:$B,0)),"")</f>
        <v>111</v>
      </c>
      <c r="V72">
        <f>IFERROR(INDEX(Admissions_2024_2025!V:V,MATCH($B13,Admissions_2024_2025!$B:$B,0)),"")</f>
        <v>0</v>
      </c>
      <c r="W72" t="str">
        <f>IFERROR(INDEX(Admissions_2024_2025!W:W,MATCH($B72,Admissions_2024_2025!$B:$B,0)),"")</f>
        <v>2023 admissions; 2019 accepted list; CAT new students</v>
      </c>
    </row>
    <row r="73" spans="1:23" x14ac:dyDescent="0.3">
      <c r="A73" t="s">
        <v>185</v>
      </c>
      <c r="B73" t="s">
        <v>212</v>
      </c>
      <c r="C73" t="s">
        <v>213</v>
      </c>
      <c r="D73" t="str">
        <f>IFERROR(INDEX(Admissions_2024_2025!D:D,MATCH($B73,Admissions_2024_2025!$B:$B,0)),"")</f>
        <v>Al-Ahnaf ibn Qays Preparatory School for Boys</v>
      </c>
      <c r="E73" t="str">
        <f>IFERROR(INDEX(Admissions_2024_2025!E:E,MATCH($B73,Admissions_2024_2025!$B:$B,0)),"")</f>
        <v>General</v>
      </c>
      <c r="F73">
        <f>IFERROR(INDEX(Admissions_2024_2025!F:F,MATCH($B73,Admissions_2024_2025!$B:$B,0)),"")</f>
        <v>94</v>
      </c>
      <c r="G73">
        <f>IFERROR(INDEX(Admissions_2024_2025!G:G,MATCH($B73,Admissions_2024_2025!$B:$B,0)),"")</f>
        <v>0</v>
      </c>
      <c r="H73">
        <f>IFERROR(INDEX(Admissions_2024_2025!H:H,MATCH($B73,Admissions_2024_2025!$B:$B,0)),"")</f>
        <v>0</v>
      </c>
      <c r="I73" t="str">
        <f>IFERROR(INDEX(Admissions_2024_2025!I:I,MATCH($B73,Admissions_2024_2025!$B:$B,0)),"")</f>
        <v>B1</v>
      </c>
      <c r="J73">
        <f>IFERROR(INDEX(Admissions_2024_2025!J:J,MATCH($B73,Admissions_2024_2025!$B:$B,0)),"")</f>
        <v>123</v>
      </c>
      <c r="K73">
        <f t="shared" si="5"/>
        <v>49.2</v>
      </c>
      <c r="L73">
        <f>IFERROR(INDEX(Admissions_2024_2025!L:L,MATCH($B73,Admissions_2024_2025!$B:$B,0)),"")</f>
        <v>30</v>
      </c>
      <c r="M73">
        <f t="shared" si="6"/>
        <v>60</v>
      </c>
      <c r="N73">
        <f t="shared" si="7"/>
        <v>101</v>
      </c>
      <c r="O73">
        <f t="shared" si="8"/>
        <v>71.126760563380287</v>
      </c>
      <c r="P73">
        <f t="shared" si="9"/>
        <v>60.108920187793423</v>
      </c>
      <c r="Q73" t="str">
        <f>IFERROR(INDEX(Admissions_2024_2025!Q:Q,MATCH($B73,Admissions_2024_2025!$B:$B,0)),"")</f>
        <v>Extreme spatial bias</v>
      </c>
      <c r="R73">
        <f>IFERROR(INDEX(Admissions_2024_2025!R:R,MATCH($B73,Admissions_2024_2025!$B:$B,0)),"")</f>
        <v>75</v>
      </c>
      <c r="S73">
        <f>IFERROR(INDEX(Admissions_2024_2025!S:S,MATCH($B73,Admissions_2024_2025!$B:$B,0)),"")</f>
        <v>114</v>
      </c>
      <c r="T73">
        <f>IFERROR(INDEX(Admissions_2024_2025!T:T,MATCH($B73,Admissions_2024_2025!$B:$B,0)),"")</f>
        <v>98</v>
      </c>
      <c r="U73">
        <f>IFERROR(INDEX(Admissions_2024_2025!U:U,MATCH($B73,Admissions_2024_2025!$B:$B,0)),"")</f>
        <v>116</v>
      </c>
      <c r="V73">
        <f>IFERROR(INDEX(Admissions_2024_2025!V:V,MATCH($B14,Admissions_2024_2025!$B:$B,0)),"")</f>
        <v>0</v>
      </c>
      <c r="W73" t="str">
        <f>IFERROR(INDEX(Admissions_2024_2025!W:W,MATCH($B73,Admissions_2024_2025!$B:$B,0)),"")</f>
        <v>2023 admissions; 2019 accepted list; CAT new students</v>
      </c>
    </row>
    <row r="74" spans="1:23" x14ac:dyDescent="0.3">
      <c r="A74" t="s">
        <v>185</v>
      </c>
      <c r="B74" t="s">
        <v>214</v>
      </c>
      <c r="C74" t="s">
        <v>215</v>
      </c>
      <c r="D74" t="str">
        <f>IFERROR(INDEX(Admissions_2024_2025!D:D,MATCH($B74,Admissions_2024_2025!$B:$B,0)),"")</f>
        <v>Doha Preparatory School for Boys</v>
      </c>
      <c r="E74" t="str">
        <f>IFERROR(INDEX(Admissions_2024_2025!E:E,MATCH($B74,Admissions_2024_2025!$B:$B,0)),"")</f>
        <v>General</v>
      </c>
      <c r="F74">
        <f>IFERROR(INDEX(Admissions_2024_2025!F:F,MATCH($B74,Admissions_2024_2025!$B:$B,0)),"")</f>
        <v>89</v>
      </c>
      <c r="G74">
        <f>IFERROR(INDEX(Admissions_2024_2025!G:G,MATCH($B74,Admissions_2024_2025!$B:$B,0)),"")</f>
        <v>0</v>
      </c>
      <c r="H74">
        <f>IFERROR(INDEX(Admissions_2024_2025!H:H,MATCH($B74,Admissions_2024_2025!$B:$B,0)),"")</f>
        <v>0</v>
      </c>
      <c r="I74" t="str">
        <f>IFERROR(INDEX(Admissions_2024_2025!I:I,MATCH($B74,Admissions_2024_2025!$B:$B,0)),"")</f>
        <v>B2</v>
      </c>
      <c r="J74">
        <f>IFERROR(INDEX(Admissions_2024_2025!J:J,MATCH($B74,Admissions_2024_2025!$B:$B,0)),"")</f>
        <v>150</v>
      </c>
      <c r="K74">
        <f t="shared" si="5"/>
        <v>60</v>
      </c>
      <c r="L74">
        <f>IFERROR(INDEX(Admissions_2024_2025!L:L,MATCH($B74,Admissions_2024_2025!$B:$B,0)),"")</f>
        <v>70</v>
      </c>
      <c r="M74">
        <f t="shared" si="6"/>
        <v>140</v>
      </c>
      <c r="N74">
        <f t="shared" si="7"/>
        <v>108</v>
      </c>
      <c r="O74">
        <f t="shared" si="8"/>
        <v>76.056338028169009</v>
      </c>
      <c r="P74">
        <f t="shared" si="9"/>
        <v>92.018779342723008</v>
      </c>
      <c r="Q74" t="str">
        <f>IFERROR(INDEX(Admissions_2024_2025!Q:Q,MATCH($B74,Admissions_2024_2025!$B:$B,0)),"")</f>
        <v>Extreme spatial bias</v>
      </c>
      <c r="R74">
        <f>IFERROR(INDEX(Admissions_2024_2025!R:R,MATCH($B74,Admissions_2024_2025!$B:$B,0)),"")</f>
        <v>91</v>
      </c>
      <c r="S74">
        <f>IFERROR(INDEX(Admissions_2024_2025!S:S,MATCH($B74,Admissions_2024_2025!$B:$B,0)),"")</f>
        <v>112</v>
      </c>
      <c r="T74">
        <f>IFERROR(INDEX(Admissions_2024_2025!T:T,MATCH($B74,Admissions_2024_2025!$B:$B,0)),"")</f>
        <v>107</v>
      </c>
      <c r="U74">
        <f>IFERROR(INDEX(Admissions_2024_2025!U:U,MATCH($B74,Admissions_2024_2025!$B:$B,0)),"")</f>
        <v>122</v>
      </c>
      <c r="V74">
        <f>IFERROR(INDEX(Admissions_2024_2025!V:V,MATCH($B15,Admissions_2024_2025!$B:$B,0)),"")</f>
        <v>0</v>
      </c>
      <c r="W74" t="str">
        <f>IFERROR(INDEX(Admissions_2024_2025!W:W,MATCH($B74,Admissions_2024_2025!$B:$B,0)),"")</f>
        <v>2023 admissions; 2019 accepted list; CAT new students</v>
      </c>
    </row>
    <row r="75" spans="1:23" x14ac:dyDescent="0.3">
      <c r="A75" t="s">
        <v>185</v>
      </c>
      <c r="B75" t="s">
        <v>216</v>
      </c>
      <c r="C75" t="s">
        <v>217</v>
      </c>
      <c r="D75" t="str">
        <f>IFERROR(INDEX(Admissions_2024_2025!D:D,MATCH($B75,Admissions_2024_2025!$B:$B,0)),"")</f>
        <v>Al Maha English School - Pri - Boys</v>
      </c>
      <c r="E75" t="str">
        <f>IFERROR(INDEX(Admissions_2024_2025!E:E,MATCH($B75,Admissions_2024_2025!$B:$B,0)),"")</f>
        <v>British</v>
      </c>
      <c r="F75">
        <f>IFERROR(INDEX(Admissions_2024_2025!F:F,MATCH($B75,Admissions_2024_2025!$B:$B,0)),"")</f>
        <v>76</v>
      </c>
      <c r="G75">
        <f>IFERROR(INDEX(Admissions_2024_2025!G:G,MATCH($B75,Admissions_2024_2025!$B:$B,0)),"")</f>
        <v>0</v>
      </c>
      <c r="H75">
        <f>IFERROR(INDEX(Admissions_2024_2025!H:H,MATCH($B75,Admissions_2024_2025!$B:$B,0)),"")</f>
        <v>0</v>
      </c>
      <c r="I75" t="str">
        <f>IFERROR(INDEX(Admissions_2024_2025!I:I,MATCH($B75,Admissions_2024_2025!$B:$B,0)),"")</f>
        <v>B2</v>
      </c>
      <c r="J75">
        <f>IFERROR(INDEX(Admissions_2024_2025!J:J,MATCH($B75,Admissions_2024_2025!$B:$B,0)),"")</f>
        <v>141</v>
      </c>
      <c r="K75">
        <f t="shared" si="5"/>
        <v>56.399999999999991</v>
      </c>
      <c r="L75">
        <f>IFERROR(INDEX(Admissions_2024_2025!L:L,MATCH($B75,Admissions_2024_2025!$B:$B,0)),"")</f>
        <v>60</v>
      </c>
      <c r="M75">
        <f t="shared" si="6"/>
        <v>120</v>
      </c>
      <c r="N75">
        <f t="shared" si="7"/>
        <v>85</v>
      </c>
      <c r="O75">
        <f t="shared" si="8"/>
        <v>59.859154929577464</v>
      </c>
      <c r="P75">
        <f t="shared" si="9"/>
        <v>78.753051643192478</v>
      </c>
      <c r="Q75" t="str">
        <f>IFERROR(INDEX(Admissions_2024_2025!Q:Q,MATCH($B75,Admissions_2024_2025!$B:$B,0)),"")</f>
        <v>No bias</v>
      </c>
      <c r="R75">
        <f>IFERROR(INDEX(Admissions_2024_2025!R:R,MATCH($B75,Admissions_2024_2025!$B:$B,0)),"")</f>
        <v>80</v>
      </c>
      <c r="S75">
        <f>IFERROR(INDEX(Admissions_2024_2025!S:S,MATCH($B75,Admissions_2024_2025!$B:$B,0)),"")</f>
        <v>91</v>
      </c>
      <c r="T75">
        <f>IFERROR(INDEX(Admissions_2024_2025!T:T,MATCH($B75,Admissions_2024_2025!$B:$B,0)),"")</f>
        <v>82</v>
      </c>
      <c r="U75">
        <f>IFERROR(INDEX(Admissions_2024_2025!U:U,MATCH($B75,Admissions_2024_2025!$B:$B,0)),"")</f>
        <v>88</v>
      </c>
      <c r="V75">
        <f>IFERROR(INDEX(Admissions_2024_2025!V:V,MATCH($B16,Admissions_2024_2025!$B:$B,0)),"")</f>
        <v>0</v>
      </c>
      <c r="W75" t="str">
        <f>IFERROR(INDEX(Admissions_2024_2025!W:W,MATCH($B75,Admissions_2024_2025!$B:$B,0)),"")</f>
        <v>2023 admissions; 2019 accepted list; CAT new students</v>
      </c>
    </row>
    <row r="76" spans="1:23" x14ac:dyDescent="0.3">
      <c r="A76" t="s">
        <v>185</v>
      </c>
      <c r="B76" t="s">
        <v>218</v>
      </c>
      <c r="C76" t="s">
        <v>219</v>
      </c>
      <c r="D76" t="str">
        <f>IFERROR(INDEX(Admissions_2024_2025!D:D,MATCH($B76,Admissions_2024_2025!$B:$B,0)),"")</f>
        <v>Doha Preparatory School for Boys</v>
      </c>
      <c r="E76" t="str">
        <f>IFERROR(INDEX(Admissions_2024_2025!E:E,MATCH($B76,Admissions_2024_2025!$B:$B,0)),"")</f>
        <v>General</v>
      </c>
      <c r="F76">
        <f>IFERROR(INDEX(Admissions_2024_2025!F:F,MATCH($B76,Admissions_2024_2025!$B:$B,0)),"")</f>
        <v>98</v>
      </c>
      <c r="G76">
        <f>IFERROR(INDEX(Admissions_2024_2025!G:G,MATCH($B76,Admissions_2024_2025!$B:$B,0)),"")</f>
        <v>0</v>
      </c>
      <c r="H76">
        <f>IFERROR(INDEX(Admissions_2024_2025!H:H,MATCH($B76,Admissions_2024_2025!$B:$B,0)),"")</f>
        <v>0</v>
      </c>
      <c r="I76" t="str">
        <f>IFERROR(INDEX(Admissions_2024_2025!I:I,MATCH($B76,Admissions_2024_2025!$B:$B,0)),"")</f>
        <v>B2</v>
      </c>
      <c r="J76">
        <f>IFERROR(INDEX(Admissions_2024_2025!J:J,MATCH($B76,Admissions_2024_2025!$B:$B,0)),"")</f>
        <v>148</v>
      </c>
      <c r="K76">
        <f t="shared" si="5"/>
        <v>59.199999999999996</v>
      </c>
      <c r="L76">
        <f>IFERROR(INDEX(Admissions_2024_2025!L:L,MATCH($B76,Admissions_2024_2025!$B:$B,0)),"")</f>
        <v>93</v>
      </c>
      <c r="M76">
        <f t="shared" si="6"/>
        <v>186</v>
      </c>
      <c r="N76">
        <f t="shared" si="7"/>
        <v>112</v>
      </c>
      <c r="O76">
        <f t="shared" si="8"/>
        <v>78.873239436619713</v>
      </c>
      <c r="P76">
        <f t="shared" si="9"/>
        <v>108.0244131455399</v>
      </c>
      <c r="Q76" t="str">
        <f>IFERROR(INDEX(Admissions_2024_2025!Q:Q,MATCH($B76,Admissions_2024_2025!$B:$B,0)),"")</f>
        <v>No bias</v>
      </c>
      <c r="R76">
        <f>IFERROR(INDEX(Admissions_2024_2025!R:R,MATCH($B76,Admissions_2024_2025!$B:$B,0)),"")</f>
        <v>108</v>
      </c>
      <c r="S76">
        <f>IFERROR(INDEX(Admissions_2024_2025!S:S,MATCH($B76,Admissions_2024_2025!$B:$B,0)),"")</f>
        <v>125</v>
      </c>
      <c r="T76">
        <f>IFERROR(INDEX(Admissions_2024_2025!T:T,MATCH($B76,Admissions_2024_2025!$B:$B,0)),"")</f>
        <v>105</v>
      </c>
      <c r="U76">
        <f>IFERROR(INDEX(Admissions_2024_2025!U:U,MATCH($B76,Admissions_2024_2025!$B:$B,0)),"")</f>
        <v>111</v>
      </c>
      <c r="V76">
        <f>IFERROR(INDEX(Admissions_2024_2025!V:V,MATCH($B17,Admissions_2024_2025!$B:$B,0)),"")</f>
        <v>0</v>
      </c>
      <c r="W76" t="str">
        <f>IFERROR(INDEX(Admissions_2024_2025!W:W,MATCH($B76,Admissions_2024_2025!$B:$B,0)),"")</f>
        <v>2023 admissions; 2019 accepted list; CAT new students</v>
      </c>
    </row>
    <row r="77" spans="1:23" x14ac:dyDescent="0.3">
      <c r="A77" t="s">
        <v>185</v>
      </c>
      <c r="B77" t="s">
        <v>220</v>
      </c>
      <c r="C77" t="s">
        <v>221</v>
      </c>
      <c r="D77" t="str">
        <f>IFERROR(INDEX(Admissions_2024_2025!D:D,MATCH($B77,Admissions_2024_2025!$B:$B,0)),"")</f>
        <v>Umar ibn Al-Khattab Preparatory School for Boys</v>
      </c>
      <c r="E77" t="str">
        <f>IFERROR(INDEX(Admissions_2024_2025!E:E,MATCH($B77,Admissions_2024_2025!$B:$B,0)),"")</f>
        <v>General</v>
      </c>
      <c r="F77">
        <f>IFERROR(INDEX(Admissions_2024_2025!F:F,MATCH($B77,Admissions_2024_2025!$B:$B,0)),"")</f>
        <v>90</v>
      </c>
      <c r="G77">
        <f>IFERROR(INDEX(Admissions_2024_2025!G:G,MATCH($B77,Admissions_2024_2025!$B:$B,0)),"")</f>
        <v>0</v>
      </c>
      <c r="H77">
        <f>IFERROR(INDEX(Admissions_2024_2025!H:H,MATCH($B77,Admissions_2024_2025!$B:$B,0)),"")</f>
        <v>0</v>
      </c>
      <c r="I77" t="str">
        <f>IFERROR(INDEX(Admissions_2024_2025!I:I,MATCH($B77,Admissions_2024_2025!$B:$B,0)),"")</f>
        <v>B2</v>
      </c>
      <c r="J77">
        <f>IFERROR(INDEX(Admissions_2024_2025!J:J,MATCH($B77,Admissions_2024_2025!$B:$B,0)),"")</f>
        <v>142</v>
      </c>
      <c r="K77">
        <f t="shared" si="5"/>
        <v>56.8</v>
      </c>
      <c r="L77">
        <f>IFERROR(INDEX(Admissions_2024_2025!L:L,MATCH($B77,Admissions_2024_2025!$B:$B,0)),"")</f>
        <v>85</v>
      </c>
      <c r="M77">
        <f t="shared" si="6"/>
        <v>170</v>
      </c>
      <c r="N77">
        <f t="shared" si="7"/>
        <v>107</v>
      </c>
      <c r="O77">
        <f t="shared" si="8"/>
        <v>75.352112676056336</v>
      </c>
      <c r="P77">
        <f t="shared" si="9"/>
        <v>100.71737089201878</v>
      </c>
      <c r="Q77" t="str">
        <f>IFERROR(INDEX(Admissions_2024_2025!Q:Q,MATCH($B77,Admissions_2024_2025!$B:$B,0)),"")</f>
        <v>No bias</v>
      </c>
      <c r="R77">
        <f>IFERROR(INDEX(Admissions_2024_2025!R:R,MATCH($B77,Admissions_2024_2025!$B:$B,0)),"")</f>
        <v>101</v>
      </c>
      <c r="S77">
        <f>IFERROR(INDEX(Admissions_2024_2025!S:S,MATCH($B77,Admissions_2024_2025!$B:$B,0)),"")</f>
        <v>110</v>
      </c>
      <c r="T77">
        <f>IFERROR(INDEX(Admissions_2024_2025!T:T,MATCH($B77,Admissions_2024_2025!$B:$B,0)),"")</f>
        <v>116</v>
      </c>
      <c r="U77">
        <f>IFERROR(INDEX(Admissions_2024_2025!U:U,MATCH($B77,Admissions_2024_2025!$B:$B,0)),"")</f>
        <v>100</v>
      </c>
      <c r="V77">
        <f>IFERROR(INDEX(Admissions_2024_2025!V:V,MATCH($B18,Admissions_2024_2025!$B:$B,0)),"")</f>
        <v>0</v>
      </c>
      <c r="W77" t="str">
        <f>IFERROR(INDEX(Admissions_2024_2025!W:W,MATCH($B77,Admissions_2024_2025!$B:$B,0)),"")</f>
        <v>2023 admissions; 2019 accepted list; CAT new students</v>
      </c>
    </row>
    <row r="78" spans="1:23" x14ac:dyDescent="0.3">
      <c r="A78" t="s">
        <v>185</v>
      </c>
      <c r="B78" t="s">
        <v>222</v>
      </c>
      <c r="C78" t="s">
        <v>223</v>
      </c>
      <c r="D78" t="str">
        <f>IFERROR(INDEX(Admissions_2024_2025!D:D,MATCH($B78,Admissions_2024_2025!$B:$B,0)),"")</f>
        <v>Abu Bakr as-Siddiq Preparatory School for Boys</v>
      </c>
      <c r="E78" t="str">
        <f>IFERROR(INDEX(Admissions_2024_2025!E:E,MATCH($B78,Admissions_2024_2025!$B:$B,0)),"")</f>
        <v>General</v>
      </c>
      <c r="F78">
        <f>IFERROR(INDEX(Admissions_2024_2025!F:F,MATCH($B78,Admissions_2024_2025!$B:$B,0)),"")</f>
        <v>99</v>
      </c>
      <c r="G78">
        <f>IFERROR(INDEX(Admissions_2024_2025!G:G,MATCH($B78,Admissions_2024_2025!$B:$B,0)),"")</f>
        <v>0</v>
      </c>
      <c r="H78">
        <f>IFERROR(INDEX(Admissions_2024_2025!H:H,MATCH($B78,Admissions_2024_2025!$B:$B,0)),"")</f>
        <v>0</v>
      </c>
      <c r="I78" t="str">
        <f>IFERROR(INDEX(Admissions_2024_2025!I:I,MATCH($B78,Admissions_2024_2025!$B:$B,0)),"")</f>
        <v>B2</v>
      </c>
      <c r="J78">
        <f>IFERROR(INDEX(Admissions_2024_2025!J:J,MATCH($B78,Admissions_2024_2025!$B:$B,0)),"")</f>
        <v>136</v>
      </c>
      <c r="K78">
        <f t="shared" si="5"/>
        <v>54.400000000000006</v>
      </c>
      <c r="L78">
        <f>IFERROR(INDEX(Admissions_2024_2025!L:L,MATCH($B78,Admissions_2024_2025!$B:$B,0)),"")</f>
        <v>48</v>
      </c>
      <c r="M78">
        <f t="shared" si="6"/>
        <v>96</v>
      </c>
      <c r="N78">
        <f t="shared" si="7"/>
        <v>99</v>
      </c>
      <c r="O78">
        <f t="shared" si="8"/>
        <v>69.718309859154928</v>
      </c>
      <c r="P78">
        <f t="shared" si="9"/>
        <v>73.372769953051645</v>
      </c>
      <c r="Q78" t="str">
        <f>IFERROR(INDEX(Admissions_2024_2025!Q:Q,MATCH($B78,Admissions_2024_2025!$B:$B,0)),"")</f>
        <v>Extreme spatial bias</v>
      </c>
      <c r="R78">
        <f>IFERROR(INDEX(Admissions_2024_2025!R:R,MATCH($B78,Admissions_2024_2025!$B:$B,0)),"")</f>
        <v>81</v>
      </c>
      <c r="S78">
        <f>IFERROR(INDEX(Admissions_2024_2025!S:S,MATCH($B78,Admissions_2024_2025!$B:$B,0)),"")</f>
        <v>93</v>
      </c>
      <c r="T78">
        <f>IFERROR(INDEX(Admissions_2024_2025!T:T,MATCH($B78,Admissions_2024_2025!$B:$B,0)),"")</f>
        <v>115</v>
      </c>
      <c r="U78">
        <f>IFERROR(INDEX(Admissions_2024_2025!U:U,MATCH($B78,Admissions_2024_2025!$B:$B,0)),"")</f>
        <v>105</v>
      </c>
      <c r="V78">
        <f>IFERROR(INDEX(Admissions_2024_2025!V:V,MATCH($B19,Admissions_2024_2025!$B:$B,0)),"")</f>
        <v>0</v>
      </c>
      <c r="W78" t="str">
        <f>IFERROR(INDEX(Admissions_2024_2025!W:W,MATCH($B78,Admissions_2024_2025!$B:$B,0)),"")</f>
        <v>2023 admissions; 2019 accepted list; CAT new students</v>
      </c>
    </row>
    <row r="79" spans="1:23" x14ac:dyDescent="0.3">
      <c r="A79" t="s">
        <v>185</v>
      </c>
      <c r="B79" t="s">
        <v>224</v>
      </c>
      <c r="C79" t="s">
        <v>225</v>
      </c>
      <c r="D79" t="str">
        <f>IFERROR(INDEX(Admissions_2024_2025!D:D,MATCH($B79,Admissions_2024_2025!$B:$B,0)),"")</f>
        <v>Abu Bakr as-Siddiq Preparatory School for Boys</v>
      </c>
      <c r="E79" t="str">
        <f>IFERROR(INDEX(Admissions_2024_2025!E:E,MATCH($B79,Admissions_2024_2025!$B:$B,0)),"")</f>
        <v>General</v>
      </c>
      <c r="F79">
        <f>IFERROR(INDEX(Admissions_2024_2025!F:F,MATCH($B79,Admissions_2024_2025!$B:$B,0)),"")</f>
        <v>92</v>
      </c>
      <c r="G79">
        <f>IFERROR(INDEX(Admissions_2024_2025!G:G,MATCH($B79,Admissions_2024_2025!$B:$B,0)),"")</f>
        <v>0</v>
      </c>
      <c r="H79">
        <f>IFERROR(INDEX(Admissions_2024_2025!H:H,MATCH($B79,Admissions_2024_2025!$B:$B,0)),"")</f>
        <v>0</v>
      </c>
      <c r="I79" t="str">
        <f>IFERROR(INDEX(Admissions_2024_2025!I:I,MATCH($B79,Admissions_2024_2025!$B:$B,0)),"")</f>
        <v>B1</v>
      </c>
      <c r="J79">
        <f>IFERROR(INDEX(Admissions_2024_2025!J:J,MATCH($B79,Admissions_2024_2025!$B:$B,0)),"")</f>
        <v>124</v>
      </c>
      <c r="K79">
        <f t="shared" si="5"/>
        <v>49.6</v>
      </c>
      <c r="L79">
        <f>IFERROR(INDEX(Admissions_2024_2025!L:L,MATCH($B79,Admissions_2024_2025!$B:$B,0)),"")</f>
        <v>48</v>
      </c>
      <c r="M79">
        <f t="shared" si="6"/>
        <v>96</v>
      </c>
      <c r="N79">
        <f t="shared" si="7"/>
        <v>96</v>
      </c>
      <c r="O79">
        <f t="shared" si="8"/>
        <v>67.605633802816897</v>
      </c>
      <c r="P79">
        <f t="shared" si="9"/>
        <v>71.068544600938964</v>
      </c>
      <c r="Q79" t="str">
        <f>IFERROR(INDEX(Admissions_2024_2025!Q:Q,MATCH($B79,Admissions_2024_2025!$B:$B,0)),"")</f>
        <v>Moderate spatial bias</v>
      </c>
      <c r="R79">
        <f>IFERROR(INDEX(Admissions_2024_2025!R:R,MATCH($B79,Admissions_2024_2025!$B:$B,0)),"")</f>
        <v>76</v>
      </c>
      <c r="S79">
        <f>IFERROR(INDEX(Admissions_2024_2025!S:S,MATCH($B79,Admissions_2024_2025!$B:$B,0)),"")</f>
        <v>113</v>
      </c>
      <c r="T79">
        <f>IFERROR(INDEX(Admissions_2024_2025!T:T,MATCH($B79,Admissions_2024_2025!$B:$B,0)),"")</f>
        <v>94</v>
      </c>
      <c r="U79">
        <f>IFERROR(INDEX(Admissions_2024_2025!U:U,MATCH($B79,Admissions_2024_2025!$B:$B,0)),"")</f>
        <v>100</v>
      </c>
      <c r="V79">
        <f>IFERROR(INDEX(Admissions_2024_2025!V:V,MATCH($B20,Admissions_2024_2025!$B:$B,0)),"")</f>
        <v>0</v>
      </c>
      <c r="W79" t="str">
        <f>IFERROR(INDEX(Admissions_2024_2025!W:W,MATCH($B79,Admissions_2024_2025!$B:$B,0)),"")</f>
        <v>2023 admissions; 2019 accepted list; CAT new students</v>
      </c>
    </row>
    <row r="80" spans="1:23" x14ac:dyDescent="0.3">
      <c r="A80" t="s">
        <v>185</v>
      </c>
      <c r="B80" t="s">
        <v>226</v>
      </c>
      <c r="C80" t="s">
        <v>227</v>
      </c>
      <c r="D80" t="str">
        <f>IFERROR(INDEX(Admissions_2024_2025!D:D,MATCH($B80,Admissions_2024_2025!$B:$B,0)),"")</f>
        <v>Abu Bakr as-Siddiq Preparatory School for Boys</v>
      </c>
      <c r="E80" t="str">
        <f>IFERROR(INDEX(Admissions_2024_2025!E:E,MATCH($B80,Admissions_2024_2025!$B:$B,0)),"")</f>
        <v>General</v>
      </c>
      <c r="F80">
        <f>IFERROR(INDEX(Admissions_2024_2025!F:F,MATCH($B80,Admissions_2024_2025!$B:$B,0)),"")</f>
        <v>91</v>
      </c>
      <c r="G80">
        <f>IFERROR(INDEX(Admissions_2024_2025!G:G,MATCH($B80,Admissions_2024_2025!$B:$B,0)),"")</f>
        <v>0</v>
      </c>
      <c r="H80">
        <f>IFERROR(INDEX(Admissions_2024_2025!H:H,MATCH($B80,Admissions_2024_2025!$B:$B,0)),"")</f>
        <v>0</v>
      </c>
      <c r="I80" t="str">
        <f>IFERROR(INDEX(Admissions_2024_2025!I:I,MATCH($B80,Admissions_2024_2025!$B:$B,0)),"")</f>
        <v>B2</v>
      </c>
      <c r="J80">
        <f>IFERROR(INDEX(Admissions_2024_2025!J:J,MATCH($B80,Admissions_2024_2025!$B:$B,0)),"")</f>
        <v>158</v>
      </c>
      <c r="K80">
        <f t="shared" si="5"/>
        <v>63.2</v>
      </c>
      <c r="L80">
        <f>IFERROR(INDEX(Admissions_2024_2025!L:L,MATCH($B80,Admissions_2024_2025!$B:$B,0)),"")</f>
        <v>35</v>
      </c>
      <c r="M80">
        <f t="shared" si="6"/>
        <v>70</v>
      </c>
      <c r="N80">
        <f t="shared" si="7"/>
        <v>90</v>
      </c>
      <c r="O80">
        <f t="shared" si="8"/>
        <v>63.380281690140848</v>
      </c>
      <c r="P80">
        <f t="shared" si="9"/>
        <v>65.526760563380279</v>
      </c>
      <c r="Q80" t="str">
        <f>IFERROR(INDEX(Admissions_2024_2025!Q:Q,MATCH($B80,Admissions_2024_2025!$B:$B,0)),"")</f>
        <v>No bias</v>
      </c>
      <c r="R80">
        <f>IFERROR(INDEX(Admissions_2024_2025!R:R,MATCH($B80,Admissions_2024_2025!$B:$B,0)),"")</f>
        <v>86</v>
      </c>
      <c r="S80">
        <f>IFERROR(INDEX(Admissions_2024_2025!S:S,MATCH($B80,Admissions_2024_2025!$B:$B,0)),"")</f>
        <v>101</v>
      </c>
      <c r="T80">
        <f>IFERROR(INDEX(Admissions_2024_2025!T:T,MATCH($B80,Admissions_2024_2025!$B:$B,0)),"")</f>
        <v>86</v>
      </c>
      <c r="U80">
        <f>IFERROR(INDEX(Admissions_2024_2025!U:U,MATCH($B80,Admissions_2024_2025!$B:$B,0)),"")</f>
        <v>86</v>
      </c>
      <c r="V80">
        <f>IFERROR(INDEX(Admissions_2024_2025!V:V,MATCH($B21,Admissions_2024_2025!$B:$B,0)),"")</f>
        <v>0</v>
      </c>
      <c r="W80" t="str">
        <f>IFERROR(INDEX(Admissions_2024_2025!W:W,MATCH($B80,Admissions_2024_2025!$B:$B,0)),"")</f>
        <v>2023 admissions; 2019 accepted list; CAT new students</v>
      </c>
    </row>
    <row r="81" spans="1:23" x14ac:dyDescent="0.3">
      <c r="A81" t="s">
        <v>185</v>
      </c>
      <c r="B81" t="s">
        <v>228</v>
      </c>
      <c r="C81" t="s">
        <v>229</v>
      </c>
      <c r="D81" t="str">
        <f>IFERROR(INDEX(Admissions_2024_2025!D:D,MATCH($B81,Admissions_2024_2025!$B:$B,0)),"")</f>
        <v>Al Jazeera Academy - KG Pri Prep Sec - Mixed</v>
      </c>
      <c r="E81" t="str">
        <f>IFERROR(INDEX(Admissions_2024_2025!E:E,MATCH($B81,Admissions_2024_2025!$B:$B,0)),"")</f>
        <v>British</v>
      </c>
      <c r="F81">
        <f>IFERROR(INDEX(Admissions_2024_2025!F:F,MATCH($B81,Admissions_2024_2025!$B:$B,0)),"")</f>
        <v>85</v>
      </c>
      <c r="G81">
        <f>IFERROR(INDEX(Admissions_2024_2025!G:G,MATCH($B81,Admissions_2024_2025!$B:$B,0)),"")</f>
        <v>0</v>
      </c>
      <c r="H81">
        <f>IFERROR(INDEX(Admissions_2024_2025!H:H,MATCH($B81,Admissions_2024_2025!$B:$B,0)),"")</f>
        <v>0</v>
      </c>
      <c r="I81" t="str">
        <f>IFERROR(INDEX(Admissions_2024_2025!I:I,MATCH($B81,Admissions_2024_2025!$B:$B,0)),"")</f>
        <v>B2</v>
      </c>
      <c r="J81">
        <f>IFERROR(INDEX(Admissions_2024_2025!J:J,MATCH($B81,Admissions_2024_2025!$B:$B,0)),"")</f>
        <v>141</v>
      </c>
      <c r="K81">
        <f t="shared" si="5"/>
        <v>56.399999999999991</v>
      </c>
      <c r="L81">
        <f>IFERROR(INDEX(Admissions_2024_2025!L:L,MATCH($B81,Admissions_2024_2025!$B:$B,0)),"")</f>
        <v>30</v>
      </c>
      <c r="M81">
        <f t="shared" si="6"/>
        <v>60</v>
      </c>
      <c r="N81">
        <f t="shared" si="7"/>
        <v>96</v>
      </c>
      <c r="O81">
        <f t="shared" si="8"/>
        <v>67.605633802816897</v>
      </c>
      <c r="P81">
        <f t="shared" si="9"/>
        <v>61.335211267605622</v>
      </c>
      <c r="Q81" t="str">
        <f>IFERROR(INDEX(Admissions_2024_2025!Q:Q,MATCH($B81,Admissions_2024_2025!$B:$B,0)),"")</f>
        <v>Mild spatial bias</v>
      </c>
      <c r="R81">
        <f>IFERROR(INDEX(Admissions_2024_2025!R:R,MATCH($B81,Admissions_2024_2025!$B:$B,0)),"")</f>
        <v>86</v>
      </c>
      <c r="S81">
        <f>IFERROR(INDEX(Admissions_2024_2025!S:S,MATCH($B81,Admissions_2024_2025!$B:$B,0)),"")</f>
        <v>100</v>
      </c>
      <c r="T81">
        <f>IFERROR(INDEX(Admissions_2024_2025!T:T,MATCH($B81,Admissions_2024_2025!$B:$B,0)),"")</f>
        <v>100</v>
      </c>
      <c r="U81">
        <f>IFERROR(INDEX(Admissions_2024_2025!U:U,MATCH($B81,Admissions_2024_2025!$B:$B,0)),"")</f>
        <v>98</v>
      </c>
      <c r="V81">
        <f>IFERROR(INDEX(Admissions_2024_2025!V:V,MATCH($B22,Admissions_2024_2025!$B:$B,0)),"")</f>
        <v>0</v>
      </c>
      <c r="W81" t="str">
        <f>IFERROR(INDEX(Admissions_2024_2025!W:W,MATCH($B81,Admissions_2024_2025!$B:$B,0)),"")</f>
        <v>2023 admissions; 2019 accepted list; CAT new students</v>
      </c>
    </row>
    <row r="82" spans="1:23" x14ac:dyDescent="0.3">
      <c r="A82" t="s">
        <v>185</v>
      </c>
      <c r="B82" t="s">
        <v>230</v>
      </c>
      <c r="C82" t="s">
        <v>231</v>
      </c>
      <c r="D82" t="str">
        <f>IFERROR(INDEX(Admissions_2024_2025!D:D,MATCH($B82,Admissions_2024_2025!$B:$B,0)),"")</f>
        <v>Abu Bakr as-Siddiq Preparatory School for Boys</v>
      </c>
      <c r="E82" t="str">
        <f>IFERROR(INDEX(Admissions_2024_2025!E:E,MATCH($B82,Admissions_2024_2025!$B:$B,0)),"")</f>
        <v>General</v>
      </c>
      <c r="F82">
        <f>IFERROR(INDEX(Admissions_2024_2025!F:F,MATCH($B82,Admissions_2024_2025!$B:$B,0)),"")</f>
        <v>88</v>
      </c>
      <c r="G82">
        <f>IFERROR(INDEX(Admissions_2024_2025!G:G,MATCH($B82,Admissions_2024_2025!$B:$B,0)),"")</f>
        <v>0</v>
      </c>
      <c r="H82">
        <f>IFERROR(INDEX(Admissions_2024_2025!H:H,MATCH($B82,Admissions_2024_2025!$B:$B,0)),"")</f>
        <v>0</v>
      </c>
      <c r="I82" t="str">
        <f>IFERROR(INDEX(Admissions_2024_2025!I:I,MATCH($B82,Admissions_2024_2025!$B:$B,0)),"")</f>
        <v>B1</v>
      </c>
      <c r="J82">
        <f>IFERROR(INDEX(Admissions_2024_2025!J:J,MATCH($B82,Admissions_2024_2025!$B:$B,0)),"")</f>
        <v>124</v>
      </c>
      <c r="K82">
        <f t="shared" si="5"/>
        <v>49.6</v>
      </c>
      <c r="L82">
        <f>IFERROR(INDEX(Admissions_2024_2025!L:L,MATCH($B82,Admissions_2024_2025!$B:$B,0)),"")</f>
        <v>53</v>
      </c>
      <c r="M82">
        <f t="shared" si="6"/>
        <v>106</v>
      </c>
      <c r="N82">
        <f t="shared" si="7"/>
        <v>86</v>
      </c>
      <c r="O82">
        <f t="shared" si="8"/>
        <v>60.563380281690137</v>
      </c>
      <c r="P82">
        <f t="shared" si="9"/>
        <v>72.054460093896708</v>
      </c>
      <c r="Q82" t="str">
        <f>IFERROR(INDEX(Admissions_2024_2025!Q:Q,MATCH($B82,Admissions_2024_2025!$B:$B,0)),"")</f>
        <v>No bias</v>
      </c>
      <c r="R82">
        <f>IFERROR(INDEX(Admissions_2024_2025!R:R,MATCH($B82,Admissions_2024_2025!$B:$B,0)),"")</f>
        <v>77</v>
      </c>
      <c r="S82">
        <f>IFERROR(INDEX(Admissions_2024_2025!S:S,MATCH($B82,Admissions_2024_2025!$B:$B,0)),"")</f>
        <v>96</v>
      </c>
      <c r="T82">
        <f>IFERROR(INDEX(Admissions_2024_2025!T:T,MATCH($B82,Admissions_2024_2025!$B:$B,0)),"")</f>
        <v>86</v>
      </c>
      <c r="U82">
        <f>IFERROR(INDEX(Admissions_2024_2025!U:U,MATCH($B82,Admissions_2024_2025!$B:$B,0)),"")</f>
        <v>86</v>
      </c>
      <c r="V82">
        <f>IFERROR(INDEX(Admissions_2024_2025!V:V,MATCH($B23,Admissions_2024_2025!$B:$B,0)),"")</f>
        <v>0</v>
      </c>
      <c r="W82" t="str">
        <f>IFERROR(INDEX(Admissions_2024_2025!W:W,MATCH($B82,Admissions_2024_2025!$B:$B,0)),"")</f>
        <v>2023 admissions; 2019 accepted list; CAT new students</v>
      </c>
    </row>
    <row r="83" spans="1:23" x14ac:dyDescent="0.3">
      <c r="A83" t="s">
        <v>185</v>
      </c>
      <c r="B83" t="s">
        <v>232</v>
      </c>
      <c r="C83" t="s">
        <v>233</v>
      </c>
      <c r="D83" t="str">
        <f>IFERROR(INDEX(Admissions_2024_2025!D:D,MATCH($B83,Admissions_2024_2025!$B:$B,0)),"")</f>
        <v>The Gulf English School - Pri Prep Sec - Mixed</v>
      </c>
      <c r="E83" t="str">
        <f>IFERROR(INDEX(Admissions_2024_2025!E:E,MATCH($B83,Admissions_2024_2025!$B:$B,0)),"")</f>
        <v>IB,British</v>
      </c>
      <c r="F83" t="str">
        <f>IFERROR(INDEX(Admissions_2024_2025!F:F,MATCH($B83,Admissions_2024_2025!$B:$B,0)),"")</f>
        <v>4a</v>
      </c>
      <c r="G83">
        <f>IFERROR(INDEX(Admissions_2024_2025!G:G,MATCH($B83,Admissions_2024_2025!$B:$B,0)),"")</f>
        <v>0</v>
      </c>
      <c r="H83">
        <f>IFERROR(INDEX(Admissions_2024_2025!H:H,MATCH($B83,Admissions_2024_2025!$B:$B,0)),"")</f>
        <v>0</v>
      </c>
      <c r="I83" t="str">
        <f>IFERROR(INDEX(Admissions_2024_2025!I:I,MATCH($B83,Admissions_2024_2025!$B:$B,0)),"")</f>
        <v>B1</v>
      </c>
      <c r="J83">
        <f>IFERROR(INDEX(Admissions_2024_2025!J:J,MATCH($B83,Admissions_2024_2025!$B:$B,0)),"")</f>
        <v>123</v>
      </c>
      <c r="K83">
        <f t="shared" si="5"/>
        <v>49.2</v>
      </c>
      <c r="L83">
        <f>IFERROR(INDEX(Admissions_2024_2025!L:L,MATCH($B83,Admissions_2024_2025!$B:$B,0)),"")</f>
        <v>53</v>
      </c>
      <c r="M83">
        <f t="shared" si="6"/>
        <v>106</v>
      </c>
      <c r="N83">
        <f t="shared" si="7"/>
        <v>84</v>
      </c>
      <c r="O83">
        <f t="shared" si="8"/>
        <v>59.154929577464785</v>
      </c>
      <c r="P83">
        <f t="shared" si="9"/>
        <v>71.451643192488248</v>
      </c>
      <c r="Q83" t="str">
        <f>IFERROR(INDEX(Admissions_2024_2025!Q:Q,MATCH($B83,Admissions_2024_2025!$B:$B,0)),"")</f>
        <v>No bias</v>
      </c>
      <c r="R83">
        <f>IFERROR(INDEX(Admissions_2024_2025!R:R,MATCH($B83,Admissions_2024_2025!$B:$B,0)),"")</f>
        <v>73</v>
      </c>
      <c r="S83">
        <f>IFERROR(INDEX(Admissions_2024_2025!S:S,MATCH($B83,Admissions_2024_2025!$B:$B,0)),"")</f>
        <v>101</v>
      </c>
      <c r="T83">
        <f>IFERROR(INDEX(Admissions_2024_2025!T:T,MATCH($B83,Admissions_2024_2025!$B:$B,0)),"")</f>
        <v>82</v>
      </c>
      <c r="U83">
        <f>IFERROR(INDEX(Admissions_2024_2025!U:U,MATCH($B83,Admissions_2024_2025!$B:$B,0)),"")</f>
        <v>80</v>
      </c>
      <c r="V83">
        <f>IFERROR(INDEX(Admissions_2024_2025!V:V,MATCH($B24,Admissions_2024_2025!$B:$B,0)),"")</f>
        <v>0</v>
      </c>
      <c r="W83" t="str">
        <f>IFERROR(INDEX(Admissions_2024_2025!W:W,MATCH($B83,Admissions_2024_2025!$B:$B,0)),"")</f>
        <v>2023 admissions; 2019 accepted list; CAT new students</v>
      </c>
    </row>
    <row r="84" spans="1:23" x14ac:dyDescent="0.3">
      <c r="A84" t="s">
        <v>185</v>
      </c>
      <c r="B84" t="s">
        <v>234</v>
      </c>
      <c r="C84" t="s">
        <v>235</v>
      </c>
      <c r="D84" t="str">
        <f>IFERROR(INDEX(Admissions_2024_2025!D:D,MATCH($B84,Admissions_2024_2025!$B:$B,0)),"")</f>
        <v>Doha Preparatory School for Boys</v>
      </c>
      <c r="E84" t="str">
        <f>IFERROR(INDEX(Admissions_2024_2025!E:E,MATCH($B84,Admissions_2024_2025!$B:$B,0)),"")</f>
        <v>General</v>
      </c>
      <c r="F84">
        <f>IFERROR(INDEX(Admissions_2024_2025!F:F,MATCH($B84,Admissions_2024_2025!$B:$B,0)),"")</f>
        <v>95</v>
      </c>
      <c r="G84">
        <f>IFERROR(INDEX(Admissions_2024_2025!G:G,MATCH($B84,Admissions_2024_2025!$B:$B,0)),"")</f>
        <v>0</v>
      </c>
      <c r="H84">
        <f>IFERROR(INDEX(Admissions_2024_2025!H:H,MATCH($B84,Admissions_2024_2025!$B:$B,0)),"")</f>
        <v>0</v>
      </c>
      <c r="I84" t="str">
        <f>IFERROR(INDEX(Admissions_2024_2025!I:I,MATCH($B84,Admissions_2024_2025!$B:$B,0)),"")</f>
        <v>B1</v>
      </c>
      <c r="J84">
        <f>IFERROR(INDEX(Admissions_2024_2025!J:J,MATCH($B84,Admissions_2024_2025!$B:$B,0)),"")</f>
        <v>130</v>
      </c>
      <c r="K84">
        <f t="shared" si="5"/>
        <v>52</v>
      </c>
      <c r="L84">
        <f>IFERROR(INDEX(Admissions_2024_2025!L:L,MATCH($B84,Admissions_2024_2025!$B:$B,0)),"")</f>
        <v>58</v>
      </c>
      <c r="M84">
        <f t="shared" si="6"/>
        <v>115.99999999999999</v>
      </c>
      <c r="N84">
        <f t="shared" si="7"/>
        <v>97</v>
      </c>
      <c r="O84">
        <f t="shared" si="8"/>
        <v>68.309859154929569</v>
      </c>
      <c r="P84">
        <f t="shared" si="9"/>
        <v>78.769953051643185</v>
      </c>
      <c r="Q84" t="str">
        <f>IFERROR(INDEX(Admissions_2024_2025!Q:Q,MATCH($B84,Admissions_2024_2025!$B:$B,0)),"")</f>
        <v>Mild spatial bias</v>
      </c>
      <c r="R84">
        <f>IFERROR(INDEX(Admissions_2024_2025!R:R,MATCH($B84,Admissions_2024_2025!$B:$B,0)),"")</f>
        <v>76</v>
      </c>
      <c r="S84">
        <f>IFERROR(INDEX(Admissions_2024_2025!S:S,MATCH($B84,Admissions_2024_2025!$B:$B,0)),"")</f>
        <v>106</v>
      </c>
      <c r="T84">
        <f>IFERROR(INDEX(Admissions_2024_2025!T:T,MATCH($B84,Admissions_2024_2025!$B:$B,0)),"")</f>
        <v>112</v>
      </c>
      <c r="U84">
        <f>IFERROR(INDEX(Admissions_2024_2025!U:U,MATCH($B84,Admissions_2024_2025!$B:$B,0)),"")</f>
        <v>92</v>
      </c>
      <c r="V84">
        <f>IFERROR(INDEX(Admissions_2024_2025!V:V,MATCH($B25,Admissions_2024_2025!$B:$B,0)),"")</f>
        <v>0</v>
      </c>
      <c r="W84" t="str">
        <f>IFERROR(INDEX(Admissions_2024_2025!W:W,MATCH($B84,Admissions_2024_2025!$B:$B,0)),"")</f>
        <v>2023 admissions; 2019 accepted list; CAT new students</v>
      </c>
    </row>
    <row r="85" spans="1:23" x14ac:dyDescent="0.3">
      <c r="A85" t="s">
        <v>185</v>
      </c>
      <c r="B85" t="s">
        <v>236</v>
      </c>
      <c r="C85" t="s">
        <v>237</v>
      </c>
      <c r="D85" t="str">
        <f>IFERROR(INDEX(Admissions_2024_2025!D:D,MATCH($B85,Admissions_2024_2025!$B:$B,0)),"")</f>
        <v>Doha Preparatory School for Boys</v>
      </c>
      <c r="E85" t="str">
        <f>IFERROR(INDEX(Admissions_2024_2025!E:E,MATCH($B85,Admissions_2024_2025!$B:$B,0)),"")</f>
        <v>General</v>
      </c>
      <c r="F85">
        <f>IFERROR(INDEX(Admissions_2024_2025!F:F,MATCH($B85,Admissions_2024_2025!$B:$B,0)),"")</f>
        <v>90</v>
      </c>
      <c r="G85">
        <f>IFERROR(INDEX(Admissions_2024_2025!G:G,MATCH($B85,Admissions_2024_2025!$B:$B,0)),"")</f>
        <v>0</v>
      </c>
      <c r="H85">
        <f>IFERROR(INDEX(Admissions_2024_2025!H:H,MATCH($B85,Admissions_2024_2025!$B:$B,0)),"")</f>
        <v>0</v>
      </c>
      <c r="I85" t="str">
        <f>IFERROR(INDEX(Admissions_2024_2025!I:I,MATCH($B85,Admissions_2024_2025!$B:$B,0)),"")</f>
        <v>B1</v>
      </c>
      <c r="J85">
        <f>IFERROR(INDEX(Admissions_2024_2025!J:J,MATCH($B85,Admissions_2024_2025!$B:$B,0)),"")</f>
        <v>132</v>
      </c>
      <c r="K85">
        <f t="shared" si="5"/>
        <v>52.800000000000004</v>
      </c>
      <c r="L85">
        <f>IFERROR(INDEX(Admissions_2024_2025!L:L,MATCH($B85,Admissions_2024_2025!$B:$B,0)),"")</f>
        <v>38</v>
      </c>
      <c r="M85">
        <f t="shared" si="6"/>
        <v>76</v>
      </c>
      <c r="N85">
        <f t="shared" si="7"/>
        <v>96</v>
      </c>
      <c r="O85">
        <f t="shared" si="8"/>
        <v>67.605633802816897</v>
      </c>
      <c r="P85">
        <f t="shared" si="9"/>
        <v>65.468544600938969</v>
      </c>
      <c r="Q85" t="str">
        <f>IFERROR(INDEX(Admissions_2024_2025!Q:Q,MATCH($B85,Admissions_2024_2025!$B:$B,0)),"")</f>
        <v>Mild spatial bias</v>
      </c>
      <c r="R85">
        <f>IFERROR(INDEX(Admissions_2024_2025!R:R,MATCH($B85,Admissions_2024_2025!$B:$B,0)),"")</f>
        <v>86</v>
      </c>
      <c r="S85">
        <f>IFERROR(INDEX(Admissions_2024_2025!S:S,MATCH($B85,Admissions_2024_2025!$B:$B,0)),"")</f>
        <v>91</v>
      </c>
      <c r="T85">
        <f>IFERROR(INDEX(Admissions_2024_2025!T:T,MATCH($B85,Admissions_2024_2025!$B:$B,0)),"")</f>
        <v>107</v>
      </c>
      <c r="U85">
        <f>IFERROR(INDEX(Admissions_2024_2025!U:U,MATCH($B85,Admissions_2024_2025!$B:$B,0)),"")</f>
        <v>98</v>
      </c>
      <c r="V85">
        <f>IFERROR(INDEX(Admissions_2024_2025!V:V,MATCH($B26,Admissions_2024_2025!$B:$B,0)),"")</f>
        <v>0</v>
      </c>
      <c r="W85" t="str">
        <f>IFERROR(INDEX(Admissions_2024_2025!W:W,MATCH($B85,Admissions_2024_2025!$B:$B,0)),"")</f>
        <v>2023 admissions; 2019 accepted list; CAT new students</v>
      </c>
    </row>
    <row r="86" spans="1:23" x14ac:dyDescent="0.3">
      <c r="A86" t="s">
        <v>185</v>
      </c>
      <c r="B86" t="s">
        <v>238</v>
      </c>
      <c r="C86" t="s">
        <v>239</v>
      </c>
      <c r="D86" t="str">
        <f>IFERROR(INDEX(Admissions_2024_2025!D:D,MATCH($B86,Admissions_2024_2025!$B:$B,0)),"")</f>
        <v>Abu Bakr as-Siddiq Preparatory School for Boys</v>
      </c>
      <c r="E86" t="str">
        <f>IFERROR(INDEX(Admissions_2024_2025!E:E,MATCH($B86,Admissions_2024_2025!$B:$B,0)),"")</f>
        <v>General</v>
      </c>
      <c r="F86">
        <f>IFERROR(INDEX(Admissions_2024_2025!F:F,MATCH($B86,Admissions_2024_2025!$B:$B,0)),"")</f>
        <v>95</v>
      </c>
      <c r="G86">
        <f>IFERROR(INDEX(Admissions_2024_2025!G:G,MATCH($B86,Admissions_2024_2025!$B:$B,0)),"")</f>
        <v>0</v>
      </c>
      <c r="H86">
        <f>IFERROR(INDEX(Admissions_2024_2025!H:H,MATCH($B86,Admissions_2024_2025!$B:$B,0)),"")</f>
        <v>0</v>
      </c>
      <c r="I86" t="str">
        <f>IFERROR(INDEX(Admissions_2024_2025!I:I,MATCH($B86,Admissions_2024_2025!$B:$B,0)),"")</f>
        <v>B2</v>
      </c>
      <c r="J86">
        <f>IFERROR(INDEX(Admissions_2024_2025!J:J,MATCH($B86,Admissions_2024_2025!$B:$B,0)),"")</f>
        <v>147</v>
      </c>
      <c r="K86">
        <f t="shared" si="5"/>
        <v>58.8</v>
      </c>
      <c r="L86">
        <f>IFERROR(INDEX(Admissions_2024_2025!L:L,MATCH($B86,Admissions_2024_2025!$B:$B,0)),"")</f>
        <v>38</v>
      </c>
      <c r="M86">
        <f t="shared" si="6"/>
        <v>76</v>
      </c>
      <c r="N86">
        <f t="shared" si="7"/>
        <v>93</v>
      </c>
      <c r="O86">
        <f t="shared" si="8"/>
        <v>65.492957746478879</v>
      </c>
      <c r="P86">
        <f t="shared" si="9"/>
        <v>66.764319248826297</v>
      </c>
      <c r="Q86" t="str">
        <f>IFERROR(INDEX(Admissions_2024_2025!Q:Q,MATCH($B86,Admissions_2024_2025!$B:$B,0)),"")</f>
        <v>Extreme spatial bias</v>
      </c>
      <c r="R86">
        <f>IFERROR(INDEX(Admissions_2024_2025!R:R,MATCH($B86,Admissions_2024_2025!$B:$B,0)),"")</f>
        <v>71</v>
      </c>
      <c r="S86">
        <f>IFERROR(INDEX(Admissions_2024_2025!S:S,MATCH($B86,Admissions_2024_2025!$B:$B,0)),"")</f>
        <v>107</v>
      </c>
      <c r="T86">
        <f>IFERROR(INDEX(Admissions_2024_2025!T:T,MATCH($B86,Admissions_2024_2025!$B:$B,0)),"")</f>
        <v>91</v>
      </c>
      <c r="U86">
        <f>IFERROR(INDEX(Admissions_2024_2025!U:U,MATCH($B86,Admissions_2024_2025!$B:$B,0)),"")</f>
        <v>102</v>
      </c>
      <c r="V86">
        <f>IFERROR(INDEX(Admissions_2024_2025!V:V,MATCH($B27,Admissions_2024_2025!$B:$B,0)),"")</f>
        <v>0</v>
      </c>
      <c r="W86" t="str">
        <f>IFERROR(INDEX(Admissions_2024_2025!W:W,MATCH($B86,Admissions_2024_2025!$B:$B,0)),"")</f>
        <v>2023 admissions; 2019 accepted list; CAT new students</v>
      </c>
    </row>
    <row r="87" spans="1:23" x14ac:dyDescent="0.3">
      <c r="A87" t="s">
        <v>185</v>
      </c>
      <c r="B87" t="s">
        <v>240</v>
      </c>
      <c r="C87" t="s">
        <v>241</v>
      </c>
      <c r="D87" t="str">
        <f>IFERROR(INDEX(Admissions_2024_2025!D:D,MATCH($B87,Admissions_2024_2025!$B:$B,0)),"")</f>
        <v>Al Maha English School - Pri - Boys</v>
      </c>
      <c r="E87" t="str">
        <f>IFERROR(INDEX(Admissions_2024_2025!E:E,MATCH($B87,Admissions_2024_2025!$B:$B,0)),"")</f>
        <v>British</v>
      </c>
      <c r="F87">
        <f>IFERROR(INDEX(Admissions_2024_2025!F:F,MATCH($B87,Admissions_2024_2025!$B:$B,0)),"")</f>
        <v>79</v>
      </c>
      <c r="G87">
        <f>IFERROR(INDEX(Admissions_2024_2025!G:G,MATCH($B87,Admissions_2024_2025!$B:$B,0)),"")</f>
        <v>0</v>
      </c>
      <c r="H87">
        <f>IFERROR(INDEX(Admissions_2024_2025!H:H,MATCH($B87,Admissions_2024_2025!$B:$B,0)),"")</f>
        <v>0</v>
      </c>
      <c r="I87" t="str">
        <f>IFERROR(INDEX(Admissions_2024_2025!I:I,MATCH($B87,Admissions_2024_2025!$B:$B,0)),"")</f>
        <v>B2</v>
      </c>
      <c r="J87">
        <f>IFERROR(INDEX(Admissions_2024_2025!J:J,MATCH($B87,Admissions_2024_2025!$B:$B,0)),"")</f>
        <v>160</v>
      </c>
      <c r="K87">
        <f t="shared" si="5"/>
        <v>64</v>
      </c>
      <c r="L87">
        <f>IFERROR(INDEX(Admissions_2024_2025!L:L,MATCH($B87,Admissions_2024_2025!$B:$B,0)),"")</f>
        <v>68</v>
      </c>
      <c r="M87">
        <f t="shared" si="6"/>
        <v>136</v>
      </c>
      <c r="N87">
        <f t="shared" si="7"/>
        <v>109</v>
      </c>
      <c r="O87">
        <f t="shared" si="8"/>
        <v>76.760563380281681</v>
      </c>
      <c r="P87">
        <f t="shared" si="9"/>
        <v>92.25352112676056</v>
      </c>
      <c r="Q87" t="str">
        <f>IFERROR(INDEX(Admissions_2024_2025!Q:Q,MATCH($B87,Admissions_2024_2025!$B:$B,0)),"")</f>
        <v>Extreme spatial bias</v>
      </c>
      <c r="R87">
        <f>IFERROR(INDEX(Admissions_2024_2025!R:R,MATCH($B87,Admissions_2024_2025!$B:$B,0)),"")</f>
        <v>86</v>
      </c>
      <c r="S87">
        <f>IFERROR(INDEX(Admissions_2024_2025!S:S,MATCH($B87,Admissions_2024_2025!$B:$B,0)),"")</f>
        <v>114</v>
      </c>
      <c r="T87">
        <f>IFERROR(INDEX(Admissions_2024_2025!T:T,MATCH($B87,Admissions_2024_2025!$B:$B,0)),"")</f>
        <v>111</v>
      </c>
      <c r="U87">
        <f>IFERROR(INDEX(Admissions_2024_2025!U:U,MATCH($B87,Admissions_2024_2025!$B:$B,0)),"")</f>
        <v>125</v>
      </c>
      <c r="V87">
        <f>IFERROR(INDEX(Admissions_2024_2025!V:V,MATCH($B28,Admissions_2024_2025!$B:$B,0)),"")</f>
        <v>0</v>
      </c>
      <c r="W87" t="str">
        <f>IFERROR(INDEX(Admissions_2024_2025!W:W,MATCH($B87,Admissions_2024_2025!$B:$B,0)),"")</f>
        <v>2023 admissions; 2019 accepted list; CAT new students</v>
      </c>
    </row>
    <row r="88" spans="1:23" x14ac:dyDescent="0.3">
      <c r="A88" t="s">
        <v>185</v>
      </c>
      <c r="B88" t="s">
        <v>242</v>
      </c>
      <c r="C88" t="s">
        <v>243</v>
      </c>
      <c r="D88" t="str">
        <f>IFERROR(INDEX(Admissions_2024_2025!D:D,MATCH($B88,Admissions_2024_2025!$B:$B,0)),"")</f>
        <v>Abd al-Rahman Bin Jassim Preparatory School for Boys</v>
      </c>
      <c r="E88" t="str">
        <f>IFERROR(INDEX(Admissions_2024_2025!E:E,MATCH($B88,Admissions_2024_2025!$B:$B,0)),"")</f>
        <v>General</v>
      </c>
      <c r="F88">
        <f>IFERROR(INDEX(Admissions_2024_2025!F:F,MATCH($B88,Admissions_2024_2025!$B:$B,0)),"")</f>
        <v>96</v>
      </c>
      <c r="G88">
        <f>IFERROR(INDEX(Admissions_2024_2025!G:G,MATCH($B88,Admissions_2024_2025!$B:$B,0)),"")</f>
        <v>0</v>
      </c>
      <c r="H88">
        <f>IFERROR(INDEX(Admissions_2024_2025!H:H,MATCH($B88,Admissions_2024_2025!$B:$B,0)),"")</f>
        <v>0</v>
      </c>
      <c r="I88" t="str">
        <f>IFERROR(INDEX(Admissions_2024_2025!I:I,MATCH($B88,Admissions_2024_2025!$B:$B,0)),"")</f>
        <v>C</v>
      </c>
      <c r="J88">
        <f>IFERROR(INDEX(Admissions_2024_2025!J:J,MATCH($B88,Admissions_2024_2025!$B:$B,0)),"")</f>
        <v>189</v>
      </c>
      <c r="K88">
        <f t="shared" si="5"/>
        <v>75.599999999999994</v>
      </c>
      <c r="L88">
        <f>IFERROR(INDEX(Admissions_2024_2025!L:L,MATCH($B88,Admissions_2024_2025!$B:$B,0)),"")</f>
        <v>83</v>
      </c>
      <c r="M88">
        <f t="shared" si="6"/>
        <v>166</v>
      </c>
      <c r="N88">
        <f t="shared" si="7"/>
        <v>116</v>
      </c>
      <c r="O88">
        <f t="shared" si="8"/>
        <v>81.690140845070431</v>
      </c>
      <c r="P88">
        <f t="shared" si="9"/>
        <v>107.76338028169015</v>
      </c>
      <c r="Q88" t="str">
        <f>IFERROR(INDEX(Admissions_2024_2025!Q:Q,MATCH($B88,Admissions_2024_2025!$B:$B,0)),"")</f>
        <v>No bias</v>
      </c>
      <c r="R88">
        <f>IFERROR(INDEX(Admissions_2024_2025!R:R,MATCH($B88,Admissions_2024_2025!$B:$B,0)),"")</f>
        <v>114</v>
      </c>
      <c r="S88">
        <f>IFERROR(INDEX(Admissions_2024_2025!S:S,MATCH($B88,Admissions_2024_2025!$B:$B,0)),"")</f>
        <v>117</v>
      </c>
      <c r="T88">
        <f>IFERROR(INDEX(Admissions_2024_2025!T:T,MATCH($B88,Admissions_2024_2025!$B:$B,0)),"")</f>
        <v>126</v>
      </c>
      <c r="U88">
        <f>IFERROR(INDEX(Admissions_2024_2025!U:U,MATCH($B88,Admissions_2024_2025!$B:$B,0)),"")</f>
        <v>107</v>
      </c>
      <c r="V88">
        <f>IFERROR(INDEX(Admissions_2024_2025!V:V,MATCH($B29,Admissions_2024_2025!$B:$B,0)),"")</f>
        <v>0</v>
      </c>
      <c r="W88" t="str">
        <f>IFERROR(INDEX(Admissions_2024_2025!W:W,MATCH($B88,Admissions_2024_2025!$B:$B,0)),"")</f>
        <v>2023 admissions; 2019 accepted list; CAT new students</v>
      </c>
    </row>
    <row r="89" spans="1:23" x14ac:dyDescent="0.3">
      <c r="A89" t="s">
        <v>185</v>
      </c>
      <c r="B89" t="s">
        <v>244</v>
      </c>
      <c r="C89" t="s">
        <v>245</v>
      </c>
      <c r="D89" t="str">
        <f>IFERROR(INDEX(Admissions_2024_2025!D:D,MATCH($B89,Admissions_2024_2025!$B:$B,0)),"")</f>
        <v>Al-Furqan Private Prep - Boys</v>
      </c>
      <c r="E89" t="str">
        <f>IFERROR(INDEX(Admissions_2024_2025!E:E,MATCH($B89,Admissions_2024_2025!$B:$B,0)),"")</f>
        <v>SEC Curriculium</v>
      </c>
      <c r="F89">
        <f>IFERROR(INDEX(Admissions_2024_2025!F:F,MATCH($B89,Admissions_2024_2025!$B:$B,0)),"")</f>
        <v>100</v>
      </c>
      <c r="G89">
        <f>IFERROR(INDEX(Admissions_2024_2025!G:G,MATCH($B89,Admissions_2024_2025!$B:$B,0)),"")</f>
        <v>0</v>
      </c>
      <c r="H89">
        <f>IFERROR(INDEX(Admissions_2024_2025!H:H,MATCH($B89,Admissions_2024_2025!$B:$B,0)),"")</f>
        <v>0</v>
      </c>
      <c r="I89" t="str">
        <f>IFERROR(INDEX(Admissions_2024_2025!I:I,MATCH($B89,Admissions_2024_2025!$B:$B,0)),"")</f>
        <v>B2</v>
      </c>
      <c r="J89">
        <f>IFERROR(INDEX(Admissions_2024_2025!J:J,MATCH($B89,Admissions_2024_2025!$B:$B,0)),"")</f>
        <v>144</v>
      </c>
      <c r="K89">
        <f t="shared" si="5"/>
        <v>57.599999999999994</v>
      </c>
      <c r="L89">
        <f>IFERROR(INDEX(Admissions_2024_2025!L:L,MATCH($B89,Admissions_2024_2025!$B:$B,0)),"")</f>
        <v>73</v>
      </c>
      <c r="M89">
        <f t="shared" si="6"/>
        <v>146</v>
      </c>
      <c r="N89">
        <f t="shared" si="7"/>
        <v>101</v>
      </c>
      <c r="O89">
        <f t="shared" si="8"/>
        <v>71.126760563380287</v>
      </c>
      <c r="P89">
        <f t="shared" si="9"/>
        <v>91.575586854460084</v>
      </c>
      <c r="Q89" t="str">
        <f>IFERROR(INDEX(Admissions_2024_2025!Q:Q,MATCH($B89,Admissions_2024_2025!$B:$B,0)),"")</f>
        <v>No bias</v>
      </c>
      <c r="R89">
        <f>IFERROR(INDEX(Admissions_2024_2025!R:R,MATCH($B89,Admissions_2024_2025!$B:$B,0)),"")</f>
        <v>95</v>
      </c>
      <c r="S89">
        <f>IFERROR(INDEX(Admissions_2024_2025!S:S,MATCH($B89,Admissions_2024_2025!$B:$B,0)),"")</f>
        <v>113</v>
      </c>
      <c r="T89">
        <f>IFERROR(INDEX(Admissions_2024_2025!T:T,MATCH($B89,Admissions_2024_2025!$B:$B,0)),"")</f>
        <v>102</v>
      </c>
      <c r="U89">
        <f>IFERROR(INDEX(Admissions_2024_2025!U:U,MATCH($B89,Admissions_2024_2025!$B:$B,0)),"")</f>
        <v>94</v>
      </c>
      <c r="V89">
        <f>IFERROR(INDEX(Admissions_2024_2025!V:V,MATCH($B30,Admissions_2024_2025!$B:$B,0)),"")</f>
        <v>0</v>
      </c>
      <c r="W89" t="str">
        <f>IFERROR(INDEX(Admissions_2024_2025!W:W,MATCH($B89,Admissions_2024_2025!$B:$B,0)),"")</f>
        <v>2023 admissions; 2019 accepted list; CAT new students</v>
      </c>
    </row>
    <row r="90" spans="1:23" x14ac:dyDescent="0.3">
      <c r="A90" t="s">
        <v>185</v>
      </c>
      <c r="B90" t="s">
        <v>246</v>
      </c>
      <c r="C90" t="s">
        <v>247</v>
      </c>
      <c r="D90" t="str">
        <f>IFERROR(INDEX(Admissions_2024_2025!D:D,MATCH($B90,Admissions_2024_2025!$B:$B,0)),"")</f>
        <v>Abu Ubaydah Preparatory School for Boys</v>
      </c>
      <c r="E90" t="str">
        <f>IFERROR(INDEX(Admissions_2024_2025!E:E,MATCH($B90,Admissions_2024_2025!$B:$B,0)),"")</f>
        <v>General</v>
      </c>
      <c r="F90">
        <f>IFERROR(INDEX(Admissions_2024_2025!F:F,MATCH($B90,Admissions_2024_2025!$B:$B,0)),"")</f>
        <v>99</v>
      </c>
      <c r="G90">
        <f>IFERROR(INDEX(Admissions_2024_2025!G:G,MATCH($B90,Admissions_2024_2025!$B:$B,0)),"")</f>
        <v>0</v>
      </c>
      <c r="H90">
        <f>IFERROR(INDEX(Admissions_2024_2025!H:H,MATCH($B90,Admissions_2024_2025!$B:$B,0)),"")</f>
        <v>0</v>
      </c>
      <c r="I90" t="str">
        <f>IFERROR(INDEX(Admissions_2024_2025!I:I,MATCH($B90,Admissions_2024_2025!$B:$B,0)),"")</f>
        <v>B1</v>
      </c>
      <c r="J90">
        <f>IFERROR(INDEX(Admissions_2024_2025!J:J,MATCH($B90,Admissions_2024_2025!$B:$B,0)),"")</f>
        <v>120</v>
      </c>
      <c r="K90">
        <f t="shared" si="5"/>
        <v>48</v>
      </c>
      <c r="L90">
        <f>IFERROR(INDEX(Admissions_2024_2025!L:L,MATCH($B90,Admissions_2024_2025!$B:$B,0)),"")</f>
        <v>43</v>
      </c>
      <c r="M90">
        <f t="shared" si="6"/>
        <v>86</v>
      </c>
      <c r="N90">
        <f t="shared" si="7"/>
        <v>92</v>
      </c>
      <c r="O90">
        <f t="shared" si="8"/>
        <v>64.788732394366207</v>
      </c>
      <c r="P90">
        <f t="shared" si="9"/>
        <v>66.262910798122064</v>
      </c>
      <c r="Q90" t="str">
        <f>IFERROR(INDEX(Admissions_2024_2025!Q:Q,MATCH($B90,Admissions_2024_2025!$B:$B,0)),"")</f>
        <v>Moderate spatial bias</v>
      </c>
      <c r="R90">
        <f>IFERROR(INDEX(Admissions_2024_2025!R:R,MATCH($B90,Admissions_2024_2025!$B:$B,0)),"")</f>
        <v>70</v>
      </c>
      <c r="S90">
        <f>IFERROR(INDEX(Admissions_2024_2025!S:S,MATCH($B90,Admissions_2024_2025!$B:$B,0)),"")</f>
        <v>102</v>
      </c>
      <c r="T90">
        <f>IFERROR(INDEX(Admissions_2024_2025!T:T,MATCH($B90,Admissions_2024_2025!$B:$B,0)),"")</f>
        <v>100</v>
      </c>
      <c r="U90">
        <f>IFERROR(INDEX(Admissions_2024_2025!U:U,MATCH($B90,Admissions_2024_2025!$B:$B,0)),"")</f>
        <v>96</v>
      </c>
      <c r="V90">
        <f>IFERROR(INDEX(Admissions_2024_2025!V:V,MATCH($B31,Admissions_2024_2025!$B:$B,0)),"")</f>
        <v>0</v>
      </c>
      <c r="W90" t="str">
        <f>IFERROR(INDEX(Admissions_2024_2025!W:W,MATCH($B90,Admissions_2024_2025!$B:$B,0)),"")</f>
        <v>2023 admissions; 2019 accepted list; CAT new students</v>
      </c>
    </row>
    <row r="91" spans="1:23" x14ac:dyDescent="0.3">
      <c r="A91" t="s">
        <v>185</v>
      </c>
      <c r="B91" t="s">
        <v>248</v>
      </c>
      <c r="C91" t="s">
        <v>249</v>
      </c>
      <c r="D91" t="str">
        <f>IFERROR(INDEX(Admissions_2024_2025!D:D,MATCH($B91,Admissions_2024_2025!$B:$B,0)),"")</f>
        <v>Al Maha English School - Pri - Boys</v>
      </c>
      <c r="E91" t="str">
        <f>IFERROR(INDEX(Admissions_2024_2025!E:E,MATCH($B91,Admissions_2024_2025!$B:$B,0)),"")</f>
        <v>British</v>
      </c>
      <c r="F91">
        <f>IFERROR(INDEX(Admissions_2024_2025!F:F,MATCH($B91,Admissions_2024_2025!$B:$B,0)),"")</f>
        <v>90</v>
      </c>
      <c r="G91">
        <f>IFERROR(INDEX(Admissions_2024_2025!G:G,MATCH($B91,Admissions_2024_2025!$B:$B,0)),"")</f>
        <v>0</v>
      </c>
      <c r="H91">
        <f>IFERROR(INDEX(Admissions_2024_2025!H:H,MATCH($B91,Admissions_2024_2025!$B:$B,0)),"")</f>
        <v>0</v>
      </c>
      <c r="I91" t="str">
        <f>IFERROR(INDEX(Admissions_2024_2025!I:I,MATCH($B91,Admissions_2024_2025!$B:$B,0)),"")</f>
        <v>C</v>
      </c>
      <c r="J91">
        <f>IFERROR(INDEX(Admissions_2024_2025!J:J,MATCH($B91,Admissions_2024_2025!$B:$B,0)),"")</f>
        <v>185</v>
      </c>
      <c r="K91">
        <f t="shared" si="5"/>
        <v>74</v>
      </c>
      <c r="L91">
        <f>IFERROR(INDEX(Admissions_2024_2025!L:L,MATCH($B91,Admissions_2024_2025!$B:$B,0)),"")</f>
        <v>78</v>
      </c>
      <c r="M91">
        <f t="shared" si="6"/>
        <v>156</v>
      </c>
      <c r="N91">
        <f t="shared" si="7"/>
        <v>107</v>
      </c>
      <c r="O91">
        <f t="shared" si="8"/>
        <v>75.352112676056336</v>
      </c>
      <c r="P91">
        <f t="shared" si="9"/>
        <v>101.78403755868544</v>
      </c>
      <c r="Q91" t="str">
        <f>IFERROR(INDEX(Admissions_2024_2025!Q:Q,MATCH($B91,Admissions_2024_2025!$B:$B,0)),"")</f>
        <v>Mild spatial bias</v>
      </c>
      <c r="R91">
        <f>IFERROR(INDEX(Admissions_2024_2025!R:R,MATCH($B91,Admissions_2024_2025!$B:$B,0)),"")</f>
        <v>96</v>
      </c>
      <c r="S91">
        <f>IFERROR(INDEX(Admissions_2024_2025!S:S,MATCH($B91,Admissions_2024_2025!$B:$B,0)),"")</f>
        <v>121</v>
      </c>
      <c r="T91">
        <f>IFERROR(INDEX(Admissions_2024_2025!T:T,MATCH($B91,Admissions_2024_2025!$B:$B,0)),"")</f>
        <v>103</v>
      </c>
      <c r="U91">
        <f>IFERROR(INDEX(Admissions_2024_2025!U:U,MATCH($B91,Admissions_2024_2025!$B:$B,0)),"")</f>
        <v>109</v>
      </c>
      <c r="V91">
        <f>IFERROR(INDEX(Admissions_2024_2025!V:V,MATCH($B32,Admissions_2024_2025!$B:$B,0)),"")</f>
        <v>0</v>
      </c>
      <c r="W91" t="str">
        <f>IFERROR(INDEX(Admissions_2024_2025!W:W,MATCH($B91,Admissions_2024_2025!$B:$B,0)),"")</f>
        <v>2023 admissions; 2019 accepted list; CAT new students</v>
      </c>
    </row>
    <row r="92" spans="1:23" x14ac:dyDescent="0.3">
      <c r="A92" t="s">
        <v>185</v>
      </c>
      <c r="B92" t="s">
        <v>250</v>
      </c>
      <c r="C92" t="s">
        <v>251</v>
      </c>
      <c r="D92" t="str">
        <f>IFERROR(INDEX(Admissions_2024_2025!D:D,MATCH($B92,Admissions_2024_2025!$B:$B,0)),"")</f>
        <v>Umar ibn Al-Khattab Preparatory School for Boys</v>
      </c>
      <c r="E92" t="str">
        <f>IFERROR(INDEX(Admissions_2024_2025!E:E,MATCH($B92,Admissions_2024_2025!$B:$B,0)),"")</f>
        <v>General</v>
      </c>
      <c r="F92">
        <f>IFERROR(INDEX(Admissions_2024_2025!F:F,MATCH($B92,Admissions_2024_2025!$B:$B,0)),"")</f>
        <v>86</v>
      </c>
      <c r="G92">
        <f>IFERROR(INDEX(Admissions_2024_2025!G:G,MATCH($B92,Admissions_2024_2025!$B:$B,0)),"")</f>
        <v>0</v>
      </c>
      <c r="H92">
        <f>IFERROR(INDEX(Admissions_2024_2025!H:H,MATCH($B92,Admissions_2024_2025!$B:$B,0)),"")</f>
        <v>0</v>
      </c>
      <c r="I92" t="str">
        <f>IFERROR(INDEX(Admissions_2024_2025!I:I,MATCH($B92,Admissions_2024_2025!$B:$B,0)),"")</f>
        <v>B1</v>
      </c>
      <c r="J92">
        <f>IFERROR(INDEX(Admissions_2024_2025!J:J,MATCH($B92,Admissions_2024_2025!$B:$B,0)),"")</f>
        <v>132</v>
      </c>
      <c r="K92">
        <f t="shared" si="5"/>
        <v>52.800000000000004</v>
      </c>
      <c r="L92">
        <f>IFERROR(INDEX(Admissions_2024_2025!L:L,MATCH($B92,Admissions_2024_2025!$B:$B,0)),"")</f>
        <v>50</v>
      </c>
      <c r="M92">
        <f t="shared" si="6"/>
        <v>100</v>
      </c>
      <c r="N92">
        <f t="shared" si="7"/>
        <v>101</v>
      </c>
      <c r="O92">
        <f t="shared" si="8"/>
        <v>71.126760563380287</v>
      </c>
      <c r="P92">
        <f t="shared" si="9"/>
        <v>74.642253521126761</v>
      </c>
      <c r="Q92" t="str">
        <f>IFERROR(INDEX(Admissions_2024_2025!Q:Q,MATCH($B92,Admissions_2024_2025!$B:$B,0)),"")</f>
        <v>Moderate spatial bias</v>
      </c>
      <c r="R92">
        <f>IFERROR(INDEX(Admissions_2024_2025!R:R,MATCH($B92,Admissions_2024_2025!$B:$B,0)),"")</f>
        <v>85</v>
      </c>
      <c r="S92">
        <f>IFERROR(INDEX(Admissions_2024_2025!S:S,MATCH($B92,Admissions_2024_2025!$B:$B,0)),"")</f>
        <v>101</v>
      </c>
      <c r="T92">
        <f>IFERROR(INDEX(Admissions_2024_2025!T:T,MATCH($B92,Admissions_2024_2025!$B:$B,0)),"")</f>
        <v>113</v>
      </c>
      <c r="U92">
        <f>IFERROR(INDEX(Admissions_2024_2025!U:U,MATCH($B92,Admissions_2024_2025!$B:$B,0)),"")</f>
        <v>105</v>
      </c>
      <c r="V92">
        <f>IFERROR(INDEX(Admissions_2024_2025!V:V,MATCH($B33,Admissions_2024_2025!$B:$B,0)),"")</f>
        <v>0</v>
      </c>
      <c r="W92" t="str">
        <f>IFERROR(INDEX(Admissions_2024_2025!W:W,MATCH($B92,Admissions_2024_2025!$B:$B,0)),"")</f>
        <v>2023 admissions; 2019 accepted list; CAT new students</v>
      </c>
    </row>
    <row r="93" spans="1:23" x14ac:dyDescent="0.3">
      <c r="A93" t="s">
        <v>185</v>
      </c>
      <c r="B93" t="s">
        <v>252</v>
      </c>
      <c r="C93" t="s">
        <v>253</v>
      </c>
      <c r="D93" t="str">
        <f>IFERROR(INDEX(Admissions_2024_2025!D:D,MATCH($B93,Admissions_2024_2025!$B:$B,0)),"")</f>
        <v>Abd al-Rahman Bin Jassim Preparatory School for Boys</v>
      </c>
      <c r="E93" t="str">
        <f>IFERROR(INDEX(Admissions_2024_2025!E:E,MATCH($B93,Admissions_2024_2025!$B:$B,0)),"")</f>
        <v>General</v>
      </c>
      <c r="F93">
        <f>IFERROR(INDEX(Admissions_2024_2025!F:F,MATCH($B93,Admissions_2024_2025!$B:$B,0)),"")</f>
        <v>94</v>
      </c>
      <c r="G93">
        <f>IFERROR(INDEX(Admissions_2024_2025!G:G,MATCH($B93,Admissions_2024_2025!$B:$B,0)),"")</f>
        <v>0</v>
      </c>
      <c r="H93">
        <f>IFERROR(INDEX(Admissions_2024_2025!H:H,MATCH($B93,Admissions_2024_2025!$B:$B,0)),"")</f>
        <v>0</v>
      </c>
      <c r="I93" t="str">
        <f>IFERROR(INDEX(Admissions_2024_2025!I:I,MATCH($B93,Admissions_2024_2025!$B:$B,0)),"")</f>
        <v>B1</v>
      </c>
      <c r="J93">
        <f>IFERROR(INDEX(Admissions_2024_2025!J:J,MATCH($B93,Admissions_2024_2025!$B:$B,0)),"")</f>
        <v>136</v>
      </c>
      <c r="K93">
        <f t="shared" si="5"/>
        <v>54.400000000000006</v>
      </c>
      <c r="L93">
        <f>IFERROR(INDEX(Admissions_2024_2025!L:L,MATCH($B93,Admissions_2024_2025!$B:$B,0)),"")</f>
        <v>50</v>
      </c>
      <c r="M93">
        <f t="shared" si="6"/>
        <v>100</v>
      </c>
      <c r="N93">
        <f t="shared" si="7"/>
        <v>95</v>
      </c>
      <c r="O93">
        <f t="shared" si="8"/>
        <v>66.901408450704224</v>
      </c>
      <c r="P93">
        <f t="shared" si="9"/>
        <v>73.767136150234748</v>
      </c>
      <c r="Q93" t="str">
        <f>IFERROR(INDEX(Admissions_2024_2025!Q:Q,MATCH($B93,Admissions_2024_2025!$B:$B,0)),"")</f>
        <v>Moderate spatial bias</v>
      </c>
      <c r="R93">
        <f>IFERROR(INDEX(Admissions_2024_2025!R:R,MATCH($B93,Admissions_2024_2025!$B:$B,0)),"")</f>
        <v>71</v>
      </c>
      <c r="S93">
        <f>IFERROR(INDEX(Admissions_2024_2025!S:S,MATCH($B93,Admissions_2024_2025!$B:$B,0)),"")</f>
        <v>116</v>
      </c>
      <c r="T93">
        <f>IFERROR(INDEX(Admissions_2024_2025!T:T,MATCH($B93,Admissions_2024_2025!$B:$B,0)),"")</f>
        <v>96</v>
      </c>
      <c r="U93">
        <f>IFERROR(INDEX(Admissions_2024_2025!U:U,MATCH($B93,Admissions_2024_2025!$B:$B,0)),"")</f>
        <v>96</v>
      </c>
      <c r="V93">
        <f>IFERROR(INDEX(Admissions_2024_2025!V:V,MATCH($B34,Admissions_2024_2025!$B:$B,0)),"")</f>
        <v>0</v>
      </c>
      <c r="W93" t="str">
        <f>IFERROR(INDEX(Admissions_2024_2025!W:W,MATCH($B93,Admissions_2024_2025!$B:$B,0)),"")</f>
        <v>2023 admissions; 2019 accepted list; CAT new students</v>
      </c>
    </row>
    <row r="94" spans="1:23" x14ac:dyDescent="0.3">
      <c r="A94" t="s">
        <v>185</v>
      </c>
      <c r="B94" t="s">
        <v>254</v>
      </c>
      <c r="C94" t="s">
        <v>255</v>
      </c>
      <c r="D94" t="str">
        <f>IFERROR(INDEX(Admissions_2024_2025!D:D,MATCH($B94,Admissions_2024_2025!$B:$B,0)),"")</f>
        <v>Abd al-Rahman Bin Jassim Preparatory School for Boys</v>
      </c>
      <c r="E94" t="str">
        <f>IFERROR(INDEX(Admissions_2024_2025!E:E,MATCH($B94,Admissions_2024_2025!$B:$B,0)),"")</f>
        <v>General</v>
      </c>
      <c r="F94">
        <f>IFERROR(INDEX(Admissions_2024_2025!F:F,MATCH($B94,Admissions_2024_2025!$B:$B,0)),"")</f>
        <v>98</v>
      </c>
      <c r="G94">
        <f>IFERROR(INDEX(Admissions_2024_2025!G:G,MATCH($B94,Admissions_2024_2025!$B:$B,0)),"")</f>
        <v>0</v>
      </c>
      <c r="H94">
        <f>IFERROR(INDEX(Admissions_2024_2025!H:H,MATCH($B94,Admissions_2024_2025!$B:$B,0)),"")</f>
        <v>0</v>
      </c>
      <c r="I94" t="str">
        <f>IFERROR(INDEX(Admissions_2024_2025!I:I,MATCH($B94,Admissions_2024_2025!$B:$B,0)),"")</f>
        <v>B1</v>
      </c>
      <c r="J94">
        <f>IFERROR(INDEX(Admissions_2024_2025!J:J,MATCH($B94,Admissions_2024_2025!$B:$B,0)),"")</f>
        <v>134</v>
      </c>
      <c r="K94">
        <f t="shared" si="5"/>
        <v>53.6</v>
      </c>
      <c r="L94">
        <f>IFERROR(INDEX(Admissions_2024_2025!L:L,MATCH($B94,Admissions_2024_2025!$B:$B,0)),"")</f>
        <v>43</v>
      </c>
      <c r="M94">
        <f t="shared" si="6"/>
        <v>86</v>
      </c>
      <c r="N94">
        <f t="shared" si="7"/>
        <v>83</v>
      </c>
      <c r="O94">
        <f t="shared" si="8"/>
        <v>58.450704225352112</v>
      </c>
      <c r="P94">
        <f t="shared" si="9"/>
        <v>66.016901408450693</v>
      </c>
      <c r="Q94" t="str">
        <f>IFERROR(INDEX(Admissions_2024_2025!Q:Q,MATCH($B94,Admissions_2024_2025!$B:$B,0)),"")</f>
        <v>Mild spatial bias</v>
      </c>
      <c r="R94">
        <f>IFERROR(INDEX(Admissions_2024_2025!R:R,MATCH($B94,Admissions_2024_2025!$B:$B,0)),"")</f>
        <v>71</v>
      </c>
      <c r="S94">
        <f>IFERROR(INDEX(Admissions_2024_2025!S:S,MATCH($B94,Admissions_2024_2025!$B:$B,0)),"")</f>
        <v>101</v>
      </c>
      <c r="T94">
        <f>IFERROR(INDEX(Admissions_2024_2025!T:T,MATCH($B94,Admissions_2024_2025!$B:$B,0)),"")</f>
        <v>74</v>
      </c>
      <c r="U94">
        <f>IFERROR(INDEX(Admissions_2024_2025!U:U,MATCH($B94,Admissions_2024_2025!$B:$B,0)),"")</f>
        <v>84</v>
      </c>
      <c r="V94">
        <f>IFERROR(INDEX(Admissions_2024_2025!V:V,MATCH($B35,Admissions_2024_2025!$B:$B,0)),"")</f>
        <v>0</v>
      </c>
      <c r="W94" t="str">
        <f>IFERROR(INDEX(Admissions_2024_2025!W:W,MATCH($B94,Admissions_2024_2025!$B:$B,0)),"")</f>
        <v>2023 admissions; 2019 accepted list; CAT new students</v>
      </c>
    </row>
    <row r="95" spans="1:23" x14ac:dyDescent="0.3">
      <c r="A95" t="s">
        <v>185</v>
      </c>
      <c r="B95" t="s">
        <v>256</v>
      </c>
      <c r="C95" t="s">
        <v>257</v>
      </c>
      <c r="D95" t="str">
        <f>IFERROR(INDEX(Admissions_2024_2025!D:D,MATCH($B95,Admissions_2024_2025!$B:$B,0)),"")</f>
        <v>Abd al-Rahman Bin Jassim Preparatory School for Boys</v>
      </c>
      <c r="E95" t="str">
        <f>IFERROR(INDEX(Admissions_2024_2025!E:E,MATCH($B95,Admissions_2024_2025!$B:$B,0)),"")</f>
        <v>General</v>
      </c>
      <c r="F95">
        <f>IFERROR(INDEX(Admissions_2024_2025!F:F,MATCH($B95,Admissions_2024_2025!$B:$B,0)),"")</f>
        <v>90</v>
      </c>
      <c r="G95">
        <f>IFERROR(INDEX(Admissions_2024_2025!G:G,MATCH($B95,Admissions_2024_2025!$B:$B,0)),"")</f>
        <v>0</v>
      </c>
      <c r="H95">
        <f>IFERROR(INDEX(Admissions_2024_2025!H:H,MATCH($B95,Admissions_2024_2025!$B:$B,0)),"")</f>
        <v>0</v>
      </c>
      <c r="I95" t="str">
        <f>IFERROR(INDEX(Admissions_2024_2025!I:I,MATCH($B95,Admissions_2024_2025!$B:$B,0)),"")</f>
        <v>B1</v>
      </c>
      <c r="J95">
        <f>IFERROR(INDEX(Admissions_2024_2025!J:J,MATCH($B95,Admissions_2024_2025!$B:$B,0)),"")</f>
        <v>126</v>
      </c>
      <c r="K95">
        <f t="shared" si="5"/>
        <v>50.4</v>
      </c>
      <c r="L95">
        <f>IFERROR(INDEX(Admissions_2024_2025!L:L,MATCH($B95,Admissions_2024_2025!$B:$B,0)),"")</f>
        <v>65</v>
      </c>
      <c r="M95">
        <f t="shared" si="6"/>
        <v>130</v>
      </c>
      <c r="N95">
        <f t="shared" si="7"/>
        <v>94</v>
      </c>
      <c r="O95">
        <f t="shared" si="8"/>
        <v>66.197183098591552</v>
      </c>
      <c r="P95">
        <f t="shared" si="9"/>
        <v>82.199061032863852</v>
      </c>
      <c r="Q95" t="str">
        <f>IFERROR(INDEX(Admissions_2024_2025!Q:Q,MATCH($B95,Admissions_2024_2025!$B:$B,0)),"")</f>
        <v>Moderate spatial bias</v>
      </c>
      <c r="R95">
        <f>IFERROR(INDEX(Admissions_2024_2025!R:R,MATCH($B95,Admissions_2024_2025!$B:$B,0)),"")</f>
        <v>76</v>
      </c>
      <c r="S95">
        <f>IFERROR(INDEX(Admissions_2024_2025!S:S,MATCH($B95,Admissions_2024_2025!$B:$B,0)),"")</f>
        <v>99</v>
      </c>
      <c r="T95">
        <f>IFERROR(INDEX(Admissions_2024_2025!T:T,MATCH($B95,Admissions_2024_2025!$B:$B,0)),"")</f>
        <v>101</v>
      </c>
      <c r="U95">
        <f>IFERROR(INDEX(Admissions_2024_2025!U:U,MATCH($B95,Admissions_2024_2025!$B:$B,0)),"")</f>
        <v>100</v>
      </c>
      <c r="V95">
        <f>IFERROR(INDEX(Admissions_2024_2025!V:V,MATCH($B36,Admissions_2024_2025!$B:$B,0)),"")</f>
        <v>0</v>
      </c>
      <c r="W95" t="str">
        <f>IFERROR(INDEX(Admissions_2024_2025!W:W,MATCH($B95,Admissions_2024_2025!$B:$B,0)),"")</f>
        <v>2023 admissions; 2019 accepted list; CAT new students</v>
      </c>
    </row>
    <row r="96" spans="1:23" x14ac:dyDescent="0.3">
      <c r="A96" t="s">
        <v>185</v>
      </c>
      <c r="B96" t="s">
        <v>258</v>
      </c>
      <c r="C96" t="s">
        <v>259</v>
      </c>
      <c r="D96" t="str">
        <f>IFERROR(INDEX(Admissions_2024_2025!D:D,MATCH($B96,Admissions_2024_2025!$B:$B,0)),"")</f>
        <v>Abd al-Rahman Bin Jassim Preparatory School for Boys</v>
      </c>
      <c r="E96" t="str">
        <f>IFERROR(INDEX(Admissions_2024_2025!E:E,MATCH($B96,Admissions_2024_2025!$B:$B,0)),"")</f>
        <v>General</v>
      </c>
      <c r="F96">
        <f>IFERROR(INDEX(Admissions_2024_2025!F:F,MATCH($B96,Admissions_2024_2025!$B:$B,0)),"")</f>
        <v>99</v>
      </c>
      <c r="G96">
        <f>IFERROR(INDEX(Admissions_2024_2025!G:G,MATCH($B96,Admissions_2024_2025!$B:$B,0)),"")</f>
        <v>0</v>
      </c>
      <c r="H96">
        <f>IFERROR(INDEX(Admissions_2024_2025!H:H,MATCH($B96,Admissions_2024_2025!$B:$B,0)),"")</f>
        <v>0</v>
      </c>
      <c r="I96" t="str">
        <f>IFERROR(INDEX(Admissions_2024_2025!I:I,MATCH($B96,Admissions_2024_2025!$B:$B,0)),"")</f>
        <v>B1</v>
      </c>
      <c r="J96">
        <f>IFERROR(INDEX(Admissions_2024_2025!J:J,MATCH($B96,Admissions_2024_2025!$B:$B,0)),"")</f>
        <v>130</v>
      </c>
      <c r="K96">
        <f t="shared" si="5"/>
        <v>52</v>
      </c>
      <c r="L96">
        <f>IFERROR(INDEX(Admissions_2024_2025!L:L,MATCH($B96,Admissions_2024_2025!$B:$B,0)),"")</f>
        <v>40</v>
      </c>
      <c r="M96">
        <f t="shared" si="6"/>
        <v>80</v>
      </c>
      <c r="N96">
        <f t="shared" si="7"/>
        <v>96</v>
      </c>
      <c r="O96">
        <f t="shared" si="8"/>
        <v>67.605633802816897</v>
      </c>
      <c r="P96">
        <f t="shared" si="9"/>
        <v>66.535211267605632</v>
      </c>
      <c r="Q96" t="str">
        <f>IFERROR(INDEX(Admissions_2024_2025!Q:Q,MATCH($B96,Admissions_2024_2025!$B:$B,0)),"")</f>
        <v>Extreme spatial bias</v>
      </c>
      <c r="R96">
        <f>IFERROR(INDEX(Admissions_2024_2025!R:R,MATCH($B96,Admissions_2024_2025!$B:$B,0)),"")</f>
        <v>65</v>
      </c>
      <c r="S96">
        <f>IFERROR(INDEX(Admissions_2024_2025!S:S,MATCH($B96,Admissions_2024_2025!$B:$B,0)),"")</f>
        <v>109</v>
      </c>
      <c r="T96">
        <f>IFERROR(INDEX(Admissions_2024_2025!T:T,MATCH($B96,Admissions_2024_2025!$B:$B,0)),"")</f>
        <v>100</v>
      </c>
      <c r="U96">
        <f>IFERROR(INDEX(Admissions_2024_2025!U:U,MATCH($B96,Admissions_2024_2025!$B:$B,0)),"")</f>
        <v>111</v>
      </c>
      <c r="V96">
        <f>IFERROR(INDEX(Admissions_2024_2025!V:V,MATCH($B37,Admissions_2024_2025!$B:$B,0)),"")</f>
        <v>0</v>
      </c>
      <c r="W96" t="str">
        <f>IFERROR(INDEX(Admissions_2024_2025!W:W,MATCH($B96,Admissions_2024_2025!$B:$B,0)),"")</f>
        <v>2023 admissions; 2019 accepted list; CAT new students</v>
      </c>
    </row>
    <row r="97" spans="1:23" x14ac:dyDescent="0.3">
      <c r="A97" t="s">
        <v>185</v>
      </c>
      <c r="B97" t="s">
        <v>260</v>
      </c>
      <c r="C97" t="s">
        <v>261</v>
      </c>
      <c r="D97" t="str">
        <f>IFERROR(INDEX(Admissions_2024_2025!D:D,MATCH($B97,Admissions_2024_2025!$B:$B,0)),"")</f>
        <v>Al-Imam Al-Shafi'i Preparatory School for Boys</v>
      </c>
      <c r="E97" t="str">
        <f>IFERROR(INDEX(Admissions_2024_2025!E:E,MATCH($B97,Admissions_2024_2025!$B:$B,0)),"")</f>
        <v>General</v>
      </c>
      <c r="F97">
        <f>IFERROR(INDEX(Admissions_2024_2025!F:F,MATCH($B97,Admissions_2024_2025!$B:$B,0)),"")</f>
        <v>98</v>
      </c>
      <c r="G97">
        <f>IFERROR(INDEX(Admissions_2024_2025!G:G,MATCH($B97,Admissions_2024_2025!$B:$B,0)),"")</f>
        <v>0</v>
      </c>
      <c r="H97">
        <f>IFERROR(INDEX(Admissions_2024_2025!H:H,MATCH($B97,Admissions_2024_2025!$B:$B,0)),"")</f>
        <v>0</v>
      </c>
      <c r="I97" t="str">
        <f>IFERROR(INDEX(Admissions_2024_2025!I:I,MATCH($B97,Admissions_2024_2025!$B:$B,0)),"")</f>
        <v>B1</v>
      </c>
      <c r="J97">
        <f>IFERROR(INDEX(Admissions_2024_2025!J:J,MATCH($B97,Admissions_2024_2025!$B:$B,0)),"")</f>
        <v>130</v>
      </c>
      <c r="K97">
        <f t="shared" si="5"/>
        <v>52</v>
      </c>
      <c r="L97">
        <f>IFERROR(INDEX(Admissions_2024_2025!L:L,MATCH($B97,Admissions_2024_2025!$B:$B,0)),"")</f>
        <v>65</v>
      </c>
      <c r="M97">
        <f t="shared" si="6"/>
        <v>130</v>
      </c>
      <c r="N97">
        <f t="shared" si="7"/>
        <v>93</v>
      </c>
      <c r="O97">
        <f t="shared" si="8"/>
        <v>65.492957746478879</v>
      </c>
      <c r="P97">
        <f t="shared" si="9"/>
        <v>82.497652582159631</v>
      </c>
      <c r="Q97" t="str">
        <f>IFERROR(INDEX(Admissions_2024_2025!Q:Q,MATCH($B97,Admissions_2024_2025!$B:$B,0)),"")</f>
        <v>Mild spatial bias</v>
      </c>
      <c r="R97">
        <f>IFERROR(INDEX(Admissions_2024_2025!R:R,MATCH($B97,Admissions_2024_2025!$B:$B,0)),"")</f>
        <v>75</v>
      </c>
      <c r="S97">
        <f>IFERROR(INDEX(Admissions_2024_2025!S:S,MATCH($B97,Admissions_2024_2025!$B:$B,0)),"")</f>
        <v>103</v>
      </c>
      <c r="T97">
        <f>IFERROR(INDEX(Admissions_2024_2025!T:T,MATCH($B97,Admissions_2024_2025!$B:$B,0)),"")</f>
        <v>98</v>
      </c>
      <c r="U97">
        <f>IFERROR(INDEX(Admissions_2024_2025!U:U,MATCH($B97,Admissions_2024_2025!$B:$B,0)),"")</f>
        <v>94</v>
      </c>
      <c r="V97">
        <f>IFERROR(INDEX(Admissions_2024_2025!V:V,MATCH($B38,Admissions_2024_2025!$B:$B,0)),"")</f>
        <v>0</v>
      </c>
      <c r="W97" t="str">
        <f>IFERROR(INDEX(Admissions_2024_2025!W:W,MATCH($B97,Admissions_2024_2025!$B:$B,0)),"")</f>
        <v>2023 admissions; 2019 accepted list; CAT new students</v>
      </c>
    </row>
    <row r="98" spans="1:23" x14ac:dyDescent="0.3">
      <c r="A98" t="s">
        <v>185</v>
      </c>
      <c r="B98" t="s">
        <v>262</v>
      </c>
      <c r="C98" t="s">
        <v>263</v>
      </c>
      <c r="D98">
        <f>IFERROR(INDEX(Admissions_2024_2025!D:D,MATCH($B98,Admissions_2024_2025!$B:$B,0)),"")</f>
        <v>0</v>
      </c>
      <c r="E98">
        <f>IFERROR(INDEX(Admissions_2024_2025!E:E,MATCH($B98,Admissions_2024_2025!$B:$B,0)),"")</f>
        <v>0</v>
      </c>
      <c r="F98">
        <f>IFERROR(INDEX(Admissions_2024_2025!F:F,MATCH($B98,Admissions_2024_2025!$B:$B,0)),"")</f>
        <v>0</v>
      </c>
      <c r="G98">
        <f>IFERROR(INDEX(Admissions_2024_2025!G:G,MATCH($B98,Admissions_2024_2025!$B:$B,0)),"")</f>
        <v>0</v>
      </c>
      <c r="H98">
        <f>IFERROR(INDEX(Admissions_2024_2025!H:H,MATCH($B98,Admissions_2024_2025!$B:$B,0)),"")</f>
        <v>0</v>
      </c>
      <c r="I98" t="str">
        <f>IFERROR(INDEX(Admissions_2024_2025!I:I,MATCH($B98,Admissions_2024_2025!$B:$B,0)),"")</f>
        <v>B1</v>
      </c>
      <c r="J98">
        <f>IFERROR(INDEX(Admissions_2024_2025!J:J,MATCH($B98,Admissions_2024_2025!$B:$B,0)),"")</f>
        <v>100</v>
      </c>
      <c r="K98">
        <f t="shared" si="5"/>
        <v>40</v>
      </c>
      <c r="L98">
        <f>IFERROR(INDEX(Admissions_2024_2025!L:L,MATCH($B98,Admissions_2024_2025!$B:$B,0)),"")</f>
        <v>60</v>
      </c>
      <c r="M98">
        <f t="shared" si="6"/>
        <v>120</v>
      </c>
      <c r="N98">
        <f t="shared" si="7"/>
        <v>100</v>
      </c>
      <c r="O98">
        <f t="shared" si="8"/>
        <v>70.422535211267601</v>
      </c>
      <c r="P98">
        <f t="shared" si="9"/>
        <v>76.8075117370892</v>
      </c>
      <c r="Q98" t="str">
        <f>IFERROR(INDEX(Admissions_2024_2025!Q:Q,MATCH($B98,Admissions_2024_2025!$B:$B,0)),"")</f>
        <v>No bias</v>
      </c>
      <c r="R98">
        <f>IFERROR(INDEX(Admissions_2024_2025!R:R,MATCH($B98,Admissions_2024_2025!$B:$B,0)),"")</f>
        <v>91</v>
      </c>
      <c r="S98">
        <f>IFERROR(INDEX(Admissions_2024_2025!S:S,MATCH($B98,Admissions_2024_2025!$B:$B,0)),"")</f>
        <v>109</v>
      </c>
      <c r="T98">
        <f>IFERROR(INDEX(Admissions_2024_2025!T:T,MATCH($B98,Admissions_2024_2025!$B:$B,0)),"")</f>
        <v>96</v>
      </c>
      <c r="U98">
        <f>IFERROR(INDEX(Admissions_2024_2025!U:U,MATCH($B98,Admissions_2024_2025!$B:$B,0)),"")</f>
        <v>102</v>
      </c>
      <c r="V98">
        <f>IFERROR(INDEX(Admissions_2024_2025!V:V,MATCH($B39,Admissions_2024_2025!$B:$B,0)),"")</f>
        <v>0</v>
      </c>
      <c r="W98" t="str">
        <f>IFERROR(INDEX(Admissions_2024_2025!W:W,MATCH($B98,Admissions_2024_2025!$B:$B,0)),"")</f>
        <v>2023 admissions; CAT4 2022/2023 fallback domains</v>
      </c>
    </row>
    <row r="99" spans="1:23" x14ac:dyDescent="0.3">
      <c r="A99" t="s">
        <v>185</v>
      </c>
      <c r="B99" t="s">
        <v>264</v>
      </c>
      <c r="C99" t="s">
        <v>265</v>
      </c>
      <c r="D99" t="str">
        <f>IFERROR(INDEX(Admissions_2024_2025!D:D,MATCH($B99,Admissions_2024_2025!$B:$B,0)),"")</f>
        <v>Abu Bakr as-Siddiq Preparatory School for Boys</v>
      </c>
      <c r="E99" t="str">
        <f>IFERROR(INDEX(Admissions_2024_2025!E:E,MATCH($B99,Admissions_2024_2025!$B:$B,0)),"")</f>
        <v>General</v>
      </c>
      <c r="F99">
        <f>IFERROR(INDEX(Admissions_2024_2025!F:F,MATCH($B99,Admissions_2024_2025!$B:$B,0)),"")</f>
        <v>89</v>
      </c>
      <c r="G99">
        <f>IFERROR(INDEX(Admissions_2024_2025!G:G,MATCH($B99,Admissions_2024_2025!$B:$B,0)),"")</f>
        <v>0</v>
      </c>
      <c r="H99">
        <f>IFERROR(INDEX(Admissions_2024_2025!H:H,MATCH($B99,Admissions_2024_2025!$B:$B,0)),"")</f>
        <v>0</v>
      </c>
      <c r="I99" t="str">
        <f>IFERROR(INDEX(Admissions_2024_2025!I:I,MATCH($B99,Admissions_2024_2025!$B:$B,0)),"")</f>
        <v>B1</v>
      </c>
      <c r="J99">
        <f>IFERROR(INDEX(Admissions_2024_2025!J:J,MATCH($B99,Admissions_2024_2025!$B:$B,0)),"")</f>
        <v>131</v>
      </c>
      <c r="K99">
        <f t="shared" si="5"/>
        <v>52.400000000000006</v>
      </c>
      <c r="L99">
        <f>IFERROR(INDEX(Admissions_2024_2025!L:L,MATCH($B99,Admissions_2024_2025!$B:$B,0)),"")</f>
        <v>35</v>
      </c>
      <c r="M99">
        <f t="shared" si="6"/>
        <v>70</v>
      </c>
      <c r="N99">
        <f t="shared" si="7"/>
        <v>86</v>
      </c>
      <c r="O99">
        <f t="shared" si="8"/>
        <v>60.563380281690137</v>
      </c>
      <c r="P99">
        <f t="shared" si="9"/>
        <v>60.987793427230052</v>
      </c>
      <c r="Q99" t="str">
        <f>IFERROR(INDEX(Admissions_2024_2025!Q:Q,MATCH($B99,Admissions_2024_2025!$B:$B,0)),"")</f>
        <v>Mild spatial bias</v>
      </c>
      <c r="R99">
        <f>IFERROR(INDEX(Admissions_2024_2025!R:R,MATCH($B99,Admissions_2024_2025!$B:$B,0)),"")</f>
        <v>76</v>
      </c>
      <c r="S99">
        <f>IFERROR(INDEX(Admissions_2024_2025!S:S,MATCH($B99,Admissions_2024_2025!$B:$B,0)),"")</f>
        <v>86</v>
      </c>
      <c r="T99">
        <f>IFERROR(INDEX(Admissions_2024_2025!T:T,MATCH($B99,Admissions_2024_2025!$B:$B,0)),"")</f>
        <v>89</v>
      </c>
      <c r="U99">
        <f>IFERROR(INDEX(Admissions_2024_2025!U:U,MATCH($B99,Admissions_2024_2025!$B:$B,0)),"")</f>
        <v>92</v>
      </c>
      <c r="V99">
        <f>IFERROR(INDEX(Admissions_2024_2025!V:V,MATCH($B40,Admissions_2024_2025!$B:$B,0)),"")</f>
        <v>0</v>
      </c>
      <c r="W99" t="str">
        <f>IFERROR(INDEX(Admissions_2024_2025!W:W,MATCH($B99,Admissions_2024_2025!$B:$B,0)),"")</f>
        <v>2023 admissions; 2019 accepted list; CAT new students</v>
      </c>
    </row>
    <row r="100" spans="1:23" x14ac:dyDescent="0.3">
      <c r="A100" t="s">
        <v>185</v>
      </c>
      <c r="B100" t="s">
        <v>266</v>
      </c>
      <c r="C100" t="s">
        <v>267</v>
      </c>
      <c r="D100" t="str">
        <f>IFERROR(INDEX(Admissions_2024_2025!D:D,MATCH($B100,Admissions_2024_2025!$B:$B,0)),"")</f>
        <v>Abu Bakr as-Siddiq Preparatory School for Boys</v>
      </c>
      <c r="E100" t="str">
        <f>IFERROR(INDEX(Admissions_2024_2025!E:E,MATCH($B100,Admissions_2024_2025!$B:$B,0)),"")</f>
        <v>General</v>
      </c>
      <c r="F100">
        <f>IFERROR(INDEX(Admissions_2024_2025!F:F,MATCH($B100,Admissions_2024_2025!$B:$B,0)),"")</f>
        <v>95</v>
      </c>
      <c r="G100">
        <f>IFERROR(INDEX(Admissions_2024_2025!G:G,MATCH($B100,Admissions_2024_2025!$B:$B,0)),"")</f>
        <v>0</v>
      </c>
      <c r="H100">
        <f>IFERROR(INDEX(Admissions_2024_2025!H:H,MATCH($B100,Admissions_2024_2025!$B:$B,0)),"")</f>
        <v>0</v>
      </c>
      <c r="I100" t="str">
        <f>IFERROR(INDEX(Admissions_2024_2025!I:I,MATCH($B100,Admissions_2024_2025!$B:$B,0)),"")</f>
        <v>B1</v>
      </c>
      <c r="J100">
        <f>IFERROR(INDEX(Admissions_2024_2025!J:J,MATCH($B100,Admissions_2024_2025!$B:$B,0)),"")</f>
        <v>134</v>
      </c>
      <c r="K100">
        <f t="shared" si="5"/>
        <v>53.6</v>
      </c>
      <c r="L100">
        <f>IFERROR(INDEX(Admissions_2024_2025!L:L,MATCH($B100,Admissions_2024_2025!$B:$B,0)),"")</f>
        <v>45</v>
      </c>
      <c r="M100">
        <f t="shared" si="6"/>
        <v>90</v>
      </c>
      <c r="N100">
        <f t="shared" si="7"/>
        <v>105</v>
      </c>
      <c r="O100">
        <f t="shared" si="8"/>
        <v>73.943661971830991</v>
      </c>
      <c r="P100">
        <f t="shared" si="9"/>
        <v>72.514553990610338</v>
      </c>
      <c r="Q100" t="str">
        <f>IFERROR(INDEX(Admissions_2024_2025!Q:Q,MATCH($B100,Admissions_2024_2025!$B:$B,0)),"")</f>
        <v>Moderate spatial bias</v>
      </c>
      <c r="R100">
        <f>IFERROR(INDEX(Admissions_2024_2025!R:R,MATCH($B100,Admissions_2024_2025!$B:$B,0)),"")</f>
        <v>95</v>
      </c>
      <c r="S100">
        <f>IFERROR(INDEX(Admissions_2024_2025!S:S,MATCH($B100,Admissions_2024_2025!$B:$B,0)),"")</f>
        <v>103</v>
      </c>
      <c r="T100">
        <f>IFERROR(INDEX(Admissions_2024_2025!T:T,MATCH($B100,Admissions_2024_2025!$B:$B,0)),"")</f>
        <v>105</v>
      </c>
      <c r="U100">
        <f>IFERROR(INDEX(Admissions_2024_2025!U:U,MATCH($B100,Admissions_2024_2025!$B:$B,0)),"")</f>
        <v>116</v>
      </c>
      <c r="V100">
        <f>IFERROR(INDEX(Admissions_2024_2025!V:V,MATCH($B41,Admissions_2024_2025!$B:$B,0)),"")</f>
        <v>0</v>
      </c>
      <c r="W100" t="str">
        <f>IFERROR(INDEX(Admissions_2024_2025!W:W,MATCH($B100,Admissions_2024_2025!$B:$B,0)),"")</f>
        <v>2023 admissions; 2019 accepted list; CAT new students</v>
      </c>
    </row>
    <row r="101" spans="1:23" x14ac:dyDescent="0.3">
      <c r="A101" t="s">
        <v>185</v>
      </c>
      <c r="B101" t="s">
        <v>268</v>
      </c>
      <c r="C101" t="s">
        <v>269</v>
      </c>
      <c r="D101" t="str">
        <f>IFERROR(INDEX(Admissions_2024_2025!D:D,MATCH($B101,Admissions_2024_2025!$B:$B,0)),"")</f>
        <v>Abd al-Rahman Bin Jassim Preparatory School for Boys</v>
      </c>
      <c r="E101" t="str">
        <f>IFERROR(INDEX(Admissions_2024_2025!E:E,MATCH($B101,Admissions_2024_2025!$B:$B,0)),"")</f>
        <v>General</v>
      </c>
      <c r="F101">
        <f>IFERROR(INDEX(Admissions_2024_2025!F:F,MATCH($B101,Admissions_2024_2025!$B:$B,0)),"")</f>
        <v>100</v>
      </c>
      <c r="G101">
        <f>IFERROR(INDEX(Admissions_2024_2025!G:G,MATCH($B101,Admissions_2024_2025!$B:$B,0)),"")</f>
        <v>0</v>
      </c>
      <c r="H101">
        <f>IFERROR(INDEX(Admissions_2024_2025!H:H,MATCH($B101,Admissions_2024_2025!$B:$B,0)),"")</f>
        <v>0</v>
      </c>
      <c r="I101" t="str">
        <f>IFERROR(INDEX(Admissions_2024_2025!I:I,MATCH($B101,Admissions_2024_2025!$B:$B,0)),"")</f>
        <v>B1</v>
      </c>
      <c r="J101">
        <f>IFERROR(INDEX(Admissions_2024_2025!J:J,MATCH($B101,Admissions_2024_2025!$B:$B,0)),"")</f>
        <v>128</v>
      </c>
      <c r="K101">
        <f t="shared" si="5"/>
        <v>51.2</v>
      </c>
      <c r="L101">
        <f>IFERROR(INDEX(Admissions_2024_2025!L:L,MATCH($B101,Admissions_2024_2025!$B:$B,0)),"")</f>
        <v>63</v>
      </c>
      <c r="M101">
        <f t="shared" si="6"/>
        <v>126</v>
      </c>
      <c r="N101">
        <f t="shared" si="7"/>
        <v>99</v>
      </c>
      <c r="O101">
        <f t="shared" si="8"/>
        <v>69.718309859154928</v>
      </c>
      <c r="P101">
        <f t="shared" si="9"/>
        <v>82.306103286384982</v>
      </c>
      <c r="Q101" t="str">
        <f>IFERROR(INDEX(Admissions_2024_2025!Q:Q,MATCH($B101,Admissions_2024_2025!$B:$B,0)),"")</f>
        <v>Moderate spatial bias</v>
      </c>
      <c r="R101">
        <f>IFERROR(INDEX(Admissions_2024_2025!R:R,MATCH($B101,Admissions_2024_2025!$B:$B,0)),"")</f>
        <v>65</v>
      </c>
      <c r="S101">
        <f>IFERROR(INDEX(Admissions_2024_2025!S:S,MATCH($B101,Admissions_2024_2025!$B:$B,0)),"")</f>
        <v>116</v>
      </c>
      <c r="T101">
        <f>IFERROR(INDEX(Admissions_2024_2025!T:T,MATCH($B101,Admissions_2024_2025!$B:$B,0)),"")</f>
        <v>117</v>
      </c>
      <c r="U101">
        <f>IFERROR(INDEX(Admissions_2024_2025!U:U,MATCH($B101,Admissions_2024_2025!$B:$B,0)),"")</f>
        <v>96</v>
      </c>
      <c r="V101">
        <f>IFERROR(INDEX(Admissions_2024_2025!V:V,MATCH($B42,Admissions_2024_2025!$B:$B,0)),"")</f>
        <v>0</v>
      </c>
      <c r="W101" t="str">
        <f>IFERROR(INDEX(Admissions_2024_2025!W:W,MATCH($B101,Admissions_2024_2025!$B:$B,0)),"")</f>
        <v>2023 admissions; 2019 accepted list; CAT new students</v>
      </c>
    </row>
    <row r="102" spans="1:23" x14ac:dyDescent="0.3">
      <c r="A102" t="s">
        <v>185</v>
      </c>
      <c r="B102" t="s">
        <v>270</v>
      </c>
      <c r="C102" t="s">
        <v>271</v>
      </c>
      <c r="D102" t="str">
        <f>IFERROR(INDEX(Admissions_2024_2025!D:D,MATCH($B102,Admissions_2024_2025!$B:$B,0)),"")</f>
        <v>Ibn Khaldun Preparatory School for Boys</v>
      </c>
      <c r="E102" t="str">
        <f>IFERROR(INDEX(Admissions_2024_2025!E:E,MATCH($B102,Admissions_2024_2025!$B:$B,0)),"")</f>
        <v>General</v>
      </c>
      <c r="F102">
        <f>IFERROR(INDEX(Admissions_2024_2025!F:F,MATCH($B102,Admissions_2024_2025!$B:$B,0)),"")</f>
        <v>90</v>
      </c>
      <c r="G102">
        <f>IFERROR(INDEX(Admissions_2024_2025!G:G,MATCH($B102,Admissions_2024_2025!$B:$B,0)),"")</f>
        <v>0</v>
      </c>
      <c r="H102">
        <f>IFERROR(INDEX(Admissions_2024_2025!H:H,MATCH($B102,Admissions_2024_2025!$B:$B,0)),"")</f>
        <v>0</v>
      </c>
      <c r="I102" t="str">
        <f>IFERROR(INDEX(Admissions_2024_2025!I:I,MATCH($B102,Admissions_2024_2025!$B:$B,0)),"")</f>
        <v>B1</v>
      </c>
      <c r="J102">
        <f>IFERROR(INDEX(Admissions_2024_2025!J:J,MATCH($B102,Admissions_2024_2025!$B:$B,0)),"")</f>
        <v>131</v>
      </c>
      <c r="K102">
        <f t="shared" si="5"/>
        <v>52.400000000000006</v>
      </c>
      <c r="L102">
        <f>IFERROR(INDEX(Admissions_2024_2025!L:L,MATCH($B102,Admissions_2024_2025!$B:$B,0)),"")</f>
        <v>48</v>
      </c>
      <c r="M102">
        <f t="shared" si="6"/>
        <v>96</v>
      </c>
      <c r="N102">
        <f t="shared" si="7"/>
        <v>93</v>
      </c>
      <c r="O102">
        <f t="shared" si="8"/>
        <v>65.492957746478879</v>
      </c>
      <c r="P102">
        <f t="shared" si="9"/>
        <v>71.297652582159628</v>
      </c>
      <c r="Q102" t="str">
        <f>IFERROR(INDEX(Admissions_2024_2025!Q:Q,MATCH($B102,Admissions_2024_2025!$B:$B,0)),"")</f>
        <v>Mild spatial bias</v>
      </c>
      <c r="R102">
        <f>IFERROR(INDEX(Admissions_2024_2025!R:R,MATCH($B102,Admissions_2024_2025!$B:$B,0)),"")</f>
        <v>74</v>
      </c>
      <c r="S102">
        <f>IFERROR(INDEX(Admissions_2024_2025!S:S,MATCH($B102,Admissions_2024_2025!$B:$B,0)),"")</f>
        <v>108</v>
      </c>
      <c r="T102">
        <f>IFERROR(INDEX(Admissions_2024_2025!T:T,MATCH($B102,Admissions_2024_2025!$B:$B,0)),"")</f>
        <v>93</v>
      </c>
      <c r="U102">
        <f>IFERROR(INDEX(Admissions_2024_2025!U:U,MATCH($B102,Admissions_2024_2025!$B:$B,0)),"")</f>
        <v>96</v>
      </c>
      <c r="V102">
        <f>IFERROR(INDEX(Admissions_2024_2025!V:V,MATCH($B43,Admissions_2024_2025!$B:$B,0)),"")</f>
        <v>0</v>
      </c>
      <c r="W102" t="str">
        <f>IFERROR(INDEX(Admissions_2024_2025!W:W,MATCH($B102,Admissions_2024_2025!$B:$B,0)),"")</f>
        <v>2023 admissions; 2019 accepted list; CAT new students</v>
      </c>
    </row>
    <row r="103" spans="1:23" x14ac:dyDescent="0.3">
      <c r="A103" t="s">
        <v>185</v>
      </c>
      <c r="B103" t="s">
        <v>272</v>
      </c>
      <c r="C103" t="s">
        <v>273</v>
      </c>
      <c r="D103" t="str">
        <f>IFERROR(INDEX(Admissions_2024_2025!D:D,MATCH($B103,Admissions_2024_2025!$B:$B,0)),"")</f>
        <v>Umar ibn Al-Khattab Preparatory School for Boys</v>
      </c>
      <c r="E103" t="str">
        <f>IFERROR(INDEX(Admissions_2024_2025!E:E,MATCH($B103,Admissions_2024_2025!$B:$B,0)),"")</f>
        <v>General</v>
      </c>
      <c r="F103">
        <f>IFERROR(INDEX(Admissions_2024_2025!F:F,MATCH($B103,Admissions_2024_2025!$B:$B,0)),"")</f>
        <v>95</v>
      </c>
      <c r="G103">
        <f>IFERROR(INDEX(Admissions_2024_2025!G:G,MATCH($B103,Admissions_2024_2025!$B:$B,0)),"")</f>
        <v>0</v>
      </c>
      <c r="H103">
        <f>IFERROR(INDEX(Admissions_2024_2025!H:H,MATCH($B103,Admissions_2024_2025!$B:$B,0)),"")</f>
        <v>0</v>
      </c>
      <c r="I103" t="str">
        <f>IFERROR(INDEX(Admissions_2024_2025!I:I,MATCH($B103,Admissions_2024_2025!$B:$B,0)),"")</f>
        <v>B1</v>
      </c>
      <c r="J103">
        <f>IFERROR(INDEX(Admissions_2024_2025!J:J,MATCH($B103,Admissions_2024_2025!$B:$B,0)),"")</f>
        <v>132</v>
      </c>
      <c r="K103">
        <f t="shared" si="5"/>
        <v>52.800000000000004</v>
      </c>
      <c r="L103">
        <f>IFERROR(INDEX(Admissions_2024_2025!L:L,MATCH($B103,Admissions_2024_2025!$B:$B,0)),"")</f>
        <v>68</v>
      </c>
      <c r="M103">
        <f t="shared" si="6"/>
        <v>136</v>
      </c>
      <c r="N103">
        <f t="shared" si="7"/>
        <v>103</v>
      </c>
      <c r="O103">
        <f t="shared" si="8"/>
        <v>72.535211267605632</v>
      </c>
      <c r="P103">
        <f t="shared" si="9"/>
        <v>87.111737089201881</v>
      </c>
      <c r="Q103" t="str">
        <f>IFERROR(INDEX(Admissions_2024_2025!Q:Q,MATCH($B103,Admissions_2024_2025!$B:$B,0)),"")</f>
        <v>Extreme spatial bias</v>
      </c>
      <c r="R103">
        <f>IFERROR(INDEX(Admissions_2024_2025!R:R,MATCH($B103,Admissions_2024_2025!$B:$B,0)),"")</f>
        <v>80</v>
      </c>
      <c r="S103">
        <f>IFERROR(INDEX(Admissions_2024_2025!S:S,MATCH($B103,Admissions_2024_2025!$B:$B,0)),"")</f>
        <v>124</v>
      </c>
      <c r="T103">
        <f>IFERROR(INDEX(Admissions_2024_2025!T:T,MATCH($B103,Admissions_2024_2025!$B:$B,0)),"")</f>
        <v>102</v>
      </c>
      <c r="U103">
        <f>IFERROR(INDEX(Admissions_2024_2025!U:U,MATCH($B103,Admissions_2024_2025!$B:$B,0)),"")</f>
        <v>105</v>
      </c>
      <c r="V103">
        <f>IFERROR(INDEX(Admissions_2024_2025!V:V,MATCH($B44,Admissions_2024_2025!$B:$B,0)),"")</f>
        <v>0</v>
      </c>
      <c r="W103" t="str">
        <f>IFERROR(INDEX(Admissions_2024_2025!W:W,MATCH($B103,Admissions_2024_2025!$B:$B,0)),"")</f>
        <v>2023 admissions; 2019 accepted list; CAT new students</v>
      </c>
    </row>
    <row r="104" spans="1:23" x14ac:dyDescent="0.3">
      <c r="A104" t="s">
        <v>185</v>
      </c>
      <c r="B104" t="s">
        <v>274</v>
      </c>
      <c r="C104" t="s">
        <v>275</v>
      </c>
      <c r="D104" t="str">
        <f>IFERROR(INDEX(Admissions_2024_2025!D:D,MATCH($B104,Admissions_2024_2025!$B:$B,0)),"")</f>
        <v>Umar ibn Al-Khattab Preparatory School for Boys</v>
      </c>
      <c r="E104" t="str">
        <f>IFERROR(INDEX(Admissions_2024_2025!E:E,MATCH($B104,Admissions_2024_2025!$B:$B,0)),"")</f>
        <v>General</v>
      </c>
      <c r="F104">
        <f>IFERROR(INDEX(Admissions_2024_2025!F:F,MATCH($B104,Admissions_2024_2025!$B:$B,0)),"")</f>
        <v>94</v>
      </c>
      <c r="G104">
        <f>IFERROR(INDEX(Admissions_2024_2025!G:G,MATCH($B104,Admissions_2024_2025!$B:$B,0)),"")</f>
        <v>0</v>
      </c>
      <c r="H104">
        <f>IFERROR(INDEX(Admissions_2024_2025!H:H,MATCH($B104,Admissions_2024_2025!$B:$B,0)),"")</f>
        <v>0</v>
      </c>
      <c r="I104" t="str">
        <f>IFERROR(INDEX(Admissions_2024_2025!I:I,MATCH($B104,Admissions_2024_2025!$B:$B,0)),"")</f>
        <v>B2</v>
      </c>
      <c r="J104">
        <f>IFERROR(INDEX(Admissions_2024_2025!J:J,MATCH($B104,Admissions_2024_2025!$B:$B,0)),"")</f>
        <v>154</v>
      </c>
      <c r="K104">
        <f t="shared" si="5"/>
        <v>61.6</v>
      </c>
      <c r="L104">
        <f>IFERROR(INDEX(Admissions_2024_2025!L:L,MATCH($B104,Admissions_2024_2025!$B:$B,0)),"")</f>
        <v>55</v>
      </c>
      <c r="M104">
        <f t="shared" si="6"/>
        <v>110.00000000000001</v>
      </c>
      <c r="N104">
        <f t="shared" si="7"/>
        <v>85</v>
      </c>
      <c r="O104">
        <f t="shared" si="8"/>
        <v>59.859154929577464</v>
      </c>
      <c r="P104">
        <f t="shared" si="9"/>
        <v>77.153051643192498</v>
      </c>
      <c r="Q104" t="str">
        <f>IFERROR(INDEX(Admissions_2024_2025!Q:Q,MATCH($B104,Admissions_2024_2025!$B:$B,0)),"")</f>
        <v>No bias</v>
      </c>
      <c r="R104">
        <f>IFERROR(INDEX(Admissions_2024_2025!R:R,MATCH($B104,Admissions_2024_2025!$B:$B,0)),"")</f>
        <v>89</v>
      </c>
      <c r="S104">
        <f>IFERROR(INDEX(Admissions_2024_2025!S:S,MATCH($B104,Admissions_2024_2025!$B:$B,0)),"")</f>
        <v>88</v>
      </c>
      <c r="T104">
        <f>IFERROR(INDEX(Admissions_2024_2025!T:T,MATCH($B104,Admissions_2024_2025!$B:$B,0)),"")</f>
        <v>80</v>
      </c>
      <c r="U104">
        <f>IFERROR(INDEX(Admissions_2024_2025!U:U,MATCH($B104,Admissions_2024_2025!$B:$B,0)),"")</f>
        <v>84</v>
      </c>
      <c r="V104">
        <f>IFERROR(INDEX(Admissions_2024_2025!V:V,MATCH($B45,Admissions_2024_2025!$B:$B,0)),"")</f>
        <v>0</v>
      </c>
      <c r="W104" t="str">
        <f>IFERROR(INDEX(Admissions_2024_2025!W:W,MATCH($B104,Admissions_2024_2025!$B:$B,0)),"")</f>
        <v>2023 admissions; 2019 accepted list; CAT new students</v>
      </c>
    </row>
    <row r="105" spans="1:23" x14ac:dyDescent="0.3">
      <c r="A105" t="s">
        <v>185</v>
      </c>
      <c r="B105" t="s">
        <v>276</v>
      </c>
      <c r="C105" t="s">
        <v>277</v>
      </c>
      <c r="D105" t="str">
        <f>IFERROR(INDEX(Admissions_2024_2025!D:D,MATCH($B105,Admissions_2024_2025!$B:$B,0)),"")</f>
        <v>Khalid Bin Ahmad Preparatory School for Boys</v>
      </c>
      <c r="E105" t="str">
        <f>IFERROR(INDEX(Admissions_2024_2025!E:E,MATCH($B105,Admissions_2024_2025!$B:$B,0)),"")</f>
        <v>General</v>
      </c>
      <c r="F105">
        <f>IFERROR(INDEX(Admissions_2024_2025!F:F,MATCH($B105,Admissions_2024_2025!$B:$B,0)),"")</f>
        <v>95</v>
      </c>
      <c r="G105">
        <f>IFERROR(INDEX(Admissions_2024_2025!G:G,MATCH($B105,Admissions_2024_2025!$B:$B,0)),"")</f>
        <v>0</v>
      </c>
      <c r="H105">
        <f>IFERROR(INDEX(Admissions_2024_2025!H:H,MATCH($B105,Admissions_2024_2025!$B:$B,0)),"")</f>
        <v>0</v>
      </c>
      <c r="I105" t="str">
        <f>IFERROR(INDEX(Admissions_2024_2025!I:I,MATCH($B105,Admissions_2024_2025!$B:$B,0)),"")</f>
        <v>B1</v>
      </c>
      <c r="J105">
        <f>IFERROR(INDEX(Admissions_2024_2025!J:J,MATCH($B105,Admissions_2024_2025!$B:$B,0)),"")</f>
        <v>135</v>
      </c>
      <c r="K105">
        <f t="shared" si="5"/>
        <v>54</v>
      </c>
      <c r="L105">
        <f>IFERROR(INDEX(Admissions_2024_2025!L:L,MATCH($B105,Admissions_2024_2025!$B:$B,0)),"")</f>
        <v>40</v>
      </c>
      <c r="M105">
        <f t="shared" si="6"/>
        <v>80</v>
      </c>
      <c r="N105">
        <f t="shared" si="7"/>
        <v>76</v>
      </c>
      <c r="O105">
        <f t="shared" si="8"/>
        <v>53.521126760563376</v>
      </c>
      <c r="P105">
        <f t="shared" si="9"/>
        <v>62.507042253521128</v>
      </c>
      <c r="Q105" t="str">
        <f>IFERROR(INDEX(Admissions_2024_2025!Q:Q,MATCH($B105,Admissions_2024_2025!$B:$B,0)),"")</f>
        <v>Mild spatial bias</v>
      </c>
      <c r="R105">
        <f>IFERROR(INDEX(Admissions_2024_2025!R:R,MATCH($B105,Admissions_2024_2025!$B:$B,0)),"")</f>
        <v>65</v>
      </c>
      <c r="S105">
        <f>IFERROR(INDEX(Admissions_2024_2025!S:S,MATCH($B105,Admissions_2024_2025!$B:$B,0)),"")</f>
        <v>82</v>
      </c>
      <c r="T105">
        <f>IFERROR(INDEX(Admissions_2024_2025!T:T,MATCH($B105,Admissions_2024_2025!$B:$B,0)),"")</f>
        <v>69</v>
      </c>
      <c r="U105">
        <f>IFERROR(INDEX(Admissions_2024_2025!U:U,MATCH($B105,Admissions_2024_2025!$B:$B,0)),"")</f>
        <v>88</v>
      </c>
      <c r="V105">
        <f>IFERROR(INDEX(Admissions_2024_2025!V:V,MATCH($B46,Admissions_2024_2025!$B:$B,0)),"")</f>
        <v>0</v>
      </c>
      <c r="W105" t="str">
        <f>IFERROR(INDEX(Admissions_2024_2025!W:W,MATCH($B105,Admissions_2024_2025!$B:$B,0)),"")</f>
        <v>2023 admissions; 2019 accepted list; CAT new students</v>
      </c>
    </row>
    <row r="106" spans="1:23" x14ac:dyDescent="0.3">
      <c r="A106" t="s">
        <v>185</v>
      </c>
      <c r="B106" t="s">
        <v>278</v>
      </c>
      <c r="C106" t="s">
        <v>279</v>
      </c>
      <c r="D106" t="str">
        <f>IFERROR(INDEX(Admissions_2024_2025!D:D,MATCH($B106,Admissions_2024_2025!$B:$B,0)),"")</f>
        <v>Qatar Leadership Academy - Pri Prep Sec - Boys</v>
      </c>
      <c r="E106" t="str">
        <f>IFERROR(INDEX(Admissions_2024_2025!E:E,MATCH($B106,Admissions_2024_2025!$B:$B,0)),"")</f>
        <v>American,IB</v>
      </c>
      <c r="F106">
        <f>IFERROR(INDEX(Admissions_2024_2025!F:F,MATCH($B106,Admissions_2024_2025!$B:$B,0)),"")</f>
        <v>92</v>
      </c>
      <c r="G106">
        <f>IFERROR(INDEX(Admissions_2024_2025!G:G,MATCH($B106,Admissions_2024_2025!$B:$B,0)),"")</f>
        <v>0</v>
      </c>
      <c r="H106">
        <f>IFERROR(INDEX(Admissions_2024_2025!H:H,MATCH($B106,Admissions_2024_2025!$B:$B,0)),"")</f>
        <v>0</v>
      </c>
      <c r="I106" t="str">
        <f>IFERROR(INDEX(Admissions_2024_2025!I:I,MATCH($B106,Admissions_2024_2025!$B:$B,0)),"")</f>
        <v>B2</v>
      </c>
      <c r="J106">
        <f>IFERROR(INDEX(Admissions_2024_2025!J:J,MATCH($B106,Admissions_2024_2025!$B:$B,0)),"")</f>
        <v>169</v>
      </c>
      <c r="K106">
        <f t="shared" si="5"/>
        <v>67.600000000000009</v>
      </c>
      <c r="L106">
        <f>IFERROR(INDEX(Admissions_2024_2025!L:L,MATCH($B106,Admissions_2024_2025!$B:$B,0)),"")</f>
        <v>98</v>
      </c>
      <c r="M106">
        <f t="shared" si="6"/>
        <v>196</v>
      </c>
      <c r="N106">
        <f t="shared" si="7"/>
        <v>110</v>
      </c>
      <c r="O106">
        <f t="shared" si="8"/>
        <v>77.464788732394368</v>
      </c>
      <c r="P106">
        <f t="shared" si="9"/>
        <v>113.68826291079813</v>
      </c>
      <c r="Q106" t="str">
        <f>IFERROR(INDEX(Admissions_2024_2025!Q:Q,MATCH($B106,Admissions_2024_2025!$B:$B,0)),"")</f>
        <v>Mild spatial bias</v>
      </c>
      <c r="R106">
        <f>IFERROR(INDEX(Admissions_2024_2025!R:R,MATCH($B106,Admissions_2024_2025!$B:$B,0)),"")</f>
        <v>92</v>
      </c>
      <c r="S106">
        <f>IFERROR(INDEX(Admissions_2024_2025!S:S,MATCH($B106,Admissions_2024_2025!$B:$B,0)),"")</f>
        <v>126</v>
      </c>
      <c r="T106">
        <f>IFERROR(INDEX(Admissions_2024_2025!T:T,MATCH($B106,Admissions_2024_2025!$B:$B,0)),"")</f>
        <v>113</v>
      </c>
      <c r="U106">
        <f>IFERROR(INDEX(Admissions_2024_2025!U:U,MATCH($B106,Admissions_2024_2025!$B:$B,0)),"")</f>
        <v>109</v>
      </c>
      <c r="V106">
        <f>IFERROR(INDEX(Admissions_2024_2025!V:V,MATCH($B47,Admissions_2024_2025!$B:$B,0)),"")</f>
        <v>0</v>
      </c>
      <c r="W106" t="str">
        <f>IFERROR(INDEX(Admissions_2024_2025!W:W,MATCH($B106,Admissions_2024_2025!$B:$B,0)),"")</f>
        <v>2023 admissions; 2019 accepted list; CAT new students</v>
      </c>
    </row>
    <row r="107" spans="1:23" x14ac:dyDescent="0.3">
      <c r="A107" t="s">
        <v>185</v>
      </c>
      <c r="B107" t="s">
        <v>280</v>
      </c>
      <c r="C107" t="s">
        <v>281</v>
      </c>
      <c r="D107" t="str">
        <f>IFERROR(INDEX(Admissions_2024_2025!D:D,MATCH($B107,Admissions_2024_2025!$B:$B,0)),"")</f>
        <v>Abu Bakr as-Siddiq Preparatory School for Boys</v>
      </c>
      <c r="E107" t="str">
        <f>IFERROR(INDEX(Admissions_2024_2025!E:E,MATCH($B107,Admissions_2024_2025!$B:$B,0)),"")</f>
        <v>General</v>
      </c>
      <c r="F107">
        <f>IFERROR(INDEX(Admissions_2024_2025!F:F,MATCH($B107,Admissions_2024_2025!$B:$B,0)),"")</f>
        <v>90</v>
      </c>
      <c r="G107">
        <f>IFERROR(INDEX(Admissions_2024_2025!G:G,MATCH($B107,Admissions_2024_2025!$B:$B,0)),"")</f>
        <v>0</v>
      </c>
      <c r="H107">
        <f>IFERROR(INDEX(Admissions_2024_2025!H:H,MATCH($B107,Admissions_2024_2025!$B:$B,0)),"")</f>
        <v>0</v>
      </c>
      <c r="I107" t="str">
        <f>IFERROR(INDEX(Admissions_2024_2025!I:I,MATCH($B107,Admissions_2024_2025!$B:$B,0)),"")</f>
        <v>B1</v>
      </c>
      <c r="J107">
        <f>IFERROR(INDEX(Admissions_2024_2025!J:J,MATCH($B107,Admissions_2024_2025!$B:$B,0)),"")</f>
        <v>123</v>
      </c>
      <c r="K107">
        <f t="shared" si="5"/>
        <v>49.2</v>
      </c>
      <c r="L107">
        <f>IFERROR(INDEX(Admissions_2024_2025!L:L,MATCH($B107,Admissions_2024_2025!$B:$B,0)),"")</f>
        <v>55</v>
      </c>
      <c r="M107">
        <f t="shared" si="6"/>
        <v>110.00000000000001</v>
      </c>
      <c r="N107">
        <f t="shared" si="7"/>
        <v>100</v>
      </c>
      <c r="O107">
        <f t="shared" si="8"/>
        <v>70.422535211267601</v>
      </c>
      <c r="P107">
        <f t="shared" si="9"/>
        <v>76.540845070422549</v>
      </c>
      <c r="Q107" t="str">
        <f>IFERROR(INDEX(Admissions_2024_2025!Q:Q,MATCH($B107,Admissions_2024_2025!$B:$B,0)),"")</f>
        <v>No bias</v>
      </c>
      <c r="R107">
        <f>IFERROR(INDEX(Admissions_2024_2025!R:R,MATCH($B107,Admissions_2024_2025!$B:$B,0)),"")</f>
        <v>87</v>
      </c>
      <c r="S107">
        <f>IFERROR(INDEX(Admissions_2024_2025!S:S,MATCH($B107,Admissions_2024_2025!$B:$B,0)),"")</f>
        <v>107</v>
      </c>
      <c r="T107">
        <f>IFERROR(INDEX(Admissions_2024_2025!T:T,MATCH($B107,Admissions_2024_2025!$B:$B,0)),"")</f>
        <v>115</v>
      </c>
      <c r="U107">
        <f>IFERROR(INDEX(Admissions_2024_2025!U:U,MATCH($B107,Admissions_2024_2025!$B:$B,0)),"")</f>
        <v>92</v>
      </c>
      <c r="V107">
        <f>IFERROR(INDEX(Admissions_2024_2025!V:V,MATCH($B48,Admissions_2024_2025!$B:$B,0)),"")</f>
        <v>0</v>
      </c>
      <c r="W107" t="str">
        <f>IFERROR(INDEX(Admissions_2024_2025!W:W,MATCH($B107,Admissions_2024_2025!$B:$B,0)),"")</f>
        <v>2023 admissions; 2019 accepted list; CAT new students</v>
      </c>
    </row>
    <row r="108" spans="1:23" x14ac:dyDescent="0.3">
      <c r="A108" t="s">
        <v>185</v>
      </c>
      <c r="B108" t="s">
        <v>282</v>
      </c>
      <c r="C108" t="s">
        <v>283</v>
      </c>
      <c r="D108" t="str">
        <f>IFERROR(INDEX(Admissions_2024_2025!D:D,MATCH($B108,Admissions_2024_2025!$B:$B,0)),"")</f>
        <v>Al Maha English School - Pri - Boys</v>
      </c>
      <c r="E108" t="str">
        <f>IFERROR(INDEX(Admissions_2024_2025!E:E,MATCH($B108,Admissions_2024_2025!$B:$B,0)),"")</f>
        <v>British</v>
      </c>
      <c r="F108">
        <f>IFERROR(INDEX(Admissions_2024_2025!F:F,MATCH($B108,Admissions_2024_2025!$B:$B,0)),"")</f>
        <v>74</v>
      </c>
      <c r="G108">
        <f>IFERROR(INDEX(Admissions_2024_2025!G:G,MATCH($B108,Admissions_2024_2025!$B:$B,0)),"")</f>
        <v>0</v>
      </c>
      <c r="H108">
        <f>IFERROR(INDEX(Admissions_2024_2025!H:H,MATCH($B108,Admissions_2024_2025!$B:$B,0)),"")</f>
        <v>0</v>
      </c>
      <c r="I108" t="str">
        <f>IFERROR(INDEX(Admissions_2024_2025!I:I,MATCH($B108,Admissions_2024_2025!$B:$B,0)),"")</f>
        <v>B1</v>
      </c>
      <c r="J108">
        <f>IFERROR(INDEX(Admissions_2024_2025!J:J,MATCH($B108,Admissions_2024_2025!$B:$B,0)),"")</f>
        <v>139</v>
      </c>
      <c r="K108">
        <f t="shared" si="5"/>
        <v>55.600000000000009</v>
      </c>
      <c r="L108">
        <f>IFERROR(INDEX(Admissions_2024_2025!L:L,MATCH($B108,Admissions_2024_2025!$B:$B,0)),"")</f>
        <v>63</v>
      </c>
      <c r="M108">
        <f t="shared" si="6"/>
        <v>126</v>
      </c>
      <c r="N108">
        <f t="shared" si="7"/>
        <v>101</v>
      </c>
      <c r="O108">
        <f t="shared" si="8"/>
        <v>71.126760563380287</v>
      </c>
      <c r="P108">
        <f t="shared" si="9"/>
        <v>84.24225352112677</v>
      </c>
      <c r="Q108" t="str">
        <f>IFERROR(INDEX(Admissions_2024_2025!Q:Q,MATCH($B108,Admissions_2024_2025!$B:$B,0)),"")</f>
        <v>Extreme spatial bias</v>
      </c>
      <c r="R108">
        <f>IFERROR(INDEX(Admissions_2024_2025!R:R,MATCH($B108,Admissions_2024_2025!$B:$B,0)),"")</f>
        <v>80</v>
      </c>
      <c r="S108">
        <f>IFERROR(INDEX(Admissions_2024_2025!S:S,MATCH($B108,Admissions_2024_2025!$B:$B,0)),"")</f>
        <v>105</v>
      </c>
      <c r="T108">
        <f>IFERROR(INDEX(Admissions_2024_2025!T:T,MATCH($B108,Admissions_2024_2025!$B:$B,0)),"")</f>
        <v>113</v>
      </c>
      <c r="U108">
        <f>IFERROR(INDEX(Admissions_2024_2025!U:U,MATCH($B108,Admissions_2024_2025!$B:$B,0)),"")</f>
        <v>107</v>
      </c>
      <c r="V108">
        <f>IFERROR(INDEX(Admissions_2024_2025!V:V,MATCH($B49,Admissions_2024_2025!$B:$B,0)),"")</f>
        <v>0</v>
      </c>
      <c r="W108" t="str">
        <f>IFERROR(INDEX(Admissions_2024_2025!W:W,MATCH($B108,Admissions_2024_2025!$B:$B,0)),"")</f>
        <v>2023 admissions; 2019 accepted list; CAT new students</v>
      </c>
    </row>
    <row r="109" spans="1:23" x14ac:dyDescent="0.3">
      <c r="A109" t="s">
        <v>185</v>
      </c>
      <c r="B109" t="s">
        <v>284</v>
      </c>
      <c r="C109" t="s">
        <v>285</v>
      </c>
      <c r="D109" t="str">
        <f>IFERROR(INDEX(Admissions_2024_2025!D:D,MATCH($B109,Admissions_2024_2025!$B:$B,0)),"")</f>
        <v>Al Maha English School - Pri - Boys</v>
      </c>
      <c r="E109" t="str">
        <f>IFERROR(INDEX(Admissions_2024_2025!E:E,MATCH($B109,Admissions_2024_2025!$B:$B,0)),"")</f>
        <v>British</v>
      </c>
      <c r="F109">
        <f>IFERROR(INDEX(Admissions_2024_2025!F:F,MATCH($B109,Admissions_2024_2025!$B:$B,0)),"")</f>
        <v>87</v>
      </c>
      <c r="G109">
        <f>IFERROR(INDEX(Admissions_2024_2025!G:G,MATCH($B109,Admissions_2024_2025!$B:$B,0)),"")</f>
        <v>0</v>
      </c>
      <c r="H109">
        <f>IFERROR(INDEX(Admissions_2024_2025!H:H,MATCH($B109,Admissions_2024_2025!$B:$B,0)),"")</f>
        <v>0</v>
      </c>
      <c r="I109" t="str">
        <f>IFERROR(INDEX(Admissions_2024_2025!I:I,MATCH($B109,Admissions_2024_2025!$B:$B,0)),"")</f>
        <v>B2</v>
      </c>
      <c r="J109">
        <f>IFERROR(INDEX(Admissions_2024_2025!J:J,MATCH($B109,Admissions_2024_2025!$B:$B,0)),"")</f>
        <v>150</v>
      </c>
      <c r="K109">
        <f t="shared" si="5"/>
        <v>60</v>
      </c>
      <c r="L109">
        <f>IFERROR(INDEX(Admissions_2024_2025!L:L,MATCH($B109,Admissions_2024_2025!$B:$B,0)),"")</f>
        <v>63</v>
      </c>
      <c r="M109">
        <f t="shared" si="6"/>
        <v>126</v>
      </c>
      <c r="N109">
        <f t="shared" si="7"/>
        <v>97</v>
      </c>
      <c r="O109">
        <f t="shared" si="8"/>
        <v>68.309859154929569</v>
      </c>
      <c r="P109">
        <f t="shared" si="9"/>
        <v>84.769953051643185</v>
      </c>
      <c r="Q109" t="str">
        <f>IFERROR(INDEX(Admissions_2024_2025!Q:Q,MATCH($B109,Admissions_2024_2025!$B:$B,0)),"")</f>
        <v>Moderate spatial bias</v>
      </c>
      <c r="R109">
        <f>IFERROR(INDEX(Admissions_2024_2025!R:R,MATCH($B109,Admissions_2024_2025!$B:$B,0)),"")</f>
        <v>79</v>
      </c>
      <c r="S109">
        <f>IFERROR(INDEX(Admissions_2024_2025!S:S,MATCH($B109,Admissions_2024_2025!$B:$B,0)),"")</f>
        <v>114</v>
      </c>
      <c r="T109">
        <f>IFERROR(INDEX(Admissions_2024_2025!T:T,MATCH($B109,Admissions_2024_2025!$B:$B,0)),"")</f>
        <v>93</v>
      </c>
      <c r="U109">
        <f>IFERROR(INDEX(Admissions_2024_2025!U:U,MATCH($B109,Admissions_2024_2025!$B:$B,0)),"")</f>
        <v>100</v>
      </c>
      <c r="V109">
        <f>IFERROR(INDEX(Admissions_2024_2025!V:V,MATCH($B50,Admissions_2024_2025!$B:$B,0)),"")</f>
        <v>0</v>
      </c>
      <c r="W109" t="str">
        <f>IFERROR(INDEX(Admissions_2024_2025!W:W,MATCH($B109,Admissions_2024_2025!$B:$B,0)),"")</f>
        <v>2023 admissions; 2019 accepted list; CAT new students</v>
      </c>
    </row>
    <row r="110" spans="1:23" x14ac:dyDescent="0.3">
      <c r="A110" t="s">
        <v>185</v>
      </c>
      <c r="B110" t="s">
        <v>286</v>
      </c>
      <c r="C110" t="s">
        <v>287</v>
      </c>
      <c r="D110" t="str">
        <f>IFERROR(INDEX(Admissions_2024_2025!D:D,MATCH($B110,Admissions_2024_2025!$B:$B,0)),"")</f>
        <v>Abdullah Bin Ali Al-Missned Preparatory School for Boys</v>
      </c>
      <c r="E110" t="str">
        <f>IFERROR(INDEX(Admissions_2024_2025!E:E,MATCH($B110,Admissions_2024_2025!$B:$B,0)),"")</f>
        <v>General</v>
      </c>
      <c r="F110">
        <f>IFERROR(INDEX(Admissions_2024_2025!F:F,MATCH($B110,Admissions_2024_2025!$B:$B,0)),"")</f>
        <v>91</v>
      </c>
      <c r="G110">
        <f>IFERROR(INDEX(Admissions_2024_2025!G:G,MATCH($B110,Admissions_2024_2025!$B:$B,0)),"")</f>
        <v>0</v>
      </c>
      <c r="H110">
        <f>IFERROR(INDEX(Admissions_2024_2025!H:H,MATCH($B110,Admissions_2024_2025!$B:$B,0)),"")</f>
        <v>0</v>
      </c>
      <c r="I110" t="str">
        <f>IFERROR(INDEX(Admissions_2024_2025!I:I,MATCH($B110,Admissions_2024_2025!$B:$B,0)),"")</f>
        <v>B1</v>
      </c>
      <c r="J110">
        <f>IFERROR(INDEX(Admissions_2024_2025!J:J,MATCH($B110,Admissions_2024_2025!$B:$B,0)),"")</f>
        <v>124</v>
      </c>
      <c r="K110">
        <f t="shared" si="5"/>
        <v>49.6</v>
      </c>
      <c r="L110">
        <f>IFERROR(INDEX(Admissions_2024_2025!L:L,MATCH($B110,Admissions_2024_2025!$B:$B,0)),"")</f>
        <v>43</v>
      </c>
      <c r="M110">
        <f t="shared" si="6"/>
        <v>86</v>
      </c>
      <c r="N110">
        <f t="shared" si="7"/>
        <v>92</v>
      </c>
      <c r="O110">
        <f t="shared" si="8"/>
        <v>64.788732394366207</v>
      </c>
      <c r="P110">
        <f t="shared" si="9"/>
        <v>66.796244131455396</v>
      </c>
      <c r="Q110" t="str">
        <f>IFERROR(INDEX(Admissions_2024_2025!Q:Q,MATCH($B110,Admissions_2024_2025!$B:$B,0)),"")</f>
        <v>Moderate spatial bias</v>
      </c>
      <c r="R110">
        <f>IFERROR(INDEX(Admissions_2024_2025!R:R,MATCH($B110,Admissions_2024_2025!$B:$B,0)),"")</f>
        <v>75</v>
      </c>
      <c r="S110">
        <f>IFERROR(INDEX(Admissions_2024_2025!S:S,MATCH($B110,Admissions_2024_2025!$B:$B,0)),"")</f>
        <v>105</v>
      </c>
      <c r="T110">
        <f>IFERROR(INDEX(Admissions_2024_2025!T:T,MATCH($B110,Admissions_2024_2025!$B:$B,0)),"")</f>
        <v>86</v>
      </c>
      <c r="U110">
        <f>IFERROR(INDEX(Admissions_2024_2025!U:U,MATCH($B110,Admissions_2024_2025!$B:$B,0)),"")</f>
        <v>100</v>
      </c>
      <c r="V110">
        <f>IFERROR(INDEX(Admissions_2024_2025!V:V,MATCH($B51,Admissions_2024_2025!$B:$B,0)),"")</f>
        <v>0</v>
      </c>
      <c r="W110" t="str">
        <f>IFERROR(INDEX(Admissions_2024_2025!W:W,MATCH($B110,Admissions_2024_2025!$B:$B,0)),"")</f>
        <v>2023 admissions; 2019 accepted list; CAT new students</v>
      </c>
    </row>
    <row r="111" spans="1:23" x14ac:dyDescent="0.3">
      <c r="A111" t="s">
        <v>185</v>
      </c>
      <c r="B111" t="s">
        <v>288</v>
      </c>
      <c r="C111" t="s">
        <v>289</v>
      </c>
      <c r="D111" t="str">
        <f>IFERROR(INDEX(Admissions_2024_2025!D:D,MATCH($B111,Admissions_2024_2025!$B:$B,0)),"")</f>
        <v>Ibn Khaldun Preparatory School for Boys</v>
      </c>
      <c r="E111" t="str">
        <f>IFERROR(INDEX(Admissions_2024_2025!E:E,MATCH($B111,Admissions_2024_2025!$B:$B,0)),"")</f>
        <v>General</v>
      </c>
      <c r="F111">
        <f>IFERROR(INDEX(Admissions_2024_2025!F:F,MATCH($B111,Admissions_2024_2025!$B:$B,0)),"")</f>
        <v>90</v>
      </c>
      <c r="G111">
        <f>IFERROR(INDEX(Admissions_2024_2025!G:G,MATCH($B111,Admissions_2024_2025!$B:$B,0)),"")</f>
        <v>0</v>
      </c>
      <c r="H111">
        <f>IFERROR(INDEX(Admissions_2024_2025!H:H,MATCH($B111,Admissions_2024_2025!$B:$B,0)),"")</f>
        <v>0</v>
      </c>
      <c r="I111" t="str">
        <f>IFERROR(INDEX(Admissions_2024_2025!I:I,MATCH($B111,Admissions_2024_2025!$B:$B,0)),"")</f>
        <v>B2</v>
      </c>
      <c r="J111">
        <f>IFERROR(INDEX(Admissions_2024_2025!J:J,MATCH($B111,Admissions_2024_2025!$B:$B,0)),"")</f>
        <v>145</v>
      </c>
      <c r="K111">
        <f t="shared" si="5"/>
        <v>57.999999999999993</v>
      </c>
      <c r="L111">
        <f>IFERROR(INDEX(Admissions_2024_2025!L:L,MATCH($B111,Admissions_2024_2025!$B:$B,0)),"")</f>
        <v>48</v>
      </c>
      <c r="M111">
        <f t="shared" si="6"/>
        <v>96</v>
      </c>
      <c r="N111">
        <f t="shared" si="7"/>
        <v>103</v>
      </c>
      <c r="O111">
        <f t="shared" si="8"/>
        <v>72.535211267605632</v>
      </c>
      <c r="P111">
        <f t="shared" si="9"/>
        <v>75.511737089201873</v>
      </c>
      <c r="Q111" t="str">
        <f>IFERROR(INDEX(Admissions_2024_2025!Q:Q,MATCH($B111,Admissions_2024_2025!$B:$B,0)),"")</f>
        <v>Mild spatial bias</v>
      </c>
      <c r="R111">
        <f>IFERROR(INDEX(Admissions_2024_2025!R:R,MATCH($B111,Admissions_2024_2025!$B:$B,0)),"")</f>
        <v>85</v>
      </c>
      <c r="S111">
        <f>IFERROR(INDEX(Admissions_2024_2025!S:S,MATCH($B111,Admissions_2024_2025!$B:$B,0)),"")</f>
        <v>116</v>
      </c>
      <c r="T111">
        <f>IFERROR(INDEX(Admissions_2024_2025!T:T,MATCH($B111,Admissions_2024_2025!$B:$B,0)),"")</f>
        <v>111</v>
      </c>
      <c r="U111">
        <f>IFERROR(INDEX(Admissions_2024_2025!U:U,MATCH($B111,Admissions_2024_2025!$B:$B,0)),"")</f>
        <v>98</v>
      </c>
      <c r="V111">
        <f>IFERROR(INDEX(Admissions_2024_2025!V:V,MATCH($B52,Admissions_2024_2025!$B:$B,0)),"")</f>
        <v>0</v>
      </c>
      <c r="W111" t="str">
        <f>IFERROR(INDEX(Admissions_2024_2025!W:W,MATCH($B111,Admissions_2024_2025!$B:$B,0)),"")</f>
        <v>2023 admissions; 2019 accepted list; CAT new students</v>
      </c>
    </row>
    <row r="112" spans="1:23" x14ac:dyDescent="0.3">
      <c r="A112" t="s">
        <v>185</v>
      </c>
      <c r="B112" t="s">
        <v>290</v>
      </c>
      <c r="C112" t="s">
        <v>291</v>
      </c>
      <c r="D112" t="str">
        <f>IFERROR(INDEX(Admissions_2024_2025!D:D,MATCH($B112,Admissions_2024_2025!$B:$B,0)),"")</f>
        <v>Abdullah Bin Ali Al-Missned Preparatory School for Boys</v>
      </c>
      <c r="E112" t="str">
        <f>IFERROR(INDEX(Admissions_2024_2025!E:E,MATCH($B112,Admissions_2024_2025!$B:$B,0)),"")</f>
        <v>General</v>
      </c>
      <c r="F112">
        <f>IFERROR(INDEX(Admissions_2024_2025!F:F,MATCH($B112,Admissions_2024_2025!$B:$B,0)),"")</f>
        <v>100</v>
      </c>
      <c r="G112">
        <f>IFERROR(INDEX(Admissions_2024_2025!G:G,MATCH($B112,Admissions_2024_2025!$B:$B,0)),"")</f>
        <v>0</v>
      </c>
      <c r="H112">
        <f>IFERROR(INDEX(Admissions_2024_2025!H:H,MATCH($B112,Admissions_2024_2025!$B:$B,0)),"")</f>
        <v>0</v>
      </c>
      <c r="I112" t="str">
        <f>IFERROR(INDEX(Admissions_2024_2025!I:I,MATCH($B112,Admissions_2024_2025!$B:$B,0)),"")</f>
        <v>B2</v>
      </c>
      <c r="J112">
        <f>IFERROR(INDEX(Admissions_2024_2025!J:J,MATCH($B112,Admissions_2024_2025!$B:$B,0)),"")</f>
        <v>151</v>
      </c>
      <c r="K112">
        <f t="shared" si="5"/>
        <v>60.4</v>
      </c>
      <c r="L112">
        <f>IFERROR(INDEX(Admissions_2024_2025!L:L,MATCH($B112,Admissions_2024_2025!$B:$B,0)),"")</f>
        <v>70</v>
      </c>
      <c r="M112">
        <f t="shared" si="6"/>
        <v>140</v>
      </c>
      <c r="N112">
        <f t="shared" si="7"/>
        <v>103</v>
      </c>
      <c r="O112">
        <f t="shared" si="8"/>
        <v>72.535211267605632</v>
      </c>
      <c r="P112">
        <f t="shared" si="9"/>
        <v>90.978403755868541</v>
      </c>
      <c r="Q112" t="str">
        <f>IFERROR(INDEX(Admissions_2024_2025!Q:Q,MATCH($B112,Admissions_2024_2025!$B:$B,0)),"")</f>
        <v>No bias</v>
      </c>
      <c r="R112">
        <f>IFERROR(INDEX(Admissions_2024_2025!R:R,MATCH($B112,Admissions_2024_2025!$B:$B,0)),"")</f>
        <v>94</v>
      </c>
      <c r="S112">
        <f>IFERROR(INDEX(Admissions_2024_2025!S:S,MATCH($B112,Admissions_2024_2025!$B:$B,0)),"")</f>
        <v>116</v>
      </c>
      <c r="T112">
        <f>IFERROR(INDEX(Admissions_2024_2025!T:T,MATCH($B112,Admissions_2024_2025!$B:$B,0)),"")</f>
        <v>100</v>
      </c>
      <c r="U112">
        <f>IFERROR(INDEX(Admissions_2024_2025!U:U,MATCH($B112,Admissions_2024_2025!$B:$B,0)),"")</f>
        <v>100</v>
      </c>
      <c r="V112">
        <f>IFERROR(INDEX(Admissions_2024_2025!V:V,MATCH($B53,Admissions_2024_2025!$B:$B,0)),"")</f>
        <v>0</v>
      </c>
      <c r="W112" t="str">
        <f>IFERROR(INDEX(Admissions_2024_2025!W:W,MATCH($B112,Admissions_2024_2025!$B:$B,0)),"")</f>
        <v>2023 admissions; 2019 accepted list; CAT new students</v>
      </c>
    </row>
    <row r="113" spans="1:23" x14ac:dyDescent="0.3">
      <c r="A113" t="s">
        <v>185</v>
      </c>
      <c r="B113" t="s">
        <v>292</v>
      </c>
      <c r="C113" t="s">
        <v>293</v>
      </c>
      <c r="D113" t="str">
        <f>IFERROR(INDEX(Admissions_2024_2025!D:D,MATCH($B113,Admissions_2024_2025!$B:$B,0)),"")</f>
        <v>Al-Razi Preparatory School for Boys</v>
      </c>
      <c r="E113" t="str">
        <f>IFERROR(INDEX(Admissions_2024_2025!E:E,MATCH($B113,Admissions_2024_2025!$B:$B,0)),"")</f>
        <v>General</v>
      </c>
      <c r="F113">
        <f>IFERROR(INDEX(Admissions_2024_2025!F:F,MATCH($B113,Admissions_2024_2025!$B:$B,0)),"")</f>
        <v>99</v>
      </c>
      <c r="G113">
        <f>IFERROR(INDEX(Admissions_2024_2025!G:G,MATCH($B113,Admissions_2024_2025!$B:$B,0)),"")</f>
        <v>0</v>
      </c>
      <c r="H113">
        <f>IFERROR(INDEX(Admissions_2024_2025!H:H,MATCH($B113,Admissions_2024_2025!$B:$B,0)),"")</f>
        <v>0</v>
      </c>
      <c r="I113" t="str">
        <f>IFERROR(INDEX(Admissions_2024_2025!I:I,MATCH($B113,Admissions_2024_2025!$B:$B,0)),"")</f>
        <v>B2</v>
      </c>
      <c r="J113">
        <f>IFERROR(INDEX(Admissions_2024_2025!J:J,MATCH($B113,Admissions_2024_2025!$B:$B,0)),"")</f>
        <v>142</v>
      </c>
      <c r="K113">
        <f t="shared" si="5"/>
        <v>56.8</v>
      </c>
      <c r="L113">
        <f>IFERROR(INDEX(Admissions_2024_2025!L:L,MATCH($B113,Admissions_2024_2025!$B:$B,0)),"")</f>
        <v>50</v>
      </c>
      <c r="M113">
        <f t="shared" si="6"/>
        <v>100</v>
      </c>
      <c r="N113">
        <f t="shared" si="7"/>
        <v>84</v>
      </c>
      <c r="O113">
        <f t="shared" si="8"/>
        <v>59.154929577464785</v>
      </c>
      <c r="P113">
        <f t="shared" si="9"/>
        <v>71.984976525821594</v>
      </c>
      <c r="Q113" t="str">
        <f>IFERROR(INDEX(Admissions_2024_2025!Q:Q,MATCH($B113,Admissions_2024_2025!$B:$B,0)),"")</f>
        <v>No bias</v>
      </c>
      <c r="R113">
        <f>IFERROR(INDEX(Admissions_2024_2025!R:R,MATCH($B113,Admissions_2024_2025!$B:$B,0)),"")</f>
        <v>75</v>
      </c>
      <c r="S113">
        <f>IFERROR(INDEX(Admissions_2024_2025!S:S,MATCH($B113,Admissions_2024_2025!$B:$B,0)),"")</f>
        <v>86</v>
      </c>
      <c r="T113">
        <f>IFERROR(INDEX(Admissions_2024_2025!T:T,MATCH($B113,Admissions_2024_2025!$B:$B,0)),"")</f>
        <v>102</v>
      </c>
      <c r="U113">
        <f>IFERROR(INDEX(Admissions_2024_2025!U:U,MATCH($B113,Admissions_2024_2025!$B:$B,0)),"")</f>
        <v>73</v>
      </c>
      <c r="V113">
        <f>IFERROR(INDEX(Admissions_2024_2025!V:V,MATCH($B54,Admissions_2024_2025!$B:$B,0)),"")</f>
        <v>0</v>
      </c>
      <c r="W113" t="str">
        <f>IFERROR(INDEX(Admissions_2024_2025!W:W,MATCH($B113,Admissions_2024_2025!$B:$B,0)),"")</f>
        <v>2023 admissions; 2019 accepted list; CAT new students</v>
      </c>
    </row>
    <row r="114" spans="1:23" x14ac:dyDescent="0.3">
      <c r="A114" t="s">
        <v>185</v>
      </c>
      <c r="B114" t="s">
        <v>294</v>
      </c>
      <c r="C114" t="s">
        <v>295</v>
      </c>
      <c r="D114" t="str">
        <f>IFERROR(INDEX(Admissions_2024_2025!D:D,MATCH($B114,Admissions_2024_2025!$B:$B,0)),"")</f>
        <v>The Gulf English School - Pri Prep Sec - Mixed</v>
      </c>
      <c r="E114" t="str">
        <f>IFERROR(INDEX(Admissions_2024_2025!E:E,MATCH($B114,Admissions_2024_2025!$B:$B,0)),"")</f>
        <v>IB,British</v>
      </c>
      <c r="F114" t="str">
        <f>IFERROR(INDEX(Admissions_2024_2025!F:F,MATCH($B114,Admissions_2024_2025!$B:$B,0)),"")</f>
        <v>4a</v>
      </c>
      <c r="G114">
        <f>IFERROR(INDEX(Admissions_2024_2025!G:G,MATCH($B114,Admissions_2024_2025!$B:$B,0)),"")</f>
        <v>0</v>
      </c>
      <c r="H114">
        <f>IFERROR(INDEX(Admissions_2024_2025!H:H,MATCH($B114,Admissions_2024_2025!$B:$B,0)),"")</f>
        <v>0</v>
      </c>
      <c r="I114" t="str">
        <f>IFERROR(INDEX(Admissions_2024_2025!I:I,MATCH($B114,Admissions_2024_2025!$B:$B,0)),"")</f>
        <v>B2</v>
      </c>
      <c r="J114">
        <f>IFERROR(INDEX(Admissions_2024_2025!J:J,MATCH($B114,Admissions_2024_2025!$B:$B,0)),"")</f>
        <v>150</v>
      </c>
      <c r="K114">
        <f t="shared" si="5"/>
        <v>60</v>
      </c>
      <c r="L114">
        <f>IFERROR(INDEX(Admissions_2024_2025!L:L,MATCH($B114,Admissions_2024_2025!$B:$B,0)),"")</f>
        <v>75</v>
      </c>
      <c r="M114">
        <f t="shared" si="6"/>
        <v>150</v>
      </c>
      <c r="N114">
        <f t="shared" si="7"/>
        <v>107</v>
      </c>
      <c r="O114">
        <f t="shared" si="8"/>
        <v>75.352112676056336</v>
      </c>
      <c r="P114">
        <f t="shared" si="9"/>
        <v>95.117370892018769</v>
      </c>
      <c r="Q114" t="str">
        <f>IFERROR(INDEX(Admissions_2024_2025!Q:Q,MATCH($B114,Admissions_2024_2025!$B:$B,0)),"")</f>
        <v>No bias</v>
      </c>
      <c r="R114">
        <f>IFERROR(INDEX(Admissions_2024_2025!R:R,MATCH($B114,Admissions_2024_2025!$B:$B,0)),"")</f>
        <v>94</v>
      </c>
      <c r="S114">
        <f>IFERROR(INDEX(Admissions_2024_2025!S:S,MATCH($B114,Admissions_2024_2025!$B:$B,0)),"")</f>
        <v>130</v>
      </c>
      <c r="T114">
        <f>IFERROR(INDEX(Admissions_2024_2025!T:T,MATCH($B114,Admissions_2024_2025!$B:$B,0)),"")</f>
        <v>106</v>
      </c>
      <c r="U114">
        <f>IFERROR(INDEX(Admissions_2024_2025!U:U,MATCH($B114,Admissions_2024_2025!$B:$B,0)),"")</f>
        <v>98</v>
      </c>
      <c r="V114">
        <f>IFERROR(INDEX(Admissions_2024_2025!V:V,MATCH($B55,Admissions_2024_2025!$B:$B,0)),"")</f>
        <v>0</v>
      </c>
      <c r="W114" t="str">
        <f>IFERROR(INDEX(Admissions_2024_2025!W:W,MATCH($B114,Admissions_2024_2025!$B:$B,0)),"")</f>
        <v>2023 admissions; 2019 accepted list; CAT new students</v>
      </c>
    </row>
    <row r="115" spans="1:23" x14ac:dyDescent="0.3">
      <c r="A115" t="s">
        <v>185</v>
      </c>
      <c r="B115" t="s">
        <v>296</v>
      </c>
      <c r="C115" t="s">
        <v>297</v>
      </c>
      <c r="D115" t="str">
        <f>IFERROR(INDEX(Admissions_2024_2025!D:D,MATCH($B115,Admissions_2024_2025!$B:$B,0)),"")</f>
        <v>Smaisima Preparatory School for Boys</v>
      </c>
      <c r="E115" t="str">
        <f>IFERROR(INDEX(Admissions_2024_2025!E:E,MATCH($B115,Admissions_2024_2025!$B:$B,0)),"")</f>
        <v>General</v>
      </c>
      <c r="F115">
        <f>IFERROR(INDEX(Admissions_2024_2025!F:F,MATCH($B115,Admissions_2024_2025!$B:$B,0)),"")</f>
        <v>98</v>
      </c>
      <c r="G115">
        <f>IFERROR(INDEX(Admissions_2024_2025!G:G,MATCH($B115,Admissions_2024_2025!$B:$B,0)),"")</f>
        <v>0</v>
      </c>
      <c r="H115">
        <f>IFERROR(INDEX(Admissions_2024_2025!H:H,MATCH($B115,Admissions_2024_2025!$B:$B,0)),"")</f>
        <v>0</v>
      </c>
      <c r="I115" t="str">
        <f>IFERROR(INDEX(Admissions_2024_2025!I:I,MATCH($B115,Admissions_2024_2025!$B:$B,0)),"")</f>
        <v>B2</v>
      </c>
      <c r="J115">
        <f>IFERROR(INDEX(Admissions_2024_2025!J:J,MATCH($B115,Admissions_2024_2025!$B:$B,0)),"")</f>
        <v>152</v>
      </c>
      <c r="K115">
        <f t="shared" si="5"/>
        <v>60.8</v>
      </c>
      <c r="L115">
        <f>IFERROR(INDEX(Admissions_2024_2025!L:L,MATCH($B115,Admissions_2024_2025!$B:$B,0)),"")</f>
        <v>58</v>
      </c>
      <c r="M115">
        <f t="shared" si="6"/>
        <v>115.99999999999999</v>
      </c>
      <c r="N115">
        <f t="shared" si="7"/>
        <v>102</v>
      </c>
      <c r="O115">
        <f t="shared" si="8"/>
        <v>71.83098591549296</v>
      </c>
      <c r="P115">
        <f t="shared" si="9"/>
        <v>82.876995305164314</v>
      </c>
      <c r="Q115" t="str">
        <f>IFERROR(INDEX(Admissions_2024_2025!Q:Q,MATCH($B115,Admissions_2024_2025!$B:$B,0)),"")</f>
        <v>Mild spatial bias</v>
      </c>
      <c r="R115">
        <f>IFERROR(INDEX(Admissions_2024_2025!R:R,MATCH($B115,Admissions_2024_2025!$B:$B,0)),"")</f>
        <v>89</v>
      </c>
      <c r="S115">
        <f>IFERROR(INDEX(Admissions_2024_2025!S:S,MATCH($B115,Admissions_2024_2025!$B:$B,0)),"")</f>
        <v>118</v>
      </c>
      <c r="T115">
        <f>IFERROR(INDEX(Admissions_2024_2025!T:T,MATCH($B115,Admissions_2024_2025!$B:$B,0)),"")</f>
        <v>98</v>
      </c>
      <c r="U115">
        <f>IFERROR(INDEX(Admissions_2024_2025!U:U,MATCH($B115,Admissions_2024_2025!$B:$B,0)),"")</f>
        <v>104</v>
      </c>
      <c r="V115">
        <f>IFERROR(INDEX(Admissions_2024_2025!V:V,MATCH($B56,Admissions_2024_2025!$B:$B,0)),"")</f>
        <v>0</v>
      </c>
      <c r="W115" t="str">
        <f>IFERROR(INDEX(Admissions_2024_2025!W:W,MATCH($B115,Admissions_2024_2025!$B:$B,0)),"")</f>
        <v>2023 admissions; 2019 accepted list; CAT new students</v>
      </c>
    </row>
    <row r="116" spans="1:23" x14ac:dyDescent="0.3">
      <c r="A116" t="s">
        <v>298</v>
      </c>
      <c r="B116" t="s">
        <v>299</v>
      </c>
      <c r="C116" t="s">
        <v>300</v>
      </c>
      <c r="D116">
        <f>IFERROR(INDEX(Admissions_2024_2025!D:D,MATCH($B116,Admissions_2024_2025!$B:$B,0)),"")</f>
        <v>0</v>
      </c>
      <c r="E116">
        <f>IFERROR(INDEX(Admissions_2024_2025!E:E,MATCH($B116,Admissions_2024_2025!$B:$B,0)),"")</f>
        <v>0</v>
      </c>
      <c r="F116">
        <f>IFERROR(INDEX(Admissions_2024_2025!F:F,MATCH($B116,Admissions_2024_2025!$B:$B,0)),"")</f>
        <v>0</v>
      </c>
      <c r="G116">
        <f>IFERROR(INDEX(Admissions_2024_2025!G:G,MATCH($B116,Admissions_2024_2025!$B:$B,0)),"")</f>
        <v>0</v>
      </c>
      <c r="H116">
        <f>IFERROR(INDEX(Admissions_2024_2025!H:H,MATCH($B116,Admissions_2024_2025!$B:$B,0)),"")</f>
        <v>0</v>
      </c>
      <c r="I116" t="str">
        <f>IFERROR(INDEX(Admissions_2024_2025!I:I,MATCH($B116,Admissions_2024_2025!$B:$B,0)),"")</f>
        <v>B2</v>
      </c>
      <c r="J116">
        <f>IFERROR(INDEX(Admissions_2024_2025!J:J,MATCH($B116,Admissions_2024_2025!$B:$B,0)),"")</f>
        <v>161</v>
      </c>
      <c r="K116">
        <f t="shared" si="5"/>
        <v>64.400000000000006</v>
      </c>
      <c r="L116">
        <f>IFERROR(INDEX(Admissions_2024_2025!L:L,MATCH($B116,Admissions_2024_2025!$B:$B,0)),"")</f>
        <v>21</v>
      </c>
      <c r="M116">
        <f t="shared" si="6"/>
        <v>42</v>
      </c>
      <c r="N116">
        <f t="shared" si="7"/>
        <v>103</v>
      </c>
      <c r="O116">
        <f t="shared" si="8"/>
        <v>72.535211267605632</v>
      </c>
      <c r="P116">
        <f t="shared" si="9"/>
        <v>59.645070422535213</v>
      </c>
      <c r="Q116" t="str">
        <f>IFERROR(INDEX(Admissions_2024_2025!Q:Q,MATCH($B116,Admissions_2024_2025!$B:$B,0)),"")</f>
        <v>Mild spatial bias</v>
      </c>
      <c r="R116">
        <f>IFERROR(INDEX(Admissions_2024_2025!R:R,MATCH($B116,Admissions_2024_2025!$B:$B,0)),"")</f>
        <v>86</v>
      </c>
      <c r="S116">
        <f>IFERROR(INDEX(Admissions_2024_2025!S:S,MATCH($B116,Admissions_2024_2025!$B:$B,0)),"")</f>
        <v>114</v>
      </c>
      <c r="T116">
        <f>IFERROR(INDEX(Admissions_2024_2025!T:T,MATCH($B116,Admissions_2024_2025!$B:$B,0)),"")</f>
        <v>108</v>
      </c>
      <c r="U116">
        <f>IFERROR(INDEX(Admissions_2024_2025!U:U,MATCH($B116,Admissions_2024_2025!$B:$B,0)),"")</f>
        <v>102</v>
      </c>
      <c r="V116">
        <f>IFERROR(INDEX(Admissions_2024_2025!V:V,MATCH($B57,Admissions_2024_2025!$B:$B,0)),"")</f>
        <v>0</v>
      </c>
      <c r="W116" t="str">
        <f>IFERROR(INDEX(Admissions_2024_2025!W:W,MATCH($B116,Admissions_2024_2025!$B:$B,0)),"")</f>
        <v>2024 admissions; 2024 accepted list</v>
      </c>
    </row>
    <row r="117" spans="1:23" x14ac:dyDescent="0.3">
      <c r="A117" t="s">
        <v>298</v>
      </c>
      <c r="B117" t="s">
        <v>303</v>
      </c>
      <c r="C117" t="s">
        <v>304</v>
      </c>
      <c r="D117">
        <f>IFERROR(INDEX(Admissions_2024_2025!D:D,MATCH($B117,Admissions_2024_2025!$B:$B,0)),"")</f>
        <v>0</v>
      </c>
      <c r="E117">
        <f>IFERROR(INDEX(Admissions_2024_2025!E:E,MATCH($B117,Admissions_2024_2025!$B:$B,0)),"")</f>
        <v>0</v>
      </c>
      <c r="F117">
        <f>IFERROR(INDEX(Admissions_2024_2025!F:F,MATCH($B117,Admissions_2024_2025!$B:$B,0)),"")</f>
        <v>0</v>
      </c>
      <c r="G117">
        <f>IFERROR(INDEX(Admissions_2024_2025!G:G,MATCH($B117,Admissions_2024_2025!$B:$B,0)),"")</f>
        <v>0</v>
      </c>
      <c r="H117">
        <f>IFERROR(INDEX(Admissions_2024_2025!H:H,MATCH($B117,Admissions_2024_2025!$B:$B,0)),"")</f>
        <v>0</v>
      </c>
      <c r="I117" t="str">
        <f>IFERROR(INDEX(Admissions_2024_2025!I:I,MATCH($B117,Admissions_2024_2025!$B:$B,0)),"")</f>
        <v>B1</v>
      </c>
      <c r="J117">
        <f>IFERROR(INDEX(Admissions_2024_2025!J:J,MATCH($B117,Admissions_2024_2025!$B:$B,0)),"")</f>
        <v>116</v>
      </c>
      <c r="K117">
        <f t="shared" si="5"/>
        <v>46.400000000000006</v>
      </c>
      <c r="L117">
        <f>IFERROR(INDEX(Admissions_2024_2025!L:L,MATCH($B117,Admissions_2024_2025!$B:$B,0)),"")</f>
        <v>25</v>
      </c>
      <c r="M117">
        <f t="shared" si="6"/>
        <v>50</v>
      </c>
      <c r="N117">
        <f t="shared" si="7"/>
        <v>99</v>
      </c>
      <c r="O117">
        <f t="shared" si="8"/>
        <v>69.718309859154928</v>
      </c>
      <c r="P117">
        <f t="shared" si="9"/>
        <v>55.372769953051638</v>
      </c>
      <c r="Q117" t="str">
        <f>IFERROR(INDEX(Admissions_2024_2025!Q:Q,MATCH($B117,Admissions_2024_2025!$B:$B,0)),"")</f>
        <v>Extreme spatial bias</v>
      </c>
      <c r="R117">
        <f>IFERROR(INDEX(Admissions_2024_2025!R:R,MATCH($B117,Admissions_2024_2025!$B:$B,0)),"")</f>
        <v>68</v>
      </c>
      <c r="S117">
        <f>IFERROR(INDEX(Admissions_2024_2025!S:S,MATCH($B117,Admissions_2024_2025!$B:$B,0)),"")</f>
        <v>103</v>
      </c>
      <c r="T117">
        <f>IFERROR(INDEX(Admissions_2024_2025!T:T,MATCH($B117,Admissions_2024_2025!$B:$B,0)),"")</f>
        <v>119</v>
      </c>
      <c r="U117">
        <f>IFERROR(INDEX(Admissions_2024_2025!U:U,MATCH($B117,Admissions_2024_2025!$B:$B,0)),"")</f>
        <v>104</v>
      </c>
      <c r="V117">
        <f>IFERROR(INDEX(Admissions_2024_2025!V:V,MATCH($B58,Admissions_2024_2025!$B:$B,0)),"")</f>
        <v>0</v>
      </c>
      <c r="W117" t="str">
        <f>IFERROR(INDEX(Admissions_2024_2025!W:W,MATCH($B117,Admissions_2024_2025!$B:$B,0)),"")</f>
        <v>2024 admissions; 2024 accepted list</v>
      </c>
    </row>
    <row r="118" spans="1:23" x14ac:dyDescent="0.3">
      <c r="A118" t="s">
        <v>298</v>
      </c>
      <c r="B118" t="s">
        <v>305</v>
      </c>
      <c r="C118" t="s">
        <v>306</v>
      </c>
      <c r="D118">
        <f>IFERROR(INDEX(Admissions_2024_2025!D:D,MATCH($B118,Admissions_2024_2025!$B:$B,0)),"")</f>
        <v>0</v>
      </c>
      <c r="E118">
        <f>IFERROR(INDEX(Admissions_2024_2025!E:E,MATCH($B118,Admissions_2024_2025!$B:$B,0)),"")</f>
        <v>0</v>
      </c>
      <c r="F118">
        <f>IFERROR(INDEX(Admissions_2024_2025!F:F,MATCH($B118,Admissions_2024_2025!$B:$B,0)),"")</f>
        <v>0</v>
      </c>
      <c r="G118">
        <f>IFERROR(INDEX(Admissions_2024_2025!G:G,MATCH($B118,Admissions_2024_2025!$B:$B,0)),"")</f>
        <v>0</v>
      </c>
      <c r="H118">
        <f>IFERROR(INDEX(Admissions_2024_2025!H:H,MATCH($B118,Admissions_2024_2025!$B:$B,0)),"")</f>
        <v>0</v>
      </c>
      <c r="I118" t="str">
        <f>IFERROR(INDEX(Admissions_2024_2025!I:I,MATCH($B118,Admissions_2024_2025!$B:$B,0)),"")</f>
        <v>B2</v>
      </c>
      <c r="J118">
        <f>IFERROR(INDEX(Admissions_2024_2025!J:J,MATCH($B118,Admissions_2024_2025!$B:$B,0)),"")</f>
        <v>159</v>
      </c>
      <c r="K118">
        <f t="shared" si="5"/>
        <v>63.6</v>
      </c>
      <c r="L118">
        <f>IFERROR(INDEX(Admissions_2024_2025!L:L,MATCH($B118,Admissions_2024_2025!$B:$B,0)),"")</f>
        <v>28</v>
      </c>
      <c r="M118">
        <f t="shared" si="6"/>
        <v>56.000000000000007</v>
      </c>
      <c r="N118">
        <f t="shared" si="7"/>
        <v>104</v>
      </c>
      <c r="O118">
        <f t="shared" si="8"/>
        <v>73.239436619718319</v>
      </c>
      <c r="P118">
        <f t="shared" si="9"/>
        <v>64.279812206572771</v>
      </c>
      <c r="Q118" t="str">
        <f>IFERROR(INDEX(Admissions_2024_2025!Q:Q,MATCH($B118,Admissions_2024_2025!$B:$B,0)),"")</f>
        <v>No bias</v>
      </c>
      <c r="R118">
        <f>IFERROR(INDEX(Admissions_2024_2025!R:R,MATCH($B118,Admissions_2024_2025!$B:$B,0)),"")</f>
        <v>109</v>
      </c>
      <c r="S118">
        <f>IFERROR(INDEX(Admissions_2024_2025!S:S,MATCH($B118,Admissions_2024_2025!$B:$B,0)),"")</f>
        <v>103</v>
      </c>
      <c r="T118">
        <f>IFERROR(INDEX(Admissions_2024_2025!T:T,MATCH($B118,Admissions_2024_2025!$B:$B,0)),"")</f>
        <v>105</v>
      </c>
      <c r="U118">
        <f>IFERROR(INDEX(Admissions_2024_2025!U:U,MATCH($B118,Admissions_2024_2025!$B:$B,0)),"")</f>
        <v>100</v>
      </c>
      <c r="V118">
        <f>IFERROR(INDEX(Admissions_2024_2025!V:V,MATCH($B59,Admissions_2024_2025!$B:$B,0)),"")</f>
        <v>0</v>
      </c>
      <c r="W118" t="str">
        <f>IFERROR(INDEX(Admissions_2024_2025!W:W,MATCH($B118,Admissions_2024_2025!$B:$B,0)),"")</f>
        <v>2024 admissions; 2024 accepted list</v>
      </c>
    </row>
    <row r="119" spans="1:23" x14ac:dyDescent="0.3">
      <c r="A119" t="s">
        <v>298</v>
      </c>
      <c r="B119" t="s">
        <v>307</v>
      </c>
      <c r="C119" t="s">
        <v>308</v>
      </c>
      <c r="D119">
        <f>IFERROR(INDEX(Admissions_2024_2025!D:D,MATCH($B119,Admissions_2024_2025!$B:$B,0)),"")</f>
        <v>0</v>
      </c>
      <c r="E119">
        <f>IFERROR(INDEX(Admissions_2024_2025!E:E,MATCH($B119,Admissions_2024_2025!$B:$B,0)),"")</f>
        <v>0</v>
      </c>
      <c r="F119">
        <f>IFERROR(INDEX(Admissions_2024_2025!F:F,MATCH($B119,Admissions_2024_2025!$B:$B,0)),"")</f>
        <v>0</v>
      </c>
      <c r="G119">
        <f>IFERROR(INDEX(Admissions_2024_2025!G:G,MATCH($B119,Admissions_2024_2025!$B:$B,0)),"")</f>
        <v>0</v>
      </c>
      <c r="H119">
        <f>IFERROR(INDEX(Admissions_2024_2025!H:H,MATCH($B119,Admissions_2024_2025!$B:$B,0)),"")</f>
        <v>0</v>
      </c>
      <c r="I119" t="str">
        <f>IFERROR(INDEX(Admissions_2024_2025!I:I,MATCH($B119,Admissions_2024_2025!$B:$B,0)),"")</f>
        <v>B1</v>
      </c>
      <c r="J119">
        <f>IFERROR(INDEX(Admissions_2024_2025!J:J,MATCH($B119,Admissions_2024_2025!$B:$B,0)),"")</f>
        <v>113</v>
      </c>
      <c r="K119">
        <f t="shared" si="5"/>
        <v>45.2</v>
      </c>
      <c r="L119">
        <f>IFERROR(INDEX(Admissions_2024_2025!L:L,MATCH($B119,Admissions_2024_2025!$B:$B,0)),"")</f>
        <v>22</v>
      </c>
      <c r="M119">
        <f t="shared" si="6"/>
        <v>44</v>
      </c>
      <c r="N119">
        <f t="shared" si="7"/>
        <v>97</v>
      </c>
      <c r="O119">
        <f t="shared" si="8"/>
        <v>68.309859154929569</v>
      </c>
      <c r="P119">
        <f t="shared" si="9"/>
        <v>52.503286384976526</v>
      </c>
      <c r="Q119" t="str">
        <f>IFERROR(INDEX(Admissions_2024_2025!Q:Q,MATCH($B119,Admissions_2024_2025!$B:$B,0)),"")</f>
        <v>Extreme spatial bias</v>
      </c>
      <c r="R119">
        <f>IFERROR(INDEX(Admissions_2024_2025!R:R,MATCH($B119,Admissions_2024_2025!$B:$B,0)),"")</f>
        <v>75</v>
      </c>
      <c r="S119">
        <f>IFERROR(INDEX(Admissions_2024_2025!S:S,MATCH($B119,Admissions_2024_2025!$B:$B,0)),"")</f>
        <v>114</v>
      </c>
      <c r="T119">
        <f>IFERROR(INDEX(Admissions_2024_2025!T:T,MATCH($B119,Admissions_2024_2025!$B:$B,0)),"")</f>
        <v>94</v>
      </c>
      <c r="U119">
        <f>IFERROR(INDEX(Admissions_2024_2025!U:U,MATCH($B119,Admissions_2024_2025!$B:$B,0)),"")</f>
        <v>104</v>
      </c>
      <c r="V119">
        <f>IFERROR(INDEX(Admissions_2024_2025!V:V,MATCH($B60,Admissions_2024_2025!$B:$B,0)),"")</f>
        <v>0</v>
      </c>
      <c r="W119" t="str">
        <f>IFERROR(INDEX(Admissions_2024_2025!W:W,MATCH($B119,Admissions_2024_2025!$B:$B,0)),"")</f>
        <v>2024 admissions; 2024 accepted list</v>
      </c>
    </row>
    <row r="120" spans="1:23" x14ac:dyDescent="0.3">
      <c r="A120" t="s">
        <v>298</v>
      </c>
      <c r="B120" t="s">
        <v>309</v>
      </c>
      <c r="C120" t="s">
        <v>310</v>
      </c>
      <c r="D120">
        <f>IFERROR(INDEX(Admissions_2024_2025!D:D,MATCH($B120,Admissions_2024_2025!$B:$B,0)),"")</f>
        <v>0</v>
      </c>
      <c r="E120">
        <f>IFERROR(INDEX(Admissions_2024_2025!E:E,MATCH($B120,Admissions_2024_2025!$B:$B,0)),"")</f>
        <v>0</v>
      </c>
      <c r="F120">
        <f>IFERROR(INDEX(Admissions_2024_2025!F:F,MATCH($B120,Admissions_2024_2025!$B:$B,0)),"")</f>
        <v>0</v>
      </c>
      <c r="G120">
        <f>IFERROR(INDEX(Admissions_2024_2025!G:G,MATCH($B120,Admissions_2024_2025!$B:$B,0)),"")</f>
        <v>0</v>
      </c>
      <c r="H120">
        <f>IFERROR(INDEX(Admissions_2024_2025!H:H,MATCH($B120,Admissions_2024_2025!$B:$B,0)),"")</f>
        <v>0</v>
      </c>
      <c r="I120" t="str">
        <f>IFERROR(INDEX(Admissions_2024_2025!I:I,MATCH($B120,Admissions_2024_2025!$B:$B,0)),"")</f>
        <v>B2</v>
      </c>
      <c r="J120">
        <f>IFERROR(INDEX(Admissions_2024_2025!J:J,MATCH($B120,Admissions_2024_2025!$B:$B,0)),"")</f>
        <v>161</v>
      </c>
      <c r="K120">
        <f t="shared" si="5"/>
        <v>64.400000000000006</v>
      </c>
      <c r="L120">
        <f>IFERROR(INDEX(Admissions_2024_2025!L:L,MATCH($B120,Admissions_2024_2025!$B:$B,0)),"")</f>
        <v>26</v>
      </c>
      <c r="M120">
        <f t="shared" si="6"/>
        <v>52</v>
      </c>
      <c r="N120">
        <f t="shared" si="7"/>
        <v>100</v>
      </c>
      <c r="O120">
        <f t="shared" si="8"/>
        <v>70.422535211267601</v>
      </c>
      <c r="P120">
        <f t="shared" si="9"/>
        <v>62.274178403755876</v>
      </c>
      <c r="Q120" t="str">
        <f>IFERROR(INDEX(Admissions_2024_2025!Q:Q,MATCH($B120,Admissions_2024_2025!$B:$B,0)),"")</f>
        <v>Moderate spatial bias</v>
      </c>
      <c r="R120">
        <f>IFERROR(INDEX(Admissions_2024_2025!R:R,MATCH($B120,Admissions_2024_2025!$B:$B,0)),"")</f>
        <v>86</v>
      </c>
      <c r="S120">
        <f>IFERROR(INDEX(Admissions_2024_2025!S:S,MATCH($B120,Admissions_2024_2025!$B:$B,0)),"")</f>
        <v>103</v>
      </c>
      <c r="T120">
        <f>IFERROR(INDEX(Admissions_2024_2025!T:T,MATCH($B120,Admissions_2024_2025!$B:$B,0)),"")</f>
        <v>108</v>
      </c>
      <c r="U120">
        <f>IFERROR(INDEX(Admissions_2024_2025!U:U,MATCH($B120,Admissions_2024_2025!$B:$B,0)),"")</f>
        <v>104</v>
      </c>
      <c r="V120">
        <f>IFERROR(INDEX(Admissions_2024_2025!V:V,MATCH($B61,Admissions_2024_2025!$B:$B,0)),"")</f>
        <v>0</v>
      </c>
      <c r="W120" t="str">
        <f>IFERROR(INDEX(Admissions_2024_2025!W:W,MATCH($B120,Admissions_2024_2025!$B:$B,0)),"")</f>
        <v>2024 admissions; 2024 accepted list</v>
      </c>
    </row>
    <row r="121" spans="1:23" x14ac:dyDescent="0.3">
      <c r="A121" t="s">
        <v>298</v>
      </c>
      <c r="B121" t="s">
        <v>311</v>
      </c>
      <c r="C121" t="s">
        <v>312</v>
      </c>
      <c r="D121">
        <f>IFERROR(INDEX(Admissions_2024_2025!D:D,MATCH($B121,Admissions_2024_2025!$B:$B,0)),"")</f>
        <v>0</v>
      </c>
      <c r="E121">
        <f>IFERROR(INDEX(Admissions_2024_2025!E:E,MATCH($B121,Admissions_2024_2025!$B:$B,0)),"")</f>
        <v>0</v>
      </c>
      <c r="F121">
        <f>IFERROR(INDEX(Admissions_2024_2025!F:F,MATCH($B121,Admissions_2024_2025!$B:$B,0)),"")</f>
        <v>0</v>
      </c>
      <c r="G121">
        <f>IFERROR(INDEX(Admissions_2024_2025!G:G,MATCH($B121,Admissions_2024_2025!$B:$B,0)),"")</f>
        <v>0</v>
      </c>
      <c r="H121">
        <f>IFERROR(INDEX(Admissions_2024_2025!H:H,MATCH($B121,Admissions_2024_2025!$B:$B,0)),"")</f>
        <v>0</v>
      </c>
      <c r="I121" t="str">
        <f>IFERROR(INDEX(Admissions_2024_2025!I:I,MATCH($B121,Admissions_2024_2025!$B:$B,0)),"")</f>
        <v>B2</v>
      </c>
      <c r="J121">
        <f>IFERROR(INDEX(Admissions_2024_2025!J:J,MATCH($B121,Admissions_2024_2025!$B:$B,0)),"")</f>
        <v>145</v>
      </c>
      <c r="K121">
        <f t="shared" si="5"/>
        <v>57.999999999999993</v>
      </c>
      <c r="L121">
        <f>IFERROR(INDEX(Admissions_2024_2025!L:L,MATCH($B121,Admissions_2024_2025!$B:$B,0)),"")</f>
        <v>18</v>
      </c>
      <c r="M121">
        <f t="shared" si="6"/>
        <v>36</v>
      </c>
      <c r="N121">
        <f t="shared" si="7"/>
        <v>98</v>
      </c>
      <c r="O121">
        <f t="shared" si="8"/>
        <v>69.014084507042256</v>
      </c>
      <c r="P121">
        <f t="shared" si="9"/>
        <v>54.338028169014081</v>
      </c>
      <c r="Q121" t="str">
        <f>IFERROR(INDEX(Admissions_2024_2025!Q:Q,MATCH($B121,Admissions_2024_2025!$B:$B,0)),"")</f>
        <v>Extreme spatial bias</v>
      </c>
      <c r="R121">
        <f>IFERROR(INDEX(Admissions_2024_2025!R:R,MATCH($B121,Admissions_2024_2025!$B:$B,0)),"")</f>
        <v>80</v>
      </c>
      <c r="S121">
        <f>IFERROR(INDEX(Admissions_2024_2025!S:S,MATCH($B121,Admissions_2024_2025!$B:$B,0)),"")</f>
        <v>106</v>
      </c>
      <c r="T121">
        <f>IFERROR(INDEX(Admissions_2024_2025!T:T,MATCH($B121,Admissions_2024_2025!$B:$B,0)),"")</f>
        <v>101</v>
      </c>
      <c r="U121">
        <f>IFERROR(INDEX(Admissions_2024_2025!U:U,MATCH($B121,Admissions_2024_2025!$B:$B,0)),"")</f>
        <v>105</v>
      </c>
      <c r="V121">
        <f>IFERROR(INDEX(Admissions_2024_2025!V:V,MATCH($B62,Admissions_2024_2025!$B:$B,0)),"")</f>
        <v>0</v>
      </c>
      <c r="W121" t="str">
        <f>IFERROR(INDEX(Admissions_2024_2025!W:W,MATCH($B121,Admissions_2024_2025!$B:$B,0)),"")</f>
        <v>2024 admissions; 2024 accepted list</v>
      </c>
    </row>
    <row r="122" spans="1:23" x14ac:dyDescent="0.3">
      <c r="A122" t="s">
        <v>298</v>
      </c>
      <c r="B122" t="s">
        <v>313</v>
      </c>
      <c r="C122" t="s">
        <v>314</v>
      </c>
      <c r="D122">
        <f>IFERROR(INDEX(Admissions_2024_2025!D:D,MATCH($B122,Admissions_2024_2025!$B:$B,0)),"")</f>
        <v>0</v>
      </c>
      <c r="E122">
        <f>IFERROR(INDEX(Admissions_2024_2025!E:E,MATCH($B122,Admissions_2024_2025!$B:$B,0)),"")</f>
        <v>0</v>
      </c>
      <c r="F122">
        <f>IFERROR(INDEX(Admissions_2024_2025!F:F,MATCH($B122,Admissions_2024_2025!$B:$B,0)),"")</f>
        <v>0</v>
      </c>
      <c r="G122">
        <f>IFERROR(INDEX(Admissions_2024_2025!G:G,MATCH($B122,Admissions_2024_2025!$B:$B,0)),"")</f>
        <v>0</v>
      </c>
      <c r="H122">
        <f>IFERROR(INDEX(Admissions_2024_2025!H:H,MATCH($B122,Admissions_2024_2025!$B:$B,0)),"")</f>
        <v>0</v>
      </c>
      <c r="I122" t="str">
        <f>IFERROR(INDEX(Admissions_2024_2025!I:I,MATCH($B122,Admissions_2024_2025!$B:$B,0)),"")</f>
        <v>B1</v>
      </c>
      <c r="J122">
        <f>IFERROR(INDEX(Admissions_2024_2025!J:J,MATCH($B122,Admissions_2024_2025!$B:$B,0)),"")</f>
        <v>125</v>
      </c>
      <c r="K122">
        <f t="shared" si="5"/>
        <v>50</v>
      </c>
      <c r="L122">
        <f>IFERROR(INDEX(Admissions_2024_2025!L:L,MATCH($B122,Admissions_2024_2025!$B:$B,0)),"")</f>
        <v>22</v>
      </c>
      <c r="M122">
        <f t="shared" si="6"/>
        <v>44</v>
      </c>
      <c r="N122">
        <f t="shared" si="7"/>
        <v>92</v>
      </c>
      <c r="O122">
        <f t="shared" si="8"/>
        <v>64.788732394366207</v>
      </c>
      <c r="P122">
        <f t="shared" si="9"/>
        <v>52.929577464788736</v>
      </c>
      <c r="Q122" t="str">
        <f>IFERROR(INDEX(Admissions_2024_2025!Q:Q,MATCH($B122,Admissions_2024_2025!$B:$B,0)),"")</f>
        <v>Moderate spatial bias</v>
      </c>
      <c r="R122">
        <f>IFERROR(INDEX(Admissions_2024_2025!R:R,MATCH($B122,Admissions_2024_2025!$B:$B,0)),"")</f>
        <v>78</v>
      </c>
      <c r="S122">
        <f>IFERROR(INDEX(Admissions_2024_2025!S:S,MATCH($B122,Admissions_2024_2025!$B:$B,0)),"")</f>
        <v>98</v>
      </c>
      <c r="T122">
        <f>IFERROR(INDEX(Admissions_2024_2025!T:T,MATCH($B122,Admissions_2024_2025!$B:$B,0)),"")</f>
        <v>92</v>
      </c>
      <c r="U122">
        <f>IFERROR(INDEX(Admissions_2024_2025!U:U,MATCH($B122,Admissions_2024_2025!$B:$B,0)),"")</f>
        <v>100</v>
      </c>
      <c r="V122">
        <f>IFERROR(INDEX(Admissions_2024_2025!V:V,MATCH($B63,Admissions_2024_2025!$B:$B,0)),"")</f>
        <v>0</v>
      </c>
      <c r="W122" t="str">
        <f>IFERROR(INDEX(Admissions_2024_2025!W:W,MATCH($B122,Admissions_2024_2025!$B:$B,0)),"")</f>
        <v>2024 admissions; 2024 accepted list</v>
      </c>
    </row>
    <row r="123" spans="1:23" x14ac:dyDescent="0.3">
      <c r="A123" t="s">
        <v>298</v>
      </c>
      <c r="B123" t="s">
        <v>315</v>
      </c>
      <c r="C123" t="s">
        <v>316</v>
      </c>
      <c r="D123">
        <f>IFERROR(INDEX(Admissions_2024_2025!D:D,MATCH($B123,Admissions_2024_2025!$B:$B,0)),"")</f>
        <v>0</v>
      </c>
      <c r="E123">
        <f>IFERROR(INDEX(Admissions_2024_2025!E:E,MATCH($B123,Admissions_2024_2025!$B:$B,0)),"")</f>
        <v>0</v>
      </c>
      <c r="F123">
        <f>IFERROR(INDEX(Admissions_2024_2025!F:F,MATCH($B123,Admissions_2024_2025!$B:$B,0)),"")</f>
        <v>0</v>
      </c>
      <c r="G123">
        <f>IFERROR(INDEX(Admissions_2024_2025!G:G,MATCH($B123,Admissions_2024_2025!$B:$B,0)),"")</f>
        <v>0</v>
      </c>
      <c r="H123">
        <f>IFERROR(INDEX(Admissions_2024_2025!H:H,MATCH($B123,Admissions_2024_2025!$B:$B,0)),"")</f>
        <v>0</v>
      </c>
      <c r="I123" t="str">
        <f>IFERROR(INDEX(Admissions_2024_2025!I:I,MATCH($B123,Admissions_2024_2025!$B:$B,0)),"")</f>
        <v>B2</v>
      </c>
      <c r="J123">
        <f>IFERROR(INDEX(Admissions_2024_2025!J:J,MATCH($B123,Admissions_2024_2025!$B:$B,0)),"")</f>
        <v>147</v>
      </c>
      <c r="K123">
        <f t="shared" si="5"/>
        <v>58.8</v>
      </c>
      <c r="L123">
        <f>IFERROR(INDEX(Admissions_2024_2025!L:L,MATCH($B123,Admissions_2024_2025!$B:$B,0)),"")</f>
        <v>19</v>
      </c>
      <c r="M123">
        <f t="shared" si="6"/>
        <v>38</v>
      </c>
      <c r="N123">
        <f t="shared" si="7"/>
        <v>96</v>
      </c>
      <c r="O123">
        <f t="shared" si="8"/>
        <v>67.605633802816897</v>
      </c>
      <c r="P123">
        <f t="shared" si="9"/>
        <v>54.801877934272305</v>
      </c>
      <c r="Q123" t="str">
        <f>IFERROR(INDEX(Admissions_2024_2025!Q:Q,MATCH($B123,Admissions_2024_2025!$B:$B,0)),"")</f>
        <v>No bias</v>
      </c>
      <c r="R123">
        <f>IFERROR(INDEX(Admissions_2024_2025!R:R,MATCH($B123,Admissions_2024_2025!$B:$B,0)),"")</f>
        <v>89</v>
      </c>
      <c r="S123">
        <f>IFERROR(INDEX(Admissions_2024_2025!S:S,MATCH($B123,Admissions_2024_2025!$B:$B,0)),"")</f>
        <v>100</v>
      </c>
      <c r="T123">
        <f>IFERROR(INDEX(Admissions_2024_2025!T:T,MATCH($B123,Admissions_2024_2025!$B:$B,0)),"")</f>
        <v>92</v>
      </c>
      <c r="U123">
        <f>IFERROR(INDEX(Admissions_2024_2025!U:U,MATCH($B123,Admissions_2024_2025!$B:$B,0)),"")</f>
        <v>102</v>
      </c>
      <c r="V123">
        <f>IFERROR(INDEX(Admissions_2024_2025!V:V,MATCH($B64,Admissions_2024_2025!$B:$B,0)),"")</f>
        <v>0</v>
      </c>
      <c r="W123" t="str">
        <f>IFERROR(INDEX(Admissions_2024_2025!W:W,MATCH($B123,Admissions_2024_2025!$B:$B,0)),"")</f>
        <v>2024 admissions; 2024 accepted list</v>
      </c>
    </row>
    <row r="124" spans="1:23" x14ac:dyDescent="0.3">
      <c r="A124" t="s">
        <v>298</v>
      </c>
      <c r="B124" t="s">
        <v>317</v>
      </c>
      <c r="C124" t="s">
        <v>318</v>
      </c>
      <c r="D124">
        <f>IFERROR(INDEX(Admissions_2024_2025!D:D,MATCH($B124,Admissions_2024_2025!$B:$B,0)),"")</f>
        <v>0</v>
      </c>
      <c r="E124">
        <f>IFERROR(INDEX(Admissions_2024_2025!E:E,MATCH($B124,Admissions_2024_2025!$B:$B,0)),"")</f>
        <v>0</v>
      </c>
      <c r="F124">
        <f>IFERROR(INDEX(Admissions_2024_2025!F:F,MATCH($B124,Admissions_2024_2025!$B:$B,0)),"")</f>
        <v>0</v>
      </c>
      <c r="G124">
        <f>IFERROR(INDEX(Admissions_2024_2025!G:G,MATCH($B124,Admissions_2024_2025!$B:$B,0)),"")</f>
        <v>0</v>
      </c>
      <c r="H124">
        <f>IFERROR(INDEX(Admissions_2024_2025!H:H,MATCH($B124,Admissions_2024_2025!$B:$B,0)),"")</f>
        <v>0</v>
      </c>
      <c r="I124" t="str">
        <f>IFERROR(INDEX(Admissions_2024_2025!I:I,MATCH($B124,Admissions_2024_2025!$B:$B,0)),"")</f>
        <v>B1</v>
      </c>
      <c r="J124">
        <f>IFERROR(INDEX(Admissions_2024_2025!J:J,MATCH($B124,Admissions_2024_2025!$B:$B,0)),"")</f>
        <v>140</v>
      </c>
      <c r="K124">
        <f t="shared" si="5"/>
        <v>56.000000000000007</v>
      </c>
      <c r="L124">
        <f>IFERROR(INDEX(Admissions_2024_2025!L:L,MATCH($B124,Admissions_2024_2025!$B:$B,0)),"")</f>
        <v>23</v>
      </c>
      <c r="M124">
        <f t="shared" si="6"/>
        <v>46</v>
      </c>
      <c r="N124">
        <f t="shared" si="7"/>
        <v>102</v>
      </c>
      <c r="O124">
        <f t="shared" si="8"/>
        <v>71.83098591549296</v>
      </c>
      <c r="P124">
        <f t="shared" si="9"/>
        <v>57.943661971830984</v>
      </c>
      <c r="Q124" t="str">
        <f>IFERROR(INDEX(Admissions_2024_2025!Q:Q,MATCH($B124,Admissions_2024_2025!$B:$B,0)),"")</f>
        <v>Moderate spatial bias</v>
      </c>
      <c r="R124">
        <f>IFERROR(INDEX(Admissions_2024_2025!R:R,MATCH($B124,Admissions_2024_2025!$B:$B,0)),"")</f>
        <v>83</v>
      </c>
      <c r="S124">
        <f>IFERROR(INDEX(Admissions_2024_2025!S:S,MATCH($B124,Admissions_2024_2025!$B:$B,0)),"")</f>
        <v>106</v>
      </c>
      <c r="T124">
        <f>IFERROR(INDEX(Admissions_2024_2025!T:T,MATCH($B124,Admissions_2024_2025!$B:$B,0)),"")</f>
        <v>110</v>
      </c>
      <c r="U124">
        <f>IFERROR(INDEX(Admissions_2024_2025!U:U,MATCH($B124,Admissions_2024_2025!$B:$B,0)),"")</f>
        <v>107</v>
      </c>
      <c r="V124">
        <f>IFERROR(INDEX(Admissions_2024_2025!V:V,MATCH($B65,Admissions_2024_2025!$B:$B,0)),"")</f>
        <v>0</v>
      </c>
      <c r="W124" t="str">
        <f>IFERROR(INDEX(Admissions_2024_2025!W:W,MATCH($B124,Admissions_2024_2025!$B:$B,0)),"")</f>
        <v>2024 admissions; 2024 accepted list</v>
      </c>
    </row>
    <row r="125" spans="1:23" x14ac:dyDescent="0.3">
      <c r="A125" t="s">
        <v>298</v>
      </c>
      <c r="B125" t="s">
        <v>319</v>
      </c>
      <c r="C125" t="s">
        <v>320</v>
      </c>
      <c r="D125">
        <f>IFERROR(INDEX(Admissions_2024_2025!D:D,MATCH($B125,Admissions_2024_2025!$B:$B,0)),"")</f>
        <v>0</v>
      </c>
      <c r="E125">
        <f>IFERROR(INDEX(Admissions_2024_2025!E:E,MATCH($B125,Admissions_2024_2025!$B:$B,0)),"")</f>
        <v>0</v>
      </c>
      <c r="F125">
        <f>IFERROR(INDEX(Admissions_2024_2025!F:F,MATCH($B125,Admissions_2024_2025!$B:$B,0)),"")</f>
        <v>0</v>
      </c>
      <c r="G125">
        <f>IFERROR(INDEX(Admissions_2024_2025!G:G,MATCH($B125,Admissions_2024_2025!$B:$B,0)),"")</f>
        <v>0</v>
      </c>
      <c r="H125">
        <f>IFERROR(INDEX(Admissions_2024_2025!H:H,MATCH($B125,Admissions_2024_2025!$B:$B,0)),"")</f>
        <v>0</v>
      </c>
      <c r="I125" t="str">
        <f>IFERROR(INDEX(Admissions_2024_2025!I:I,MATCH($B125,Admissions_2024_2025!$B:$B,0)),"")</f>
        <v>B2</v>
      </c>
      <c r="J125">
        <f>IFERROR(INDEX(Admissions_2024_2025!J:J,MATCH($B125,Admissions_2024_2025!$B:$B,0)),"")</f>
        <v>162</v>
      </c>
      <c r="K125">
        <f t="shared" si="5"/>
        <v>64.8</v>
      </c>
      <c r="L125">
        <f>IFERROR(INDEX(Admissions_2024_2025!L:L,MATCH($B125,Admissions_2024_2025!$B:$B,0)),"")</f>
        <v>30</v>
      </c>
      <c r="M125">
        <f t="shared" si="6"/>
        <v>60</v>
      </c>
      <c r="N125">
        <f t="shared" si="7"/>
        <v>100</v>
      </c>
      <c r="O125">
        <f t="shared" si="8"/>
        <v>70.422535211267601</v>
      </c>
      <c r="P125">
        <f t="shared" si="9"/>
        <v>65.074178403755866</v>
      </c>
      <c r="Q125" t="str">
        <f>IFERROR(INDEX(Admissions_2024_2025!Q:Q,MATCH($B125,Admissions_2024_2025!$B:$B,0)),"")</f>
        <v>No bias</v>
      </c>
      <c r="R125">
        <f>IFERROR(INDEX(Admissions_2024_2025!R:R,MATCH($B125,Admissions_2024_2025!$B:$B,0)),"")</f>
        <v>95</v>
      </c>
      <c r="S125">
        <f>IFERROR(INDEX(Admissions_2024_2025!S:S,MATCH($B125,Admissions_2024_2025!$B:$B,0)),"")</f>
        <v>106</v>
      </c>
      <c r="T125">
        <f>IFERROR(INDEX(Admissions_2024_2025!T:T,MATCH($B125,Admissions_2024_2025!$B:$B,0)),"")</f>
        <v>101</v>
      </c>
      <c r="U125">
        <f>IFERROR(INDEX(Admissions_2024_2025!U:U,MATCH($B125,Admissions_2024_2025!$B:$B,0)),"")</f>
        <v>97</v>
      </c>
      <c r="V125">
        <f>IFERROR(INDEX(Admissions_2024_2025!V:V,MATCH($B66,Admissions_2024_2025!$B:$B,0)),"")</f>
        <v>0</v>
      </c>
      <c r="W125" t="str">
        <f>IFERROR(INDEX(Admissions_2024_2025!W:W,MATCH($B125,Admissions_2024_2025!$B:$B,0)),"")</f>
        <v>2024 admissions; 2024 accepted list</v>
      </c>
    </row>
    <row r="126" spans="1:23" x14ac:dyDescent="0.3">
      <c r="A126" t="s">
        <v>298</v>
      </c>
      <c r="B126" t="s">
        <v>321</v>
      </c>
      <c r="C126" t="s">
        <v>322</v>
      </c>
      <c r="D126">
        <f>IFERROR(INDEX(Admissions_2024_2025!D:D,MATCH($B126,Admissions_2024_2025!$B:$B,0)),"")</f>
        <v>0</v>
      </c>
      <c r="E126">
        <f>IFERROR(INDEX(Admissions_2024_2025!E:E,MATCH($B126,Admissions_2024_2025!$B:$B,0)),"")</f>
        <v>0</v>
      </c>
      <c r="F126">
        <f>IFERROR(INDEX(Admissions_2024_2025!F:F,MATCH($B126,Admissions_2024_2025!$B:$B,0)),"")</f>
        <v>0</v>
      </c>
      <c r="G126">
        <f>IFERROR(INDEX(Admissions_2024_2025!G:G,MATCH($B126,Admissions_2024_2025!$B:$B,0)),"")</f>
        <v>0</v>
      </c>
      <c r="H126">
        <f>IFERROR(INDEX(Admissions_2024_2025!H:H,MATCH($B126,Admissions_2024_2025!$B:$B,0)),"")</f>
        <v>0</v>
      </c>
      <c r="I126" t="str">
        <f>IFERROR(INDEX(Admissions_2024_2025!I:I,MATCH($B126,Admissions_2024_2025!$B:$B,0)),"")</f>
        <v>B2</v>
      </c>
      <c r="J126">
        <f>IFERROR(INDEX(Admissions_2024_2025!J:J,MATCH($B126,Admissions_2024_2025!$B:$B,0)),"")</f>
        <v>159</v>
      </c>
      <c r="K126">
        <f t="shared" si="5"/>
        <v>63.6</v>
      </c>
      <c r="L126">
        <f>IFERROR(INDEX(Admissions_2024_2025!L:L,MATCH($B126,Admissions_2024_2025!$B:$B,0)),"")</f>
        <v>26</v>
      </c>
      <c r="M126">
        <f t="shared" si="6"/>
        <v>52</v>
      </c>
      <c r="N126">
        <f t="shared" si="7"/>
        <v>110</v>
      </c>
      <c r="O126">
        <f t="shared" si="8"/>
        <v>77.464788732394368</v>
      </c>
      <c r="P126">
        <f t="shared" si="9"/>
        <v>64.354929577464787</v>
      </c>
      <c r="Q126" t="str">
        <f>IFERROR(INDEX(Admissions_2024_2025!Q:Q,MATCH($B126,Admissions_2024_2025!$B:$B,0)),"")</f>
        <v>No bias</v>
      </c>
      <c r="R126">
        <f>IFERROR(INDEX(Admissions_2024_2025!R:R,MATCH($B126,Admissions_2024_2025!$B:$B,0)),"")</f>
        <v>98</v>
      </c>
      <c r="S126">
        <f>IFERROR(INDEX(Admissions_2024_2025!S:S,MATCH($B126,Admissions_2024_2025!$B:$B,0)),"")</f>
        <v>128</v>
      </c>
      <c r="T126">
        <f>IFERROR(INDEX(Admissions_2024_2025!T:T,MATCH($B126,Admissions_2024_2025!$B:$B,0)),"")</f>
        <v>119</v>
      </c>
      <c r="U126">
        <f>IFERROR(INDEX(Admissions_2024_2025!U:U,MATCH($B126,Admissions_2024_2025!$B:$B,0)),"")</f>
        <v>95</v>
      </c>
      <c r="V126">
        <f>IFERROR(INDEX(Admissions_2024_2025!V:V,MATCH($B67,Admissions_2024_2025!$B:$B,0)),"")</f>
        <v>0</v>
      </c>
      <c r="W126" t="str">
        <f>IFERROR(INDEX(Admissions_2024_2025!W:W,MATCH($B126,Admissions_2024_2025!$B:$B,0)),"")</f>
        <v>2024 admissions; 2024 accepted list</v>
      </c>
    </row>
    <row r="127" spans="1:23" x14ac:dyDescent="0.3">
      <c r="A127" t="s">
        <v>298</v>
      </c>
      <c r="B127" t="s">
        <v>323</v>
      </c>
      <c r="C127" t="s">
        <v>324</v>
      </c>
      <c r="D127">
        <f>IFERROR(INDEX(Admissions_2024_2025!D:D,MATCH($B127,Admissions_2024_2025!$B:$B,0)),"")</f>
        <v>0</v>
      </c>
      <c r="E127">
        <f>IFERROR(INDEX(Admissions_2024_2025!E:E,MATCH($B127,Admissions_2024_2025!$B:$B,0)),"")</f>
        <v>0</v>
      </c>
      <c r="F127">
        <f>IFERROR(INDEX(Admissions_2024_2025!F:F,MATCH($B127,Admissions_2024_2025!$B:$B,0)),"")</f>
        <v>0</v>
      </c>
      <c r="G127">
        <f>IFERROR(INDEX(Admissions_2024_2025!G:G,MATCH($B127,Admissions_2024_2025!$B:$B,0)),"")</f>
        <v>0</v>
      </c>
      <c r="H127">
        <f>IFERROR(INDEX(Admissions_2024_2025!H:H,MATCH($B127,Admissions_2024_2025!$B:$B,0)),"")</f>
        <v>0</v>
      </c>
      <c r="I127" t="str">
        <f>IFERROR(INDEX(Admissions_2024_2025!I:I,MATCH($B127,Admissions_2024_2025!$B:$B,0)),"")</f>
        <v>B1</v>
      </c>
      <c r="J127">
        <f>IFERROR(INDEX(Admissions_2024_2025!J:J,MATCH($B127,Admissions_2024_2025!$B:$B,0)),"")</f>
        <v>134</v>
      </c>
      <c r="K127">
        <f t="shared" si="5"/>
        <v>53.6</v>
      </c>
      <c r="L127">
        <f>IFERROR(INDEX(Admissions_2024_2025!L:L,MATCH($B127,Admissions_2024_2025!$B:$B,0)),"")</f>
        <v>19</v>
      </c>
      <c r="M127">
        <f t="shared" si="6"/>
        <v>38</v>
      </c>
      <c r="N127">
        <f t="shared" si="7"/>
        <v>91</v>
      </c>
      <c r="O127">
        <f t="shared" si="8"/>
        <v>64.08450704225352</v>
      </c>
      <c r="P127">
        <f t="shared" si="9"/>
        <v>51.894835680751179</v>
      </c>
      <c r="Q127" t="str">
        <f>IFERROR(INDEX(Admissions_2024_2025!Q:Q,MATCH($B127,Admissions_2024_2025!$B:$B,0)),"")</f>
        <v>No bias</v>
      </c>
      <c r="R127">
        <f>IFERROR(INDEX(Admissions_2024_2025!R:R,MATCH($B127,Admissions_2024_2025!$B:$B,0)),"")</f>
        <v>78</v>
      </c>
      <c r="S127">
        <f>IFERROR(INDEX(Admissions_2024_2025!S:S,MATCH($B127,Admissions_2024_2025!$B:$B,0)),"")</f>
        <v>92</v>
      </c>
      <c r="T127">
        <f>IFERROR(INDEX(Admissions_2024_2025!T:T,MATCH($B127,Admissions_2024_2025!$B:$B,0)),"")</f>
        <v>112</v>
      </c>
      <c r="U127">
        <f>IFERROR(INDEX(Admissions_2024_2025!U:U,MATCH($B127,Admissions_2024_2025!$B:$B,0)),"")</f>
        <v>80</v>
      </c>
      <c r="V127">
        <f>IFERROR(INDEX(Admissions_2024_2025!V:V,MATCH($B68,Admissions_2024_2025!$B:$B,0)),"")</f>
        <v>0</v>
      </c>
      <c r="W127" t="str">
        <f>IFERROR(INDEX(Admissions_2024_2025!W:W,MATCH($B127,Admissions_2024_2025!$B:$B,0)),"")</f>
        <v>2024 admissions; 2024 accepted list</v>
      </c>
    </row>
    <row r="128" spans="1:23" x14ac:dyDescent="0.3">
      <c r="A128" t="s">
        <v>298</v>
      </c>
      <c r="B128" t="s">
        <v>325</v>
      </c>
      <c r="C128" t="s">
        <v>326</v>
      </c>
      <c r="D128">
        <f>IFERROR(INDEX(Admissions_2024_2025!D:D,MATCH($B128,Admissions_2024_2025!$B:$B,0)),"")</f>
        <v>0</v>
      </c>
      <c r="E128">
        <f>IFERROR(INDEX(Admissions_2024_2025!E:E,MATCH($B128,Admissions_2024_2025!$B:$B,0)),"")</f>
        <v>0</v>
      </c>
      <c r="F128">
        <f>IFERROR(INDEX(Admissions_2024_2025!F:F,MATCH($B128,Admissions_2024_2025!$B:$B,0)),"")</f>
        <v>0</v>
      </c>
      <c r="G128">
        <f>IFERROR(INDEX(Admissions_2024_2025!G:G,MATCH($B128,Admissions_2024_2025!$B:$B,0)),"")</f>
        <v>0</v>
      </c>
      <c r="H128">
        <f>IFERROR(INDEX(Admissions_2024_2025!H:H,MATCH($B128,Admissions_2024_2025!$B:$B,0)),"")</f>
        <v>0</v>
      </c>
      <c r="I128" t="str">
        <f>IFERROR(INDEX(Admissions_2024_2025!I:I,MATCH($B128,Admissions_2024_2025!$B:$B,0)),"")</f>
        <v>B2</v>
      </c>
      <c r="J128">
        <f>IFERROR(INDEX(Admissions_2024_2025!J:J,MATCH($B128,Admissions_2024_2025!$B:$B,0)),"")</f>
        <v>160</v>
      </c>
      <c r="K128">
        <f t="shared" si="5"/>
        <v>64</v>
      </c>
      <c r="L128">
        <f>IFERROR(INDEX(Admissions_2024_2025!L:L,MATCH($B128,Admissions_2024_2025!$B:$B,0)),"")</f>
        <v>26</v>
      </c>
      <c r="M128">
        <f t="shared" si="6"/>
        <v>52</v>
      </c>
      <c r="N128">
        <f t="shared" si="7"/>
        <v>101</v>
      </c>
      <c r="O128">
        <f t="shared" si="8"/>
        <v>71.126760563380287</v>
      </c>
      <c r="P128">
        <f t="shared" si="9"/>
        <v>62.375586854460096</v>
      </c>
      <c r="Q128" t="str">
        <f>IFERROR(INDEX(Admissions_2024_2025!Q:Q,MATCH($B128,Admissions_2024_2025!$B:$B,0)),"")</f>
        <v>Mild spatial bias</v>
      </c>
      <c r="R128">
        <f>IFERROR(INDEX(Admissions_2024_2025!R:R,MATCH($B128,Admissions_2024_2025!$B:$B,0)),"")</f>
        <v>82</v>
      </c>
      <c r="S128">
        <f>IFERROR(INDEX(Admissions_2024_2025!S:S,MATCH($B128,Admissions_2024_2025!$B:$B,0)),"")</f>
        <v>114</v>
      </c>
      <c r="T128">
        <f>IFERROR(INDEX(Admissions_2024_2025!T:T,MATCH($B128,Admissions_2024_2025!$B:$B,0)),"")</f>
        <v>105</v>
      </c>
      <c r="U128">
        <f>IFERROR(INDEX(Admissions_2024_2025!U:U,MATCH($B128,Admissions_2024_2025!$B:$B,0)),"")</f>
        <v>102</v>
      </c>
      <c r="V128">
        <f>IFERROR(INDEX(Admissions_2024_2025!V:V,MATCH($B69,Admissions_2024_2025!$B:$B,0)),"")</f>
        <v>0</v>
      </c>
      <c r="W128" t="str">
        <f>IFERROR(INDEX(Admissions_2024_2025!W:W,MATCH($B128,Admissions_2024_2025!$B:$B,0)),"")</f>
        <v>2024 admissions; 2024 accepted list</v>
      </c>
    </row>
    <row r="129" spans="1:23" x14ac:dyDescent="0.3">
      <c r="A129" t="s">
        <v>298</v>
      </c>
      <c r="B129" t="s">
        <v>327</v>
      </c>
      <c r="C129" t="s">
        <v>328</v>
      </c>
      <c r="D129">
        <f>IFERROR(INDEX(Admissions_2024_2025!D:D,MATCH($B129,Admissions_2024_2025!$B:$B,0)),"")</f>
        <v>0</v>
      </c>
      <c r="E129">
        <f>IFERROR(INDEX(Admissions_2024_2025!E:E,MATCH($B129,Admissions_2024_2025!$B:$B,0)),"")</f>
        <v>0</v>
      </c>
      <c r="F129">
        <f>IFERROR(INDEX(Admissions_2024_2025!F:F,MATCH($B129,Admissions_2024_2025!$B:$B,0)),"")</f>
        <v>0</v>
      </c>
      <c r="G129">
        <f>IFERROR(INDEX(Admissions_2024_2025!G:G,MATCH($B129,Admissions_2024_2025!$B:$B,0)),"")</f>
        <v>0</v>
      </c>
      <c r="H129">
        <f>IFERROR(INDEX(Admissions_2024_2025!H:H,MATCH($B129,Admissions_2024_2025!$B:$B,0)),"")</f>
        <v>0</v>
      </c>
      <c r="I129" t="str">
        <f>IFERROR(INDEX(Admissions_2024_2025!I:I,MATCH($B129,Admissions_2024_2025!$B:$B,0)),"")</f>
        <v>B2</v>
      </c>
      <c r="J129">
        <f>IFERROR(INDEX(Admissions_2024_2025!J:J,MATCH($B129,Admissions_2024_2025!$B:$B,0)),"")</f>
        <v>140</v>
      </c>
      <c r="K129">
        <f t="shared" si="5"/>
        <v>56.000000000000007</v>
      </c>
      <c r="L129">
        <f>IFERROR(INDEX(Admissions_2024_2025!L:L,MATCH($B129,Admissions_2024_2025!$B:$B,0)),"")</f>
        <v>21</v>
      </c>
      <c r="M129">
        <f t="shared" si="6"/>
        <v>42</v>
      </c>
      <c r="N129">
        <f t="shared" si="7"/>
        <v>98</v>
      </c>
      <c r="O129">
        <f t="shared" si="8"/>
        <v>69.014084507042256</v>
      </c>
      <c r="P129">
        <f t="shared" si="9"/>
        <v>55.671361502347416</v>
      </c>
      <c r="Q129" t="str">
        <f>IFERROR(INDEX(Admissions_2024_2025!Q:Q,MATCH($B129,Admissions_2024_2025!$B:$B,0)),"")</f>
        <v>Mild spatial bias</v>
      </c>
      <c r="R129">
        <f>IFERROR(INDEX(Admissions_2024_2025!R:R,MATCH($B129,Admissions_2024_2025!$B:$B,0)),"")</f>
        <v>83</v>
      </c>
      <c r="S129">
        <f>IFERROR(INDEX(Admissions_2024_2025!S:S,MATCH($B129,Admissions_2024_2025!$B:$B,0)),"")</f>
        <v>103</v>
      </c>
      <c r="T129">
        <f>IFERROR(INDEX(Admissions_2024_2025!T:T,MATCH($B129,Admissions_2024_2025!$B:$B,0)),"")</f>
        <v>108</v>
      </c>
      <c r="U129">
        <f>IFERROR(INDEX(Admissions_2024_2025!U:U,MATCH($B129,Admissions_2024_2025!$B:$B,0)),"")</f>
        <v>98</v>
      </c>
      <c r="V129">
        <f>IFERROR(INDEX(Admissions_2024_2025!V:V,MATCH($B70,Admissions_2024_2025!$B:$B,0)),"")</f>
        <v>0</v>
      </c>
      <c r="W129" t="str">
        <f>IFERROR(INDEX(Admissions_2024_2025!W:W,MATCH($B129,Admissions_2024_2025!$B:$B,0)),"")</f>
        <v>2024 admissions; 2024 accepted list</v>
      </c>
    </row>
    <row r="130" spans="1:23" x14ac:dyDescent="0.3">
      <c r="A130" t="s">
        <v>298</v>
      </c>
      <c r="B130" t="s">
        <v>329</v>
      </c>
      <c r="C130" t="s">
        <v>330</v>
      </c>
      <c r="D130">
        <f>IFERROR(INDEX(Admissions_2024_2025!D:D,MATCH($B130,Admissions_2024_2025!$B:$B,0)),"")</f>
        <v>0</v>
      </c>
      <c r="E130">
        <f>IFERROR(INDEX(Admissions_2024_2025!E:E,MATCH($B130,Admissions_2024_2025!$B:$B,0)),"")</f>
        <v>0</v>
      </c>
      <c r="F130">
        <f>IFERROR(INDEX(Admissions_2024_2025!F:F,MATCH($B130,Admissions_2024_2025!$B:$B,0)),"")</f>
        <v>0</v>
      </c>
      <c r="G130">
        <f>IFERROR(INDEX(Admissions_2024_2025!G:G,MATCH($B130,Admissions_2024_2025!$B:$B,0)),"")</f>
        <v>0</v>
      </c>
      <c r="H130">
        <f>IFERROR(INDEX(Admissions_2024_2025!H:H,MATCH($B130,Admissions_2024_2025!$B:$B,0)),"")</f>
        <v>0</v>
      </c>
      <c r="I130" t="str">
        <f>IFERROR(INDEX(Admissions_2024_2025!I:I,MATCH($B130,Admissions_2024_2025!$B:$B,0)),"")</f>
        <v>B1</v>
      </c>
      <c r="J130">
        <f>IFERROR(INDEX(Admissions_2024_2025!J:J,MATCH($B130,Admissions_2024_2025!$B:$B,0)),"")</f>
        <v>138</v>
      </c>
      <c r="K130">
        <f t="shared" ref="K130:K193" si="10">IF(J130="","",J130/250*100)</f>
        <v>55.2</v>
      </c>
      <c r="L130">
        <f>IFERROR(INDEX(Admissions_2024_2025!L:L,MATCH($B130,Admissions_2024_2025!$B:$B,0)),"")</f>
        <v>18</v>
      </c>
      <c r="M130">
        <f t="shared" ref="M130:M193" si="11">IF(L130="","",L130/50*100)</f>
        <v>36</v>
      </c>
      <c r="N130">
        <f t="shared" ref="N130:N193" si="12">IF(COUNT(R130:U130)=0,"",ROUND(AVERAGE(R130:U130),0))</f>
        <v>98</v>
      </c>
      <c r="O130">
        <f t="shared" ref="O130:O193" si="13">IF(N130="","",N130/142*100)</f>
        <v>69.014084507042256</v>
      </c>
      <c r="P130">
        <f t="shared" ref="P130:P193" si="14">IF(COUNT(K130,M130,O130)=0,"",AVERAGE(K130,M130,O130))</f>
        <v>53.40469483568075</v>
      </c>
      <c r="Q130" t="str">
        <f>IFERROR(INDEX(Admissions_2024_2025!Q:Q,MATCH($B130,Admissions_2024_2025!$B:$B,0)),"")</f>
        <v>Extreme spatial bias</v>
      </c>
      <c r="R130">
        <f>IFERROR(INDEX(Admissions_2024_2025!R:R,MATCH($B130,Admissions_2024_2025!$B:$B,0)),"")</f>
        <v>80</v>
      </c>
      <c r="S130">
        <f>IFERROR(INDEX(Admissions_2024_2025!S:S,MATCH($B130,Admissions_2024_2025!$B:$B,0)),"")</f>
        <v>106</v>
      </c>
      <c r="T130">
        <f>IFERROR(INDEX(Admissions_2024_2025!T:T,MATCH($B130,Admissions_2024_2025!$B:$B,0)),"")</f>
        <v>90</v>
      </c>
      <c r="U130">
        <f>IFERROR(INDEX(Admissions_2024_2025!U:U,MATCH($B130,Admissions_2024_2025!$B:$B,0)),"")</f>
        <v>114</v>
      </c>
      <c r="V130">
        <f>IFERROR(INDEX(Admissions_2024_2025!V:V,MATCH($B71,Admissions_2024_2025!$B:$B,0)),"")</f>
        <v>0</v>
      </c>
      <c r="W130" t="str">
        <f>IFERROR(INDEX(Admissions_2024_2025!W:W,MATCH($B130,Admissions_2024_2025!$B:$B,0)),"")</f>
        <v>2024 admissions; 2024 accepted list</v>
      </c>
    </row>
    <row r="131" spans="1:23" x14ac:dyDescent="0.3">
      <c r="A131" t="s">
        <v>298</v>
      </c>
      <c r="B131" t="s">
        <v>331</v>
      </c>
      <c r="C131" t="s">
        <v>332</v>
      </c>
      <c r="D131">
        <f>IFERROR(INDEX(Admissions_2024_2025!D:D,MATCH($B131,Admissions_2024_2025!$B:$B,0)),"")</f>
        <v>0</v>
      </c>
      <c r="E131">
        <f>IFERROR(INDEX(Admissions_2024_2025!E:E,MATCH($B131,Admissions_2024_2025!$B:$B,0)),"")</f>
        <v>0</v>
      </c>
      <c r="F131">
        <f>IFERROR(INDEX(Admissions_2024_2025!F:F,MATCH($B131,Admissions_2024_2025!$B:$B,0)),"")</f>
        <v>0</v>
      </c>
      <c r="G131">
        <f>IFERROR(INDEX(Admissions_2024_2025!G:G,MATCH($B131,Admissions_2024_2025!$B:$B,0)),"")</f>
        <v>0</v>
      </c>
      <c r="H131">
        <f>IFERROR(INDEX(Admissions_2024_2025!H:H,MATCH($B131,Admissions_2024_2025!$B:$B,0)),"")</f>
        <v>0</v>
      </c>
      <c r="I131" t="str">
        <f>IFERROR(INDEX(Admissions_2024_2025!I:I,MATCH($B131,Admissions_2024_2025!$B:$B,0)),"")</f>
        <v>B1</v>
      </c>
      <c r="J131">
        <f>IFERROR(INDEX(Admissions_2024_2025!J:J,MATCH($B131,Admissions_2024_2025!$B:$B,0)),"")</f>
        <v>130</v>
      </c>
      <c r="K131">
        <f t="shared" si="10"/>
        <v>52</v>
      </c>
      <c r="L131">
        <f>IFERROR(INDEX(Admissions_2024_2025!L:L,MATCH($B131,Admissions_2024_2025!$B:$B,0)),"")</f>
        <v>16</v>
      </c>
      <c r="M131">
        <f t="shared" si="11"/>
        <v>32</v>
      </c>
      <c r="N131">
        <f t="shared" si="12"/>
        <v>90</v>
      </c>
      <c r="O131">
        <f t="shared" si="13"/>
        <v>63.380281690140848</v>
      </c>
      <c r="P131">
        <f t="shared" si="14"/>
        <v>49.126760563380287</v>
      </c>
      <c r="Q131" t="str">
        <f>IFERROR(INDEX(Admissions_2024_2025!Q:Q,MATCH($B131,Admissions_2024_2025!$B:$B,0)),"")</f>
        <v>No bias</v>
      </c>
      <c r="R131">
        <f>IFERROR(INDEX(Admissions_2024_2025!R:R,MATCH($B131,Admissions_2024_2025!$B:$B,0)),"")</f>
        <v>76</v>
      </c>
      <c r="S131">
        <f>IFERROR(INDEX(Admissions_2024_2025!S:S,MATCH($B131,Admissions_2024_2025!$B:$B,0)),"")</f>
        <v>105</v>
      </c>
      <c r="T131">
        <f>IFERROR(INDEX(Admissions_2024_2025!T:T,MATCH($B131,Admissions_2024_2025!$B:$B,0)),"")</f>
        <v>106</v>
      </c>
      <c r="U131">
        <f>IFERROR(INDEX(Admissions_2024_2025!U:U,MATCH($B131,Admissions_2024_2025!$B:$B,0)),"")</f>
        <v>72</v>
      </c>
      <c r="V131">
        <f>IFERROR(INDEX(Admissions_2024_2025!V:V,MATCH($B72,Admissions_2024_2025!$B:$B,0)),"")</f>
        <v>0</v>
      </c>
      <c r="W131" t="str">
        <f>IFERROR(INDEX(Admissions_2024_2025!W:W,MATCH($B131,Admissions_2024_2025!$B:$B,0)),"")</f>
        <v>2024 admissions; 2024 accepted list</v>
      </c>
    </row>
    <row r="132" spans="1:23" x14ac:dyDescent="0.3">
      <c r="A132" t="s">
        <v>298</v>
      </c>
      <c r="B132" t="s">
        <v>333</v>
      </c>
      <c r="C132" t="s">
        <v>334</v>
      </c>
      <c r="D132">
        <f>IFERROR(INDEX(Admissions_2024_2025!D:D,MATCH($B132,Admissions_2024_2025!$B:$B,0)),"")</f>
        <v>0</v>
      </c>
      <c r="E132">
        <f>IFERROR(INDEX(Admissions_2024_2025!E:E,MATCH($B132,Admissions_2024_2025!$B:$B,0)),"")</f>
        <v>0</v>
      </c>
      <c r="F132">
        <f>IFERROR(INDEX(Admissions_2024_2025!F:F,MATCH($B132,Admissions_2024_2025!$B:$B,0)),"")</f>
        <v>0</v>
      </c>
      <c r="G132">
        <f>IFERROR(INDEX(Admissions_2024_2025!G:G,MATCH($B132,Admissions_2024_2025!$B:$B,0)),"")</f>
        <v>0</v>
      </c>
      <c r="H132">
        <f>IFERROR(INDEX(Admissions_2024_2025!H:H,MATCH($B132,Admissions_2024_2025!$B:$B,0)),"")</f>
        <v>0</v>
      </c>
      <c r="I132" t="str">
        <f>IFERROR(INDEX(Admissions_2024_2025!I:I,MATCH($B132,Admissions_2024_2025!$B:$B,0)),"")</f>
        <v>B1</v>
      </c>
      <c r="J132">
        <f>IFERROR(INDEX(Admissions_2024_2025!J:J,MATCH($B132,Admissions_2024_2025!$B:$B,0)),"")</f>
        <v>127</v>
      </c>
      <c r="K132">
        <f t="shared" si="10"/>
        <v>50.8</v>
      </c>
      <c r="L132">
        <f>IFERROR(INDEX(Admissions_2024_2025!L:L,MATCH($B132,Admissions_2024_2025!$B:$B,0)),"")</f>
        <v>23</v>
      </c>
      <c r="M132">
        <f t="shared" si="11"/>
        <v>46</v>
      </c>
      <c r="N132">
        <f t="shared" si="12"/>
        <v>98</v>
      </c>
      <c r="O132">
        <f t="shared" si="13"/>
        <v>69.014084507042256</v>
      </c>
      <c r="P132">
        <f t="shared" si="14"/>
        <v>55.271361502347418</v>
      </c>
      <c r="Q132" t="str">
        <f>IFERROR(INDEX(Admissions_2024_2025!Q:Q,MATCH($B132,Admissions_2024_2025!$B:$B,0)),"")</f>
        <v>Moderate spatial bias</v>
      </c>
      <c r="R132">
        <f>IFERROR(INDEX(Admissions_2024_2025!R:R,MATCH($B132,Admissions_2024_2025!$B:$B,0)),"")</f>
        <v>75</v>
      </c>
      <c r="S132">
        <f>IFERROR(INDEX(Admissions_2024_2025!S:S,MATCH($B132,Admissions_2024_2025!$B:$B,0)),"")</f>
        <v>118</v>
      </c>
      <c r="T132">
        <f>IFERROR(INDEX(Admissions_2024_2025!T:T,MATCH($B132,Admissions_2024_2025!$B:$B,0)),"")</f>
        <v>95</v>
      </c>
      <c r="U132">
        <f>IFERROR(INDEX(Admissions_2024_2025!U:U,MATCH($B132,Admissions_2024_2025!$B:$B,0)),"")</f>
        <v>102</v>
      </c>
      <c r="V132">
        <f>IFERROR(INDEX(Admissions_2024_2025!V:V,MATCH($B73,Admissions_2024_2025!$B:$B,0)),"")</f>
        <v>0</v>
      </c>
      <c r="W132" t="str">
        <f>IFERROR(INDEX(Admissions_2024_2025!W:W,MATCH($B132,Admissions_2024_2025!$B:$B,0)),"")</f>
        <v>2024 admissions; 2024 accepted list</v>
      </c>
    </row>
    <row r="133" spans="1:23" x14ac:dyDescent="0.3">
      <c r="A133" t="s">
        <v>298</v>
      </c>
      <c r="B133" t="s">
        <v>335</v>
      </c>
      <c r="C133" t="s">
        <v>336</v>
      </c>
      <c r="D133">
        <f>IFERROR(INDEX(Admissions_2024_2025!D:D,MATCH($B133,Admissions_2024_2025!$B:$B,0)),"")</f>
        <v>0</v>
      </c>
      <c r="E133">
        <f>IFERROR(INDEX(Admissions_2024_2025!E:E,MATCH($B133,Admissions_2024_2025!$B:$B,0)),"")</f>
        <v>0</v>
      </c>
      <c r="F133">
        <f>IFERROR(INDEX(Admissions_2024_2025!F:F,MATCH($B133,Admissions_2024_2025!$B:$B,0)),"")</f>
        <v>0</v>
      </c>
      <c r="G133">
        <f>IFERROR(INDEX(Admissions_2024_2025!G:G,MATCH($B133,Admissions_2024_2025!$B:$B,0)),"")</f>
        <v>0</v>
      </c>
      <c r="H133">
        <f>IFERROR(INDEX(Admissions_2024_2025!H:H,MATCH($B133,Admissions_2024_2025!$B:$B,0)),"")</f>
        <v>0</v>
      </c>
      <c r="I133" t="str">
        <f>IFERROR(INDEX(Admissions_2024_2025!I:I,MATCH($B133,Admissions_2024_2025!$B:$B,0)),"")</f>
        <v>B1</v>
      </c>
      <c r="J133">
        <f>IFERROR(INDEX(Admissions_2024_2025!J:J,MATCH($B133,Admissions_2024_2025!$B:$B,0)),"")</f>
        <v>141</v>
      </c>
      <c r="K133">
        <f t="shared" si="10"/>
        <v>56.399999999999991</v>
      </c>
      <c r="L133">
        <f>IFERROR(INDEX(Admissions_2024_2025!L:L,MATCH($B133,Admissions_2024_2025!$B:$B,0)),"")</f>
        <v>24</v>
      </c>
      <c r="M133">
        <f t="shared" si="11"/>
        <v>48</v>
      </c>
      <c r="N133">
        <f t="shared" si="12"/>
        <v>92</v>
      </c>
      <c r="O133">
        <f t="shared" si="13"/>
        <v>64.788732394366207</v>
      </c>
      <c r="P133">
        <f t="shared" si="14"/>
        <v>56.396244131455397</v>
      </c>
      <c r="Q133" t="str">
        <f>IFERROR(INDEX(Admissions_2024_2025!Q:Q,MATCH($B133,Admissions_2024_2025!$B:$B,0)),"")</f>
        <v>No bias</v>
      </c>
      <c r="R133">
        <f>IFERROR(INDEX(Admissions_2024_2025!R:R,MATCH($B133,Admissions_2024_2025!$B:$B,0)),"")</f>
        <v>82</v>
      </c>
      <c r="S133">
        <f>IFERROR(INDEX(Admissions_2024_2025!S:S,MATCH($B133,Admissions_2024_2025!$B:$B,0)),"")</f>
        <v>103</v>
      </c>
      <c r="T133">
        <f>IFERROR(INDEX(Admissions_2024_2025!T:T,MATCH($B133,Admissions_2024_2025!$B:$B,0)),"")</f>
        <v>88</v>
      </c>
      <c r="U133">
        <f>IFERROR(INDEX(Admissions_2024_2025!U:U,MATCH($B133,Admissions_2024_2025!$B:$B,0)),"")</f>
        <v>95</v>
      </c>
      <c r="V133">
        <f>IFERROR(INDEX(Admissions_2024_2025!V:V,MATCH($B74,Admissions_2024_2025!$B:$B,0)),"")</f>
        <v>0</v>
      </c>
      <c r="W133" t="str">
        <f>IFERROR(INDEX(Admissions_2024_2025!W:W,MATCH($B133,Admissions_2024_2025!$B:$B,0)),"")</f>
        <v>2024 admissions; 2024 accepted list</v>
      </c>
    </row>
    <row r="134" spans="1:23" x14ac:dyDescent="0.3">
      <c r="A134" t="s">
        <v>298</v>
      </c>
      <c r="B134" t="s">
        <v>337</v>
      </c>
      <c r="C134" t="s">
        <v>338</v>
      </c>
      <c r="D134">
        <f>IFERROR(INDEX(Admissions_2024_2025!D:D,MATCH($B134,Admissions_2024_2025!$B:$B,0)),"")</f>
        <v>0</v>
      </c>
      <c r="E134">
        <f>IFERROR(INDEX(Admissions_2024_2025!E:E,MATCH($B134,Admissions_2024_2025!$B:$B,0)),"")</f>
        <v>0</v>
      </c>
      <c r="F134">
        <f>IFERROR(INDEX(Admissions_2024_2025!F:F,MATCH($B134,Admissions_2024_2025!$B:$B,0)),"")</f>
        <v>0</v>
      </c>
      <c r="G134">
        <f>IFERROR(INDEX(Admissions_2024_2025!G:G,MATCH($B134,Admissions_2024_2025!$B:$B,0)),"")</f>
        <v>0</v>
      </c>
      <c r="H134">
        <f>IFERROR(INDEX(Admissions_2024_2025!H:H,MATCH($B134,Admissions_2024_2025!$B:$B,0)),"")</f>
        <v>0</v>
      </c>
      <c r="I134" t="str">
        <f>IFERROR(INDEX(Admissions_2024_2025!I:I,MATCH($B134,Admissions_2024_2025!$B:$B,0)),"")</f>
        <v>B1</v>
      </c>
      <c r="J134">
        <f>IFERROR(INDEX(Admissions_2024_2025!J:J,MATCH($B134,Admissions_2024_2025!$B:$B,0)),"")</f>
        <v>128</v>
      </c>
      <c r="K134">
        <f t="shared" si="10"/>
        <v>51.2</v>
      </c>
      <c r="L134">
        <f>IFERROR(INDEX(Admissions_2024_2025!L:L,MATCH($B134,Admissions_2024_2025!$B:$B,0)),"")</f>
        <v>19</v>
      </c>
      <c r="M134">
        <f t="shared" si="11"/>
        <v>38</v>
      </c>
      <c r="N134">
        <f t="shared" si="12"/>
        <v>92</v>
      </c>
      <c r="O134">
        <f t="shared" si="13"/>
        <v>64.788732394366207</v>
      </c>
      <c r="P134">
        <f t="shared" si="14"/>
        <v>51.329577464788734</v>
      </c>
      <c r="Q134" t="str">
        <f>IFERROR(INDEX(Admissions_2024_2025!Q:Q,MATCH($B134,Admissions_2024_2025!$B:$B,0)),"")</f>
        <v>Moderate spatial bias</v>
      </c>
      <c r="R134">
        <f>IFERROR(INDEX(Admissions_2024_2025!R:R,MATCH($B134,Admissions_2024_2025!$B:$B,0)),"")</f>
        <v>76</v>
      </c>
      <c r="S134">
        <f>IFERROR(INDEX(Admissions_2024_2025!S:S,MATCH($B134,Admissions_2024_2025!$B:$B,0)),"")</f>
        <v>103</v>
      </c>
      <c r="T134">
        <f>IFERROR(INDEX(Admissions_2024_2025!T:T,MATCH($B134,Admissions_2024_2025!$B:$B,0)),"")</f>
        <v>90</v>
      </c>
      <c r="U134">
        <f>IFERROR(INDEX(Admissions_2024_2025!U:U,MATCH($B134,Admissions_2024_2025!$B:$B,0)),"")</f>
        <v>97</v>
      </c>
      <c r="V134">
        <f>IFERROR(INDEX(Admissions_2024_2025!V:V,MATCH($B75,Admissions_2024_2025!$B:$B,0)),"")</f>
        <v>0</v>
      </c>
      <c r="W134" t="str">
        <f>IFERROR(INDEX(Admissions_2024_2025!W:W,MATCH($B134,Admissions_2024_2025!$B:$B,0)),"")</f>
        <v>2024 admissions; 2024 accepted list</v>
      </c>
    </row>
    <row r="135" spans="1:23" x14ac:dyDescent="0.3">
      <c r="A135" t="s">
        <v>298</v>
      </c>
      <c r="B135" t="s">
        <v>339</v>
      </c>
      <c r="C135" t="s">
        <v>340</v>
      </c>
      <c r="D135">
        <f>IFERROR(INDEX(Admissions_2024_2025!D:D,MATCH($B135,Admissions_2024_2025!$B:$B,0)),"")</f>
        <v>0</v>
      </c>
      <c r="E135">
        <f>IFERROR(INDEX(Admissions_2024_2025!E:E,MATCH($B135,Admissions_2024_2025!$B:$B,0)),"")</f>
        <v>0</v>
      </c>
      <c r="F135">
        <f>IFERROR(INDEX(Admissions_2024_2025!F:F,MATCH($B135,Admissions_2024_2025!$B:$B,0)),"")</f>
        <v>0</v>
      </c>
      <c r="G135">
        <f>IFERROR(INDEX(Admissions_2024_2025!G:G,MATCH($B135,Admissions_2024_2025!$B:$B,0)),"")</f>
        <v>0</v>
      </c>
      <c r="H135">
        <f>IFERROR(INDEX(Admissions_2024_2025!H:H,MATCH($B135,Admissions_2024_2025!$B:$B,0)),"")</f>
        <v>0</v>
      </c>
      <c r="I135" t="str">
        <f>IFERROR(INDEX(Admissions_2024_2025!I:I,MATCH($B135,Admissions_2024_2025!$B:$B,0)),"")</f>
        <v>B2</v>
      </c>
      <c r="J135">
        <f>IFERROR(INDEX(Admissions_2024_2025!J:J,MATCH($B135,Admissions_2024_2025!$B:$B,0)),"")</f>
        <v>149</v>
      </c>
      <c r="K135">
        <f t="shared" si="10"/>
        <v>59.599999999999994</v>
      </c>
      <c r="L135">
        <f>IFERROR(INDEX(Admissions_2024_2025!L:L,MATCH($B135,Admissions_2024_2025!$B:$B,0)),"")</f>
        <v>26</v>
      </c>
      <c r="M135">
        <f t="shared" si="11"/>
        <v>52</v>
      </c>
      <c r="N135">
        <f t="shared" si="12"/>
        <v>101</v>
      </c>
      <c r="O135">
        <f t="shared" si="13"/>
        <v>71.126760563380287</v>
      </c>
      <c r="P135">
        <f t="shared" si="14"/>
        <v>60.908920187793427</v>
      </c>
      <c r="Q135" t="str">
        <f>IFERROR(INDEX(Admissions_2024_2025!Q:Q,MATCH($B135,Admissions_2024_2025!$B:$B,0)),"")</f>
        <v>No bias</v>
      </c>
      <c r="R135">
        <f>IFERROR(INDEX(Admissions_2024_2025!R:R,MATCH($B135,Admissions_2024_2025!$B:$B,0)),"")</f>
        <v>95</v>
      </c>
      <c r="S135">
        <f>IFERROR(INDEX(Admissions_2024_2025!S:S,MATCH($B135,Admissions_2024_2025!$B:$B,0)),"")</f>
        <v>100</v>
      </c>
      <c r="T135">
        <f>IFERROR(INDEX(Admissions_2024_2025!T:T,MATCH($B135,Admissions_2024_2025!$B:$B,0)),"")</f>
        <v>110</v>
      </c>
      <c r="U135">
        <f>IFERROR(INDEX(Admissions_2024_2025!U:U,MATCH($B135,Admissions_2024_2025!$B:$B,0)),"")</f>
        <v>97</v>
      </c>
      <c r="V135">
        <f>IFERROR(INDEX(Admissions_2024_2025!V:V,MATCH($B76,Admissions_2024_2025!$B:$B,0)),"")</f>
        <v>0</v>
      </c>
      <c r="W135" t="str">
        <f>IFERROR(INDEX(Admissions_2024_2025!W:W,MATCH($B135,Admissions_2024_2025!$B:$B,0)),"")</f>
        <v>2024 admissions; 2024 accepted list</v>
      </c>
    </row>
    <row r="136" spans="1:23" x14ac:dyDescent="0.3">
      <c r="A136" t="s">
        <v>298</v>
      </c>
      <c r="B136" t="s">
        <v>341</v>
      </c>
      <c r="C136" t="s">
        <v>342</v>
      </c>
      <c r="D136">
        <f>IFERROR(INDEX(Admissions_2024_2025!D:D,MATCH($B136,Admissions_2024_2025!$B:$B,0)),"")</f>
        <v>0</v>
      </c>
      <c r="E136">
        <f>IFERROR(INDEX(Admissions_2024_2025!E:E,MATCH($B136,Admissions_2024_2025!$B:$B,0)),"")</f>
        <v>0</v>
      </c>
      <c r="F136">
        <f>IFERROR(INDEX(Admissions_2024_2025!F:F,MATCH($B136,Admissions_2024_2025!$B:$B,0)),"")</f>
        <v>0</v>
      </c>
      <c r="G136">
        <f>IFERROR(INDEX(Admissions_2024_2025!G:G,MATCH($B136,Admissions_2024_2025!$B:$B,0)),"")</f>
        <v>0</v>
      </c>
      <c r="H136">
        <f>IFERROR(INDEX(Admissions_2024_2025!H:H,MATCH($B136,Admissions_2024_2025!$B:$B,0)),"")</f>
        <v>0</v>
      </c>
      <c r="I136" t="str">
        <f>IFERROR(INDEX(Admissions_2024_2025!I:I,MATCH($B136,Admissions_2024_2025!$B:$B,0)),"")</f>
        <v>B2</v>
      </c>
      <c r="J136">
        <f>IFERROR(INDEX(Admissions_2024_2025!J:J,MATCH($B136,Admissions_2024_2025!$B:$B,0)),"")</f>
        <v>151</v>
      </c>
      <c r="K136">
        <f t="shared" si="10"/>
        <v>60.4</v>
      </c>
      <c r="L136">
        <f>IFERROR(INDEX(Admissions_2024_2025!L:L,MATCH($B136,Admissions_2024_2025!$B:$B,0)),"")</f>
        <v>13</v>
      </c>
      <c r="M136">
        <f t="shared" si="11"/>
        <v>26</v>
      </c>
      <c r="N136">
        <f t="shared" si="12"/>
        <v>90</v>
      </c>
      <c r="O136">
        <f t="shared" si="13"/>
        <v>63.380281690140848</v>
      </c>
      <c r="P136">
        <f t="shared" si="14"/>
        <v>49.926760563380277</v>
      </c>
      <c r="Q136" t="str">
        <f>IFERROR(INDEX(Admissions_2024_2025!Q:Q,MATCH($B136,Admissions_2024_2025!$B:$B,0)),"")</f>
        <v>No bias</v>
      </c>
      <c r="R136">
        <f>IFERROR(INDEX(Admissions_2024_2025!R:R,MATCH($B136,Admissions_2024_2025!$B:$B,0)),"")</f>
        <v>87</v>
      </c>
      <c r="S136">
        <f>IFERROR(INDEX(Admissions_2024_2025!S:S,MATCH($B136,Admissions_2024_2025!$B:$B,0)),"")</f>
        <v>75</v>
      </c>
      <c r="T136">
        <f>IFERROR(INDEX(Admissions_2024_2025!T:T,MATCH($B136,Admissions_2024_2025!$B:$B,0)),"")</f>
        <v>108</v>
      </c>
      <c r="U136">
        <f>IFERROR(INDEX(Admissions_2024_2025!U:U,MATCH($B136,Admissions_2024_2025!$B:$B,0)),"")</f>
        <v>90</v>
      </c>
      <c r="V136">
        <f>IFERROR(INDEX(Admissions_2024_2025!V:V,MATCH($B77,Admissions_2024_2025!$B:$B,0)),"")</f>
        <v>0</v>
      </c>
      <c r="W136" t="str">
        <f>IFERROR(INDEX(Admissions_2024_2025!W:W,MATCH($B136,Admissions_2024_2025!$B:$B,0)),"")</f>
        <v>2024 admissions; 2024 accepted list</v>
      </c>
    </row>
    <row r="137" spans="1:23" x14ac:dyDescent="0.3">
      <c r="A137" t="s">
        <v>298</v>
      </c>
      <c r="B137" t="s">
        <v>343</v>
      </c>
      <c r="C137" t="s">
        <v>344</v>
      </c>
      <c r="D137">
        <f>IFERROR(INDEX(Admissions_2024_2025!D:D,MATCH($B137,Admissions_2024_2025!$B:$B,0)),"")</f>
        <v>0</v>
      </c>
      <c r="E137">
        <f>IFERROR(INDEX(Admissions_2024_2025!E:E,MATCH($B137,Admissions_2024_2025!$B:$B,0)),"")</f>
        <v>0</v>
      </c>
      <c r="F137">
        <f>IFERROR(INDEX(Admissions_2024_2025!F:F,MATCH($B137,Admissions_2024_2025!$B:$B,0)),"")</f>
        <v>0</v>
      </c>
      <c r="G137">
        <f>IFERROR(INDEX(Admissions_2024_2025!G:G,MATCH($B137,Admissions_2024_2025!$B:$B,0)),"")</f>
        <v>0</v>
      </c>
      <c r="H137">
        <f>IFERROR(INDEX(Admissions_2024_2025!H:H,MATCH($B137,Admissions_2024_2025!$B:$B,0)),"")</f>
        <v>0</v>
      </c>
      <c r="I137" t="str">
        <f>IFERROR(INDEX(Admissions_2024_2025!I:I,MATCH($B137,Admissions_2024_2025!$B:$B,0)),"")</f>
        <v>B2</v>
      </c>
      <c r="J137">
        <f>IFERROR(INDEX(Admissions_2024_2025!J:J,MATCH($B137,Admissions_2024_2025!$B:$B,0)),"")</f>
        <v>159</v>
      </c>
      <c r="K137">
        <f t="shared" si="10"/>
        <v>63.6</v>
      </c>
      <c r="L137">
        <f>IFERROR(INDEX(Admissions_2024_2025!L:L,MATCH($B137,Admissions_2024_2025!$B:$B,0)),"")</f>
        <v>25</v>
      </c>
      <c r="M137">
        <f t="shared" si="11"/>
        <v>50</v>
      </c>
      <c r="N137">
        <f t="shared" si="12"/>
        <v>109</v>
      </c>
      <c r="O137">
        <f t="shared" si="13"/>
        <v>76.760563380281681</v>
      </c>
      <c r="P137">
        <f t="shared" si="14"/>
        <v>63.453521126760563</v>
      </c>
      <c r="Q137" t="str">
        <f>IFERROR(INDEX(Admissions_2024_2025!Q:Q,MATCH($B137,Admissions_2024_2025!$B:$B,0)),"")</f>
        <v>Mild spatial bias</v>
      </c>
      <c r="R137">
        <f>IFERROR(INDEX(Admissions_2024_2025!R:R,MATCH($B137,Admissions_2024_2025!$B:$B,0)),"")</f>
        <v>97</v>
      </c>
      <c r="S137">
        <f>IFERROR(INDEX(Admissions_2024_2025!S:S,MATCH($B137,Admissions_2024_2025!$B:$B,0)),"")</f>
        <v>114</v>
      </c>
      <c r="T137">
        <f>IFERROR(INDEX(Admissions_2024_2025!T:T,MATCH($B137,Admissions_2024_2025!$B:$B,0)),"")</f>
        <v>110</v>
      </c>
      <c r="U137">
        <f>IFERROR(INDEX(Admissions_2024_2025!U:U,MATCH($B137,Admissions_2024_2025!$B:$B,0)),"")</f>
        <v>116</v>
      </c>
      <c r="V137">
        <f>IFERROR(INDEX(Admissions_2024_2025!V:V,MATCH($B78,Admissions_2024_2025!$B:$B,0)),"")</f>
        <v>0</v>
      </c>
      <c r="W137" t="str">
        <f>IFERROR(INDEX(Admissions_2024_2025!W:W,MATCH($B137,Admissions_2024_2025!$B:$B,0)),"")</f>
        <v>2024 admissions; 2024 accepted list</v>
      </c>
    </row>
    <row r="138" spans="1:23" x14ac:dyDescent="0.3">
      <c r="A138" t="s">
        <v>298</v>
      </c>
      <c r="B138" t="s">
        <v>345</v>
      </c>
      <c r="C138" t="s">
        <v>346</v>
      </c>
      <c r="D138">
        <f>IFERROR(INDEX(Admissions_2024_2025!D:D,MATCH($B138,Admissions_2024_2025!$B:$B,0)),"")</f>
        <v>0</v>
      </c>
      <c r="E138">
        <f>IFERROR(INDEX(Admissions_2024_2025!E:E,MATCH($B138,Admissions_2024_2025!$B:$B,0)),"")</f>
        <v>0</v>
      </c>
      <c r="F138">
        <f>IFERROR(INDEX(Admissions_2024_2025!F:F,MATCH($B138,Admissions_2024_2025!$B:$B,0)),"")</f>
        <v>0</v>
      </c>
      <c r="G138">
        <f>IFERROR(INDEX(Admissions_2024_2025!G:G,MATCH($B138,Admissions_2024_2025!$B:$B,0)),"")</f>
        <v>0</v>
      </c>
      <c r="H138">
        <f>IFERROR(INDEX(Admissions_2024_2025!H:H,MATCH($B138,Admissions_2024_2025!$B:$B,0)),"")</f>
        <v>0</v>
      </c>
      <c r="I138" t="str">
        <f>IFERROR(INDEX(Admissions_2024_2025!I:I,MATCH($B138,Admissions_2024_2025!$B:$B,0)),"")</f>
        <v>B1</v>
      </c>
      <c r="J138">
        <f>IFERROR(INDEX(Admissions_2024_2025!J:J,MATCH($B138,Admissions_2024_2025!$B:$B,0)),"")</f>
        <v>114</v>
      </c>
      <c r="K138">
        <f t="shared" si="10"/>
        <v>45.6</v>
      </c>
      <c r="L138">
        <f>IFERROR(INDEX(Admissions_2024_2025!L:L,MATCH($B138,Admissions_2024_2025!$B:$B,0)),"")</f>
        <v>27</v>
      </c>
      <c r="M138">
        <f t="shared" si="11"/>
        <v>54</v>
      </c>
      <c r="N138">
        <f t="shared" si="12"/>
        <v>103</v>
      </c>
      <c r="O138">
        <f t="shared" si="13"/>
        <v>72.535211267605632</v>
      </c>
      <c r="P138">
        <f t="shared" si="14"/>
        <v>57.37840375586854</v>
      </c>
      <c r="Q138" t="str">
        <f>IFERROR(INDEX(Admissions_2024_2025!Q:Q,MATCH($B138,Admissions_2024_2025!$B:$B,0)),"")</f>
        <v>Extreme spatial bias</v>
      </c>
      <c r="R138">
        <f>IFERROR(INDEX(Admissions_2024_2025!R:R,MATCH($B138,Admissions_2024_2025!$B:$B,0)),"")</f>
        <v>78</v>
      </c>
      <c r="S138">
        <f>IFERROR(INDEX(Admissions_2024_2025!S:S,MATCH($B138,Admissions_2024_2025!$B:$B,0)),"")</f>
        <v>120</v>
      </c>
      <c r="T138">
        <f>IFERROR(INDEX(Admissions_2024_2025!T:T,MATCH($B138,Admissions_2024_2025!$B:$B,0)),"")</f>
        <v>99</v>
      </c>
      <c r="U138">
        <f>IFERROR(INDEX(Admissions_2024_2025!U:U,MATCH($B138,Admissions_2024_2025!$B:$B,0)),"")</f>
        <v>116</v>
      </c>
      <c r="V138">
        <f>IFERROR(INDEX(Admissions_2024_2025!V:V,MATCH($B79,Admissions_2024_2025!$B:$B,0)),"")</f>
        <v>0</v>
      </c>
      <c r="W138" t="str">
        <f>IFERROR(INDEX(Admissions_2024_2025!W:W,MATCH($B138,Admissions_2024_2025!$B:$B,0)),"")</f>
        <v>2024 admissions; 2024 accepted list</v>
      </c>
    </row>
    <row r="139" spans="1:23" x14ac:dyDescent="0.3">
      <c r="A139" t="s">
        <v>298</v>
      </c>
      <c r="B139" t="s">
        <v>347</v>
      </c>
      <c r="C139" t="s">
        <v>348</v>
      </c>
      <c r="D139">
        <f>IFERROR(INDEX(Admissions_2024_2025!D:D,MATCH($B139,Admissions_2024_2025!$B:$B,0)),"")</f>
        <v>0</v>
      </c>
      <c r="E139">
        <f>IFERROR(INDEX(Admissions_2024_2025!E:E,MATCH($B139,Admissions_2024_2025!$B:$B,0)),"")</f>
        <v>0</v>
      </c>
      <c r="F139">
        <f>IFERROR(INDEX(Admissions_2024_2025!F:F,MATCH($B139,Admissions_2024_2025!$B:$B,0)),"")</f>
        <v>0</v>
      </c>
      <c r="G139">
        <f>IFERROR(INDEX(Admissions_2024_2025!G:G,MATCH($B139,Admissions_2024_2025!$B:$B,0)),"")</f>
        <v>0</v>
      </c>
      <c r="H139">
        <f>IFERROR(INDEX(Admissions_2024_2025!H:H,MATCH($B139,Admissions_2024_2025!$B:$B,0)),"")</f>
        <v>0</v>
      </c>
      <c r="I139" t="str">
        <f>IFERROR(INDEX(Admissions_2024_2025!I:I,MATCH($B139,Admissions_2024_2025!$B:$B,0)),"")</f>
        <v>B2</v>
      </c>
      <c r="J139">
        <f>IFERROR(INDEX(Admissions_2024_2025!J:J,MATCH($B139,Admissions_2024_2025!$B:$B,0)),"")</f>
        <v>159</v>
      </c>
      <c r="K139">
        <f t="shared" si="10"/>
        <v>63.6</v>
      </c>
      <c r="L139">
        <f>IFERROR(INDEX(Admissions_2024_2025!L:L,MATCH($B139,Admissions_2024_2025!$B:$B,0)),"")</f>
        <v>23</v>
      </c>
      <c r="M139">
        <f t="shared" si="11"/>
        <v>46</v>
      </c>
      <c r="N139">
        <f t="shared" si="12"/>
        <v>96</v>
      </c>
      <c r="O139">
        <f t="shared" si="13"/>
        <v>67.605633802816897</v>
      </c>
      <c r="P139">
        <f t="shared" si="14"/>
        <v>59.068544600938964</v>
      </c>
      <c r="Q139" t="str">
        <f>IFERROR(INDEX(Admissions_2024_2025!Q:Q,MATCH($B139,Admissions_2024_2025!$B:$B,0)),"")</f>
        <v>Mild spatial bias</v>
      </c>
      <c r="R139">
        <f>IFERROR(INDEX(Admissions_2024_2025!R:R,MATCH($B139,Admissions_2024_2025!$B:$B,0)),"")</f>
        <v>83</v>
      </c>
      <c r="S139">
        <f>IFERROR(INDEX(Admissions_2024_2025!S:S,MATCH($B139,Admissions_2024_2025!$B:$B,0)),"")</f>
        <v>106</v>
      </c>
      <c r="T139">
        <f>IFERROR(INDEX(Admissions_2024_2025!T:T,MATCH($B139,Admissions_2024_2025!$B:$B,0)),"")</f>
        <v>97</v>
      </c>
      <c r="U139">
        <f>IFERROR(INDEX(Admissions_2024_2025!U:U,MATCH($B139,Admissions_2024_2025!$B:$B,0)),"")</f>
        <v>98</v>
      </c>
      <c r="V139">
        <f>IFERROR(INDEX(Admissions_2024_2025!V:V,MATCH($B80,Admissions_2024_2025!$B:$B,0)),"")</f>
        <v>0</v>
      </c>
      <c r="W139" t="str">
        <f>IFERROR(INDEX(Admissions_2024_2025!W:W,MATCH($B139,Admissions_2024_2025!$B:$B,0)),"")</f>
        <v>2024 admissions; 2024 accepted list</v>
      </c>
    </row>
    <row r="140" spans="1:23" x14ac:dyDescent="0.3">
      <c r="A140" t="s">
        <v>298</v>
      </c>
      <c r="B140" t="s">
        <v>349</v>
      </c>
      <c r="C140" t="s">
        <v>350</v>
      </c>
      <c r="D140">
        <f>IFERROR(INDEX(Admissions_2024_2025!D:D,MATCH($B140,Admissions_2024_2025!$B:$B,0)),"")</f>
        <v>0</v>
      </c>
      <c r="E140">
        <f>IFERROR(INDEX(Admissions_2024_2025!E:E,MATCH($B140,Admissions_2024_2025!$B:$B,0)),"")</f>
        <v>0</v>
      </c>
      <c r="F140">
        <f>IFERROR(INDEX(Admissions_2024_2025!F:F,MATCH($B140,Admissions_2024_2025!$B:$B,0)),"")</f>
        <v>0</v>
      </c>
      <c r="G140">
        <f>IFERROR(INDEX(Admissions_2024_2025!G:G,MATCH($B140,Admissions_2024_2025!$B:$B,0)),"")</f>
        <v>0</v>
      </c>
      <c r="H140">
        <f>IFERROR(INDEX(Admissions_2024_2025!H:H,MATCH($B140,Admissions_2024_2025!$B:$B,0)),"")</f>
        <v>0</v>
      </c>
      <c r="I140" t="str">
        <f>IFERROR(INDEX(Admissions_2024_2025!I:I,MATCH($B140,Admissions_2024_2025!$B:$B,0)),"")</f>
        <v>B1</v>
      </c>
      <c r="J140">
        <f>IFERROR(INDEX(Admissions_2024_2025!J:J,MATCH($B140,Admissions_2024_2025!$B:$B,0)),"")</f>
        <v>139</v>
      </c>
      <c r="K140">
        <f t="shared" si="10"/>
        <v>55.600000000000009</v>
      </c>
      <c r="L140">
        <f>IFERROR(INDEX(Admissions_2024_2025!L:L,MATCH($B140,Admissions_2024_2025!$B:$B,0)),"")</f>
        <v>16</v>
      </c>
      <c r="M140">
        <f t="shared" si="11"/>
        <v>32</v>
      </c>
      <c r="N140">
        <f t="shared" si="12"/>
        <v>104</v>
      </c>
      <c r="O140">
        <f t="shared" si="13"/>
        <v>73.239436619718319</v>
      </c>
      <c r="P140">
        <f t="shared" si="14"/>
        <v>53.613145539906107</v>
      </c>
      <c r="Q140" t="str">
        <f>IFERROR(INDEX(Admissions_2024_2025!Q:Q,MATCH($B140,Admissions_2024_2025!$B:$B,0)),"")</f>
        <v>Extreme spatial bias</v>
      </c>
      <c r="R140">
        <f>IFERROR(INDEX(Admissions_2024_2025!R:R,MATCH($B140,Admissions_2024_2025!$B:$B,0)),"")</f>
        <v>85</v>
      </c>
      <c r="S140">
        <f>IFERROR(INDEX(Admissions_2024_2025!S:S,MATCH($B140,Admissions_2024_2025!$B:$B,0)),"")</f>
        <v>105</v>
      </c>
      <c r="T140">
        <f>IFERROR(INDEX(Admissions_2024_2025!T:T,MATCH($B140,Admissions_2024_2025!$B:$B,0)),"")</f>
        <v>112</v>
      </c>
      <c r="U140">
        <f>IFERROR(INDEX(Admissions_2024_2025!U:U,MATCH($B140,Admissions_2024_2025!$B:$B,0)),"")</f>
        <v>112</v>
      </c>
      <c r="V140">
        <f>IFERROR(INDEX(Admissions_2024_2025!V:V,MATCH($B81,Admissions_2024_2025!$B:$B,0)),"")</f>
        <v>0</v>
      </c>
      <c r="W140" t="str">
        <f>IFERROR(INDEX(Admissions_2024_2025!W:W,MATCH($B140,Admissions_2024_2025!$B:$B,0)),"")</f>
        <v>2024 admissions; 2024 accepted list</v>
      </c>
    </row>
    <row r="141" spans="1:23" x14ac:dyDescent="0.3">
      <c r="A141" t="s">
        <v>298</v>
      </c>
      <c r="B141" t="s">
        <v>351</v>
      </c>
      <c r="C141" t="s">
        <v>352</v>
      </c>
      <c r="D141">
        <f>IFERROR(INDEX(Admissions_2024_2025!D:D,MATCH($B141,Admissions_2024_2025!$B:$B,0)),"")</f>
        <v>0</v>
      </c>
      <c r="E141">
        <f>IFERROR(INDEX(Admissions_2024_2025!E:E,MATCH($B141,Admissions_2024_2025!$B:$B,0)),"")</f>
        <v>0</v>
      </c>
      <c r="F141">
        <f>IFERROR(INDEX(Admissions_2024_2025!F:F,MATCH($B141,Admissions_2024_2025!$B:$B,0)),"")</f>
        <v>0</v>
      </c>
      <c r="G141">
        <f>IFERROR(INDEX(Admissions_2024_2025!G:G,MATCH($B141,Admissions_2024_2025!$B:$B,0)),"")</f>
        <v>0</v>
      </c>
      <c r="H141">
        <f>IFERROR(INDEX(Admissions_2024_2025!H:H,MATCH($B141,Admissions_2024_2025!$B:$B,0)),"")</f>
        <v>0</v>
      </c>
      <c r="I141" t="str">
        <f>IFERROR(INDEX(Admissions_2024_2025!I:I,MATCH($B141,Admissions_2024_2025!$B:$B,0)),"")</f>
        <v>B1</v>
      </c>
      <c r="J141">
        <f>IFERROR(INDEX(Admissions_2024_2025!J:J,MATCH($B141,Admissions_2024_2025!$B:$B,0)),"")</f>
        <v>112</v>
      </c>
      <c r="K141">
        <f t="shared" si="10"/>
        <v>44.800000000000004</v>
      </c>
      <c r="L141">
        <f>IFERROR(INDEX(Admissions_2024_2025!L:L,MATCH($B141,Admissions_2024_2025!$B:$B,0)),"")</f>
        <v>26</v>
      </c>
      <c r="M141">
        <f t="shared" si="11"/>
        <v>52</v>
      </c>
      <c r="N141">
        <f t="shared" si="12"/>
        <v>97</v>
      </c>
      <c r="O141">
        <f t="shared" si="13"/>
        <v>68.309859154929569</v>
      </c>
      <c r="P141">
        <f t="shared" si="14"/>
        <v>55.036619718309858</v>
      </c>
      <c r="Q141" t="str">
        <f>IFERROR(INDEX(Admissions_2024_2025!Q:Q,MATCH($B141,Admissions_2024_2025!$B:$B,0)),"")</f>
        <v>Moderate spatial bias</v>
      </c>
      <c r="R141">
        <f>IFERROR(INDEX(Admissions_2024_2025!R:R,MATCH($B141,Admissions_2024_2025!$B:$B,0)),"")</f>
        <v>80</v>
      </c>
      <c r="S141">
        <f>IFERROR(INDEX(Admissions_2024_2025!S:S,MATCH($B141,Admissions_2024_2025!$B:$B,0)),"")</f>
        <v>106</v>
      </c>
      <c r="T141">
        <f>IFERROR(INDEX(Admissions_2024_2025!T:T,MATCH($B141,Admissions_2024_2025!$B:$B,0)),"")</f>
        <v>103</v>
      </c>
      <c r="U141">
        <f>IFERROR(INDEX(Admissions_2024_2025!U:U,MATCH($B141,Admissions_2024_2025!$B:$B,0)),"")</f>
        <v>98</v>
      </c>
      <c r="V141">
        <f>IFERROR(INDEX(Admissions_2024_2025!V:V,MATCH($B82,Admissions_2024_2025!$B:$B,0)),"")</f>
        <v>0</v>
      </c>
      <c r="W141" t="str">
        <f>IFERROR(INDEX(Admissions_2024_2025!W:W,MATCH($B141,Admissions_2024_2025!$B:$B,0)),"")</f>
        <v>2024 admissions; 2024 accepted list</v>
      </c>
    </row>
    <row r="142" spans="1:23" x14ac:dyDescent="0.3">
      <c r="A142" t="s">
        <v>298</v>
      </c>
      <c r="B142" t="s">
        <v>353</v>
      </c>
      <c r="C142" t="s">
        <v>354</v>
      </c>
      <c r="D142">
        <f>IFERROR(INDEX(Admissions_2024_2025!D:D,MATCH($B142,Admissions_2024_2025!$B:$B,0)),"")</f>
        <v>0</v>
      </c>
      <c r="E142">
        <f>IFERROR(INDEX(Admissions_2024_2025!E:E,MATCH($B142,Admissions_2024_2025!$B:$B,0)),"")</f>
        <v>0</v>
      </c>
      <c r="F142">
        <f>IFERROR(INDEX(Admissions_2024_2025!F:F,MATCH($B142,Admissions_2024_2025!$B:$B,0)),"")</f>
        <v>0</v>
      </c>
      <c r="G142">
        <f>IFERROR(INDEX(Admissions_2024_2025!G:G,MATCH($B142,Admissions_2024_2025!$B:$B,0)),"")</f>
        <v>0</v>
      </c>
      <c r="H142">
        <f>IFERROR(INDEX(Admissions_2024_2025!H:H,MATCH($B142,Admissions_2024_2025!$B:$B,0)),"")</f>
        <v>0</v>
      </c>
      <c r="I142" t="str">
        <f>IFERROR(INDEX(Admissions_2024_2025!I:I,MATCH($B142,Admissions_2024_2025!$B:$B,0)),"")</f>
        <v>B2</v>
      </c>
      <c r="J142">
        <f>IFERROR(INDEX(Admissions_2024_2025!J:J,MATCH($B142,Admissions_2024_2025!$B:$B,0)),"")</f>
        <v>140</v>
      </c>
      <c r="K142">
        <f t="shared" si="10"/>
        <v>56.000000000000007</v>
      </c>
      <c r="L142">
        <f>IFERROR(INDEX(Admissions_2024_2025!L:L,MATCH($B142,Admissions_2024_2025!$B:$B,0)),"")</f>
        <v>25</v>
      </c>
      <c r="M142">
        <f t="shared" si="11"/>
        <v>50</v>
      </c>
      <c r="N142">
        <f t="shared" si="12"/>
        <v>86</v>
      </c>
      <c r="O142">
        <f t="shared" si="13"/>
        <v>60.563380281690137</v>
      </c>
      <c r="P142">
        <f t="shared" si="14"/>
        <v>55.521126760563384</v>
      </c>
      <c r="Q142" t="str">
        <f>IFERROR(INDEX(Admissions_2024_2025!Q:Q,MATCH($B142,Admissions_2024_2025!$B:$B,0)),"")</f>
        <v>No bias</v>
      </c>
      <c r="R142">
        <f>IFERROR(INDEX(Admissions_2024_2025!R:R,MATCH($B142,Admissions_2024_2025!$B:$B,0)),"")</f>
        <v>83</v>
      </c>
      <c r="S142">
        <f>IFERROR(INDEX(Admissions_2024_2025!S:S,MATCH($B142,Admissions_2024_2025!$B:$B,0)),"")</f>
        <v>90</v>
      </c>
      <c r="T142">
        <f>IFERROR(INDEX(Admissions_2024_2025!T:T,MATCH($B142,Admissions_2024_2025!$B:$B,0)),"")</f>
        <v>90</v>
      </c>
      <c r="U142">
        <f>IFERROR(INDEX(Admissions_2024_2025!U:U,MATCH($B142,Admissions_2024_2025!$B:$B,0)),"")</f>
        <v>80</v>
      </c>
      <c r="V142">
        <f>IFERROR(INDEX(Admissions_2024_2025!V:V,MATCH($B83,Admissions_2024_2025!$B:$B,0)),"")</f>
        <v>0</v>
      </c>
      <c r="W142" t="str">
        <f>IFERROR(INDEX(Admissions_2024_2025!W:W,MATCH($B142,Admissions_2024_2025!$B:$B,0)),"")</f>
        <v>2024 admissions; 2024 accepted list</v>
      </c>
    </row>
    <row r="143" spans="1:23" x14ac:dyDescent="0.3">
      <c r="A143" t="s">
        <v>298</v>
      </c>
      <c r="B143" t="s">
        <v>355</v>
      </c>
      <c r="C143" t="s">
        <v>356</v>
      </c>
      <c r="D143">
        <f>IFERROR(INDEX(Admissions_2024_2025!D:D,MATCH($B143,Admissions_2024_2025!$B:$B,0)),"")</f>
        <v>0</v>
      </c>
      <c r="E143">
        <f>IFERROR(INDEX(Admissions_2024_2025!E:E,MATCH($B143,Admissions_2024_2025!$B:$B,0)),"")</f>
        <v>0</v>
      </c>
      <c r="F143">
        <f>IFERROR(INDEX(Admissions_2024_2025!F:F,MATCH($B143,Admissions_2024_2025!$B:$B,0)),"")</f>
        <v>0</v>
      </c>
      <c r="G143">
        <f>IFERROR(INDEX(Admissions_2024_2025!G:G,MATCH($B143,Admissions_2024_2025!$B:$B,0)),"")</f>
        <v>0</v>
      </c>
      <c r="H143">
        <f>IFERROR(INDEX(Admissions_2024_2025!H:H,MATCH($B143,Admissions_2024_2025!$B:$B,0)),"")</f>
        <v>0</v>
      </c>
      <c r="I143" t="str">
        <f>IFERROR(INDEX(Admissions_2024_2025!I:I,MATCH($B143,Admissions_2024_2025!$B:$B,0)),"")</f>
        <v>B1</v>
      </c>
      <c r="J143">
        <f>IFERROR(INDEX(Admissions_2024_2025!J:J,MATCH($B143,Admissions_2024_2025!$B:$B,0)),"")</f>
        <v>140</v>
      </c>
      <c r="K143">
        <f t="shared" si="10"/>
        <v>56.000000000000007</v>
      </c>
      <c r="L143">
        <f>IFERROR(INDEX(Admissions_2024_2025!L:L,MATCH($B143,Admissions_2024_2025!$B:$B,0)),"")</f>
        <v>14</v>
      </c>
      <c r="M143">
        <f t="shared" si="11"/>
        <v>28.000000000000004</v>
      </c>
      <c r="N143">
        <f t="shared" si="12"/>
        <v>96</v>
      </c>
      <c r="O143">
        <f t="shared" si="13"/>
        <v>67.605633802816897</v>
      </c>
      <c r="P143">
        <f t="shared" si="14"/>
        <v>50.535211267605632</v>
      </c>
      <c r="Q143" t="str">
        <f>IFERROR(INDEX(Admissions_2024_2025!Q:Q,MATCH($B143,Admissions_2024_2025!$B:$B,0)),"")</f>
        <v>Moderate spatial bias</v>
      </c>
      <c r="R143">
        <f>IFERROR(INDEX(Admissions_2024_2025!R:R,MATCH($B143,Admissions_2024_2025!$B:$B,0)),"")</f>
        <v>85</v>
      </c>
      <c r="S143">
        <f>IFERROR(INDEX(Admissions_2024_2025!S:S,MATCH($B143,Admissions_2024_2025!$B:$B,0)),"")</f>
        <v>90</v>
      </c>
      <c r="T143">
        <f>IFERROR(INDEX(Admissions_2024_2025!T:T,MATCH($B143,Admissions_2024_2025!$B:$B,0)),"")</f>
        <v>97</v>
      </c>
      <c r="U143">
        <f>IFERROR(INDEX(Admissions_2024_2025!U:U,MATCH($B143,Admissions_2024_2025!$B:$B,0)),"")</f>
        <v>111</v>
      </c>
      <c r="V143">
        <f>IFERROR(INDEX(Admissions_2024_2025!V:V,MATCH($B84,Admissions_2024_2025!$B:$B,0)),"")</f>
        <v>0</v>
      </c>
      <c r="W143" t="str">
        <f>IFERROR(INDEX(Admissions_2024_2025!W:W,MATCH($B143,Admissions_2024_2025!$B:$B,0)),"")</f>
        <v>2024 admissions; 2024 accepted list</v>
      </c>
    </row>
    <row r="144" spans="1:23" x14ac:dyDescent="0.3">
      <c r="A144" t="s">
        <v>298</v>
      </c>
      <c r="B144" t="s">
        <v>357</v>
      </c>
      <c r="C144" t="s">
        <v>358</v>
      </c>
      <c r="D144">
        <f>IFERROR(INDEX(Admissions_2024_2025!D:D,MATCH($B144,Admissions_2024_2025!$B:$B,0)),"")</f>
        <v>0</v>
      </c>
      <c r="E144">
        <f>IFERROR(INDEX(Admissions_2024_2025!E:E,MATCH($B144,Admissions_2024_2025!$B:$B,0)),"")</f>
        <v>0</v>
      </c>
      <c r="F144">
        <f>IFERROR(INDEX(Admissions_2024_2025!F:F,MATCH($B144,Admissions_2024_2025!$B:$B,0)),"")</f>
        <v>0</v>
      </c>
      <c r="G144">
        <f>IFERROR(INDEX(Admissions_2024_2025!G:G,MATCH($B144,Admissions_2024_2025!$B:$B,0)),"")</f>
        <v>0</v>
      </c>
      <c r="H144">
        <f>IFERROR(INDEX(Admissions_2024_2025!H:H,MATCH($B144,Admissions_2024_2025!$B:$B,0)),"")</f>
        <v>0</v>
      </c>
      <c r="I144" t="str">
        <f>IFERROR(INDEX(Admissions_2024_2025!I:I,MATCH($B144,Admissions_2024_2025!$B:$B,0)),"")</f>
        <v>B1</v>
      </c>
      <c r="J144">
        <f>IFERROR(INDEX(Admissions_2024_2025!J:J,MATCH($B144,Admissions_2024_2025!$B:$B,0)),"")</f>
        <v>132</v>
      </c>
      <c r="K144">
        <f t="shared" si="10"/>
        <v>52.800000000000004</v>
      </c>
      <c r="L144">
        <f>IFERROR(INDEX(Admissions_2024_2025!L:L,MATCH($B144,Admissions_2024_2025!$B:$B,0)),"")</f>
        <v>13</v>
      </c>
      <c r="M144">
        <f t="shared" si="11"/>
        <v>26</v>
      </c>
      <c r="N144">
        <f t="shared" si="12"/>
        <v>93</v>
      </c>
      <c r="O144">
        <f t="shared" si="13"/>
        <v>65.492957746478879</v>
      </c>
      <c r="P144">
        <f t="shared" si="14"/>
        <v>48.097652582159633</v>
      </c>
      <c r="Q144" t="str">
        <f>IFERROR(INDEX(Admissions_2024_2025!Q:Q,MATCH($B144,Admissions_2024_2025!$B:$B,0)),"")</f>
        <v>Extreme spatial bias</v>
      </c>
      <c r="R144">
        <f>IFERROR(INDEX(Admissions_2024_2025!R:R,MATCH($B144,Admissions_2024_2025!$B:$B,0)),"")</f>
        <v>72</v>
      </c>
      <c r="S144">
        <f>IFERROR(INDEX(Admissions_2024_2025!S:S,MATCH($B144,Admissions_2024_2025!$B:$B,0)),"")</f>
        <v>103</v>
      </c>
      <c r="T144">
        <f>IFERROR(INDEX(Admissions_2024_2025!T:T,MATCH($B144,Admissions_2024_2025!$B:$B,0)),"")</f>
        <v>101</v>
      </c>
      <c r="U144">
        <f>IFERROR(INDEX(Admissions_2024_2025!U:U,MATCH($B144,Admissions_2024_2025!$B:$B,0)),"")</f>
        <v>97</v>
      </c>
      <c r="V144">
        <f>IFERROR(INDEX(Admissions_2024_2025!V:V,MATCH($B85,Admissions_2024_2025!$B:$B,0)),"")</f>
        <v>0</v>
      </c>
      <c r="W144" t="str">
        <f>IFERROR(INDEX(Admissions_2024_2025!W:W,MATCH($B144,Admissions_2024_2025!$B:$B,0)),"")</f>
        <v>2024 admissions; 2024 accepted list</v>
      </c>
    </row>
    <row r="145" spans="1:23" x14ac:dyDescent="0.3">
      <c r="A145" t="s">
        <v>298</v>
      </c>
      <c r="B145" t="s">
        <v>359</v>
      </c>
      <c r="C145" t="s">
        <v>360</v>
      </c>
      <c r="D145">
        <f>IFERROR(INDEX(Admissions_2024_2025!D:D,MATCH($B145,Admissions_2024_2025!$B:$B,0)),"")</f>
        <v>0</v>
      </c>
      <c r="E145">
        <f>IFERROR(INDEX(Admissions_2024_2025!E:E,MATCH($B145,Admissions_2024_2025!$B:$B,0)),"")</f>
        <v>0</v>
      </c>
      <c r="F145">
        <f>IFERROR(INDEX(Admissions_2024_2025!F:F,MATCH($B145,Admissions_2024_2025!$B:$B,0)),"")</f>
        <v>0</v>
      </c>
      <c r="G145">
        <f>IFERROR(INDEX(Admissions_2024_2025!G:G,MATCH($B145,Admissions_2024_2025!$B:$B,0)),"")</f>
        <v>0</v>
      </c>
      <c r="H145">
        <f>IFERROR(INDEX(Admissions_2024_2025!H:H,MATCH($B145,Admissions_2024_2025!$B:$B,0)),"")</f>
        <v>0</v>
      </c>
      <c r="I145" t="str">
        <f>IFERROR(INDEX(Admissions_2024_2025!I:I,MATCH($B145,Admissions_2024_2025!$B:$B,0)),"")</f>
        <v>B2</v>
      </c>
      <c r="J145">
        <f>IFERROR(INDEX(Admissions_2024_2025!J:J,MATCH($B145,Admissions_2024_2025!$B:$B,0)),"")</f>
        <v>161</v>
      </c>
      <c r="K145">
        <f t="shared" si="10"/>
        <v>64.400000000000006</v>
      </c>
      <c r="L145">
        <f>IFERROR(INDEX(Admissions_2024_2025!L:L,MATCH($B145,Admissions_2024_2025!$B:$B,0)),"")</f>
        <v>19</v>
      </c>
      <c r="M145">
        <f t="shared" si="11"/>
        <v>38</v>
      </c>
      <c r="N145">
        <f t="shared" si="12"/>
        <v>92</v>
      </c>
      <c r="O145">
        <f t="shared" si="13"/>
        <v>64.788732394366207</v>
      </c>
      <c r="P145">
        <f t="shared" si="14"/>
        <v>55.72957746478874</v>
      </c>
      <c r="Q145" t="str">
        <f>IFERROR(INDEX(Admissions_2024_2025!Q:Q,MATCH($B145,Admissions_2024_2025!$B:$B,0)),"")</f>
        <v>Mild spatial bias</v>
      </c>
      <c r="R145">
        <f>IFERROR(INDEX(Admissions_2024_2025!R:R,MATCH($B145,Admissions_2024_2025!$B:$B,0)),"")</f>
        <v>83</v>
      </c>
      <c r="S145">
        <f>IFERROR(INDEX(Admissions_2024_2025!S:S,MATCH($B145,Admissions_2024_2025!$B:$B,0)),"")</f>
        <v>87</v>
      </c>
      <c r="T145">
        <f>IFERROR(INDEX(Admissions_2024_2025!T:T,MATCH($B145,Admissions_2024_2025!$B:$B,0)),"")</f>
        <v>101</v>
      </c>
      <c r="U145">
        <f>IFERROR(INDEX(Admissions_2024_2025!U:U,MATCH($B145,Admissions_2024_2025!$B:$B,0)),"")</f>
        <v>98</v>
      </c>
      <c r="V145">
        <f>IFERROR(INDEX(Admissions_2024_2025!V:V,MATCH($B86,Admissions_2024_2025!$B:$B,0)),"")</f>
        <v>0</v>
      </c>
      <c r="W145" t="str">
        <f>IFERROR(INDEX(Admissions_2024_2025!W:W,MATCH($B145,Admissions_2024_2025!$B:$B,0)),"")</f>
        <v>2024 admissions; 2024 accepted list</v>
      </c>
    </row>
    <row r="146" spans="1:23" x14ac:dyDescent="0.3">
      <c r="A146" t="s">
        <v>298</v>
      </c>
      <c r="B146" t="s">
        <v>361</v>
      </c>
      <c r="C146" t="s">
        <v>362</v>
      </c>
      <c r="D146">
        <f>IFERROR(INDEX(Admissions_2024_2025!D:D,MATCH($B146,Admissions_2024_2025!$B:$B,0)),"")</f>
        <v>0</v>
      </c>
      <c r="E146">
        <f>IFERROR(INDEX(Admissions_2024_2025!E:E,MATCH($B146,Admissions_2024_2025!$B:$B,0)),"")</f>
        <v>0</v>
      </c>
      <c r="F146">
        <f>IFERROR(INDEX(Admissions_2024_2025!F:F,MATCH($B146,Admissions_2024_2025!$B:$B,0)),"")</f>
        <v>0</v>
      </c>
      <c r="G146">
        <f>IFERROR(INDEX(Admissions_2024_2025!G:G,MATCH($B146,Admissions_2024_2025!$B:$B,0)),"")</f>
        <v>0</v>
      </c>
      <c r="H146">
        <f>IFERROR(INDEX(Admissions_2024_2025!H:H,MATCH($B146,Admissions_2024_2025!$B:$B,0)),"")</f>
        <v>0</v>
      </c>
      <c r="I146" t="str">
        <f>IFERROR(INDEX(Admissions_2024_2025!I:I,MATCH($B146,Admissions_2024_2025!$B:$B,0)),"")</f>
        <v>B1</v>
      </c>
      <c r="J146">
        <f>IFERROR(INDEX(Admissions_2024_2025!J:J,MATCH($B146,Admissions_2024_2025!$B:$B,0)),"")</f>
        <v>136</v>
      </c>
      <c r="K146">
        <f t="shared" si="10"/>
        <v>54.400000000000006</v>
      </c>
      <c r="L146">
        <f>IFERROR(INDEX(Admissions_2024_2025!L:L,MATCH($B146,Admissions_2024_2025!$B:$B,0)),"")</f>
        <v>13</v>
      </c>
      <c r="M146">
        <f t="shared" si="11"/>
        <v>26</v>
      </c>
      <c r="N146">
        <f t="shared" si="12"/>
        <v>89</v>
      </c>
      <c r="O146">
        <f t="shared" si="13"/>
        <v>62.676056338028175</v>
      </c>
      <c r="P146">
        <f t="shared" si="14"/>
        <v>47.692018779342732</v>
      </c>
      <c r="Q146" t="str">
        <f>IFERROR(INDEX(Admissions_2024_2025!Q:Q,MATCH($B146,Admissions_2024_2025!$B:$B,0)),"")</f>
        <v>Extreme spatial bias</v>
      </c>
      <c r="R146">
        <f>IFERROR(INDEX(Admissions_2024_2025!R:R,MATCH($B146,Admissions_2024_2025!$B:$B,0)),"")</f>
        <v>68</v>
      </c>
      <c r="S146">
        <f>IFERROR(INDEX(Admissions_2024_2025!S:S,MATCH($B146,Admissions_2024_2025!$B:$B,0)),"")</f>
        <v>87</v>
      </c>
      <c r="T146">
        <f>IFERROR(INDEX(Admissions_2024_2025!T:T,MATCH($B146,Admissions_2024_2025!$B:$B,0)),"")</f>
        <v>103</v>
      </c>
      <c r="U146">
        <f>IFERROR(INDEX(Admissions_2024_2025!U:U,MATCH($B146,Admissions_2024_2025!$B:$B,0)),"")</f>
        <v>98</v>
      </c>
      <c r="V146">
        <f>IFERROR(INDEX(Admissions_2024_2025!V:V,MATCH($B87,Admissions_2024_2025!$B:$B,0)),"")</f>
        <v>0</v>
      </c>
      <c r="W146" t="str">
        <f>IFERROR(INDEX(Admissions_2024_2025!W:W,MATCH($B146,Admissions_2024_2025!$B:$B,0)),"")</f>
        <v>2024 admissions; 2024 accepted list</v>
      </c>
    </row>
    <row r="147" spans="1:23" x14ac:dyDescent="0.3">
      <c r="A147" t="s">
        <v>298</v>
      </c>
      <c r="B147" t="s">
        <v>363</v>
      </c>
      <c r="C147" t="s">
        <v>364</v>
      </c>
      <c r="D147">
        <f>IFERROR(INDEX(Admissions_2024_2025!D:D,MATCH($B147,Admissions_2024_2025!$B:$B,0)),"")</f>
        <v>0</v>
      </c>
      <c r="E147">
        <f>IFERROR(INDEX(Admissions_2024_2025!E:E,MATCH($B147,Admissions_2024_2025!$B:$B,0)),"")</f>
        <v>0</v>
      </c>
      <c r="F147">
        <f>IFERROR(INDEX(Admissions_2024_2025!F:F,MATCH($B147,Admissions_2024_2025!$B:$B,0)),"")</f>
        <v>0</v>
      </c>
      <c r="G147">
        <f>IFERROR(INDEX(Admissions_2024_2025!G:G,MATCH($B147,Admissions_2024_2025!$B:$B,0)),"")</f>
        <v>0</v>
      </c>
      <c r="H147">
        <f>IFERROR(INDEX(Admissions_2024_2025!H:H,MATCH($B147,Admissions_2024_2025!$B:$B,0)),"")</f>
        <v>0</v>
      </c>
      <c r="I147" t="str">
        <f>IFERROR(INDEX(Admissions_2024_2025!I:I,MATCH($B147,Admissions_2024_2025!$B:$B,0)),"")</f>
        <v>B1</v>
      </c>
      <c r="J147">
        <f>IFERROR(INDEX(Admissions_2024_2025!J:J,MATCH($B147,Admissions_2024_2025!$B:$B,0)),"")</f>
        <v>121</v>
      </c>
      <c r="K147">
        <f t="shared" si="10"/>
        <v>48.4</v>
      </c>
      <c r="L147">
        <f>IFERROR(INDEX(Admissions_2024_2025!L:L,MATCH($B147,Admissions_2024_2025!$B:$B,0)),"")</f>
        <v>22</v>
      </c>
      <c r="M147">
        <f t="shared" si="11"/>
        <v>44</v>
      </c>
      <c r="N147">
        <f t="shared" si="12"/>
        <v>97</v>
      </c>
      <c r="O147">
        <f t="shared" si="13"/>
        <v>68.309859154929569</v>
      </c>
      <c r="P147">
        <f t="shared" si="14"/>
        <v>53.569953051643189</v>
      </c>
      <c r="Q147" t="str">
        <f>IFERROR(INDEX(Admissions_2024_2025!Q:Q,MATCH($B147,Admissions_2024_2025!$B:$B,0)),"")</f>
        <v>Mild spatial bias</v>
      </c>
      <c r="R147">
        <f>IFERROR(INDEX(Admissions_2024_2025!R:R,MATCH($B147,Admissions_2024_2025!$B:$B,0)),"")</f>
        <v>83</v>
      </c>
      <c r="S147">
        <f>IFERROR(INDEX(Admissions_2024_2025!S:S,MATCH($B147,Admissions_2024_2025!$B:$B,0)),"")</f>
        <v>103</v>
      </c>
      <c r="T147">
        <f>IFERROR(INDEX(Admissions_2024_2025!T:T,MATCH($B147,Admissions_2024_2025!$B:$B,0)),"")</f>
        <v>106</v>
      </c>
      <c r="U147">
        <f>IFERROR(INDEX(Admissions_2024_2025!U:U,MATCH($B147,Admissions_2024_2025!$B:$B,0)),"")</f>
        <v>97</v>
      </c>
      <c r="V147">
        <f>IFERROR(INDEX(Admissions_2024_2025!V:V,MATCH($B88,Admissions_2024_2025!$B:$B,0)),"")</f>
        <v>0</v>
      </c>
      <c r="W147" t="str">
        <f>IFERROR(INDEX(Admissions_2024_2025!W:W,MATCH($B147,Admissions_2024_2025!$B:$B,0)),"")</f>
        <v>2024 admissions; 2024 accepted list</v>
      </c>
    </row>
    <row r="148" spans="1:23" x14ac:dyDescent="0.3">
      <c r="A148" t="s">
        <v>298</v>
      </c>
      <c r="B148" t="s">
        <v>365</v>
      </c>
      <c r="C148" t="s">
        <v>366</v>
      </c>
      <c r="D148">
        <f>IFERROR(INDEX(Admissions_2024_2025!D:D,MATCH($B148,Admissions_2024_2025!$B:$B,0)),"")</f>
        <v>0</v>
      </c>
      <c r="E148">
        <f>IFERROR(INDEX(Admissions_2024_2025!E:E,MATCH($B148,Admissions_2024_2025!$B:$B,0)),"")</f>
        <v>0</v>
      </c>
      <c r="F148">
        <f>IFERROR(INDEX(Admissions_2024_2025!F:F,MATCH($B148,Admissions_2024_2025!$B:$B,0)),"")</f>
        <v>0</v>
      </c>
      <c r="G148">
        <f>IFERROR(INDEX(Admissions_2024_2025!G:G,MATCH($B148,Admissions_2024_2025!$B:$B,0)),"")</f>
        <v>0</v>
      </c>
      <c r="H148">
        <f>IFERROR(INDEX(Admissions_2024_2025!H:H,MATCH($B148,Admissions_2024_2025!$B:$B,0)),"")</f>
        <v>0</v>
      </c>
      <c r="I148" t="str">
        <f>IFERROR(INDEX(Admissions_2024_2025!I:I,MATCH($B148,Admissions_2024_2025!$B:$B,0)),"")</f>
        <v>B2</v>
      </c>
      <c r="J148">
        <f>IFERROR(INDEX(Admissions_2024_2025!J:J,MATCH($B148,Admissions_2024_2025!$B:$B,0)),"")</f>
        <v>146</v>
      </c>
      <c r="K148">
        <f t="shared" si="10"/>
        <v>58.4</v>
      </c>
      <c r="L148">
        <f>IFERROR(INDEX(Admissions_2024_2025!L:L,MATCH($B148,Admissions_2024_2025!$B:$B,0)),"")</f>
        <v>27</v>
      </c>
      <c r="M148">
        <f t="shared" si="11"/>
        <v>54</v>
      </c>
      <c r="N148">
        <f t="shared" si="12"/>
        <v>98</v>
      </c>
      <c r="O148">
        <f t="shared" si="13"/>
        <v>69.014084507042256</v>
      </c>
      <c r="P148">
        <f t="shared" si="14"/>
        <v>60.471361502347428</v>
      </c>
      <c r="Q148" t="str">
        <f>IFERROR(INDEX(Admissions_2024_2025!Q:Q,MATCH($B148,Admissions_2024_2025!$B:$B,0)),"")</f>
        <v>No bias</v>
      </c>
      <c r="R148">
        <f>IFERROR(INDEX(Admissions_2024_2025!R:R,MATCH($B148,Admissions_2024_2025!$B:$B,0)),"")</f>
        <v>92</v>
      </c>
      <c r="S148">
        <f>IFERROR(INDEX(Admissions_2024_2025!S:S,MATCH($B148,Admissions_2024_2025!$B:$B,0)),"")</f>
        <v>105</v>
      </c>
      <c r="T148">
        <f>IFERROR(INDEX(Admissions_2024_2025!T:T,MATCH($B148,Admissions_2024_2025!$B:$B,0)),"")</f>
        <v>103</v>
      </c>
      <c r="U148">
        <f>IFERROR(INDEX(Admissions_2024_2025!U:U,MATCH($B148,Admissions_2024_2025!$B:$B,0)),"")</f>
        <v>93</v>
      </c>
      <c r="V148">
        <f>IFERROR(INDEX(Admissions_2024_2025!V:V,MATCH($B89,Admissions_2024_2025!$B:$B,0)),"")</f>
        <v>0</v>
      </c>
      <c r="W148" t="str">
        <f>IFERROR(INDEX(Admissions_2024_2025!W:W,MATCH($B148,Admissions_2024_2025!$B:$B,0)),"")</f>
        <v>2024 admissions; 2024 accepted list</v>
      </c>
    </row>
    <row r="149" spans="1:23" x14ac:dyDescent="0.3">
      <c r="A149" t="s">
        <v>298</v>
      </c>
      <c r="B149" t="s">
        <v>367</v>
      </c>
      <c r="C149" t="s">
        <v>368</v>
      </c>
      <c r="D149">
        <f>IFERROR(INDEX(Admissions_2024_2025!D:D,MATCH($B149,Admissions_2024_2025!$B:$B,0)),"")</f>
        <v>0</v>
      </c>
      <c r="E149">
        <f>IFERROR(INDEX(Admissions_2024_2025!E:E,MATCH($B149,Admissions_2024_2025!$B:$B,0)),"")</f>
        <v>0</v>
      </c>
      <c r="F149">
        <f>IFERROR(INDEX(Admissions_2024_2025!F:F,MATCH($B149,Admissions_2024_2025!$B:$B,0)),"")</f>
        <v>0</v>
      </c>
      <c r="G149">
        <f>IFERROR(INDEX(Admissions_2024_2025!G:G,MATCH($B149,Admissions_2024_2025!$B:$B,0)),"")</f>
        <v>0</v>
      </c>
      <c r="H149">
        <f>IFERROR(INDEX(Admissions_2024_2025!H:H,MATCH($B149,Admissions_2024_2025!$B:$B,0)),"")</f>
        <v>0</v>
      </c>
      <c r="I149" t="str">
        <f>IFERROR(INDEX(Admissions_2024_2025!I:I,MATCH($B149,Admissions_2024_2025!$B:$B,0)),"")</f>
        <v>B2</v>
      </c>
      <c r="J149">
        <f>IFERROR(INDEX(Admissions_2024_2025!J:J,MATCH($B149,Admissions_2024_2025!$B:$B,0)),"")</f>
        <v>137</v>
      </c>
      <c r="K149">
        <f t="shared" si="10"/>
        <v>54.800000000000004</v>
      </c>
      <c r="L149">
        <f>IFERROR(INDEX(Admissions_2024_2025!L:L,MATCH($B149,Admissions_2024_2025!$B:$B,0)),"")</f>
        <v>24</v>
      </c>
      <c r="M149">
        <f t="shared" si="11"/>
        <v>48</v>
      </c>
      <c r="N149">
        <f t="shared" si="12"/>
        <v>106</v>
      </c>
      <c r="O149">
        <f t="shared" si="13"/>
        <v>74.647887323943664</v>
      </c>
      <c r="P149">
        <f t="shared" si="14"/>
        <v>59.149295774647896</v>
      </c>
      <c r="Q149" t="str">
        <f>IFERROR(INDEX(Admissions_2024_2025!Q:Q,MATCH($B149,Admissions_2024_2025!$B:$B,0)),"")</f>
        <v>Mild spatial bias</v>
      </c>
      <c r="R149">
        <f>IFERROR(INDEX(Admissions_2024_2025!R:R,MATCH($B149,Admissions_2024_2025!$B:$B,0)),"")</f>
        <v>102</v>
      </c>
      <c r="S149">
        <f>IFERROR(INDEX(Admissions_2024_2025!S:S,MATCH($B149,Admissions_2024_2025!$B:$B,0)),"")</f>
        <v>108</v>
      </c>
      <c r="T149">
        <f>IFERROR(INDEX(Admissions_2024_2025!T:T,MATCH($B149,Admissions_2024_2025!$B:$B,0)),"")</f>
        <v>101</v>
      </c>
      <c r="U149">
        <f>IFERROR(INDEX(Admissions_2024_2025!U:U,MATCH($B149,Admissions_2024_2025!$B:$B,0)),"")</f>
        <v>114</v>
      </c>
      <c r="V149">
        <f>IFERROR(INDEX(Admissions_2024_2025!V:V,MATCH($B90,Admissions_2024_2025!$B:$B,0)),"")</f>
        <v>0</v>
      </c>
      <c r="W149" t="str">
        <f>IFERROR(INDEX(Admissions_2024_2025!W:W,MATCH($B149,Admissions_2024_2025!$B:$B,0)),"")</f>
        <v>2024 admissions; 2024 accepted list</v>
      </c>
    </row>
    <row r="150" spans="1:23" x14ac:dyDescent="0.3">
      <c r="A150" t="s">
        <v>298</v>
      </c>
      <c r="B150" t="s">
        <v>369</v>
      </c>
      <c r="C150" t="s">
        <v>370</v>
      </c>
      <c r="D150">
        <f>IFERROR(INDEX(Admissions_2024_2025!D:D,MATCH($B150,Admissions_2024_2025!$B:$B,0)),"")</f>
        <v>0</v>
      </c>
      <c r="E150">
        <f>IFERROR(INDEX(Admissions_2024_2025!E:E,MATCH($B150,Admissions_2024_2025!$B:$B,0)),"")</f>
        <v>0</v>
      </c>
      <c r="F150">
        <f>IFERROR(INDEX(Admissions_2024_2025!F:F,MATCH($B150,Admissions_2024_2025!$B:$B,0)),"")</f>
        <v>0</v>
      </c>
      <c r="G150">
        <f>IFERROR(INDEX(Admissions_2024_2025!G:G,MATCH($B150,Admissions_2024_2025!$B:$B,0)),"")</f>
        <v>0</v>
      </c>
      <c r="H150">
        <f>IFERROR(INDEX(Admissions_2024_2025!H:H,MATCH($B150,Admissions_2024_2025!$B:$B,0)),"")</f>
        <v>0</v>
      </c>
      <c r="I150" t="str">
        <f>IFERROR(INDEX(Admissions_2024_2025!I:I,MATCH($B150,Admissions_2024_2025!$B:$B,0)),"")</f>
        <v>B2</v>
      </c>
      <c r="J150">
        <f>IFERROR(INDEX(Admissions_2024_2025!J:J,MATCH($B150,Admissions_2024_2025!$B:$B,0)),"")</f>
        <v>152</v>
      </c>
      <c r="K150">
        <f t="shared" si="10"/>
        <v>60.8</v>
      </c>
      <c r="L150">
        <f>IFERROR(INDEX(Admissions_2024_2025!L:L,MATCH($B150,Admissions_2024_2025!$B:$B,0)),"")</f>
        <v>26</v>
      </c>
      <c r="M150">
        <f t="shared" si="11"/>
        <v>52</v>
      </c>
      <c r="N150">
        <f t="shared" si="12"/>
        <v>112</v>
      </c>
      <c r="O150">
        <f t="shared" si="13"/>
        <v>78.873239436619713</v>
      </c>
      <c r="P150">
        <f t="shared" si="14"/>
        <v>63.891079812206577</v>
      </c>
      <c r="Q150" t="str">
        <f>IFERROR(INDEX(Admissions_2024_2025!Q:Q,MATCH($B150,Admissions_2024_2025!$B:$B,0)),"")</f>
        <v>Extreme spatial bias</v>
      </c>
      <c r="R150">
        <f>IFERROR(INDEX(Admissions_2024_2025!R:R,MATCH($B150,Admissions_2024_2025!$B:$B,0)),"")</f>
        <v>90</v>
      </c>
      <c r="S150">
        <f>IFERROR(INDEX(Admissions_2024_2025!S:S,MATCH($B150,Admissions_2024_2025!$B:$B,0)),"")</f>
        <v>116</v>
      </c>
      <c r="T150">
        <f>IFERROR(INDEX(Admissions_2024_2025!T:T,MATCH($B150,Admissions_2024_2025!$B:$B,0)),"")</f>
        <v>124</v>
      </c>
      <c r="U150">
        <f>IFERROR(INDEX(Admissions_2024_2025!U:U,MATCH($B150,Admissions_2024_2025!$B:$B,0)),"")</f>
        <v>119</v>
      </c>
      <c r="V150">
        <f>IFERROR(INDEX(Admissions_2024_2025!V:V,MATCH($B91,Admissions_2024_2025!$B:$B,0)),"")</f>
        <v>0</v>
      </c>
      <c r="W150" t="str">
        <f>IFERROR(INDEX(Admissions_2024_2025!W:W,MATCH($B150,Admissions_2024_2025!$B:$B,0)),"")</f>
        <v>2024 admissions; 2024 accepted list</v>
      </c>
    </row>
    <row r="151" spans="1:23" x14ac:dyDescent="0.3">
      <c r="A151" t="s">
        <v>298</v>
      </c>
      <c r="B151" t="s">
        <v>371</v>
      </c>
      <c r="C151" t="s">
        <v>372</v>
      </c>
      <c r="D151">
        <f>IFERROR(INDEX(Admissions_2024_2025!D:D,MATCH($B151,Admissions_2024_2025!$B:$B,0)),"")</f>
        <v>0</v>
      </c>
      <c r="E151">
        <f>IFERROR(INDEX(Admissions_2024_2025!E:E,MATCH($B151,Admissions_2024_2025!$B:$B,0)),"")</f>
        <v>0</v>
      </c>
      <c r="F151">
        <f>IFERROR(INDEX(Admissions_2024_2025!F:F,MATCH($B151,Admissions_2024_2025!$B:$B,0)),"")</f>
        <v>0</v>
      </c>
      <c r="G151">
        <f>IFERROR(INDEX(Admissions_2024_2025!G:G,MATCH($B151,Admissions_2024_2025!$B:$B,0)),"")</f>
        <v>0</v>
      </c>
      <c r="H151">
        <f>IFERROR(INDEX(Admissions_2024_2025!H:H,MATCH($B151,Admissions_2024_2025!$B:$B,0)),"")</f>
        <v>0</v>
      </c>
      <c r="I151" t="str">
        <f>IFERROR(INDEX(Admissions_2024_2025!I:I,MATCH($B151,Admissions_2024_2025!$B:$B,0)),"")</f>
        <v>B1</v>
      </c>
      <c r="J151">
        <f>IFERROR(INDEX(Admissions_2024_2025!J:J,MATCH($B151,Admissions_2024_2025!$B:$B,0)),"")</f>
        <v>136</v>
      </c>
      <c r="K151">
        <f t="shared" si="10"/>
        <v>54.400000000000006</v>
      </c>
      <c r="L151">
        <f>IFERROR(INDEX(Admissions_2024_2025!L:L,MATCH($B151,Admissions_2024_2025!$B:$B,0)),"")</f>
        <v>25</v>
      </c>
      <c r="M151">
        <f t="shared" si="11"/>
        <v>50</v>
      </c>
      <c r="N151">
        <f t="shared" si="12"/>
        <v>98</v>
      </c>
      <c r="O151">
        <f t="shared" si="13"/>
        <v>69.014084507042256</v>
      </c>
      <c r="P151">
        <f t="shared" si="14"/>
        <v>57.804694835680756</v>
      </c>
      <c r="Q151" t="str">
        <f>IFERROR(INDEX(Admissions_2024_2025!Q:Q,MATCH($B151,Admissions_2024_2025!$B:$B,0)),"")</f>
        <v>Mild spatial bias</v>
      </c>
      <c r="R151">
        <f>IFERROR(INDEX(Admissions_2024_2025!R:R,MATCH($B151,Admissions_2024_2025!$B:$B,0)),"")</f>
        <v>92</v>
      </c>
      <c r="S151">
        <f>IFERROR(INDEX(Admissions_2024_2025!S:S,MATCH($B151,Admissions_2024_2025!$B:$B,0)),"")</f>
        <v>103</v>
      </c>
      <c r="T151">
        <f>IFERROR(INDEX(Admissions_2024_2025!T:T,MATCH($B151,Admissions_2024_2025!$B:$B,0)),"")</f>
        <v>90</v>
      </c>
      <c r="U151">
        <f>IFERROR(INDEX(Admissions_2024_2025!U:U,MATCH($B151,Admissions_2024_2025!$B:$B,0)),"")</f>
        <v>107</v>
      </c>
      <c r="V151">
        <f>IFERROR(INDEX(Admissions_2024_2025!V:V,MATCH($B92,Admissions_2024_2025!$B:$B,0)),"")</f>
        <v>0</v>
      </c>
      <c r="W151" t="str">
        <f>IFERROR(INDEX(Admissions_2024_2025!W:W,MATCH($B151,Admissions_2024_2025!$B:$B,0)),"")</f>
        <v>2024 admissions; 2024 accepted list</v>
      </c>
    </row>
    <row r="152" spans="1:23" x14ac:dyDescent="0.3">
      <c r="A152" t="s">
        <v>298</v>
      </c>
      <c r="B152" t="s">
        <v>373</v>
      </c>
      <c r="C152" t="s">
        <v>374</v>
      </c>
      <c r="D152">
        <f>IFERROR(INDEX(Admissions_2024_2025!D:D,MATCH($B152,Admissions_2024_2025!$B:$B,0)),"")</f>
        <v>0</v>
      </c>
      <c r="E152">
        <f>IFERROR(INDEX(Admissions_2024_2025!E:E,MATCH($B152,Admissions_2024_2025!$B:$B,0)),"")</f>
        <v>0</v>
      </c>
      <c r="F152">
        <f>IFERROR(INDEX(Admissions_2024_2025!F:F,MATCH($B152,Admissions_2024_2025!$B:$B,0)),"")</f>
        <v>0</v>
      </c>
      <c r="G152">
        <f>IFERROR(INDEX(Admissions_2024_2025!G:G,MATCH($B152,Admissions_2024_2025!$B:$B,0)),"")</f>
        <v>0</v>
      </c>
      <c r="H152">
        <f>IFERROR(INDEX(Admissions_2024_2025!H:H,MATCH($B152,Admissions_2024_2025!$B:$B,0)),"")</f>
        <v>0</v>
      </c>
      <c r="I152" t="str">
        <f>IFERROR(INDEX(Admissions_2024_2025!I:I,MATCH($B152,Admissions_2024_2025!$B:$B,0)),"")</f>
        <v>B1</v>
      </c>
      <c r="J152">
        <f>IFERROR(INDEX(Admissions_2024_2025!J:J,MATCH($B152,Admissions_2024_2025!$B:$B,0)),"")</f>
        <v>118</v>
      </c>
      <c r="K152">
        <f t="shared" si="10"/>
        <v>47.199999999999996</v>
      </c>
      <c r="L152">
        <f>IFERROR(INDEX(Admissions_2024_2025!L:L,MATCH($B152,Admissions_2024_2025!$B:$B,0)),"")</f>
        <v>25</v>
      </c>
      <c r="M152">
        <f t="shared" si="11"/>
        <v>50</v>
      </c>
      <c r="N152">
        <f t="shared" si="12"/>
        <v>105</v>
      </c>
      <c r="O152">
        <f t="shared" si="13"/>
        <v>73.943661971830991</v>
      </c>
      <c r="P152">
        <f t="shared" si="14"/>
        <v>57.047887323943655</v>
      </c>
      <c r="Q152" t="str">
        <f>IFERROR(INDEX(Admissions_2024_2025!Q:Q,MATCH($B152,Admissions_2024_2025!$B:$B,0)),"")</f>
        <v>Mild spatial bias</v>
      </c>
      <c r="R152">
        <f>IFERROR(INDEX(Admissions_2024_2025!R:R,MATCH($B152,Admissions_2024_2025!$B:$B,0)),"")</f>
        <v>83</v>
      </c>
      <c r="S152">
        <f>IFERROR(INDEX(Admissions_2024_2025!S:S,MATCH($B152,Admissions_2024_2025!$B:$B,0)),"")</f>
        <v>118</v>
      </c>
      <c r="T152">
        <f>IFERROR(INDEX(Admissions_2024_2025!T:T,MATCH($B152,Admissions_2024_2025!$B:$B,0)),"")</f>
        <v>121</v>
      </c>
      <c r="U152">
        <f>IFERROR(INDEX(Admissions_2024_2025!U:U,MATCH($B152,Admissions_2024_2025!$B:$B,0)),"")</f>
        <v>98</v>
      </c>
      <c r="V152">
        <f>IFERROR(INDEX(Admissions_2024_2025!V:V,MATCH($B93,Admissions_2024_2025!$B:$B,0)),"")</f>
        <v>0</v>
      </c>
      <c r="W152" t="str">
        <f>IFERROR(INDEX(Admissions_2024_2025!W:W,MATCH($B152,Admissions_2024_2025!$B:$B,0)),"")</f>
        <v>2024 admissions; 2024 accepted list</v>
      </c>
    </row>
    <row r="153" spans="1:23" x14ac:dyDescent="0.3">
      <c r="A153" t="s">
        <v>298</v>
      </c>
      <c r="B153" t="s">
        <v>375</v>
      </c>
      <c r="C153" t="s">
        <v>376</v>
      </c>
      <c r="D153">
        <f>IFERROR(INDEX(Admissions_2024_2025!D:D,MATCH($B153,Admissions_2024_2025!$B:$B,0)),"")</f>
        <v>0</v>
      </c>
      <c r="E153">
        <f>IFERROR(INDEX(Admissions_2024_2025!E:E,MATCH($B153,Admissions_2024_2025!$B:$B,0)),"")</f>
        <v>0</v>
      </c>
      <c r="F153">
        <f>IFERROR(INDEX(Admissions_2024_2025!F:F,MATCH($B153,Admissions_2024_2025!$B:$B,0)),"")</f>
        <v>0</v>
      </c>
      <c r="G153">
        <f>IFERROR(INDEX(Admissions_2024_2025!G:G,MATCH($B153,Admissions_2024_2025!$B:$B,0)),"")</f>
        <v>0</v>
      </c>
      <c r="H153">
        <f>IFERROR(INDEX(Admissions_2024_2025!H:H,MATCH($B153,Admissions_2024_2025!$B:$B,0)),"")</f>
        <v>0</v>
      </c>
      <c r="I153" t="str">
        <f>IFERROR(INDEX(Admissions_2024_2025!I:I,MATCH($B153,Admissions_2024_2025!$B:$B,0)),"")</f>
        <v>B1</v>
      </c>
      <c r="J153">
        <f>IFERROR(INDEX(Admissions_2024_2025!J:J,MATCH($B153,Admissions_2024_2025!$B:$B,0)),"")</f>
        <v>139</v>
      </c>
      <c r="K153">
        <f t="shared" si="10"/>
        <v>55.600000000000009</v>
      </c>
      <c r="L153">
        <f>IFERROR(INDEX(Admissions_2024_2025!L:L,MATCH($B153,Admissions_2024_2025!$B:$B,0)),"")</f>
        <v>14</v>
      </c>
      <c r="M153">
        <f t="shared" si="11"/>
        <v>28.000000000000004</v>
      </c>
      <c r="N153">
        <f t="shared" si="12"/>
        <v>98</v>
      </c>
      <c r="O153">
        <f t="shared" si="13"/>
        <v>69.014084507042256</v>
      </c>
      <c r="P153">
        <f t="shared" si="14"/>
        <v>50.871361502347419</v>
      </c>
      <c r="Q153" t="str">
        <f>IFERROR(INDEX(Admissions_2024_2025!Q:Q,MATCH($B153,Admissions_2024_2025!$B:$B,0)),"")</f>
        <v>Extreme spatial bias</v>
      </c>
      <c r="R153">
        <f>IFERROR(INDEX(Admissions_2024_2025!R:R,MATCH($B153,Admissions_2024_2025!$B:$B,0)),"")</f>
        <v>78</v>
      </c>
      <c r="S153">
        <f>IFERROR(INDEX(Admissions_2024_2025!S:S,MATCH($B153,Admissions_2024_2025!$B:$B,0)),"")</f>
        <v>92</v>
      </c>
      <c r="T153">
        <f>IFERROR(INDEX(Admissions_2024_2025!T:T,MATCH($B153,Admissions_2024_2025!$B:$B,0)),"")</f>
        <v>108</v>
      </c>
      <c r="U153">
        <f>IFERROR(INDEX(Admissions_2024_2025!U:U,MATCH($B153,Admissions_2024_2025!$B:$B,0)),"")</f>
        <v>112</v>
      </c>
      <c r="V153">
        <f>IFERROR(INDEX(Admissions_2024_2025!V:V,MATCH($B94,Admissions_2024_2025!$B:$B,0)),"")</f>
        <v>0</v>
      </c>
      <c r="W153" t="str">
        <f>IFERROR(INDEX(Admissions_2024_2025!W:W,MATCH($B153,Admissions_2024_2025!$B:$B,0)),"")</f>
        <v>2024 admissions; 2024 accepted list</v>
      </c>
    </row>
    <row r="154" spans="1:23" x14ac:dyDescent="0.3">
      <c r="A154" t="s">
        <v>298</v>
      </c>
      <c r="B154" t="s">
        <v>377</v>
      </c>
      <c r="C154" t="s">
        <v>378</v>
      </c>
      <c r="D154">
        <f>IFERROR(INDEX(Admissions_2024_2025!D:D,MATCH($B154,Admissions_2024_2025!$B:$B,0)),"")</f>
        <v>0</v>
      </c>
      <c r="E154">
        <f>IFERROR(INDEX(Admissions_2024_2025!E:E,MATCH($B154,Admissions_2024_2025!$B:$B,0)),"")</f>
        <v>0</v>
      </c>
      <c r="F154">
        <f>IFERROR(INDEX(Admissions_2024_2025!F:F,MATCH($B154,Admissions_2024_2025!$B:$B,0)),"")</f>
        <v>0</v>
      </c>
      <c r="G154">
        <f>IFERROR(INDEX(Admissions_2024_2025!G:G,MATCH($B154,Admissions_2024_2025!$B:$B,0)),"")</f>
        <v>0</v>
      </c>
      <c r="H154">
        <f>IFERROR(INDEX(Admissions_2024_2025!H:H,MATCH($B154,Admissions_2024_2025!$B:$B,0)),"")</f>
        <v>0</v>
      </c>
      <c r="I154" t="str">
        <f>IFERROR(INDEX(Admissions_2024_2025!I:I,MATCH($B154,Admissions_2024_2025!$B:$B,0)),"")</f>
        <v>B2</v>
      </c>
      <c r="J154">
        <f>IFERROR(INDEX(Admissions_2024_2025!J:J,MATCH($B154,Admissions_2024_2025!$B:$B,0)),"")</f>
        <v>144</v>
      </c>
      <c r="K154">
        <f t="shared" si="10"/>
        <v>57.599999999999994</v>
      </c>
      <c r="L154">
        <f>IFERROR(INDEX(Admissions_2024_2025!L:L,MATCH($B154,Admissions_2024_2025!$B:$B,0)),"")</f>
        <v>24</v>
      </c>
      <c r="M154">
        <f t="shared" si="11"/>
        <v>48</v>
      </c>
      <c r="N154">
        <f t="shared" si="12"/>
        <v>103</v>
      </c>
      <c r="O154">
        <f t="shared" si="13"/>
        <v>72.535211267605632</v>
      </c>
      <c r="P154">
        <f t="shared" si="14"/>
        <v>59.37840375586854</v>
      </c>
      <c r="Q154" t="str">
        <f>IFERROR(INDEX(Admissions_2024_2025!Q:Q,MATCH($B154,Admissions_2024_2025!$B:$B,0)),"")</f>
        <v>No bias</v>
      </c>
      <c r="R154">
        <f>IFERROR(INDEX(Admissions_2024_2025!R:R,MATCH($B154,Admissions_2024_2025!$B:$B,0)),"")</f>
        <v>86</v>
      </c>
      <c r="S154">
        <f>IFERROR(INDEX(Admissions_2024_2025!S:S,MATCH($B154,Admissions_2024_2025!$B:$B,0)),"")</f>
        <v>112</v>
      </c>
      <c r="T154">
        <f>IFERROR(INDEX(Admissions_2024_2025!T:T,MATCH($B154,Admissions_2024_2025!$B:$B,0)),"")</f>
        <v>117</v>
      </c>
      <c r="U154">
        <f>IFERROR(INDEX(Admissions_2024_2025!U:U,MATCH($B154,Admissions_2024_2025!$B:$B,0)),"")</f>
        <v>95</v>
      </c>
      <c r="V154">
        <f>IFERROR(INDEX(Admissions_2024_2025!V:V,MATCH($B95,Admissions_2024_2025!$B:$B,0)),"")</f>
        <v>0</v>
      </c>
      <c r="W154" t="str">
        <f>IFERROR(INDEX(Admissions_2024_2025!W:W,MATCH($B154,Admissions_2024_2025!$B:$B,0)),"")</f>
        <v>2024 admissions; 2024 accepted list</v>
      </c>
    </row>
    <row r="155" spans="1:23" x14ac:dyDescent="0.3">
      <c r="A155" t="s">
        <v>298</v>
      </c>
      <c r="B155" t="s">
        <v>379</v>
      </c>
      <c r="C155" t="s">
        <v>380</v>
      </c>
      <c r="D155">
        <f>IFERROR(INDEX(Admissions_2024_2025!D:D,MATCH($B155,Admissions_2024_2025!$B:$B,0)),"")</f>
        <v>0</v>
      </c>
      <c r="E155">
        <f>IFERROR(INDEX(Admissions_2024_2025!E:E,MATCH($B155,Admissions_2024_2025!$B:$B,0)),"")</f>
        <v>0</v>
      </c>
      <c r="F155">
        <f>IFERROR(INDEX(Admissions_2024_2025!F:F,MATCH($B155,Admissions_2024_2025!$B:$B,0)),"")</f>
        <v>0</v>
      </c>
      <c r="G155">
        <f>IFERROR(INDEX(Admissions_2024_2025!G:G,MATCH($B155,Admissions_2024_2025!$B:$B,0)),"")</f>
        <v>0</v>
      </c>
      <c r="H155">
        <f>IFERROR(INDEX(Admissions_2024_2025!H:H,MATCH($B155,Admissions_2024_2025!$B:$B,0)),"")</f>
        <v>0</v>
      </c>
      <c r="I155">
        <f>IFERROR(INDEX(Admissions_2024_2025!I:I,MATCH($B155,Admissions_2024_2025!$B:$B,0)),"")</f>
        <v>0</v>
      </c>
      <c r="J155">
        <f>IFERROR(INDEX(Admissions_2024_2025!J:J,MATCH($B155,Admissions_2024_2025!$B:$B,0)),"")</f>
        <v>186</v>
      </c>
      <c r="K155">
        <f t="shared" si="10"/>
        <v>74.400000000000006</v>
      </c>
      <c r="L155">
        <f>IFERROR(INDEX(Admissions_2024_2025!L:L,MATCH($B155,Admissions_2024_2025!$B:$B,0)),"")</f>
        <v>18</v>
      </c>
      <c r="M155">
        <f t="shared" si="11"/>
        <v>36</v>
      </c>
      <c r="N155">
        <f t="shared" si="12"/>
        <v>100</v>
      </c>
      <c r="O155">
        <f t="shared" si="13"/>
        <v>70.422535211267601</v>
      </c>
      <c r="P155">
        <f t="shared" si="14"/>
        <v>60.274178403755876</v>
      </c>
      <c r="Q155" t="str">
        <f>IFERROR(INDEX(Admissions_2024_2025!Q:Q,MATCH($B155,Admissions_2024_2025!$B:$B,0)),"")</f>
        <v>No bias</v>
      </c>
      <c r="R155">
        <f>IFERROR(INDEX(Admissions_2024_2025!R:R,MATCH($B155,Admissions_2024_2025!$B:$B,0)),"")</f>
        <v>86</v>
      </c>
      <c r="S155">
        <f>IFERROR(INDEX(Admissions_2024_2025!S:S,MATCH($B155,Admissions_2024_2025!$B:$B,0)),"")</f>
        <v>104</v>
      </c>
      <c r="T155">
        <f>IFERROR(INDEX(Admissions_2024_2025!T:T,MATCH($B155,Admissions_2024_2025!$B:$B,0)),"")</f>
        <v>114</v>
      </c>
      <c r="U155">
        <f>IFERROR(INDEX(Admissions_2024_2025!U:U,MATCH($B155,Admissions_2024_2025!$B:$B,0)),"")</f>
        <v>95</v>
      </c>
      <c r="V155">
        <f>IFERROR(INDEX(Admissions_2024_2025!V:V,MATCH($B96,Admissions_2024_2025!$B:$B,0)),"")</f>
        <v>0</v>
      </c>
      <c r="W155" t="str">
        <f>IFERROR(INDEX(Admissions_2024_2025!W:W,MATCH($B155,Admissions_2024_2025!$B:$B,0)),"")</f>
        <v>2024 admissions; 2024 accepted list</v>
      </c>
    </row>
    <row r="156" spans="1:23" x14ac:dyDescent="0.3">
      <c r="A156" t="s">
        <v>298</v>
      </c>
      <c r="B156" t="s">
        <v>381</v>
      </c>
      <c r="C156" t="s">
        <v>382</v>
      </c>
      <c r="D156">
        <f>IFERROR(INDEX(Admissions_2024_2025!D:D,MATCH($B156,Admissions_2024_2025!$B:$B,0)),"")</f>
        <v>0</v>
      </c>
      <c r="E156">
        <f>IFERROR(INDEX(Admissions_2024_2025!E:E,MATCH($B156,Admissions_2024_2025!$B:$B,0)),"")</f>
        <v>0</v>
      </c>
      <c r="F156">
        <f>IFERROR(INDEX(Admissions_2024_2025!F:F,MATCH($B156,Admissions_2024_2025!$B:$B,0)),"")</f>
        <v>0</v>
      </c>
      <c r="G156">
        <f>IFERROR(INDEX(Admissions_2024_2025!G:G,MATCH($B156,Admissions_2024_2025!$B:$B,0)),"")</f>
        <v>0</v>
      </c>
      <c r="H156">
        <f>IFERROR(INDEX(Admissions_2024_2025!H:H,MATCH($B156,Admissions_2024_2025!$B:$B,0)),"")</f>
        <v>0</v>
      </c>
      <c r="I156" t="str">
        <f>IFERROR(INDEX(Admissions_2024_2025!I:I,MATCH($B156,Admissions_2024_2025!$B:$B,0)),"")</f>
        <v>B2</v>
      </c>
      <c r="J156">
        <f>IFERROR(INDEX(Admissions_2024_2025!J:J,MATCH($B156,Admissions_2024_2025!$B:$B,0)),"")</f>
        <v>171</v>
      </c>
      <c r="K156">
        <f t="shared" si="10"/>
        <v>68.400000000000006</v>
      </c>
      <c r="L156">
        <f>IFERROR(INDEX(Admissions_2024_2025!L:L,MATCH($B156,Admissions_2024_2025!$B:$B,0)),"")</f>
        <v>30</v>
      </c>
      <c r="M156">
        <f t="shared" si="11"/>
        <v>60</v>
      </c>
      <c r="N156">
        <f t="shared" si="12"/>
        <v>112</v>
      </c>
      <c r="O156">
        <f t="shared" si="13"/>
        <v>78.873239436619713</v>
      </c>
      <c r="P156">
        <f t="shared" si="14"/>
        <v>69.091079812206573</v>
      </c>
      <c r="Q156" t="str">
        <f>IFERROR(INDEX(Admissions_2024_2025!Q:Q,MATCH($B156,Admissions_2024_2025!$B:$B,0)),"")</f>
        <v>Moderate spatial bias</v>
      </c>
      <c r="R156">
        <f>IFERROR(INDEX(Admissions_2024_2025!R:R,MATCH($B156,Admissions_2024_2025!$B:$B,0)),"")</f>
        <v>102</v>
      </c>
      <c r="S156">
        <f>IFERROR(INDEX(Admissions_2024_2025!S:S,MATCH($B156,Admissions_2024_2025!$B:$B,0)),"")</f>
        <v>106</v>
      </c>
      <c r="T156">
        <f>IFERROR(INDEX(Admissions_2024_2025!T:T,MATCH($B156,Admissions_2024_2025!$B:$B,0)),"")</f>
        <v>117</v>
      </c>
      <c r="U156">
        <f>IFERROR(INDEX(Admissions_2024_2025!U:U,MATCH($B156,Admissions_2024_2025!$B:$B,0)),"")</f>
        <v>121</v>
      </c>
      <c r="V156">
        <f>IFERROR(INDEX(Admissions_2024_2025!V:V,MATCH($B97,Admissions_2024_2025!$B:$B,0)),"")</f>
        <v>0</v>
      </c>
      <c r="W156" t="str">
        <f>IFERROR(INDEX(Admissions_2024_2025!W:W,MATCH($B156,Admissions_2024_2025!$B:$B,0)),"")</f>
        <v>2024 admissions; 2024 accepted list</v>
      </c>
    </row>
    <row r="157" spans="1:23" x14ac:dyDescent="0.3">
      <c r="A157" t="s">
        <v>298</v>
      </c>
      <c r="B157" t="s">
        <v>383</v>
      </c>
      <c r="C157" t="s">
        <v>384</v>
      </c>
      <c r="D157">
        <f>IFERROR(INDEX(Admissions_2024_2025!D:D,MATCH($B157,Admissions_2024_2025!$B:$B,0)),"")</f>
        <v>0</v>
      </c>
      <c r="E157">
        <f>IFERROR(INDEX(Admissions_2024_2025!E:E,MATCH($B157,Admissions_2024_2025!$B:$B,0)),"")</f>
        <v>0</v>
      </c>
      <c r="F157">
        <f>IFERROR(INDEX(Admissions_2024_2025!F:F,MATCH($B157,Admissions_2024_2025!$B:$B,0)),"")</f>
        <v>0</v>
      </c>
      <c r="G157">
        <f>IFERROR(INDEX(Admissions_2024_2025!G:G,MATCH($B157,Admissions_2024_2025!$B:$B,0)),"")</f>
        <v>0</v>
      </c>
      <c r="H157">
        <f>IFERROR(INDEX(Admissions_2024_2025!H:H,MATCH($B157,Admissions_2024_2025!$B:$B,0)),"")</f>
        <v>0</v>
      </c>
      <c r="I157" t="str">
        <f>IFERROR(INDEX(Admissions_2024_2025!I:I,MATCH($B157,Admissions_2024_2025!$B:$B,0)),"")</f>
        <v>B1</v>
      </c>
      <c r="J157">
        <f>IFERROR(INDEX(Admissions_2024_2025!J:J,MATCH($B157,Admissions_2024_2025!$B:$B,0)),"")</f>
        <v>120</v>
      </c>
      <c r="K157">
        <f t="shared" si="10"/>
        <v>48</v>
      </c>
      <c r="L157">
        <f>IFERROR(INDEX(Admissions_2024_2025!L:L,MATCH($B157,Admissions_2024_2025!$B:$B,0)),"")</f>
        <v>24</v>
      </c>
      <c r="M157">
        <f t="shared" si="11"/>
        <v>48</v>
      </c>
      <c r="N157">
        <f t="shared" si="12"/>
        <v>108</v>
      </c>
      <c r="O157">
        <f t="shared" si="13"/>
        <v>76.056338028169009</v>
      </c>
      <c r="P157">
        <f t="shared" si="14"/>
        <v>57.352112676056343</v>
      </c>
      <c r="Q157" t="str">
        <f>IFERROR(INDEX(Admissions_2024_2025!Q:Q,MATCH($B157,Admissions_2024_2025!$B:$B,0)),"")</f>
        <v>Extreme spatial bias</v>
      </c>
      <c r="R157">
        <f>IFERROR(INDEX(Admissions_2024_2025!R:R,MATCH($B157,Admissions_2024_2025!$B:$B,0)),"")</f>
        <v>80</v>
      </c>
      <c r="S157">
        <f>IFERROR(INDEX(Admissions_2024_2025!S:S,MATCH($B157,Admissions_2024_2025!$B:$B,0)),"")</f>
        <v>122</v>
      </c>
      <c r="T157">
        <f>IFERROR(INDEX(Admissions_2024_2025!T:T,MATCH($B157,Admissions_2024_2025!$B:$B,0)),"")</f>
        <v>112</v>
      </c>
      <c r="U157">
        <f>IFERROR(INDEX(Admissions_2024_2025!U:U,MATCH($B157,Admissions_2024_2025!$B:$B,0)),"")</f>
        <v>119</v>
      </c>
      <c r="V157">
        <f>IFERROR(INDEX(Admissions_2024_2025!V:V,MATCH($B98,Admissions_2024_2025!$B:$B,0)),"")</f>
        <v>0</v>
      </c>
      <c r="W157" t="str">
        <f>IFERROR(INDEX(Admissions_2024_2025!W:W,MATCH($B157,Admissions_2024_2025!$B:$B,0)),"")</f>
        <v>2024 admissions; 2024 accepted list</v>
      </c>
    </row>
    <row r="158" spans="1:23" x14ac:dyDescent="0.3">
      <c r="A158" t="s">
        <v>298</v>
      </c>
      <c r="B158" t="s">
        <v>385</v>
      </c>
      <c r="C158" t="s">
        <v>386</v>
      </c>
      <c r="D158">
        <f>IFERROR(INDEX(Admissions_2024_2025!D:D,MATCH($B158,Admissions_2024_2025!$B:$B,0)),"")</f>
        <v>0</v>
      </c>
      <c r="E158">
        <f>IFERROR(INDEX(Admissions_2024_2025!E:E,MATCH($B158,Admissions_2024_2025!$B:$B,0)),"")</f>
        <v>0</v>
      </c>
      <c r="F158">
        <f>IFERROR(INDEX(Admissions_2024_2025!F:F,MATCH($B158,Admissions_2024_2025!$B:$B,0)),"")</f>
        <v>0</v>
      </c>
      <c r="G158">
        <f>IFERROR(INDEX(Admissions_2024_2025!G:G,MATCH($B158,Admissions_2024_2025!$B:$B,0)),"")</f>
        <v>0</v>
      </c>
      <c r="H158">
        <f>IFERROR(INDEX(Admissions_2024_2025!H:H,MATCH($B158,Admissions_2024_2025!$B:$B,0)),"")</f>
        <v>0</v>
      </c>
      <c r="I158" t="str">
        <f>IFERROR(INDEX(Admissions_2024_2025!I:I,MATCH($B158,Admissions_2024_2025!$B:$B,0)),"")</f>
        <v>B2</v>
      </c>
      <c r="J158">
        <f>IFERROR(INDEX(Admissions_2024_2025!J:J,MATCH($B158,Admissions_2024_2025!$B:$B,0)),"")</f>
        <v>152</v>
      </c>
      <c r="K158">
        <f t="shared" si="10"/>
        <v>60.8</v>
      </c>
      <c r="L158">
        <f>IFERROR(INDEX(Admissions_2024_2025!L:L,MATCH($B158,Admissions_2024_2025!$B:$B,0)),"")</f>
        <v>24</v>
      </c>
      <c r="M158">
        <f t="shared" si="11"/>
        <v>48</v>
      </c>
      <c r="N158">
        <f t="shared" si="12"/>
        <v>106</v>
      </c>
      <c r="O158">
        <f t="shared" si="13"/>
        <v>74.647887323943664</v>
      </c>
      <c r="P158">
        <f t="shared" si="14"/>
        <v>61.149295774647889</v>
      </c>
      <c r="Q158" t="str">
        <f>IFERROR(INDEX(Admissions_2024_2025!Q:Q,MATCH($B158,Admissions_2024_2025!$B:$B,0)),"")</f>
        <v>No bias</v>
      </c>
      <c r="R158">
        <f>IFERROR(INDEX(Admissions_2024_2025!R:R,MATCH($B158,Admissions_2024_2025!$B:$B,0)),"")</f>
        <v>114</v>
      </c>
      <c r="S158">
        <f>IFERROR(INDEX(Admissions_2024_2025!S:S,MATCH($B158,Admissions_2024_2025!$B:$B,0)),"")</f>
        <v>94</v>
      </c>
      <c r="T158">
        <f>IFERROR(INDEX(Admissions_2024_2025!T:T,MATCH($B158,Admissions_2024_2025!$B:$B,0)),"")</f>
        <v>106</v>
      </c>
      <c r="U158">
        <f>IFERROR(INDEX(Admissions_2024_2025!U:U,MATCH($B158,Admissions_2024_2025!$B:$B,0)),"")</f>
        <v>111</v>
      </c>
      <c r="V158">
        <f>IFERROR(INDEX(Admissions_2024_2025!V:V,MATCH($B99,Admissions_2024_2025!$B:$B,0)),"")</f>
        <v>0</v>
      </c>
      <c r="W158" t="str">
        <f>IFERROR(INDEX(Admissions_2024_2025!W:W,MATCH($B158,Admissions_2024_2025!$B:$B,0)),"")</f>
        <v>2024 admissions; 2024 accepted list</v>
      </c>
    </row>
    <row r="159" spans="1:23" x14ac:dyDescent="0.3">
      <c r="A159" t="s">
        <v>298</v>
      </c>
      <c r="B159" t="s">
        <v>387</v>
      </c>
      <c r="C159" t="s">
        <v>388</v>
      </c>
      <c r="D159">
        <f>IFERROR(INDEX(Admissions_2024_2025!D:D,MATCH($B159,Admissions_2024_2025!$B:$B,0)),"")</f>
        <v>0</v>
      </c>
      <c r="E159">
        <f>IFERROR(INDEX(Admissions_2024_2025!E:E,MATCH($B159,Admissions_2024_2025!$B:$B,0)),"")</f>
        <v>0</v>
      </c>
      <c r="F159">
        <f>IFERROR(INDEX(Admissions_2024_2025!F:F,MATCH($B159,Admissions_2024_2025!$B:$B,0)),"")</f>
        <v>0</v>
      </c>
      <c r="G159">
        <f>IFERROR(INDEX(Admissions_2024_2025!G:G,MATCH($B159,Admissions_2024_2025!$B:$B,0)),"")</f>
        <v>0</v>
      </c>
      <c r="H159">
        <f>IFERROR(INDEX(Admissions_2024_2025!H:H,MATCH($B159,Admissions_2024_2025!$B:$B,0)),"")</f>
        <v>0</v>
      </c>
      <c r="I159" t="str">
        <f>IFERROR(INDEX(Admissions_2024_2025!I:I,MATCH($B159,Admissions_2024_2025!$B:$B,0)),"")</f>
        <v>B1</v>
      </c>
      <c r="J159">
        <f>IFERROR(INDEX(Admissions_2024_2025!J:J,MATCH($B159,Admissions_2024_2025!$B:$B,0)),"")</f>
        <v>119</v>
      </c>
      <c r="K159">
        <f t="shared" si="10"/>
        <v>47.599999999999994</v>
      </c>
      <c r="L159">
        <f>IFERROR(INDEX(Admissions_2024_2025!L:L,MATCH($B159,Admissions_2024_2025!$B:$B,0)),"")</f>
        <v>22</v>
      </c>
      <c r="M159">
        <f t="shared" si="11"/>
        <v>44</v>
      </c>
      <c r="N159">
        <f t="shared" si="12"/>
        <v>93</v>
      </c>
      <c r="O159">
        <f t="shared" si="13"/>
        <v>65.492957746478879</v>
      </c>
      <c r="P159">
        <f t="shared" si="14"/>
        <v>52.364319248826291</v>
      </c>
      <c r="Q159" t="str">
        <f>IFERROR(INDEX(Admissions_2024_2025!Q:Q,MATCH($B159,Admissions_2024_2025!$B:$B,0)),"")</f>
        <v>Extreme spatial bias</v>
      </c>
      <c r="R159">
        <f>IFERROR(INDEX(Admissions_2024_2025!R:R,MATCH($B159,Admissions_2024_2025!$B:$B,0)),"")</f>
        <v>72</v>
      </c>
      <c r="S159">
        <f>IFERROR(INDEX(Admissions_2024_2025!S:S,MATCH($B159,Admissions_2024_2025!$B:$B,0)),"")</f>
        <v>103</v>
      </c>
      <c r="T159">
        <f>IFERROR(INDEX(Admissions_2024_2025!T:T,MATCH($B159,Admissions_2024_2025!$B:$B,0)),"")</f>
        <v>101</v>
      </c>
      <c r="U159">
        <f>IFERROR(INDEX(Admissions_2024_2025!U:U,MATCH($B159,Admissions_2024_2025!$B:$B,0)),"")</f>
        <v>97</v>
      </c>
      <c r="V159">
        <f>IFERROR(INDEX(Admissions_2024_2025!V:V,MATCH($B100,Admissions_2024_2025!$B:$B,0)),"")</f>
        <v>0</v>
      </c>
      <c r="W159" t="str">
        <f>IFERROR(INDEX(Admissions_2024_2025!W:W,MATCH($B159,Admissions_2024_2025!$B:$B,0)),"")</f>
        <v>2024 admissions; 2024 accepted list</v>
      </c>
    </row>
    <row r="160" spans="1:23" x14ac:dyDescent="0.3">
      <c r="A160" t="s">
        <v>298</v>
      </c>
      <c r="B160" t="s">
        <v>389</v>
      </c>
      <c r="C160" t="s">
        <v>390</v>
      </c>
      <c r="D160">
        <f>IFERROR(INDEX(Admissions_2024_2025!D:D,MATCH($B160,Admissions_2024_2025!$B:$B,0)),"")</f>
        <v>0</v>
      </c>
      <c r="E160">
        <f>IFERROR(INDEX(Admissions_2024_2025!E:E,MATCH($B160,Admissions_2024_2025!$B:$B,0)),"")</f>
        <v>0</v>
      </c>
      <c r="F160">
        <f>IFERROR(INDEX(Admissions_2024_2025!F:F,MATCH($B160,Admissions_2024_2025!$B:$B,0)),"")</f>
        <v>0</v>
      </c>
      <c r="G160">
        <f>IFERROR(INDEX(Admissions_2024_2025!G:G,MATCH($B160,Admissions_2024_2025!$B:$B,0)),"")</f>
        <v>0</v>
      </c>
      <c r="H160">
        <f>IFERROR(INDEX(Admissions_2024_2025!H:H,MATCH($B160,Admissions_2024_2025!$B:$B,0)),"")</f>
        <v>0</v>
      </c>
      <c r="I160" t="str">
        <f>IFERROR(INDEX(Admissions_2024_2025!I:I,MATCH($B160,Admissions_2024_2025!$B:$B,0)),"")</f>
        <v>B1</v>
      </c>
      <c r="J160">
        <f>IFERROR(INDEX(Admissions_2024_2025!J:J,MATCH($B160,Admissions_2024_2025!$B:$B,0)),"")</f>
        <v>132</v>
      </c>
      <c r="K160">
        <f t="shared" si="10"/>
        <v>52.800000000000004</v>
      </c>
      <c r="L160">
        <f>IFERROR(INDEX(Admissions_2024_2025!L:L,MATCH($B160,Admissions_2024_2025!$B:$B,0)),"")</f>
        <v>22</v>
      </c>
      <c r="M160">
        <f t="shared" si="11"/>
        <v>44</v>
      </c>
      <c r="N160">
        <f t="shared" si="12"/>
        <v>90</v>
      </c>
      <c r="O160">
        <f t="shared" si="13"/>
        <v>63.380281690140848</v>
      </c>
      <c r="P160">
        <f t="shared" si="14"/>
        <v>53.39342723004696</v>
      </c>
      <c r="Q160" t="str">
        <f>IFERROR(INDEX(Admissions_2024_2025!Q:Q,MATCH($B160,Admissions_2024_2025!$B:$B,0)),"")</f>
        <v>Moderate spatial bias</v>
      </c>
      <c r="R160">
        <f>IFERROR(INDEX(Admissions_2024_2025!R:R,MATCH($B160,Admissions_2024_2025!$B:$B,0)),"")</f>
        <v>70</v>
      </c>
      <c r="S160">
        <f>IFERROR(INDEX(Admissions_2024_2025!S:S,MATCH($B160,Admissions_2024_2025!$B:$B,0)),"")</f>
        <v>96</v>
      </c>
      <c r="T160">
        <f>IFERROR(INDEX(Admissions_2024_2025!T:T,MATCH($B160,Admissions_2024_2025!$B:$B,0)),"")</f>
        <v>105</v>
      </c>
      <c r="U160">
        <f>IFERROR(INDEX(Admissions_2024_2025!U:U,MATCH($B160,Admissions_2024_2025!$B:$B,0)),"")</f>
        <v>90</v>
      </c>
      <c r="V160">
        <f>IFERROR(INDEX(Admissions_2024_2025!V:V,MATCH($B101,Admissions_2024_2025!$B:$B,0)),"")</f>
        <v>0</v>
      </c>
      <c r="W160" t="str">
        <f>IFERROR(INDEX(Admissions_2024_2025!W:W,MATCH($B160,Admissions_2024_2025!$B:$B,0)),"")</f>
        <v>2024 admissions; 2024 accepted list</v>
      </c>
    </row>
    <row r="161" spans="1:23" x14ac:dyDescent="0.3">
      <c r="A161" t="s">
        <v>298</v>
      </c>
      <c r="B161" t="s">
        <v>391</v>
      </c>
      <c r="C161" t="s">
        <v>392</v>
      </c>
      <c r="D161">
        <f>IFERROR(INDEX(Admissions_2024_2025!D:D,MATCH($B161,Admissions_2024_2025!$B:$B,0)),"")</f>
        <v>0</v>
      </c>
      <c r="E161">
        <f>IFERROR(INDEX(Admissions_2024_2025!E:E,MATCH($B161,Admissions_2024_2025!$B:$B,0)),"")</f>
        <v>0</v>
      </c>
      <c r="F161">
        <f>IFERROR(INDEX(Admissions_2024_2025!F:F,MATCH($B161,Admissions_2024_2025!$B:$B,0)),"")</f>
        <v>0</v>
      </c>
      <c r="G161">
        <f>IFERROR(INDEX(Admissions_2024_2025!G:G,MATCH($B161,Admissions_2024_2025!$B:$B,0)),"")</f>
        <v>0</v>
      </c>
      <c r="H161">
        <f>IFERROR(INDEX(Admissions_2024_2025!H:H,MATCH($B161,Admissions_2024_2025!$B:$B,0)),"")</f>
        <v>0</v>
      </c>
      <c r="I161" t="str">
        <f>IFERROR(INDEX(Admissions_2024_2025!I:I,MATCH($B161,Admissions_2024_2025!$B:$B,0)),"")</f>
        <v>B2</v>
      </c>
      <c r="J161">
        <f>IFERROR(INDEX(Admissions_2024_2025!J:J,MATCH($B161,Admissions_2024_2025!$B:$B,0)),"")</f>
        <v>152</v>
      </c>
      <c r="K161">
        <f t="shared" si="10"/>
        <v>60.8</v>
      </c>
      <c r="L161">
        <f>IFERROR(INDEX(Admissions_2024_2025!L:L,MATCH($B161,Admissions_2024_2025!$B:$B,0)),"")</f>
        <v>26</v>
      </c>
      <c r="M161">
        <f t="shared" si="11"/>
        <v>52</v>
      </c>
      <c r="N161">
        <f t="shared" si="12"/>
        <v>92</v>
      </c>
      <c r="O161">
        <f t="shared" si="13"/>
        <v>64.788732394366207</v>
      </c>
      <c r="P161">
        <f t="shared" si="14"/>
        <v>59.196244131455408</v>
      </c>
      <c r="Q161" t="str">
        <f>IFERROR(INDEX(Admissions_2024_2025!Q:Q,MATCH($B161,Admissions_2024_2025!$B:$B,0)),"")</f>
        <v>No bias</v>
      </c>
      <c r="R161">
        <f>IFERROR(INDEX(Admissions_2024_2025!R:R,MATCH($B161,Admissions_2024_2025!$B:$B,0)),"")</f>
        <v>89</v>
      </c>
      <c r="S161">
        <f>IFERROR(INDEX(Admissions_2024_2025!S:S,MATCH($B161,Admissions_2024_2025!$B:$B,0)),"")</f>
        <v>94</v>
      </c>
      <c r="T161">
        <f>IFERROR(INDEX(Admissions_2024_2025!T:T,MATCH($B161,Admissions_2024_2025!$B:$B,0)),"")</f>
        <v>97</v>
      </c>
      <c r="U161">
        <f>IFERROR(INDEX(Admissions_2024_2025!U:U,MATCH($B161,Admissions_2024_2025!$B:$B,0)),"")</f>
        <v>86</v>
      </c>
      <c r="V161">
        <f>IFERROR(INDEX(Admissions_2024_2025!V:V,MATCH($B102,Admissions_2024_2025!$B:$B,0)),"")</f>
        <v>0</v>
      </c>
      <c r="W161" t="str">
        <f>IFERROR(INDEX(Admissions_2024_2025!W:W,MATCH($B161,Admissions_2024_2025!$B:$B,0)),"")</f>
        <v>2024 admissions; 2024 accepted list</v>
      </c>
    </row>
    <row r="162" spans="1:23" x14ac:dyDescent="0.3">
      <c r="A162" t="s">
        <v>298</v>
      </c>
      <c r="B162" t="s">
        <v>393</v>
      </c>
      <c r="C162" t="s">
        <v>394</v>
      </c>
      <c r="D162">
        <f>IFERROR(INDEX(Admissions_2024_2025!D:D,MATCH($B162,Admissions_2024_2025!$B:$B,0)),"")</f>
        <v>0</v>
      </c>
      <c r="E162">
        <f>IFERROR(INDEX(Admissions_2024_2025!E:E,MATCH($B162,Admissions_2024_2025!$B:$B,0)),"")</f>
        <v>0</v>
      </c>
      <c r="F162">
        <f>IFERROR(INDEX(Admissions_2024_2025!F:F,MATCH($B162,Admissions_2024_2025!$B:$B,0)),"")</f>
        <v>0</v>
      </c>
      <c r="G162">
        <f>IFERROR(INDEX(Admissions_2024_2025!G:G,MATCH($B162,Admissions_2024_2025!$B:$B,0)),"")</f>
        <v>0</v>
      </c>
      <c r="H162">
        <f>IFERROR(INDEX(Admissions_2024_2025!H:H,MATCH($B162,Admissions_2024_2025!$B:$B,0)),"")</f>
        <v>0</v>
      </c>
      <c r="I162" t="str">
        <f>IFERROR(INDEX(Admissions_2024_2025!I:I,MATCH($B162,Admissions_2024_2025!$B:$B,0)),"")</f>
        <v>B1</v>
      </c>
      <c r="J162">
        <f>IFERROR(INDEX(Admissions_2024_2025!J:J,MATCH($B162,Admissions_2024_2025!$B:$B,0)),"")</f>
        <v>130</v>
      </c>
      <c r="K162">
        <f t="shared" si="10"/>
        <v>52</v>
      </c>
      <c r="L162">
        <f>IFERROR(INDEX(Admissions_2024_2025!L:L,MATCH($B162,Admissions_2024_2025!$B:$B,0)),"")</f>
        <v>16</v>
      </c>
      <c r="M162">
        <f t="shared" si="11"/>
        <v>32</v>
      </c>
      <c r="N162">
        <f t="shared" si="12"/>
        <v>103</v>
      </c>
      <c r="O162">
        <f t="shared" si="13"/>
        <v>72.535211267605632</v>
      </c>
      <c r="P162">
        <f t="shared" si="14"/>
        <v>52.178403755868544</v>
      </c>
      <c r="Q162" t="str">
        <f>IFERROR(INDEX(Admissions_2024_2025!Q:Q,MATCH($B162,Admissions_2024_2025!$B:$B,0)),"")</f>
        <v>Extreme spatial bias</v>
      </c>
      <c r="R162">
        <f>IFERROR(INDEX(Admissions_2024_2025!R:R,MATCH($B162,Admissions_2024_2025!$B:$B,0)),"")</f>
        <v>82</v>
      </c>
      <c r="S162">
        <f>IFERROR(INDEX(Admissions_2024_2025!S:S,MATCH($B162,Admissions_2024_2025!$B:$B,0)),"")</f>
        <v>105</v>
      </c>
      <c r="T162">
        <f>IFERROR(INDEX(Admissions_2024_2025!T:T,MATCH($B162,Admissions_2024_2025!$B:$B,0)),"")</f>
        <v>110</v>
      </c>
      <c r="U162">
        <f>IFERROR(INDEX(Admissions_2024_2025!U:U,MATCH($B162,Admissions_2024_2025!$B:$B,0)),"")</f>
        <v>116</v>
      </c>
      <c r="V162">
        <f>IFERROR(INDEX(Admissions_2024_2025!V:V,MATCH($B103,Admissions_2024_2025!$B:$B,0)),"")</f>
        <v>0</v>
      </c>
      <c r="W162" t="str">
        <f>IFERROR(INDEX(Admissions_2024_2025!W:W,MATCH($B162,Admissions_2024_2025!$B:$B,0)),"")</f>
        <v>2024 admissions; 2024 accepted list</v>
      </c>
    </row>
    <row r="163" spans="1:23" x14ac:dyDescent="0.3">
      <c r="A163" t="s">
        <v>298</v>
      </c>
      <c r="B163" t="s">
        <v>395</v>
      </c>
      <c r="C163" t="s">
        <v>396</v>
      </c>
      <c r="D163">
        <f>IFERROR(INDEX(Admissions_2024_2025!D:D,MATCH($B163,Admissions_2024_2025!$B:$B,0)),"")</f>
        <v>0</v>
      </c>
      <c r="E163">
        <f>IFERROR(INDEX(Admissions_2024_2025!E:E,MATCH($B163,Admissions_2024_2025!$B:$B,0)),"")</f>
        <v>0</v>
      </c>
      <c r="F163">
        <f>IFERROR(INDEX(Admissions_2024_2025!F:F,MATCH($B163,Admissions_2024_2025!$B:$B,0)),"")</f>
        <v>0</v>
      </c>
      <c r="G163">
        <f>IFERROR(INDEX(Admissions_2024_2025!G:G,MATCH($B163,Admissions_2024_2025!$B:$B,0)),"")</f>
        <v>0</v>
      </c>
      <c r="H163">
        <f>IFERROR(INDEX(Admissions_2024_2025!H:H,MATCH($B163,Admissions_2024_2025!$B:$B,0)),"")</f>
        <v>0</v>
      </c>
      <c r="I163" t="str">
        <f>IFERROR(INDEX(Admissions_2024_2025!I:I,MATCH($B163,Admissions_2024_2025!$B:$B,0)),"")</f>
        <v>B1</v>
      </c>
      <c r="J163">
        <f>IFERROR(INDEX(Admissions_2024_2025!J:J,MATCH($B163,Admissions_2024_2025!$B:$B,0)),"")</f>
        <v>144</v>
      </c>
      <c r="K163">
        <f t="shared" si="10"/>
        <v>57.599999999999994</v>
      </c>
      <c r="L163">
        <f>IFERROR(INDEX(Admissions_2024_2025!L:L,MATCH($B163,Admissions_2024_2025!$B:$B,0)),"")</f>
        <v>21</v>
      </c>
      <c r="M163">
        <f t="shared" si="11"/>
        <v>42</v>
      </c>
      <c r="N163">
        <f t="shared" si="12"/>
        <v>92</v>
      </c>
      <c r="O163">
        <f t="shared" si="13"/>
        <v>64.788732394366207</v>
      </c>
      <c r="P163">
        <f t="shared" si="14"/>
        <v>54.796244131455403</v>
      </c>
      <c r="Q163" t="str">
        <f>IFERROR(INDEX(Admissions_2024_2025!Q:Q,MATCH($B163,Admissions_2024_2025!$B:$B,0)),"")</f>
        <v>Mild spatial bias</v>
      </c>
      <c r="R163">
        <f>IFERROR(INDEX(Admissions_2024_2025!R:R,MATCH($B163,Admissions_2024_2025!$B:$B,0)),"")</f>
        <v>78</v>
      </c>
      <c r="S163">
        <f>IFERROR(INDEX(Admissions_2024_2025!S:S,MATCH($B163,Admissions_2024_2025!$B:$B,0)),"")</f>
        <v>110</v>
      </c>
      <c r="T163">
        <f>IFERROR(INDEX(Admissions_2024_2025!T:T,MATCH($B163,Admissions_2024_2025!$B:$B,0)),"")</f>
        <v>88</v>
      </c>
      <c r="U163">
        <f>IFERROR(INDEX(Admissions_2024_2025!U:U,MATCH($B163,Admissions_2024_2025!$B:$B,0)),"")</f>
        <v>93</v>
      </c>
      <c r="V163">
        <f>IFERROR(INDEX(Admissions_2024_2025!V:V,MATCH($B104,Admissions_2024_2025!$B:$B,0)),"")</f>
        <v>0</v>
      </c>
      <c r="W163" t="str">
        <f>IFERROR(INDEX(Admissions_2024_2025!W:W,MATCH($B163,Admissions_2024_2025!$B:$B,0)),"")</f>
        <v>2024 admissions; 2024 accepted list</v>
      </c>
    </row>
    <row r="164" spans="1:23" x14ac:dyDescent="0.3">
      <c r="A164" t="s">
        <v>298</v>
      </c>
      <c r="B164" t="s">
        <v>397</v>
      </c>
      <c r="C164" t="s">
        <v>398</v>
      </c>
      <c r="D164">
        <f>IFERROR(INDEX(Admissions_2024_2025!D:D,MATCH($B164,Admissions_2024_2025!$B:$B,0)),"")</f>
        <v>0</v>
      </c>
      <c r="E164">
        <f>IFERROR(INDEX(Admissions_2024_2025!E:E,MATCH($B164,Admissions_2024_2025!$B:$B,0)),"")</f>
        <v>0</v>
      </c>
      <c r="F164">
        <f>IFERROR(INDEX(Admissions_2024_2025!F:F,MATCH($B164,Admissions_2024_2025!$B:$B,0)),"")</f>
        <v>0</v>
      </c>
      <c r="G164">
        <f>IFERROR(INDEX(Admissions_2024_2025!G:G,MATCH($B164,Admissions_2024_2025!$B:$B,0)),"")</f>
        <v>0</v>
      </c>
      <c r="H164">
        <f>IFERROR(INDEX(Admissions_2024_2025!H:H,MATCH($B164,Admissions_2024_2025!$B:$B,0)),"")</f>
        <v>0</v>
      </c>
      <c r="I164" t="str">
        <f>IFERROR(INDEX(Admissions_2024_2025!I:I,MATCH($B164,Admissions_2024_2025!$B:$B,0)),"")</f>
        <v>B1</v>
      </c>
      <c r="J164">
        <f>IFERROR(INDEX(Admissions_2024_2025!J:J,MATCH($B164,Admissions_2024_2025!$B:$B,0)),"")</f>
        <v>139</v>
      </c>
      <c r="K164">
        <f t="shared" si="10"/>
        <v>55.600000000000009</v>
      </c>
      <c r="L164">
        <f>IFERROR(INDEX(Admissions_2024_2025!L:L,MATCH($B164,Admissions_2024_2025!$B:$B,0)),"")</f>
        <v>27</v>
      </c>
      <c r="M164">
        <f t="shared" si="11"/>
        <v>54</v>
      </c>
      <c r="N164">
        <f t="shared" si="12"/>
        <v>104</v>
      </c>
      <c r="O164">
        <f t="shared" si="13"/>
        <v>73.239436619718319</v>
      </c>
      <c r="P164">
        <f t="shared" si="14"/>
        <v>60.946478873239442</v>
      </c>
      <c r="Q164" t="str">
        <f>IFERROR(INDEX(Admissions_2024_2025!Q:Q,MATCH($B164,Admissions_2024_2025!$B:$B,0)),"")</f>
        <v>Extreme spatial bias</v>
      </c>
      <c r="R164">
        <f>IFERROR(INDEX(Admissions_2024_2025!R:R,MATCH($B164,Admissions_2024_2025!$B:$B,0)),"")</f>
        <v>90</v>
      </c>
      <c r="S164">
        <f>IFERROR(INDEX(Admissions_2024_2025!S:S,MATCH($B164,Admissions_2024_2025!$B:$B,0)),"")</f>
        <v>101</v>
      </c>
      <c r="T164">
        <f>IFERROR(INDEX(Admissions_2024_2025!T:T,MATCH($B164,Admissions_2024_2025!$B:$B,0)),"")</f>
        <v>105</v>
      </c>
      <c r="U164">
        <f>IFERROR(INDEX(Admissions_2024_2025!U:U,MATCH($B164,Admissions_2024_2025!$B:$B,0)),"")</f>
        <v>121</v>
      </c>
      <c r="V164">
        <f>IFERROR(INDEX(Admissions_2024_2025!V:V,MATCH($B105,Admissions_2024_2025!$B:$B,0)),"")</f>
        <v>0</v>
      </c>
      <c r="W164" t="str">
        <f>IFERROR(INDEX(Admissions_2024_2025!W:W,MATCH($B164,Admissions_2024_2025!$B:$B,0)),"")</f>
        <v>2024 admissions; 2024 accepted list</v>
      </c>
    </row>
    <row r="165" spans="1:23" x14ac:dyDescent="0.3">
      <c r="A165" t="s">
        <v>298</v>
      </c>
      <c r="B165" t="s">
        <v>399</v>
      </c>
      <c r="C165" t="s">
        <v>400</v>
      </c>
      <c r="D165">
        <f>IFERROR(INDEX(Admissions_2024_2025!D:D,MATCH($B165,Admissions_2024_2025!$B:$B,0)),"")</f>
        <v>0</v>
      </c>
      <c r="E165">
        <f>IFERROR(INDEX(Admissions_2024_2025!E:E,MATCH($B165,Admissions_2024_2025!$B:$B,0)),"")</f>
        <v>0</v>
      </c>
      <c r="F165">
        <f>IFERROR(INDEX(Admissions_2024_2025!F:F,MATCH($B165,Admissions_2024_2025!$B:$B,0)),"")</f>
        <v>0</v>
      </c>
      <c r="G165">
        <f>IFERROR(INDEX(Admissions_2024_2025!G:G,MATCH($B165,Admissions_2024_2025!$B:$B,0)),"")</f>
        <v>0</v>
      </c>
      <c r="H165">
        <f>IFERROR(INDEX(Admissions_2024_2025!H:H,MATCH($B165,Admissions_2024_2025!$B:$B,0)),"")</f>
        <v>0</v>
      </c>
      <c r="I165" t="str">
        <f>IFERROR(INDEX(Admissions_2024_2025!I:I,MATCH($B165,Admissions_2024_2025!$B:$B,0)),"")</f>
        <v>B2</v>
      </c>
      <c r="J165">
        <f>IFERROR(INDEX(Admissions_2024_2025!J:J,MATCH($B165,Admissions_2024_2025!$B:$B,0)),"")</f>
        <v>146</v>
      </c>
      <c r="K165">
        <f t="shared" si="10"/>
        <v>58.4</v>
      </c>
      <c r="L165">
        <f>IFERROR(INDEX(Admissions_2024_2025!L:L,MATCH($B165,Admissions_2024_2025!$B:$B,0)),"")</f>
        <v>19</v>
      </c>
      <c r="M165">
        <f t="shared" si="11"/>
        <v>38</v>
      </c>
      <c r="N165">
        <f t="shared" si="12"/>
        <v>103</v>
      </c>
      <c r="O165">
        <f t="shared" si="13"/>
        <v>72.535211267605632</v>
      </c>
      <c r="P165">
        <f t="shared" si="14"/>
        <v>56.311737089201877</v>
      </c>
      <c r="Q165" t="str">
        <f>IFERROR(INDEX(Admissions_2024_2025!Q:Q,MATCH($B165,Admissions_2024_2025!$B:$B,0)),"")</f>
        <v>Moderate spatial bias</v>
      </c>
      <c r="R165">
        <f>IFERROR(INDEX(Admissions_2024_2025!R:R,MATCH($B165,Admissions_2024_2025!$B:$B,0)),"")</f>
        <v>82</v>
      </c>
      <c r="S165">
        <f>IFERROR(INDEX(Admissions_2024_2025!S:S,MATCH($B165,Admissions_2024_2025!$B:$B,0)),"")</f>
        <v>105</v>
      </c>
      <c r="T165">
        <f>IFERROR(INDEX(Admissions_2024_2025!T:T,MATCH($B165,Admissions_2024_2025!$B:$B,0)),"")</f>
        <v>121</v>
      </c>
      <c r="U165">
        <f>IFERROR(INDEX(Admissions_2024_2025!U:U,MATCH($B165,Admissions_2024_2025!$B:$B,0)),"")</f>
        <v>105</v>
      </c>
      <c r="V165">
        <f>IFERROR(INDEX(Admissions_2024_2025!V:V,MATCH($B106,Admissions_2024_2025!$B:$B,0)),"")</f>
        <v>0</v>
      </c>
      <c r="W165" t="str">
        <f>IFERROR(INDEX(Admissions_2024_2025!W:W,MATCH($B165,Admissions_2024_2025!$B:$B,0)),"")</f>
        <v>2024 admissions; 2024 accepted list</v>
      </c>
    </row>
    <row r="166" spans="1:23" x14ac:dyDescent="0.3">
      <c r="A166" t="s">
        <v>298</v>
      </c>
      <c r="B166" t="s">
        <v>401</v>
      </c>
      <c r="C166" t="s">
        <v>402</v>
      </c>
      <c r="D166">
        <f>IFERROR(INDEX(Admissions_2024_2025!D:D,MATCH($B166,Admissions_2024_2025!$B:$B,0)),"")</f>
        <v>0</v>
      </c>
      <c r="E166">
        <f>IFERROR(INDEX(Admissions_2024_2025!E:E,MATCH($B166,Admissions_2024_2025!$B:$B,0)),"")</f>
        <v>0</v>
      </c>
      <c r="F166">
        <f>IFERROR(INDEX(Admissions_2024_2025!F:F,MATCH($B166,Admissions_2024_2025!$B:$B,0)),"")</f>
        <v>0</v>
      </c>
      <c r="G166">
        <f>IFERROR(INDEX(Admissions_2024_2025!G:G,MATCH($B166,Admissions_2024_2025!$B:$B,0)),"")</f>
        <v>0</v>
      </c>
      <c r="H166">
        <f>IFERROR(INDEX(Admissions_2024_2025!H:H,MATCH($B166,Admissions_2024_2025!$B:$B,0)),"")</f>
        <v>0</v>
      </c>
      <c r="I166" t="str">
        <f>IFERROR(INDEX(Admissions_2024_2025!I:I,MATCH($B166,Admissions_2024_2025!$B:$B,0)),"")</f>
        <v>B1</v>
      </c>
      <c r="J166">
        <f>IFERROR(INDEX(Admissions_2024_2025!J:J,MATCH($B166,Admissions_2024_2025!$B:$B,0)),"")</f>
        <v>140</v>
      </c>
      <c r="K166">
        <f t="shared" si="10"/>
        <v>56.000000000000007</v>
      </c>
      <c r="L166">
        <f>IFERROR(INDEX(Admissions_2024_2025!L:L,MATCH($B166,Admissions_2024_2025!$B:$B,0)),"")</f>
        <v>22</v>
      </c>
      <c r="M166">
        <f t="shared" si="11"/>
        <v>44</v>
      </c>
      <c r="N166">
        <f t="shared" si="12"/>
        <v>87</v>
      </c>
      <c r="O166">
        <f t="shared" si="13"/>
        <v>61.267605633802816</v>
      </c>
      <c r="P166">
        <f t="shared" si="14"/>
        <v>53.755868544600936</v>
      </c>
      <c r="Q166" t="str">
        <f>IFERROR(INDEX(Admissions_2024_2025!Q:Q,MATCH($B166,Admissions_2024_2025!$B:$B,0)),"")</f>
        <v>No bias</v>
      </c>
      <c r="R166">
        <f>IFERROR(INDEX(Admissions_2024_2025!R:R,MATCH($B166,Admissions_2024_2025!$B:$B,0)),"")</f>
        <v>76</v>
      </c>
      <c r="S166">
        <f>IFERROR(INDEX(Admissions_2024_2025!S:S,MATCH($B166,Admissions_2024_2025!$B:$B,0)),"")</f>
        <v>94</v>
      </c>
      <c r="T166">
        <f>IFERROR(INDEX(Admissions_2024_2025!T:T,MATCH($B166,Admissions_2024_2025!$B:$B,0)),"")</f>
        <v>90</v>
      </c>
      <c r="U166">
        <f>IFERROR(INDEX(Admissions_2024_2025!U:U,MATCH($B166,Admissions_2024_2025!$B:$B,0)),"")</f>
        <v>86</v>
      </c>
      <c r="V166">
        <f>IFERROR(INDEX(Admissions_2024_2025!V:V,MATCH($B107,Admissions_2024_2025!$B:$B,0)),"")</f>
        <v>0</v>
      </c>
      <c r="W166" t="str">
        <f>IFERROR(INDEX(Admissions_2024_2025!W:W,MATCH($B166,Admissions_2024_2025!$B:$B,0)),"")</f>
        <v>2024 admissions; 2024 accepted list</v>
      </c>
    </row>
    <row r="167" spans="1:23" x14ac:dyDescent="0.3">
      <c r="A167" t="s">
        <v>298</v>
      </c>
      <c r="B167" t="s">
        <v>403</v>
      </c>
      <c r="C167" t="s">
        <v>404</v>
      </c>
      <c r="D167">
        <f>IFERROR(INDEX(Admissions_2024_2025!D:D,MATCH($B167,Admissions_2024_2025!$B:$B,0)),"")</f>
        <v>0</v>
      </c>
      <c r="E167">
        <f>IFERROR(INDEX(Admissions_2024_2025!E:E,MATCH($B167,Admissions_2024_2025!$B:$B,0)),"")</f>
        <v>0</v>
      </c>
      <c r="F167">
        <f>IFERROR(INDEX(Admissions_2024_2025!F:F,MATCH($B167,Admissions_2024_2025!$B:$B,0)),"")</f>
        <v>0</v>
      </c>
      <c r="G167">
        <f>IFERROR(INDEX(Admissions_2024_2025!G:G,MATCH($B167,Admissions_2024_2025!$B:$B,0)),"")</f>
        <v>0</v>
      </c>
      <c r="H167">
        <f>IFERROR(INDEX(Admissions_2024_2025!H:H,MATCH($B167,Admissions_2024_2025!$B:$B,0)),"")</f>
        <v>0</v>
      </c>
      <c r="I167" t="str">
        <f>IFERROR(INDEX(Admissions_2024_2025!I:I,MATCH($B167,Admissions_2024_2025!$B:$B,0)),"")</f>
        <v>B1</v>
      </c>
      <c r="J167">
        <f>IFERROR(INDEX(Admissions_2024_2025!J:J,MATCH($B167,Admissions_2024_2025!$B:$B,0)),"")</f>
        <v>134</v>
      </c>
      <c r="K167">
        <f t="shared" si="10"/>
        <v>53.6</v>
      </c>
      <c r="L167">
        <f>IFERROR(INDEX(Admissions_2024_2025!L:L,MATCH($B167,Admissions_2024_2025!$B:$B,0)),"")</f>
        <v>18</v>
      </c>
      <c r="M167">
        <f t="shared" si="11"/>
        <v>36</v>
      </c>
      <c r="N167">
        <f t="shared" si="12"/>
        <v>101</v>
      </c>
      <c r="O167">
        <f t="shared" si="13"/>
        <v>71.126760563380287</v>
      </c>
      <c r="P167">
        <f t="shared" si="14"/>
        <v>53.575586854460092</v>
      </c>
      <c r="Q167" t="str">
        <f>IFERROR(INDEX(Admissions_2024_2025!Q:Q,MATCH($B167,Admissions_2024_2025!$B:$B,0)),"")</f>
        <v>Mild spatial bias</v>
      </c>
      <c r="R167">
        <f>IFERROR(INDEX(Admissions_2024_2025!R:R,MATCH($B167,Admissions_2024_2025!$B:$B,0)),"")</f>
        <v>82</v>
      </c>
      <c r="S167">
        <f>IFERROR(INDEX(Admissions_2024_2025!S:S,MATCH($B167,Admissions_2024_2025!$B:$B,0)),"")</f>
        <v>106</v>
      </c>
      <c r="T167">
        <f>IFERROR(INDEX(Admissions_2024_2025!T:T,MATCH($B167,Admissions_2024_2025!$B:$B,0)),"")</f>
        <v>116</v>
      </c>
      <c r="U167">
        <f>IFERROR(INDEX(Admissions_2024_2025!U:U,MATCH($B167,Admissions_2024_2025!$B:$B,0)),"")</f>
        <v>98</v>
      </c>
      <c r="V167">
        <f>IFERROR(INDEX(Admissions_2024_2025!V:V,MATCH($B108,Admissions_2024_2025!$B:$B,0)),"")</f>
        <v>0</v>
      </c>
      <c r="W167" t="str">
        <f>IFERROR(INDEX(Admissions_2024_2025!W:W,MATCH($B167,Admissions_2024_2025!$B:$B,0)),"")</f>
        <v>2024 admissions; 2024 accepted list</v>
      </c>
    </row>
    <row r="168" spans="1:23" x14ac:dyDescent="0.3">
      <c r="A168" t="s">
        <v>298</v>
      </c>
      <c r="B168" t="s">
        <v>405</v>
      </c>
      <c r="C168" t="s">
        <v>406</v>
      </c>
      <c r="D168">
        <f>IFERROR(INDEX(Admissions_2024_2025!D:D,MATCH($B168,Admissions_2024_2025!$B:$B,0)),"")</f>
        <v>0</v>
      </c>
      <c r="E168">
        <f>IFERROR(INDEX(Admissions_2024_2025!E:E,MATCH($B168,Admissions_2024_2025!$B:$B,0)),"")</f>
        <v>0</v>
      </c>
      <c r="F168">
        <f>IFERROR(INDEX(Admissions_2024_2025!F:F,MATCH($B168,Admissions_2024_2025!$B:$B,0)),"")</f>
        <v>0</v>
      </c>
      <c r="G168">
        <f>IFERROR(INDEX(Admissions_2024_2025!G:G,MATCH($B168,Admissions_2024_2025!$B:$B,0)),"")</f>
        <v>0</v>
      </c>
      <c r="H168">
        <f>IFERROR(INDEX(Admissions_2024_2025!H:H,MATCH($B168,Admissions_2024_2025!$B:$B,0)),"")</f>
        <v>0</v>
      </c>
      <c r="I168" t="str">
        <f>IFERROR(INDEX(Admissions_2024_2025!I:I,MATCH($B168,Admissions_2024_2025!$B:$B,0)),"")</f>
        <v>B2</v>
      </c>
      <c r="J168">
        <f>IFERROR(INDEX(Admissions_2024_2025!J:J,MATCH($B168,Admissions_2024_2025!$B:$B,0)),"")</f>
        <v>175</v>
      </c>
      <c r="K168">
        <f t="shared" si="10"/>
        <v>70</v>
      </c>
      <c r="L168">
        <f>IFERROR(INDEX(Admissions_2024_2025!L:L,MATCH($B168,Admissions_2024_2025!$B:$B,0)),"")</f>
        <v>30</v>
      </c>
      <c r="M168">
        <f t="shared" si="11"/>
        <v>60</v>
      </c>
      <c r="N168">
        <f t="shared" si="12"/>
        <v>117</v>
      </c>
      <c r="O168">
        <f t="shared" si="13"/>
        <v>82.394366197183103</v>
      </c>
      <c r="P168">
        <f t="shared" si="14"/>
        <v>70.798122065727696</v>
      </c>
      <c r="Q168" t="str">
        <f>IFERROR(INDEX(Admissions_2024_2025!Q:Q,MATCH($B168,Admissions_2024_2025!$B:$B,0)),"")</f>
        <v>Moderate spatial bias</v>
      </c>
      <c r="R168">
        <f>IFERROR(INDEX(Admissions_2024_2025!R:R,MATCH($B168,Admissions_2024_2025!$B:$B,0)),"")</f>
        <v>94</v>
      </c>
      <c r="S168">
        <f>IFERROR(INDEX(Admissions_2024_2025!S:S,MATCH($B168,Admissions_2024_2025!$B:$B,0)),"")</f>
        <v>128</v>
      </c>
      <c r="T168">
        <f>IFERROR(INDEX(Admissions_2024_2025!T:T,MATCH($B168,Admissions_2024_2025!$B:$B,0)),"")</f>
        <v>129</v>
      </c>
      <c r="U168">
        <f>IFERROR(INDEX(Admissions_2024_2025!U:U,MATCH($B168,Admissions_2024_2025!$B:$B,0)),"")</f>
        <v>116</v>
      </c>
      <c r="V168">
        <f>IFERROR(INDEX(Admissions_2024_2025!V:V,MATCH($B109,Admissions_2024_2025!$B:$B,0)),"")</f>
        <v>0</v>
      </c>
      <c r="W168" t="str">
        <f>IFERROR(INDEX(Admissions_2024_2025!W:W,MATCH($B168,Admissions_2024_2025!$B:$B,0)),"")</f>
        <v>2024 admissions; 2024 accepted list</v>
      </c>
    </row>
    <row r="169" spans="1:23" x14ac:dyDescent="0.3">
      <c r="A169" t="s">
        <v>298</v>
      </c>
      <c r="B169" t="s">
        <v>407</v>
      </c>
      <c r="C169" t="s">
        <v>408</v>
      </c>
      <c r="D169">
        <f>IFERROR(INDEX(Admissions_2024_2025!D:D,MATCH($B169,Admissions_2024_2025!$B:$B,0)),"")</f>
        <v>0</v>
      </c>
      <c r="E169">
        <f>IFERROR(INDEX(Admissions_2024_2025!E:E,MATCH($B169,Admissions_2024_2025!$B:$B,0)),"")</f>
        <v>0</v>
      </c>
      <c r="F169">
        <f>IFERROR(INDEX(Admissions_2024_2025!F:F,MATCH($B169,Admissions_2024_2025!$B:$B,0)),"")</f>
        <v>0</v>
      </c>
      <c r="G169">
        <f>IFERROR(INDEX(Admissions_2024_2025!G:G,MATCH($B169,Admissions_2024_2025!$B:$B,0)),"")</f>
        <v>0</v>
      </c>
      <c r="H169">
        <f>IFERROR(INDEX(Admissions_2024_2025!H:H,MATCH($B169,Admissions_2024_2025!$B:$B,0)),"")</f>
        <v>0</v>
      </c>
      <c r="I169" t="str">
        <f>IFERROR(INDEX(Admissions_2024_2025!I:I,MATCH($B169,Admissions_2024_2025!$B:$B,0)),"")</f>
        <v>B1</v>
      </c>
      <c r="J169">
        <f>IFERROR(INDEX(Admissions_2024_2025!J:J,MATCH($B169,Admissions_2024_2025!$B:$B,0)),"")</f>
        <v>138</v>
      </c>
      <c r="K169">
        <f t="shared" si="10"/>
        <v>55.2</v>
      </c>
      <c r="L169">
        <f>IFERROR(INDEX(Admissions_2024_2025!L:L,MATCH($B169,Admissions_2024_2025!$B:$B,0)),"")</f>
        <v>27</v>
      </c>
      <c r="M169">
        <f t="shared" si="11"/>
        <v>54</v>
      </c>
      <c r="N169">
        <f t="shared" si="12"/>
        <v>97</v>
      </c>
      <c r="O169">
        <f t="shared" si="13"/>
        <v>68.309859154929569</v>
      </c>
      <c r="P169">
        <f t="shared" si="14"/>
        <v>59.169953051643198</v>
      </c>
      <c r="Q169" t="str">
        <f>IFERROR(INDEX(Admissions_2024_2025!Q:Q,MATCH($B169,Admissions_2024_2025!$B:$B,0)),"")</f>
        <v>Extreme spatial bias</v>
      </c>
      <c r="R169">
        <f>IFERROR(INDEX(Admissions_2024_2025!R:R,MATCH($B169,Admissions_2024_2025!$B:$B,0)),"")</f>
        <v>65</v>
      </c>
      <c r="S169">
        <f>IFERROR(INDEX(Admissions_2024_2025!S:S,MATCH($B169,Admissions_2024_2025!$B:$B,0)),"")</f>
        <v>110</v>
      </c>
      <c r="T169">
        <f>IFERROR(INDEX(Admissions_2024_2025!T:T,MATCH($B169,Admissions_2024_2025!$B:$B,0)),"")</f>
        <v>108</v>
      </c>
      <c r="U169">
        <f>IFERROR(INDEX(Admissions_2024_2025!U:U,MATCH($B169,Admissions_2024_2025!$B:$B,0)),"")</f>
        <v>105</v>
      </c>
      <c r="V169">
        <f>IFERROR(INDEX(Admissions_2024_2025!V:V,MATCH($B110,Admissions_2024_2025!$B:$B,0)),"")</f>
        <v>0</v>
      </c>
      <c r="W169" t="str">
        <f>IFERROR(INDEX(Admissions_2024_2025!W:W,MATCH($B169,Admissions_2024_2025!$B:$B,0)),"")</f>
        <v>2024 admissions; 2024 accepted list</v>
      </c>
    </row>
    <row r="170" spans="1:23" x14ac:dyDescent="0.3">
      <c r="A170" t="s">
        <v>298</v>
      </c>
      <c r="B170" t="s">
        <v>409</v>
      </c>
      <c r="C170" t="s">
        <v>410</v>
      </c>
      <c r="D170">
        <f>IFERROR(INDEX(Admissions_2024_2025!D:D,MATCH($B170,Admissions_2024_2025!$B:$B,0)),"")</f>
        <v>0</v>
      </c>
      <c r="E170">
        <f>IFERROR(INDEX(Admissions_2024_2025!E:E,MATCH($B170,Admissions_2024_2025!$B:$B,0)),"")</f>
        <v>0</v>
      </c>
      <c r="F170">
        <f>IFERROR(INDEX(Admissions_2024_2025!F:F,MATCH($B170,Admissions_2024_2025!$B:$B,0)),"")</f>
        <v>0</v>
      </c>
      <c r="G170">
        <f>IFERROR(INDEX(Admissions_2024_2025!G:G,MATCH($B170,Admissions_2024_2025!$B:$B,0)),"")</f>
        <v>0</v>
      </c>
      <c r="H170">
        <f>IFERROR(INDEX(Admissions_2024_2025!H:H,MATCH($B170,Admissions_2024_2025!$B:$B,0)),"")</f>
        <v>0</v>
      </c>
      <c r="I170" t="str">
        <f>IFERROR(INDEX(Admissions_2024_2025!I:I,MATCH($B170,Admissions_2024_2025!$B:$B,0)),"")</f>
        <v>B1</v>
      </c>
      <c r="J170">
        <f>IFERROR(INDEX(Admissions_2024_2025!J:J,MATCH($B170,Admissions_2024_2025!$B:$B,0)),"")</f>
        <v>122</v>
      </c>
      <c r="K170">
        <f t="shared" si="10"/>
        <v>48.8</v>
      </c>
      <c r="L170">
        <f>IFERROR(INDEX(Admissions_2024_2025!L:L,MATCH($B170,Admissions_2024_2025!$B:$B,0)),"")</f>
        <v>20</v>
      </c>
      <c r="M170">
        <f t="shared" si="11"/>
        <v>40</v>
      </c>
      <c r="N170">
        <f t="shared" si="12"/>
        <v>104</v>
      </c>
      <c r="O170">
        <f t="shared" si="13"/>
        <v>73.239436619718319</v>
      </c>
      <c r="P170">
        <f t="shared" si="14"/>
        <v>54.013145539906105</v>
      </c>
      <c r="Q170" t="str">
        <f>IFERROR(INDEX(Admissions_2024_2025!Q:Q,MATCH($B170,Admissions_2024_2025!$B:$B,0)),"")</f>
        <v>Extreme spatial bias</v>
      </c>
      <c r="R170">
        <f>IFERROR(INDEX(Admissions_2024_2025!R:R,MATCH($B170,Admissions_2024_2025!$B:$B,0)),"")</f>
        <v>80</v>
      </c>
      <c r="S170">
        <f>IFERROR(INDEX(Admissions_2024_2025!S:S,MATCH($B170,Admissions_2024_2025!$B:$B,0)),"")</f>
        <v>116</v>
      </c>
      <c r="T170">
        <f>IFERROR(INDEX(Admissions_2024_2025!T:T,MATCH($B170,Admissions_2024_2025!$B:$B,0)),"")</f>
        <v>110</v>
      </c>
      <c r="U170">
        <f>IFERROR(INDEX(Admissions_2024_2025!U:U,MATCH($B170,Admissions_2024_2025!$B:$B,0)),"")</f>
        <v>111</v>
      </c>
      <c r="V170">
        <f>IFERROR(INDEX(Admissions_2024_2025!V:V,MATCH($B111,Admissions_2024_2025!$B:$B,0)),"")</f>
        <v>0</v>
      </c>
      <c r="W170" t="str">
        <f>IFERROR(INDEX(Admissions_2024_2025!W:W,MATCH($B170,Admissions_2024_2025!$B:$B,0)),"")</f>
        <v>2024 admissions; 2024 accepted list</v>
      </c>
    </row>
    <row r="171" spans="1:23" x14ac:dyDescent="0.3">
      <c r="A171" t="s">
        <v>298</v>
      </c>
      <c r="B171" t="s">
        <v>411</v>
      </c>
      <c r="C171" t="s">
        <v>412</v>
      </c>
      <c r="D171">
        <f>IFERROR(INDEX(Admissions_2024_2025!D:D,MATCH($B171,Admissions_2024_2025!$B:$B,0)),"")</f>
        <v>0</v>
      </c>
      <c r="E171">
        <f>IFERROR(INDEX(Admissions_2024_2025!E:E,MATCH($B171,Admissions_2024_2025!$B:$B,0)),"")</f>
        <v>0</v>
      </c>
      <c r="F171">
        <f>IFERROR(INDEX(Admissions_2024_2025!F:F,MATCH($B171,Admissions_2024_2025!$B:$B,0)),"")</f>
        <v>0</v>
      </c>
      <c r="G171">
        <f>IFERROR(INDEX(Admissions_2024_2025!G:G,MATCH($B171,Admissions_2024_2025!$B:$B,0)),"")</f>
        <v>0</v>
      </c>
      <c r="H171">
        <f>IFERROR(INDEX(Admissions_2024_2025!H:H,MATCH($B171,Admissions_2024_2025!$B:$B,0)),"")</f>
        <v>0</v>
      </c>
      <c r="I171" t="str">
        <f>IFERROR(INDEX(Admissions_2024_2025!I:I,MATCH($B171,Admissions_2024_2025!$B:$B,0)),"")</f>
        <v>B2</v>
      </c>
      <c r="J171">
        <f>IFERROR(INDEX(Admissions_2024_2025!J:J,MATCH($B171,Admissions_2024_2025!$B:$B,0)),"")</f>
        <v>163</v>
      </c>
      <c r="K171">
        <f t="shared" si="10"/>
        <v>65.2</v>
      </c>
      <c r="L171">
        <f>IFERROR(INDEX(Admissions_2024_2025!L:L,MATCH($B171,Admissions_2024_2025!$B:$B,0)),"")</f>
        <v>19</v>
      </c>
      <c r="M171">
        <f t="shared" si="11"/>
        <v>38</v>
      </c>
      <c r="N171">
        <f t="shared" si="12"/>
        <v>94</v>
      </c>
      <c r="O171">
        <f t="shared" si="13"/>
        <v>66.197183098591552</v>
      </c>
      <c r="P171">
        <f t="shared" si="14"/>
        <v>56.465727699530511</v>
      </c>
      <c r="Q171" t="str">
        <f>IFERROR(INDEX(Admissions_2024_2025!Q:Q,MATCH($B171,Admissions_2024_2025!$B:$B,0)),"")</f>
        <v>No bias</v>
      </c>
      <c r="R171">
        <f>IFERROR(INDEX(Admissions_2024_2025!R:R,MATCH($B171,Admissions_2024_2025!$B:$B,0)),"")</f>
        <v>97</v>
      </c>
      <c r="S171">
        <f>IFERROR(INDEX(Admissions_2024_2025!S:S,MATCH($B171,Admissions_2024_2025!$B:$B,0)),"")</f>
        <v>94</v>
      </c>
      <c r="T171">
        <f>IFERROR(INDEX(Admissions_2024_2025!T:T,MATCH($B171,Admissions_2024_2025!$B:$B,0)),"")</f>
        <v>86</v>
      </c>
      <c r="U171">
        <f>IFERROR(INDEX(Admissions_2024_2025!U:U,MATCH($B171,Admissions_2024_2025!$B:$B,0)),"")</f>
        <v>100</v>
      </c>
      <c r="V171">
        <f>IFERROR(INDEX(Admissions_2024_2025!V:V,MATCH($B112,Admissions_2024_2025!$B:$B,0)),"")</f>
        <v>0</v>
      </c>
      <c r="W171" t="str">
        <f>IFERROR(INDEX(Admissions_2024_2025!W:W,MATCH($B171,Admissions_2024_2025!$B:$B,0)),"")</f>
        <v>2024 admissions; 2024 accepted list</v>
      </c>
    </row>
    <row r="172" spans="1:23" x14ac:dyDescent="0.3">
      <c r="A172" t="s">
        <v>298</v>
      </c>
      <c r="B172" t="s">
        <v>413</v>
      </c>
      <c r="C172" t="s">
        <v>414</v>
      </c>
      <c r="D172">
        <f>IFERROR(INDEX(Admissions_2024_2025!D:D,MATCH($B172,Admissions_2024_2025!$B:$B,0)),"")</f>
        <v>0</v>
      </c>
      <c r="E172">
        <f>IFERROR(INDEX(Admissions_2024_2025!E:E,MATCH($B172,Admissions_2024_2025!$B:$B,0)),"")</f>
        <v>0</v>
      </c>
      <c r="F172">
        <f>IFERROR(INDEX(Admissions_2024_2025!F:F,MATCH($B172,Admissions_2024_2025!$B:$B,0)),"")</f>
        <v>0</v>
      </c>
      <c r="G172">
        <f>IFERROR(INDEX(Admissions_2024_2025!G:G,MATCH($B172,Admissions_2024_2025!$B:$B,0)),"")</f>
        <v>0</v>
      </c>
      <c r="H172">
        <f>IFERROR(INDEX(Admissions_2024_2025!H:H,MATCH($B172,Admissions_2024_2025!$B:$B,0)),"")</f>
        <v>0</v>
      </c>
      <c r="I172" t="str">
        <f>IFERROR(INDEX(Admissions_2024_2025!I:I,MATCH($B172,Admissions_2024_2025!$B:$B,0)),"")</f>
        <v>B1</v>
      </c>
      <c r="J172">
        <f>IFERROR(INDEX(Admissions_2024_2025!J:J,MATCH($B172,Admissions_2024_2025!$B:$B,0)),"")</f>
        <v>137</v>
      </c>
      <c r="K172">
        <f t="shared" si="10"/>
        <v>54.800000000000004</v>
      </c>
      <c r="L172">
        <f>IFERROR(INDEX(Admissions_2024_2025!L:L,MATCH($B172,Admissions_2024_2025!$B:$B,0)),"")</f>
        <v>16</v>
      </c>
      <c r="M172">
        <f t="shared" si="11"/>
        <v>32</v>
      </c>
      <c r="N172">
        <f t="shared" si="12"/>
        <v>94</v>
      </c>
      <c r="O172">
        <f t="shared" si="13"/>
        <v>66.197183098591552</v>
      </c>
      <c r="P172">
        <f t="shared" si="14"/>
        <v>50.999061032863857</v>
      </c>
      <c r="Q172" t="str">
        <f>IFERROR(INDEX(Admissions_2024_2025!Q:Q,MATCH($B172,Admissions_2024_2025!$B:$B,0)),"")</f>
        <v>Moderate spatial bias</v>
      </c>
      <c r="R172">
        <f>IFERROR(INDEX(Admissions_2024_2025!R:R,MATCH($B172,Admissions_2024_2025!$B:$B,0)),"")</f>
        <v>76</v>
      </c>
      <c r="S172">
        <f>IFERROR(INDEX(Admissions_2024_2025!S:S,MATCH($B172,Admissions_2024_2025!$B:$B,0)),"")</f>
        <v>100</v>
      </c>
      <c r="T172">
        <f>IFERROR(INDEX(Admissions_2024_2025!T:T,MATCH($B172,Admissions_2024_2025!$B:$B,0)),"")</f>
        <v>101</v>
      </c>
      <c r="U172">
        <f>IFERROR(INDEX(Admissions_2024_2025!U:U,MATCH($B172,Admissions_2024_2025!$B:$B,0)),"")</f>
        <v>97</v>
      </c>
      <c r="V172">
        <f>IFERROR(INDEX(Admissions_2024_2025!V:V,MATCH($B113,Admissions_2024_2025!$B:$B,0)),"")</f>
        <v>0</v>
      </c>
      <c r="W172" t="str">
        <f>IFERROR(INDEX(Admissions_2024_2025!W:W,MATCH($B172,Admissions_2024_2025!$B:$B,0)),"")</f>
        <v>2024 admissions; 2024 accepted list</v>
      </c>
    </row>
    <row r="173" spans="1:23" x14ac:dyDescent="0.3">
      <c r="A173" t="s">
        <v>298</v>
      </c>
      <c r="B173" t="s">
        <v>415</v>
      </c>
      <c r="C173" t="s">
        <v>416</v>
      </c>
      <c r="D173">
        <f>IFERROR(INDEX(Admissions_2024_2025!D:D,MATCH($B173,Admissions_2024_2025!$B:$B,0)),"")</f>
        <v>0</v>
      </c>
      <c r="E173">
        <f>IFERROR(INDEX(Admissions_2024_2025!E:E,MATCH($B173,Admissions_2024_2025!$B:$B,0)),"")</f>
        <v>0</v>
      </c>
      <c r="F173">
        <f>IFERROR(INDEX(Admissions_2024_2025!F:F,MATCH($B173,Admissions_2024_2025!$B:$B,0)),"")</f>
        <v>0</v>
      </c>
      <c r="G173">
        <f>IFERROR(INDEX(Admissions_2024_2025!G:G,MATCH($B173,Admissions_2024_2025!$B:$B,0)),"")</f>
        <v>0</v>
      </c>
      <c r="H173">
        <f>IFERROR(INDEX(Admissions_2024_2025!H:H,MATCH($B173,Admissions_2024_2025!$B:$B,0)),"")</f>
        <v>0</v>
      </c>
      <c r="I173" t="str">
        <f>IFERROR(INDEX(Admissions_2024_2025!I:I,MATCH($B173,Admissions_2024_2025!$B:$B,0)),"")</f>
        <v>B1</v>
      </c>
      <c r="J173">
        <f>IFERROR(INDEX(Admissions_2024_2025!J:J,MATCH($B173,Admissions_2024_2025!$B:$B,0)),"")</f>
        <v>142</v>
      </c>
      <c r="K173">
        <f t="shared" si="10"/>
        <v>56.8</v>
      </c>
      <c r="L173">
        <f>IFERROR(INDEX(Admissions_2024_2025!L:L,MATCH($B173,Admissions_2024_2025!$B:$B,0)),"")</f>
        <v>32</v>
      </c>
      <c r="M173">
        <f t="shared" si="11"/>
        <v>64</v>
      </c>
      <c r="N173">
        <f t="shared" si="12"/>
        <v>102</v>
      </c>
      <c r="O173">
        <f t="shared" si="13"/>
        <v>71.83098591549296</v>
      </c>
      <c r="P173">
        <f t="shared" si="14"/>
        <v>64.210328638497643</v>
      </c>
      <c r="Q173" t="str">
        <f>IFERROR(INDEX(Admissions_2024_2025!Q:Q,MATCH($B173,Admissions_2024_2025!$B:$B,0)),"")</f>
        <v>Extreme spatial bias</v>
      </c>
      <c r="R173">
        <f>IFERROR(INDEX(Admissions_2024_2025!R:R,MATCH($B173,Admissions_2024_2025!$B:$B,0)),"")</f>
        <v>78</v>
      </c>
      <c r="S173">
        <f>IFERROR(INDEX(Admissions_2024_2025!S:S,MATCH($B173,Admissions_2024_2025!$B:$B,0)),"")</f>
        <v>108</v>
      </c>
      <c r="T173">
        <f>IFERROR(INDEX(Admissions_2024_2025!T:T,MATCH($B173,Admissions_2024_2025!$B:$B,0)),"")</f>
        <v>105</v>
      </c>
      <c r="U173">
        <f>IFERROR(INDEX(Admissions_2024_2025!U:U,MATCH($B173,Admissions_2024_2025!$B:$B,0)),"")</f>
        <v>117</v>
      </c>
      <c r="V173">
        <f>IFERROR(INDEX(Admissions_2024_2025!V:V,MATCH($B114,Admissions_2024_2025!$B:$B,0)),"")</f>
        <v>0</v>
      </c>
      <c r="W173" t="str">
        <f>IFERROR(INDEX(Admissions_2024_2025!W:W,MATCH($B173,Admissions_2024_2025!$B:$B,0)),"")</f>
        <v>2024 admissions; 2024 accepted list</v>
      </c>
    </row>
    <row r="174" spans="1:23" x14ac:dyDescent="0.3">
      <c r="A174" t="s">
        <v>298</v>
      </c>
      <c r="B174" t="s">
        <v>417</v>
      </c>
      <c r="C174" t="s">
        <v>418</v>
      </c>
      <c r="D174">
        <f>IFERROR(INDEX(Admissions_2024_2025!D:D,MATCH($B174,Admissions_2024_2025!$B:$B,0)),"")</f>
        <v>0</v>
      </c>
      <c r="E174">
        <f>IFERROR(INDEX(Admissions_2024_2025!E:E,MATCH($B174,Admissions_2024_2025!$B:$B,0)),"")</f>
        <v>0</v>
      </c>
      <c r="F174">
        <f>IFERROR(INDEX(Admissions_2024_2025!F:F,MATCH($B174,Admissions_2024_2025!$B:$B,0)),"")</f>
        <v>0</v>
      </c>
      <c r="G174">
        <f>IFERROR(INDEX(Admissions_2024_2025!G:G,MATCH($B174,Admissions_2024_2025!$B:$B,0)),"")</f>
        <v>0</v>
      </c>
      <c r="H174">
        <f>IFERROR(INDEX(Admissions_2024_2025!H:H,MATCH($B174,Admissions_2024_2025!$B:$B,0)),"")</f>
        <v>0</v>
      </c>
      <c r="I174" t="str">
        <f>IFERROR(INDEX(Admissions_2024_2025!I:I,MATCH($B174,Admissions_2024_2025!$B:$B,0)),"")</f>
        <v>B2</v>
      </c>
      <c r="J174">
        <f>IFERROR(INDEX(Admissions_2024_2025!J:J,MATCH($B174,Admissions_2024_2025!$B:$B,0)),"")</f>
        <v>142</v>
      </c>
      <c r="K174">
        <f t="shared" si="10"/>
        <v>56.8</v>
      </c>
      <c r="L174">
        <f>IFERROR(INDEX(Admissions_2024_2025!L:L,MATCH($B174,Admissions_2024_2025!$B:$B,0)),"")</f>
        <v>25</v>
      </c>
      <c r="M174">
        <f t="shared" si="11"/>
        <v>50</v>
      </c>
      <c r="N174">
        <f t="shared" si="12"/>
        <v>104</v>
      </c>
      <c r="O174">
        <f t="shared" si="13"/>
        <v>73.239436619718319</v>
      </c>
      <c r="P174">
        <f t="shared" si="14"/>
        <v>60.013145539906105</v>
      </c>
      <c r="Q174" t="str">
        <f>IFERROR(INDEX(Admissions_2024_2025!Q:Q,MATCH($B174,Admissions_2024_2025!$B:$B,0)),"")</f>
        <v>Moderate spatial bias</v>
      </c>
      <c r="R174">
        <f>IFERROR(INDEX(Admissions_2024_2025!R:R,MATCH($B174,Admissions_2024_2025!$B:$B,0)),"")</f>
        <v>85</v>
      </c>
      <c r="S174">
        <f>IFERROR(INDEX(Admissions_2024_2025!S:S,MATCH($B174,Admissions_2024_2025!$B:$B,0)),"")</f>
        <v>120</v>
      </c>
      <c r="T174">
        <f>IFERROR(INDEX(Admissions_2024_2025!T:T,MATCH($B174,Admissions_2024_2025!$B:$B,0)),"")</f>
        <v>105</v>
      </c>
      <c r="U174">
        <f>IFERROR(INDEX(Admissions_2024_2025!U:U,MATCH($B174,Admissions_2024_2025!$B:$B,0)),"")</f>
        <v>107</v>
      </c>
      <c r="V174">
        <f>IFERROR(INDEX(Admissions_2024_2025!V:V,MATCH($B115,Admissions_2024_2025!$B:$B,0)),"")</f>
        <v>0</v>
      </c>
      <c r="W174" t="str">
        <f>IFERROR(INDEX(Admissions_2024_2025!W:W,MATCH($B174,Admissions_2024_2025!$B:$B,0)),"")</f>
        <v>2024 admissions; 2024 accepted list</v>
      </c>
    </row>
    <row r="175" spans="1:23" x14ac:dyDescent="0.3">
      <c r="A175" t="s">
        <v>419</v>
      </c>
      <c r="B175" t="s">
        <v>420</v>
      </c>
      <c r="C175" t="s">
        <v>421</v>
      </c>
      <c r="D175" t="str">
        <f>IFERROR(INDEX(Admissions_2024_2025!D:D,MATCH($B175,Admissions_2024_2025!$B:$B,0)),"")</f>
        <v>AlHayat Universal School - KG Pri - Mixed</v>
      </c>
      <c r="E175" t="str">
        <f>IFERROR(INDEX(Admissions_2024_2025!E:E,MATCH($B175,Admissions_2024_2025!$B:$B,0)),"")</f>
        <v>Int.</v>
      </c>
      <c r="F175">
        <f>IFERROR(INDEX(Admissions_2024_2025!F:F,MATCH($B175,Admissions_2024_2025!$B:$B,0)),"")</f>
        <v>74</v>
      </c>
      <c r="G175">
        <f>IFERROR(INDEX(Admissions_2024_2025!G:G,MATCH($B175,Admissions_2024_2025!$B:$B,0)),"")</f>
        <v>70</v>
      </c>
      <c r="H175">
        <f>IFERROR(INDEX(Admissions_2024_2025!H:H,MATCH($B175,Admissions_2024_2025!$B:$B,0)),"")</f>
        <v>64</v>
      </c>
      <c r="I175">
        <f>IFERROR(INDEX(Admissions_2024_2025!I:I,MATCH($B175,Admissions_2024_2025!$B:$B,0)),"")</f>
        <v>0</v>
      </c>
      <c r="J175">
        <f>IFERROR(INDEX(Admissions_2024_2025!J:J,MATCH($B175,Admissions_2024_2025!$B:$B,0)),"")</f>
        <v>155</v>
      </c>
      <c r="K175">
        <f t="shared" si="10"/>
        <v>62</v>
      </c>
      <c r="L175">
        <f>IFERROR(INDEX(Admissions_2024_2025!L:L,MATCH($B175,Admissions_2024_2025!$B:$B,0)),"")</f>
        <v>19</v>
      </c>
      <c r="M175">
        <f t="shared" si="11"/>
        <v>38</v>
      </c>
      <c r="N175">
        <f t="shared" si="12"/>
        <v>95</v>
      </c>
      <c r="O175">
        <f t="shared" si="13"/>
        <v>66.901408450704224</v>
      </c>
      <c r="P175">
        <f t="shared" si="14"/>
        <v>55.633802816901408</v>
      </c>
      <c r="Q175" t="str">
        <f>IFERROR(INDEX(Admissions_2024_2025!Q:Q,MATCH($B175,Admissions_2024_2025!$B:$B,0)),"")</f>
        <v>No bias</v>
      </c>
      <c r="R175">
        <f>IFERROR(INDEX(Admissions_2024_2025!R:R,MATCH($B175,Admissions_2024_2025!$B:$B,0)),"")</f>
        <v>88</v>
      </c>
      <c r="S175">
        <f>IFERROR(INDEX(Admissions_2024_2025!S:S,MATCH($B175,Admissions_2024_2025!$B:$B,0)),"")</f>
        <v>111</v>
      </c>
      <c r="T175">
        <f>IFERROR(INDEX(Admissions_2024_2025!T:T,MATCH($B175,Admissions_2024_2025!$B:$B,0)),"")</f>
        <v>102</v>
      </c>
      <c r="U175">
        <f>IFERROR(INDEX(Admissions_2024_2025!U:U,MATCH($B175,Admissions_2024_2025!$B:$B,0)),"")</f>
        <v>80</v>
      </c>
      <c r="V175">
        <f>IFERROR(INDEX(Admissions_2024_2025!V:V,MATCH($B116,Admissions_2024_2025!$B:$B,0)),"")</f>
        <v>0</v>
      </c>
      <c r="W175" t="str">
        <f>IFERROR(INDEX(Admissions_2024_2025!W:W,MATCH($B175,Admissions_2024_2025!$B:$B,0)),"")</f>
        <v>2025 accepted list; CAT4 2022/2023 proxy domains</v>
      </c>
    </row>
    <row r="176" spans="1:23" x14ac:dyDescent="0.3">
      <c r="A176" t="s">
        <v>419</v>
      </c>
      <c r="B176" t="s">
        <v>423</v>
      </c>
      <c r="C176" t="s">
        <v>424</v>
      </c>
      <c r="D176" t="str">
        <f>IFERROR(INDEX(Admissions_2024_2025!D:D,MATCH($B176,Admissions_2024_2025!$B:$B,0)),"")</f>
        <v>AlHayat Universal School - KG Pri - Mixed</v>
      </c>
      <c r="E176" t="str">
        <f>IFERROR(INDEX(Admissions_2024_2025!E:E,MATCH($B176,Admissions_2024_2025!$B:$B,0)),"")</f>
        <v>Int.</v>
      </c>
      <c r="F176">
        <f>IFERROR(INDEX(Admissions_2024_2025!F:F,MATCH($B176,Admissions_2024_2025!$B:$B,0)),"")</f>
        <v>8</v>
      </c>
      <c r="G176">
        <f>IFERROR(INDEX(Admissions_2024_2025!G:G,MATCH($B176,Admissions_2024_2025!$B:$B,0)),"")</f>
        <v>7</v>
      </c>
      <c r="H176">
        <f>IFERROR(INDEX(Admissions_2024_2025!H:H,MATCH($B176,Admissions_2024_2025!$B:$B,0)),"")</f>
        <v>8</v>
      </c>
      <c r="I176">
        <f>IFERROR(INDEX(Admissions_2024_2025!I:I,MATCH($B176,Admissions_2024_2025!$B:$B,0)),"")</f>
        <v>0</v>
      </c>
      <c r="J176">
        <f>IFERROR(INDEX(Admissions_2024_2025!J:J,MATCH($B176,Admissions_2024_2025!$B:$B,0)),"")</f>
        <v>152</v>
      </c>
      <c r="K176">
        <f t="shared" si="10"/>
        <v>60.8</v>
      </c>
      <c r="L176">
        <f>IFERROR(INDEX(Admissions_2024_2025!L:L,MATCH($B176,Admissions_2024_2025!$B:$B,0)),"")</f>
        <v>25</v>
      </c>
      <c r="M176">
        <f t="shared" si="11"/>
        <v>50</v>
      </c>
      <c r="N176">
        <f t="shared" si="12"/>
        <v>102</v>
      </c>
      <c r="O176">
        <f t="shared" si="13"/>
        <v>71.83098591549296</v>
      </c>
      <c r="P176">
        <f t="shared" si="14"/>
        <v>60.876995305164314</v>
      </c>
      <c r="Q176" t="str">
        <f>IFERROR(INDEX(Admissions_2024_2025!Q:Q,MATCH($B176,Admissions_2024_2025!$B:$B,0)),"")</f>
        <v>Moderate spatial bias</v>
      </c>
      <c r="R176">
        <f>IFERROR(INDEX(Admissions_2024_2025!R:R,MATCH($B176,Admissions_2024_2025!$B:$B,0)),"")</f>
        <v>83</v>
      </c>
      <c r="S176">
        <f>IFERROR(INDEX(Admissions_2024_2025!S:S,MATCH($B176,Admissions_2024_2025!$B:$B,0)),"")</f>
        <v>102</v>
      </c>
      <c r="T176">
        <f>IFERROR(INDEX(Admissions_2024_2025!T:T,MATCH($B176,Admissions_2024_2025!$B:$B,0)),"")</f>
        <v>118</v>
      </c>
      <c r="U176">
        <f>IFERROR(INDEX(Admissions_2024_2025!U:U,MATCH($B176,Admissions_2024_2025!$B:$B,0)),"")</f>
        <v>104</v>
      </c>
      <c r="V176">
        <f>IFERROR(INDEX(Admissions_2024_2025!V:V,MATCH($B117,Admissions_2024_2025!$B:$B,0)),"")</f>
        <v>0</v>
      </c>
      <c r="W176" t="str">
        <f>IFERROR(INDEX(Admissions_2024_2025!W:W,MATCH($B176,Admissions_2024_2025!$B:$B,0)),"")</f>
        <v>2025 accepted list; CAT4 2022/2023 proxy domains</v>
      </c>
    </row>
    <row r="177" spans="1:23" x14ac:dyDescent="0.3">
      <c r="A177" t="s">
        <v>419</v>
      </c>
      <c r="B177" t="s">
        <v>425</v>
      </c>
      <c r="C177" t="s">
        <v>426</v>
      </c>
      <c r="D177" t="str">
        <f>IFERROR(INDEX(Admissions_2024_2025!D:D,MATCH($B177,Admissions_2024_2025!$B:$B,0)),"")</f>
        <v>Qatar Finland international School</v>
      </c>
      <c r="E177" t="str">
        <f>IFERROR(INDEX(Admissions_2024_2025!E:E,MATCH($B177,Admissions_2024_2025!$B:$B,0)),"")</f>
        <v>Int.</v>
      </c>
      <c r="F177">
        <f>IFERROR(INDEX(Admissions_2024_2025!F:F,MATCH($B177,Admissions_2024_2025!$B:$B,0)),"")</f>
        <v>0</v>
      </c>
      <c r="G177">
        <f>IFERROR(INDEX(Admissions_2024_2025!G:G,MATCH($B177,Admissions_2024_2025!$B:$B,0)),"")</f>
        <v>0</v>
      </c>
      <c r="H177">
        <f>IFERROR(INDEX(Admissions_2024_2025!H:H,MATCH($B177,Admissions_2024_2025!$B:$B,0)),"")</f>
        <v>0</v>
      </c>
      <c r="I177">
        <f>IFERROR(INDEX(Admissions_2024_2025!I:I,MATCH($B177,Admissions_2024_2025!$B:$B,0)),"")</f>
        <v>0</v>
      </c>
      <c r="J177">
        <f>IFERROR(INDEX(Admissions_2024_2025!J:J,MATCH($B177,Admissions_2024_2025!$B:$B,0)),"")</f>
        <v>138</v>
      </c>
      <c r="K177">
        <f t="shared" si="10"/>
        <v>55.2</v>
      </c>
      <c r="L177">
        <f>IFERROR(INDEX(Admissions_2024_2025!L:L,MATCH($B177,Admissions_2024_2025!$B:$B,0)),"")</f>
        <v>31</v>
      </c>
      <c r="M177">
        <f t="shared" si="11"/>
        <v>62</v>
      </c>
      <c r="N177">
        <f t="shared" si="12"/>
        <v>115</v>
      </c>
      <c r="O177">
        <f t="shared" si="13"/>
        <v>80.985915492957744</v>
      </c>
      <c r="P177">
        <f t="shared" si="14"/>
        <v>66.061971830985911</v>
      </c>
      <c r="Q177" t="str">
        <f>IFERROR(INDEX(Admissions_2024_2025!Q:Q,MATCH($B177,Admissions_2024_2025!$B:$B,0)),"")</f>
        <v>Mild spatial bias</v>
      </c>
      <c r="R177">
        <f>IFERROR(INDEX(Admissions_2024_2025!R:R,MATCH($B177,Admissions_2024_2025!$B:$B,0)),"")</f>
        <v>96</v>
      </c>
      <c r="S177">
        <f>IFERROR(INDEX(Admissions_2024_2025!S:S,MATCH($B177,Admissions_2024_2025!$B:$B,0)),"")</f>
        <v>131</v>
      </c>
      <c r="T177">
        <f>IFERROR(INDEX(Admissions_2024_2025!T:T,MATCH($B177,Admissions_2024_2025!$B:$B,0)),"")</f>
        <v>122</v>
      </c>
      <c r="U177">
        <f>IFERROR(INDEX(Admissions_2024_2025!U:U,MATCH($B177,Admissions_2024_2025!$B:$B,0)),"")</f>
        <v>111</v>
      </c>
      <c r="V177">
        <f>IFERROR(INDEX(Admissions_2024_2025!V:V,MATCH($B118,Admissions_2024_2025!$B:$B,0)),"")</f>
        <v>0</v>
      </c>
      <c r="W177" t="str">
        <f>IFERROR(INDEX(Admissions_2024_2025!W:W,MATCH($B177,Admissions_2024_2025!$B:$B,0)),"")</f>
        <v>2025 accepted list; CAT4 2022/2023 proxy domains</v>
      </c>
    </row>
    <row r="178" spans="1:23" x14ac:dyDescent="0.3">
      <c r="A178" t="s">
        <v>419</v>
      </c>
      <c r="B178" t="s">
        <v>427</v>
      </c>
      <c r="C178" t="s">
        <v>428</v>
      </c>
      <c r="D178" t="str">
        <f>IFERROR(INDEX(Admissions_2024_2025!D:D,MATCH($B178,Admissions_2024_2025!$B:$B,0)),"")</f>
        <v>Umar ibn Al-Khattab Preparatory School for Boys</v>
      </c>
      <c r="E178" t="str">
        <f>IFERROR(INDEX(Admissions_2024_2025!E:E,MATCH($B178,Admissions_2024_2025!$B:$B,0)),"")</f>
        <v>MOE</v>
      </c>
      <c r="F178">
        <f>IFERROR(INDEX(Admissions_2024_2025!F:F,MATCH($B178,Admissions_2024_2025!$B:$B,0)),"")</f>
        <v>99</v>
      </c>
      <c r="G178">
        <f>IFERROR(INDEX(Admissions_2024_2025!G:G,MATCH($B178,Admissions_2024_2025!$B:$B,0)),"")</f>
        <v>100</v>
      </c>
      <c r="H178">
        <f>IFERROR(INDEX(Admissions_2024_2025!H:H,MATCH($B178,Admissions_2024_2025!$B:$B,0)),"")</f>
        <v>96</v>
      </c>
      <c r="I178">
        <f>IFERROR(INDEX(Admissions_2024_2025!I:I,MATCH($B178,Admissions_2024_2025!$B:$B,0)),"")</f>
        <v>0</v>
      </c>
      <c r="J178">
        <f>IFERROR(INDEX(Admissions_2024_2025!J:J,MATCH($B178,Admissions_2024_2025!$B:$B,0)),"")</f>
        <v>140</v>
      </c>
      <c r="K178">
        <f t="shared" si="10"/>
        <v>56.000000000000007</v>
      </c>
      <c r="L178">
        <f>IFERROR(INDEX(Admissions_2024_2025!L:L,MATCH($B178,Admissions_2024_2025!$B:$B,0)),"")</f>
        <v>23</v>
      </c>
      <c r="M178">
        <f t="shared" si="11"/>
        <v>46</v>
      </c>
      <c r="N178">
        <f t="shared" si="12"/>
        <v>97</v>
      </c>
      <c r="O178">
        <f t="shared" si="13"/>
        <v>68.309859154929569</v>
      </c>
      <c r="P178">
        <f t="shared" si="14"/>
        <v>56.769953051643192</v>
      </c>
      <c r="Q178" t="str">
        <f>IFERROR(INDEX(Admissions_2024_2025!Q:Q,MATCH($B178,Admissions_2024_2025!$B:$B,0)),"")</f>
        <v>Moderate spatial bias</v>
      </c>
      <c r="R178">
        <f>IFERROR(INDEX(Admissions_2024_2025!R:R,MATCH($B178,Admissions_2024_2025!$B:$B,0)),"")</f>
        <v>85</v>
      </c>
      <c r="S178">
        <f>IFERROR(INDEX(Admissions_2024_2025!S:S,MATCH($B178,Admissions_2024_2025!$B:$B,0)),"")</f>
        <v>100</v>
      </c>
      <c r="T178">
        <f>IFERROR(INDEX(Admissions_2024_2025!T:T,MATCH($B178,Admissions_2024_2025!$B:$B,0)),"")</f>
        <v>96</v>
      </c>
      <c r="U178">
        <f>IFERROR(INDEX(Admissions_2024_2025!U:U,MATCH($B178,Admissions_2024_2025!$B:$B,0)),"")</f>
        <v>105</v>
      </c>
      <c r="V178">
        <f>IFERROR(INDEX(Admissions_2024_2025!V:V,MATCH($B119,Admissions_2024_2025!$B:$B,0)),"")</f>
        <v>0</v>
      </c>
      <c r="W178" t="str">
        <f>IFERROR(INDEX(Admissions_2024_2025!W:W,MATCH($B178,Admissions_2024_2025!$B:$B,0)),"")</f>
        <v>2025 accepted list; CAT4 2022/2023 proxy domains</v>
      </c>
    </row>
    <row r="179" spans="1:23" x14ac:dyDescent="0.3">
      <c r="A179" t="s">
        <v>419</v>
      </c>
      <c r="B179" t="s">
        <v>429</v>
      </c>
      <c r="C179" t="s">
        <v>430</v>
      </c>
      <c r="D179" t="str">
        <f>IFERROR(INDEX(Admissions_2024_2025!D:D,MATCH($B179,Admissions_2024_2025!$B:$B,0)),"")</f>
        <v>Ibn Khaldun Preparatory School for Boys</v>
      </c>
      <c r="E179" t="str">
        <f>IFERROR(INDEX(Admissions_2024_2025!E:E,MATCH($B179,Admissions_2024_2025!$B:$B,0)),"")</f>
        <v>MOE</v>
      </c>
      <c r="F179">
        <f>IFERROR(INDEX(Admissions_2024_2025!F:F,MATCH($B179,Admissions_2024_2025!$B:$B,0)),"")</f>
        <v>100</v>
      </c>
      <c r="G179">
        <f>IFERROR(INDEX(Admissions_2024_2025!G:G,MATCH($B179,Admissions_2024_2025!$B:$B,0)),"")</f>
        <v>100</v>
      </c>
      <c r="H179">
        <f>IFERROR(INDEX(Admissions_2024_2025!H:H,MATCH($B179,Admissions_2024_2025!$B:$B,0)),"")</f>
        <v>99</v>
      </c>
      <c r="I179">
        <f>IFERROR(INDEX(Admissions_2024_2025!I:I,MATCH($B179,Admissions_2024_2025!$B:$B,0)),"")</f>
        <v>0</v>
      </c>
      <c r="J179">
        <f>IFERROR(INDEX(Admissions_2024_2025!J:J,MATCH($B179,Admissions_2024_2025!$B:$B,0)),"")</f>
        <v>154</v>
      </c>
      <c r="K179">
        <f t="shared" si="10"/>
        <v>61.6</v>
      </c>
      <c r="L179">
        <f>IFERROR(INDEX(Admissions_2024_2025!L:L,MATCH($B179,Admissions_2024_2025!$B:$B,0)),"")</f>
        <v>15</v>
      </c>
      <c r="M179">
        <f t="shared" si="11"/>
        <v>30</v>
      </c>
      <c r="N179">
        <f t="shared" si="12"/>
        <v>95</v>
      </c>
      <c r="O179">
        <f t="shared" si="13"/>
        <v>66.901408450704224</v>
      </c>
      <c r="P179">
        <f t="shared" si="14"/>
        <v>52.833802816901404</v>
      </c>
      <c r="Q179" t="str">
        <f>IFERROR(INDEX(Admissions_2024_2025!Q:Q,MATCH($B179,Admissions_2024_2025!$B:$B,0)),"")</f>
        <v>No bias</v>
      </c>
      <c r="R179">
        <f>IFERROR(INDEX(Admissions_2024_2025!R:R,MATCH($B179,Admissions_2024_2025!$B:$B,0)),"")</f>
        <v>95</v>
      </c>
      <c r="S179">
        <f>IFERROR(INDEX(Admissions_2024_2025!S:S,MATCH($B179,Admissions_2024_2025!$B:$B,0)),"")</f>
        <v>89</v>
      </c>
      <c r="T179">
        <f>IFERROR(INDEX(Admissions_2024_2025!T:T,MATCH($B179,Admissions_2024_2025!$B:$B,0)),"")</f>
        <v>100</v>
      </c>
      <c r="U179">
        <f>IFERROR(INDEX(Admissions_2024_2025!U:U,MATCH($B179,Admissions_2024_2025!$B:$B,0)),"")</f>
        <v>97</v>
      </c>
      <c r="V179">
        <f>IFERROR(INDEX(Admissions_2024_2025!V:V,MATCH($B120,Admissions_2024_2025!$B:$B,0)),"")</f>
        <v>0</v>
      </c>
      <c r="W179" t="str">
        <f>IFERROR(INDEX(Admissions_2024_2025!W:W,MATCH($B179,Admissions_2024_2025!$B:$B,0)),"")</f>
        <v>2025 accepted list; CAT4 2022/2023 proxy domains</v>
      </c>
    </row>
    <row r="180" spans="1:23" x14ac:dyDescent="0.3">
      <c r="A180" t="s">
        <v>419</v>
      </c>
      <c r="B180" t="s">
        <v>431</v>
      </c>
      <c r="C180" t="s">
        <v>432</v>
      </c>
      <c r="D180" t="str">
        <f>IFERROR(INDEX(Admissions_2024_2025!D:D,MATCH($B180,Admissions_2024_2025!$B:$B,0)),"")</f>
        <v>Nord Anglia International School- AL Khor</v>
      </c>
      <c r="E180" t="str">
        <f>IFERROR(INDEX(Admissions_2024_2025!E:E,MATCH($B180,Admissions_2024_2025!$B:$B,0)),"")</f>
        <v>Int.</v>
      </c>
      <c r="F180">
        <f>IFERROR(INDEX(Admissions_2024_2025!F:F,MATCH($B180,Admissions_2024_2025!$B:$B,0)),"")</f>
        <v>0</v>
      </c>
      <c r="G180">
        <f>IFERROR(INDEX(Admissions_2024_2025!G:G,MATCH($B180,Admissions_2024_2025!$B:$B,0)),"")</f>
        <v>0</v>
      </c>
      <c r="H180">
        <f>IFERROR(INDEX(Admissions_2024_2025!H:H,MATCH($B180,Admissions_2024_2025!$B:$B,0)),"")</f>
        <v>0</v>
      </c>
      <c r="I180">
        <f>IFERROR(INDEX(Admissions_2024_2025!I:I,MATCH($B180,Admissions_2024_2025!$B:$B,0)),"")</f>
        <v>0</v>
      </c>
      <c r="J180">
        <f>IFERROR(INDEX(Admissions_2024_2025!J:J,MATCH($B180,Admissions_2024_2025!$B:$B,0)),"")</f>
        <v>152</v>
      </c>
      <c r="K180">
        <f t="shared" si="10"/>
        <v>60.8</v>
      </c>
      <c r="L180">
        <f>IFERROR(INDEX(Admissions_2024_2025!L:L,MATCH($B180,Admissions_2024_2025!$B:$B,0)),"")</f>
        <v>11</v>
      </c>
      <c r="M180">
        <f t="shared" si="11"/>
        <v>22</v>
      </c>
      <c r="N180">
        <f t="shared" si="12"/>
        <v>110</v>
      </c>
      <c r="O180">
        <f t="shared" si="13"/>
        <v>77.464788732394368</v>
      </c>
      <c r="P180">
        <f t="shared" si="14"/>
        <v>53.421596244131457</v>
      </c>
      <c r="Q180" t="str">
        <f>IFERROR(INDEX(Admissions_2024_2025!Q:Q,MATCH($B180,Admissions_2024_2025!$B:$B,0)),"")</f>
        <v>Moderate verbal bias</v>
      </c>
      <c r="R180">
        <f>IFERROR(INDEX(Admissions_2024_2025!R:R,MATCH($B180,Admissions_2024_2025!$B:$B,0)),"")</f>
        <v>112</v>
      </c>
      <c r="S180">
        <f>IFERROR(INDEX(Admissions_2024_2025!S:S,MATCH($B180,Admissions_2024_2025!$B:$B,0)),"")</f>
        <v>106</v>
      </c>
      <c r="T180">
        <f>IFERROR(INDEX(Admissions_2024_2025!T:T,MATCH($B180,Admissions_2024_2025!$B:$B,0)),"")</f>
        <v>126</v>
      </c>
      <c r="U180">
        <f>IFERROR(INDEX(Admissions_2024_2025!U:U,MATCH($B180,Admissions_2024_2025!$B:$B,0)),"")</f>
        <v>95</v>
      </c>
      <c r="V180">
        <f>IFERROR(INDEX(Admissions_2024_2025!V:V,MATCH($B121,Admissions_2024_2025!$B:$B,0)),"")</f>
        <v>0</v>
      </c>
      <c r="W180" t="str">
        <f>IFERROR(INDEX(Admissions_2024_2025!W:W,MATCH($B180,Admissions_2024_2025!$B:$B,0)),"")</f>
        <v>2025 accepted list; CAT4 2022/2023 proxy domains</v>
      </c>
    </row>
    <row r="181" spans="1:23" x14ac:dyDescent="0.3">
      <c r="A181" t="s">
        <v>419</v>
      </c>
      <c r="B181" t="s">
        <v>433</v>
      </c>
      <c r="C181" t="s">
        <v>434</v>
      </c>
      <c r="D181" t="str">
        <f>IFERROR(INDEX(Admissions_2024_2025!D:D,MATCH($B181,Admissions_2024_2025!$B:$B,0)),"")</f>
        <v>AlHayat Universal School - KG Pri - Mixed</v>
      </c>
      <c r="E181" t="str">
        <f>IFERROR(INDEX(Admissions_2024_2025!E:E,MATCH($B181,Admissions_2024_2025!$B:$B,0)),"")</f>
        <v>Int.</v>
      </c>
      <c r="F181">
        <f>IFERROR(INDEX(Admissions_2024_2025!F:F,MATCH($B181,Admissions_2024_2025!$B:$B,0)),"")</f>
        <v>0</v>
      </c>
      <c r="G181">
        <f>IFERROR(INDEX(Admissions_2024_2025!G:G,MATCH($B181,Admissions_2024_2025!$B:$B,0)),"")</f>
        <v>75</v>
      </c>
      <c r="H181">
        <f>IFERROR(INDEX(Admissions_2024_2025!H:H,MATCH($B181,Admissions_2024_2025!$B:$B,0)),"")</f>
        <v>80</v>
      </c>
      <c r="I181">
        <f>IFERROR(INDEX(Admissions_2024_2025!I:I,MATCH($B181,Admissions_2024_2025!$B:$B,0)),"")</f>
        <v>0</v>
      </c>
      <c r="J181">
        <f>IFERROR(INDEX(Admissions_2024_2025!J:J,MATCH($B181,Admissions_2024_2025!$B:$B,0)),"")</f>
        <v>148</v>
      </c>
      <c r="K181">
        <f t="shared" si="10"/>
        <v>59.199999999999996</v>
      </c>
      <c r="L181">
        <f>IFERROR(INDEX(Admissions_2024_2025!L:L,MATCH($B181,Admissions_2024_2025!$B:$B,0)),"")</f>
        <v>28</v>
      </c>
      <c r="M181">
        <f t="shared" si="11"/>
        <v>56.000000000000007</v>
      </c>
      <c r="N181">
        <f t="shared" si="12"/>
        <v>111</v>
      </c>
      <c r="O181">
        <f t="shared" si="13"/>
        <v>78.16901408450704</v>
      </c>
      <c r="P181">
        <f t="shared" si="14"/>
        <v>64.456338028169014</v>
      </c>
      <c r="Q181" t="str">
        <f>IFERROR(INDEX(Admissions_2024_2025!Q:Q,MATCH($B181,Admissions_2024_2025!$B:$B,0)),"")</f>
        <v>Extreme spatial bias</v>
      </c>
      <c r="R181">
        <f>IFERROR(INDEX(Admissions_2024_2025!R:R,MATCH($B181,Admissions_2024_2025!$B:$B,0)),"")</f>
        <v>85</v>
      </c>
      <c r="S181">
        <f>IFERROR(INDEX(Admissions_2024_2025!S:S,MATCH($B181,Admissions_2024_2025!$B:$B,0)),"")</f>
        <v>110</v>
      </c>
      <c r="T181">
        <f>IFERROR(INDEX(Admissions_2024_2025!T:T,MATCH($B181,Admissions_2024_2025!$B:$B,0)),"")</f>
        <v>131</v>
      </c>
      <c r="U181">
        <f>IFERROR(INDEX(Admissions_2024_2025!U:U,MATCH($B181,Admissions_2024_2025!$B:$B,0)),"")</f>
        <v>119</v>
      </c>
      <c r="V181">
        <f>IFERROR(INDEX(Admissions_2024_2025!V:V,MATCH($B122,Admissions_2024_2025!$B:$B,0)),"")</f>
        <v>0</v>
      </c>
      <c r="W181" t="str">
        <f>IFERROR(INDEX(Admissions_2024_2025!W:W,MATCH($B181,Admissions_2024_2025!$B:$B,0)),"")</f>
        <v>2025 accepted list; CAT4 2022/2023 proxy domains</v>
      </c>
    </row>
    <row r="182" spans="1:23" x14ac:dyDescent="0.3">
      <c r="A182" t="s">
        <v>419</v>
      </c>
      <c r="B182" t="s">
        <v>435</v>
      </c>
      <c r="C182" t="s">
        <v>436</v>
      </c>
      <c r="D182" t="str">
        <f>IFERROR(INDEX(Admissions_2024_2025!D:D,MATCH($B182,Admissions_2024_2025!$B:$B,0)),"")</f>
        <v>Al Maha English School - Pri - Boys</v>
      </c>
      <c r="E182" t="str">
        <f>IFERROR(INDEX(Admissions_2024_2025!E:E,MATCH($B182,Admissions_2024_2025!$B:$B,0)),"")</f>
        <v>Int.</v>
      </c>
      <c r="F182">
        <f>IFERROR(INDEX(Admissions_2024_2025!F:F,MATCH($B182,Admissions_2024_2025!$B:$B,0)),"")</f>
        <v>0</v>
      </c>
      <c r="G182">
        <f>IFERROR(INDEX(Admissions_2024_2025!G:G,MATCH($B182,Admissions_2024_2025!$B:$B,0)),"")</f>
        <v>0</v>
      </c>
      <c r="H182">
        <f>IFERROR(INDEX(Admissions_2024_2025!H:H,MATCH($B182,Admissions_2024_2025!$B:$B,0)),"")</f>
        <v>0</v>
      </c>
      <c r="I182">
        <f>IFERROR(INDEX(Admissions_2024_2025!I:I,MATCH($B182,Admissions_2024_2025!$B:$B,0)),"")</f>
        <v>0</v>
      </c>
      <c r="J182">
        <f>IFERROR(INDEX(Admissions_2024_2025!J:J,MATCH($B182,Admissions_2024_2025!$B:$B,0)),"")</f>
        <v>165</v>
      </c>
      <c r="K182">
        <f t="shared" si="10"/>
        <v>66</v>
      </c>
      <c r="L182">
        <f>IFERROR(INDEX(Admissions_2024_2025!L:L,MATCH($B182,Admissions_2024_2025!$B:$B,0)),"")</f>
        <v>33</v>
      </c>
      <c r="M182">
        <f t="shared" si="11"/>
        <v>66</v>
      </c>
      <c r="N182">
        <f t="shared" si="12"/>
        <v>109</v>
      </c>
      <c r="O182">
        <f t="shared" si="13"/>
        <v>76.760563380281681</v>
      </c>
      <c r="P182">
        <f t="shared" si="14"/>
        <v>69.586854460093889</v>
      </c>
      <c r="Q182" t="str">
        <f>IFERROR(INDEX(Admissions_2024_2025!Q:Q,MATCH($B182,Admissions_2024_2025!$B:$B,0)),"")</f>
        <v>No bias</v>
      </c>
      <c r="R182">
        <f>IFERROR(INDEX(Admissions_2024_2025!R:R,MATCH($B182,Admissions_2024_2025!$B:$B,0)),"")</f>
        <v>100</v>
      </c>
      <c r="S182">
        <f>IFERROR(INDEX(Admissions_2024_2025!S:S,MATCH($B182,Admissions_2024_2025!$B:$B,0)),"")</f>
        <v>115</v>
      </c>
      <c r="T182">
        <f>IFERROR(INDEX(Admissions_2024_2025!T:T,MATCH($B182,Admissions_2024_2025!$B:$B,0)),"")</f>
        <v>111</v>
      </c>
      <c r="U182">
        <f>IFERROR(INDEX(Admissions_2024_2025!U:U,MATCH($B182,Admissions_2024_2025!$B:$B,0)),"")</f>
        <v>109</v>
      </c>
      <c r="V182">
        <f>IFERROR(INDEX(Admissions_2024_2025!V:V,MATCH($B123,Admissions_2024_2025!$B:$B,0)),"")</f>
        <v>0</v>
      </c>
      <c r="W182" t="str">
        <f>IFERROR(INDEX(Admissions_2024_2025!W:W,MATCH($B182,Admissions_2024_2025!$B:$B,0)),"")</f>
        <v>2025 accepted list; CAT4 2022/2023 proxy domains</v>
      </c>
    </row>
    <row r="183" spans="1:23" x14ac:dyDescent="0.3">
      <c r="A183" t="s">
        <v>419</v>
      </c>
      <c r="B183" t="s">
        <v>437</v>
      </c>
      <c r="C183" t="s">
        <v>438</v>
      </c>
      <c r="D183" t="str">
        <f>IFERROR(INDEX(Admissions_2024_2025!D:D,MATCH($B183,Admissions_2024_2025!$B:$B,0)),"")</f>
        <v>Al Jazeera Academy - KG Pri Prep Sec - Mixed</v>
      </c>
      <c r="E183" t="str">
        <f>IFERROR(INDEX(Admissions_2024_2025!E:E,MATCH($B183,Admissions_2024_2025!$B:$B,0)),"")</f>
        <v>Int.</v>
      </c>
      <c r="F183">
        <f>IFERROR(INDEX(Admissions_2024_2025!F:F,MATCH($B183,Admissions_2024_2025!$B:$B,0)),"")</f>
        <v>0</v>
      </c>
      <c r="G183">
        <f>IFERROR(INDEX(Admissions_2024_2025!G:G,MATCH($B183,Admissions_2024_2025!$B:$B,0)),"")</f>
        <v>0</v>
      </c>
      <c r="H183">
        <f>IFERROR(INDEX(Admissions_2024_2025!H:H,MATCH($B183,Admissions_2024_2025!$B:$B,0)),"")</f>
        <v>0</v>
      </c>
      <c r="I183">
        <f>IFERROR(INDEX(Admissions_2024_2025!I:I,MATCH($B183,Admissions_2024_2025!$B:$B,0)),"")</f>
        <v>0</v>
      </c>
      <c r="J183">
        <f>IFERROR(INDEX(Admissions_2024_2025!J:J,MATCH($B183,Admissions_2024_2025!$B:$B,0)),"")</f>
        <v>155</v>
      </c>
      <c r="K183">
        <f t="shared" si="10"/>
        <v>62</v>
      </c>
      <c r="L183">
        <f>IFERROR(INDEX(Admissions_2024_2025!L:L,MATCH($B183,Admissions_2024_2025!$B:$B,0)),"")</f>
        <v>23</v>
      </c>
      <c r="M183">
        <f t="shared" si="11"/>
        <v>46</v>
      </c>
      <c r="N183">
        <f t="shared" si="12"/>
        <v>102</v>
      </c>
      <c r="O183">
        <f t="shared" si="13"/>
        <v>71.83098591549296</v>
      </c>
      <c r="P183">
        <f t="shared" si="14"/>
        <v>59.943661971830984</v>
      </c>
      <c r="Q183" t="str">
        <f>IFERROR(INDEX(Admissions_2024_2025!Q:Q,MATCH($B183,Admissions_2024_2025!$B:$B,0)),"")</f>
        <v>No bias</v>
      </c>
      <c r="R183">
        <f>IFERROR(INDEX(Admissions_2024_2025!R:R,MATCH($B183,Admissions_2024_2025!$B:$B,0)),"")</f>
        <v>105</v>
      </c>
      <c r="S183">
        <f>IFERROR(INDEX(Admissions_2024_2025!S:S,MATCH($B183,Admissions_2024_2025!$B:$B,0)),"")</f>
        <v>97</v>
      </c>
      <c r="T183">
        <f>IFERROR(INDEX(Admissions_2024_2025!T:T,MATCH($B183,Admissions_2024_2025!$B:$B,0)),"")</f>
        <v>105</v>
      </c>
      <c r="U183">
        <f>IFERROR(INDEX(Admissions_2024_2025!U:U,MATCH($B183,Admissions_2024_2025!$B:$B,0)),"")</f>
        <v>99</v>
      </c>
      <c r="V183">
        <f>IFERROR(INDEX(Admissions_2024_2025!V:V,MATCH($B124,Admissions_2024_2025!$B:$B,0)),"")</f>
        <v>0</v>
      </c>
      <c r="W183" t="str">
        <f>IFERROR(INDEX(Admissions_2024_2025!W:W,MATCH($B183,Admissions_2024_2025!$B:$B,0)),"")</f>
        <v>2025 accepted list; CAT4 2022/2023 proxy domains</v>
      </c>
    </row>
    <row r="184" spans="1:23" x14ac:dyDescent="0.3">
      <c r="A184" t="s">
        <v>419</v>
      </c>
      <c r="B184" t="s">
        <v>439</v>
      </c>
      <c r="C184" t="s">
        <v>440</v>
      </c>
      <c r="D184">
        <f>IFERROR(INDEX(Admissions_2024_2025!D:D,MATCH($B184,Admissions_2024_2025!$B:$B,0)),"")</f>
        <v>0</v>
      </c>
      <c r="E184">
        <f>IFERROR(INDEX(Admissions_2024_2025!E:E,MATCH($B184,Admissions_2024_2025!$B:$B,0)),"")</f>
        <v>0</v>
      </c>
      <c r="F184">
        <f>IFERROR(INDEX(Admissions_2024_2025!F:F,MATCH($B184,Admissions_2024_2025!$B:$B,0)),"")</f>
        <v>0</v>
      </c>
      <c r="G184">
        <f>IFERROR(INDEX(Admissions_2024_2025!G:G,MATCH($B184,Admissions_2024_2025!$B:$B,0)),"")</f>
        <v>0</v>
      </c>
      <c r="H184">
        <f>IFERROR(INDEX(Admissions_2024_2025!H:H,MATCH($B184,Admissions_2024_2025!$B:$B,0)),"")</f>
        <v>0</v>
      </c>
      <c r="I184">
        <f>IFERROR(INDEX(Admissions_2024_2025!I:I,MATCH($B184,Admissions_2024_2025!$B:$B,0)),"")</f>
        <v>0</v>
      </c>
      <c r="J184">
        <f>IFERROR(INDEX(Admissions_2024_2025!J:J,MATCH($B184,Admissions_2024_2025!$B:$B,0)),"")</f>
        <v>0</v>
      </c>
      <c r="K184">
        <f t="shared" si="10"/>
        <v>0</v>
      </c>
      <c r="L184">
        <f>IFERROR(INDEX(Admissions_2024_2025!L:L,MATCH($B184,Admissions_2024_2025!$B:$B,0)),"")</f>
        <v>0</v>
      </c>
      <c r="M184">
        <f t="shared" si="11"/>
        <v>0</v>
      </c>
      <c r="N184">
        <f t="shared" si="12"/>
        <v>93</v>
      </c>
      <c r="O184">
        <f t="shared" si="13"/>
        <v>65.492957746478879</v>
      </c>
      <c r="P184">
        <f t="shared" si="14"/>
        <v>21.83098591549296</v>
      </c>
      <c r="Q184" t="str">
        <f>IFERROR(INDEX(Admissions_2024_2025!Q:Q,MATCH($B184,Admissions_2024_2025!$B:$B,0)),"")</f>
        <v>No bias</v>
      </c>
      <c r="R184">
        <f>IFERROR(INDEX(Admissions_2024_2025!R:R,MATCH($B184,Admissions_2024_2025!$B:$B,0)),"")</f>
        <v>87</v>
      </c>
      <c r="S184">
        <f>IFERROR(INDEX(Admissions_2024_2025!S:S,MATCH($B184,Admissions_2024_2025!$B:$B,0)),"")</f>
        <v>101</v>
      </c>
      <c r="T184">
        <f>IFERROR(INDEX(Admissions_2024_2025!T:T,MATCH($B184,Admissions_2024_2025!$B:$B,0)),"")</f>
        <v>102</v>
      </c>
      <c r="U184">
        <f>IFERROR(INDEX(Admissions_2024_2025!U:U,MATCH($B184,Admissions_2024_2025!$B:$B,0)),"")</f>
        <v>80</v>
      </c>
      <c r="V184">
        <f>IFERROR(INDEX(Admissions_2024_2025!V:V,MATCH($B125,Admissions_2024_2025!$B:$B,0)),"")</f>
        <v>0</v>
      </c>
      <c r="W184" t="str">
        <f>IFERROR(INDEX(Admissions_2024_2025!W:W,MATCH($B184,Admissions_2024_2025!$B:$B,0)),"")</f>
        <v>CAT4 2022/2023 proxy domains</v>
      </c>
    </row>
    <row r="185" spans="1:23" x14ac:dyDescent="0.3">
      <c r="A185" t="s">
        <v>419</v>
      </c>
      <c r="B185" t="s">
        <v>441</v>
      </c>
      <c r="C185" t="s">
        <v>442</v>
      </c>
      <c r="D185" t="str">
        <f>IFERROR(INDEX(Admissions_2024_2025!D:D,MATCH($B185,Admissions_2024_2025!$B:$B,0)),"")</f>
        <v>Umar ibn Al-Khattab Preparatory School for Boys</v>
      </c>
      <c r="E185" t="str">
        <f>IFERROR(INDEX(Admissions_2024_2025!E:E,MATCH($B185,Admissions_2024_2025!$B:$B,0)),"")</f>
        <v>MOE</v>
      </c>
      <c r="F185">
        <f>IFERROR(INDEX(Admissions_2024_2025!F:F,MATCH($B185,Admissions_2024_2025!$B:$B,0)),"")</f>
        <v>98</v>
      </c>
      <c r="G185">
        <f>IFERROR(INDEX(Admissions_2024_2025!G:G,MATCH($B185,Admissions_2024_2025!$B:$B,0)),"")</f>
        <v>98</v>
      </c>
      <c r="H185">
        <f>IFERROR(INDEX(Admissions_2024_2025!H:H,MATCH($B185,Admissions_2024_2025!$B:$B,0)),"")</f>
        <v>90</v>
      </c>
      <c r="I185">
        <f>IFERROR(INDEX(Admissions_2024_2025!I:I,MATCH($B185,Admissions_2024_2025!$B:$B,0)),"")</f>
        <v>0</v>
      </c>
      <c r="J185">
        <f>IFERROR(INDEX(Admissions_2024_2025!J:J,MATCH($B185,Admissions_2024_2025!$B:$B,0)),"")</f>
        <v>138</v>
      </c>
      <c r="K185">
        <f t="shared" si="10"/>
        <v>55.2</v>
      </c>
      <c r="L185">
        <f>IFERROR(INDEX(Admissions_2024_2025!L:L,MATCH($B185,Admissions_2024_2025!$B:$B,0)),"")</f>
        <v>23</v>
      </c>
      <c r="M185">
        <f t="shared" si="11"/>
        <v>46</v>
      </c>
      <c r="N185">
        <f t="shared" si="12"/>
        <v>101</v>
      </c>
      <c r="O185">
        <f t="shared" si="13"/>
        <v>71.126760563380287</v>
      </c>
      <c r="P185">
        <f t="shared" si="14"/>
        <v>57.442253521126759</v>
      </c>
      <c r="Q185" t="str">
        <f>IFERROR(INDEX(Admissions_2024_2025!Q:Q,MATCH($B185,Admissions_2024_2025!$B:$B,0)),"")</f>
        <v>Extreme spatial bias</v>
      </c>
      <c r="R185">
        <f>IFERROR(INDEX(Admissions_2024_2025!R:R,MATCH($B185,Admissions_2024_2025!$B:$B,0)),"")</f>
        <v>85</v>
      </c>
      <c r="S185">
        <f>IFERROR(INDEX(Admissions_2024_2025!S:S,MATCH($B185,Admissions_2024_2025!$B:$B,0)),"")</f>
        <v>96</v>
      </c>
      <c r="T185">
        <f>IFERROR(INDEX(Admissions_2024_2025!T:T,MATCH($B185,Admissions_2024_2025!$B:$B,0)),"")</f>
        <v>108</v>
      </c>
      <c r="U185">
        <f>IFERROR(INDEX(Admissions_2024_2025!U:U,MATCH($B185,Admissions_2024_2025!$B:$B,0)),"")</f>
        <v>116</v>
      </c>
      <c r="V185">
        <f>IFERROR(INDEX(Admissions_2024_2025!V:V,MATCH($B126,Admissions_2024_2025!$B:$B,0)),"")</f>
        <v>0</v>
      </c>
      <c r="W185" t="str">
        <f>IFERROR(INDEX(Admissions_2024_2025!W:W,MATCH($B185,Admissions_2024_2025!$B:$B,0)),"")</f>
        <v>2025 accepted list; CAT4 2022/2023 proxy domains</v>
      </c>
    </row>
    <row r="186" spans="1:23" x14ac:dyDescent="0.3">
      <c r="A186" t="s">
        <v>419</v>
      </c>
      <c r="B186" t="s">
        <v>443</v>
      </c>
      <c r="C186" t="s">
        <v>444</v>
      </c>
      <c r="D186" t="str">
        <f>IFERROR(INDEX(Admissions_2024_2025!D:D,MATCH($B186,Admissions_2024_2025!$B:$B,0)),"")</f>
        <v>Ali ibn Abi Talib Preparatory School for Boys</v>
      </c>
      <c r="E186" t="str">
        <f>IFERROR(INDEX(Admissions_2024_2025!E:E,MATCH($B186,Admissions_2024_2025!$B:$B,0)),"")</f>
        <v>MOE</v>
      </c>
      <c r="F186">
        <f>IFERROR(INDEX(Admissions_2024_2025!F:F,MATCH($B186,Admissions_2024_2025!$B:$B,0)),"")</f>
        <v>99</v>
      </c>
      <c r="G186">
        <f>IFERROR(INDEX(Admissions_2024_2025!G:G,MATCH($B186,Admissions_2024_2025!$B:$B,0)),"")</f>
        <v>95</v>
      </c>
      <c r="H186">
        <f>IFERROR(INDEX(Admissions_2024_2025!H:H,MATCH($B186,Admissions_2024_2025!$B:$B,0)),"")</f>
        <v>98</v>
      </c>
      <c r="I186">
        <f>IFERROR(INDEX(Admissions_2024_2025!I:I,MATCH($B186,Admissions_2024_2025!$B:$B,0)),"")</f>
        <v>0</v>
      </c>
      <c r="J186">
        <f>IFERROR(INDEX(Admissions_2024_2025!J:J,MATCH($B186,Admissions_2024_2025!$B:$B,0)),"")</f>
        <v>142</v>
      </c>
      <c r="K186">
        <f t="shared" si="10"/>
        <v>56.8</v>
      </c>
      <c r="L186">
        <f>IFERROR(INDEX(Admissions_2024_2025!L:L,MATCH($B186,Admissions_2024_2025!$B:$B,0)),"")</f>
        <v>23</v>
      </c>
      <c r="M186">
        <f t="shared" si="11"/>
        <v>46</v>
      </c>
      <c r="N186">
        <f t="shared" si="12"/>
        <v>93</v>
      </c>
      <c r="O186">
        <f t="shared" si="13"/>
        <v>65.492957746478879</v>
      </c>
      <c r="P186">
        <f t="shared" si="14"/>
        <v>56.097652582159618</v>
      </c>
      <c r="Q186" t="str">
        <f>IFERROR(INDEX(Admissions_2024_2025!Q:Q,MATCH($B186,Admissions_2024_2025!$B:$B,0)),"")</f>
        <v>Mild spatial bias</v>
      </c>
      <c r="R186">
        <f>IFERROR(INDEX(Admissions_2024_2025!R:R,MATCH($B186,Admissions_2024_2025!$B:$B,0)),"")</f>
        <v>75</v>
      </c>
      <c r="S186">
        <f>IFERROR(INDEX(Admissions_2024_2025!S:S,MATCH($B186,Admissions_2024_2025!$B:$B,0)),"")</f>
        <v>110</v>
      </c>
      <c r="T186">
        <f>IFERROR(INDEX(Admissions_2024_2025!T:T,MATCH($B186,Admissions_2024_2025!$B:$B,0)),"")</f>
        <v>91</v>
      </c>
      <c r="U186">
        <f>IFERROR(INDEX(Admissions_2024_2025!U:U,MATCH($B186,Admissions_2024_2025!$B:$B,0)),"")</f>
        <v>95</v>
      </c>
      <c r="V186">
        <f>IFERROR(INDEX(Admissions_2024_2025!V:V,MATCH($B127,Admissions_2024_2025!$B:$B,0)),"")</f>
        <v>0</v>
      </c>
      <c r="W186" t="str">
        <f>IFERROR(INDEX(Admissions_2024_2025!W:W,MATCH($B186,Admissions_2024_2025!$B:$B,0)),"")</f>
        <v>2025 accepted list; CAT4 2022/2023 proxy domains</v>
      </c>
    </row>
    <row r="187" spans="1:23" x14ac:dyDescent="0.3">
      <c r="A187" t="s">
        <v>419</v>
      </c>
      <c r="B187" t="s">
        <v>445</v>
      </c>
      <c r="C187" t="s">
        <v>446</v>
      </c>
      <c r="D187" t="str">
        <f>IFERROR(INDEX(Admissions_2024_2025!D:D,MATCH($B187,Admissions_2024_2025!$B:$B,0)),"")</f>
        <v>Vision International school</v>
      </c>
      <c r="E187" t="str">
        <f>IFERROR(INDEX(Admissions_2024_2025!E:E,MATCH($B187,Admissions_2024_2025!$B:$B,0)),"")</f>
        <v>Int.</v>
      </c>
      <c r="F187">
        <f>IFERROR(INDEX(Admissions_2024_2025!F:F,MATCH($B187,Admissions_2024_2025!$B:$B,0)),"")</f>
        <v>0</v>
      </c>
      <c r="G187">
        <f>IFERROR(INDEX(Admissions_2024_2025!G:G,MATCH($B187,Admissions_2024_2025!$B:$B,0)),"")</f>
        <v>0</v>
      </c>
      <c r="H187">
        <f>IFERROR(INDEX(Admissions_2024_2025!H:H,MATCH($B187,Admissions_2024_2025!$B:$B,0)),"")</f>
        <v>0</v>
      </c>
      <c r="I187">
        <f>IFERROR(INDEX(Admissions_2024_2025!I:I,MATCH($B187,Admissions_2024_2025!$B:$B,0)),"")</f>
        <v>0</v>
      </c>
      <c r="J187">
        <f>IFERROR(INDEX(Admissions_2024_2025!J:J,MATCH($B187,Admissions_2024_2025!$B:$B,0)),"")</f>
        <v>158</v>
      </c>
      <c r="K187">
        <f t="shared" si="10"/>
        <v>63.2</v>
      </c>
      <c r="L187">
        <f>IFERROR(INDEX(Admissions_2024_2025!L:L,MATCH($B187,Admissions_2024_2025!$B:$B,0)),"")</f>
        <v>25</v>
      </c>
      <c r="M187">
        <f t="shared" si="11"/>
        <v>50</v>
      </c>
      <c r="N187">
        <f t="shared" si="12"/>
        <v>99</v>
      </c>
      <c r="O187">
        <f t="shared" si="13"/>
        <v>69.718309859154928</v>
      </c>
      <c r="P187">
        <f t="shared" si="14"/>
        <v>60.972769953051646</v>
      </c>
      <c r="Q187" t="str">
        <f>IFERROR(INDEX(Admissions_2024_2025!Q:Q,MATCH($B187,Admissions_2024_2025!$B:$B,0)),"")</f>
        <v>Mild verbal bias</v>
      </c>
      <c r="R187">
        <f>IFERROR(INDEX(Admissions_2024_2025!R:R,MATCH($B187,Admissions_2024_2025!$B:$B,0)),"")</f>
        <v>97</v>
      </c>
      <c r="S187">
        <f>IFERROR(INDEX(Admissions_2024_2025!S:S,MATCH($B187,Admissions_2024_2025!$B:$B,0)),"")</f>
        <v>107</v>
      </c>
      <c r="T187">
        <f>IFERROR(INDEX(Admissions_2024_2025!T:T,MATCH($B187,Admissions_2024_2025!$B:$B,0)),"")</f>
        <v>105</v>
      </c>
      <c r="U187">
        <f>IFERROR(INDEX(Admissions_2024_2025!U:U,MATCH($B187,Admissions_2024_2025!$B:$B,0)),"")</f>
        <v>88</v>
      </c>
      <c r="V187">
        <f>IFERROR(INDEX(Admissions_2024_2025!V:V,MATCH($B128,Admissions_2024_2025!$B:$B,0)),"")</f>
        <v>0</v>
      </c>
      <c r="W187" t="str">
        <f>IFERROR(INDEX(Admissions_2024_2025!W:W,MATCH($B187,Admissions_2024_2025!$B:$B,0)),"")</f>
        <v>2025 accepted list; CAT4 2022/2023 proxy domains</v>
      </c>
    </row>
    <row r="188" spans="1:23" x14ac:dyDescent="0.3">
      <c r="A188" t="s">
        <v>419</v>
      </c>
      <c r="B188" t="s">
        <v>447</v>
      </c>
      <c r="C188" t="s">
        <v>448</v>
      </c>
      <c r="D188" t="str">
        <f>IFERROR(INDEX(Admissions_2024_2025!D:D,MATCH($B188,Admissions_2024_2025!$B:$B,0)),"")</f>
        <v>Al Maha English School - Pri - Boys</v>
      </c>
      <c r="E188" t="str">
        <f>IFERROR(INDEX(Admissions_2024_2025!E:E,MATCH($B188,Admissions_2024_2025!$B:$B,0)),"")</f>
        <v>Int.</v>
      </c>
      <c r="F188">
        <f>IFERROR(INDEX(Admissions_2024_2025!F:F,MATCH($B188,Admissions_2024_2025!$B:$B,0)),"")</f>
        <v>87</v>
      </c>
      <c r="G188">
        <f>IFERROR(INDEX(Admissions_2024_2025!G:G,MATCH($B188,Admissions_2024_2025!$B:$B,0)),"")</f>
        <v>94</v>
      </c>
      <c r="H188">
        <f>IFERROR(INDEX(Admissions_2024_2025!H:H,MATCH($B188,Admissions_2024_2025!$B:$B,0)),"")</f>
        <v>98</v>
      </c>
      <c r="I188">
        <f>IFERROR(INDEX(Admissions_2024_2025!I:I,MATCH($B188,Admissions_2024_2025!$B:$B,0)),"")</f>
        <v>0</v>
      </c>
      <c r="J188">
        <f>IFERROR(INDEX(Admissions_2024_2025!J:J,MATCH($B188,Admissions_2024_2025!$B:$B,0)),"")</f>
        <v>157</v>
      </c>
      <c r="K188">
        <f t="shared" si="10"/>
        <v>62.8</v>
      </c>
      <c r="L188">
        <f>IFERROR(INDEX(Admissions_2024_2025!L:L,MATCH($B188,Admissions_2024_2025!$B:$B,0)),"")</f>
        <v>28</v>
      </c>
      <c r="M188">
        <f t="shared" si="11"/>
        <v>56.000000000000007</v>
      </c>
      <c r="N188">
        <f t="shared" si="12"/>
        <v>112</v>
      </c>
      <c r="O188">
        <f t="shared" si="13"/>
        <v>78.873239436619713</v>
      </c>
      <c r="P188">
        <f t="shared" si="14"/>
        <v>65.89107981220657</v>
      </c>
      <c r="Q188" t="str">
        <f>IFERROR(INDEX(Admissions_2024_2025!Q:Q,MATCH($B188,Admissions_2024_2025!$B:$B,0)),"")</f>
        <v>Extreme spatial bias</v>
      </c>
      <c r="R188">
        <f>IFERROR(INDEX(Admissions_2024_2025!R:R,MATCH($B188,Admissions_2024_2025!$B:$B,0)),"")</f>
        <v>88</v>
      </c>
      <c r="S188">
        <f>IFERROR(INDEX(Admissions_2024_2025!S:S,MATCH($B188,Admissions_2024_2025!$B:$B,0)),"")</f>
        <v>123</v>
      </c>
      <c r="T188">
        <f>IFERROR(INDEX(Admissions_2024_2025!T:T,MATCH($B188,Admissions_2024_2025!$B:$B,0)),"")</f>
        <v>120</v>
      </c>
      <c r="U188">
        <f>IFERROR(INDEX(Admissions_2024_2025!U:U,MATCH($B188,Admissions_2024_2025!$B:$B,0)),"")</f>
        <v>118</v>
      </c>
      <c r="V188">
        <f>IFERROR(INDEX(Admissions_2024_2025!V:V,MATCH($B129,Admissions_2024_2025!$B:$B,0)),"")</f>
        <v>0</v>
      </c>
      <c r="W188" t="str">
        <f>IFERROR(INDEX(Admissions_2024_2025!W:W,MATCH($B188,Admissions_2024_2025!$B:$B,0)),"")</f>
        <v>2025 accepted list; CAT4 2022/2023 proxy domains</v>
      </c>
    </row>
    <row r="189" spans="1:23" x14ac:dyDescent="0.3">
      <c r="A189" t="s">
        <v>419</v>
      </c>
      <c r="B189" t="s">
        <v>449</v>
      </c>
      <c r="C189" t="s">
        <v>450</v>
      </c>
      <c r="D189">
        <f>IFERROR(INDEX(Admissions_2024_2025!D:D,MATCH($B189,Admissions_2024_2025!$B:$B,0)),"")</f>
        <v>0</v>
      </c>
      <c r="E189">
        <f>IFERROR(INDEX(Admissions_2024_2025!E:E,MATCH($B189,Admissions_2024_2025!$B:$B,0)),"")</f>
        <v>0</v>
      </c>
      <c r="F189">
        <f>IFERROR(INDEX(Admissions_2024_2025!F:F,MATCH($B189,Admissions_2024_2025!$B:$B,0)),"")</f>
        <v>0</v>
      </c>
      <c r="G189">
        <f>IFERROR(INDEX(Admissions_2024_2025!G:G,MATCH($B189,Admissions_2024_2025!$B:$B,0)),"")</f>
        <v>0</v>
      </c>
      <c r="H189">
        <f>IFERROR(INDEX(Admissions_2024_2025!H:H,MATCH($B189,Admissions_2024_2025!$B:$B,0)),"")</f>
        <v>0</v>
      </c>
      <c r="I189">
        <f>IFERROR(INDEX(Admissions_2024_2025!I:I,MATCH($B189,Admissions_2024_2025!$B:$B,0)),"")</f>
        <v>0</v>
      </c>
      <c r="J189">
        <f>IFERROR(INDEX(Admissions_2024_2025!J:J,MATCH($B189,Admissions_2024_2025!$B:$B,0)),"")</f>
        <v>0</v>
      </c>
      <c r="K189">
        <f t="shared" si="10"/>
        <v>0</v>
      </c>
      <c r="L189">
        <f>IFERROR(INDEX(Admissions_2024_2025!L:L,MATCH($B189,Admissions_2024_2025!$B:$B,0)),"")</f>
        <v>0</v>
      </c>
      <c r="M189">
        <f t="shared" si="11"/>
        <v>0</v>
      </c>
      <c r="N189">
        <f t="shared" si="12"/>
        <v>96</v>
      </c>
      <c r="O189">
        <f t="shared" si="13"/>
        <v>67.605633802816897</v>
      </c>
      <c r="P189">
        <f t="shared" si="14"/>
        <v>22.535211267605632</v>
      </c>
      <c r="Q189" t="str">
        <f>IFERROR(INDEX(Admissions_2024_2025!Q:Q,MATCH($B189,Admissions_2024_2025!$B:$B,0)),"")</f>
        <v>No bias</v>
      </c>
      <c r="R189">
        <f>IFERROR(INDEX(Admissions_2024_2025!R:R,MATCH($B189,Admissions_2024_2025!$B:$B,0)),"")</f>
        <v>85</v>
      </c>
      <c r="S189">
        <f>IFERROR(INDEX(Admissions_2024_2025!S:S,MATCH($B189,Admissions_2024_2025!$B:$B,0)),"")</f>
        <v>98</v>
      </c>
      <c r="T189">
        <f>IFERROR(INDEX(Admissions_2024_2025!T:T,MATCH($B189,Admissions_2024_2025!$B:$B,0)),"")</f>
        <v>105</v>
      </c>
      <c r="U189">
        <f>IFERROR(INDEX(Admissions_2024_2025!U:U,MATCH($B189,Admissions_2024_2025!$B:$B,0)),"")</f>
        <v>95</v>
      </c>
      <c r="V189">
        <f>IFERROR(INDEX(Admissions_2024_2025!V:V,MATCH($B130,Admissions_2024_2025!$B:$B,0)),"")</f>
        <v>0</v>
      </c>
      <c r="W189" t="str">
        <f>IFERROR(INDEX(Admissions_2024_2025!W:W,MATCH($B189,Admissions_2024_2025!$B:$B,0)),"")</f>
        <v>CAT4 2022/2023 proxy domains</v>
      </c>
    </row>
    <row r="190" spans="1:23" x14ac:dyDescent="0.3">
      <c r="A190" t="s">
        <v>419</v>
      </c>
      <c r="B190" t="s">
        <v>451</v>
      </c>
      <c r="C190" t="s">
        <v>452</v>
      </c>
      <c r="D190" t="str">
        <f>IFERROR(INDEX(Admissions_2024_2025!D:D,MATCH($B190,Admissions_2024_2025!$B:$B,0)),"")</f>
        <v>Newton International SchoolÂ  Mixed - Alqitifia</v>
      </c>
      <c r="E190" t="str">
        <f>IFERROR(INDEX(Admissions_2024_2025!E:E,MATCH($B190,Admissions_2024_2025!$B:$B,0)),"")</f>
        <v>Int.</v>
      </c>
      <c r="F190">
        <f>IFERROR(INDEX(Admissions_2024_2025!F:F,MATCH($B190,Admissions_2024_2025!$B:$B,0)),"")</f>
        <v>0</v>
      </c>
      <c r="G190">
        <f>IFERROR(INDEX(Admissions_2024_2025!G:G,MATCH($B190,Admissions_2024_2025!$B:$B,0)),"")</f>
        <v>0</v>
      </c>
      <c r="H190">
        <f>IFERROR(INDEX(Admissions_2024_2025!H:H,MATCH($B190,Admissions_2024_2025!$B:$B,0)),"")</f>
        <v>0</v>
      </c>
      <c r="I190">
        <f>IFERROR(INDEX(Admissions_2024_2025!I:I,MATCH($B190,Admissions_2024_2025!$B:$B,0)),"")</f>
        <v>0</v>
      </c>
      <c r="J190">
        <f>IFERROR(INDEX(Admissions_2024_2025!J:J,MATCH($B190,Admissions_2024_2025!$B:$B,0)),"")</f>
        <v>148</v>
      </c>
      <c r="K190">
        <f t="shared" si="10"/>
        <v>59.199999999999996</v>
      </c>
      <c r="L190">
        <f>IFERROR(INDEX(Admissions_2024_2025!L:L,MATCH($B190,Admissions_2024_2025!$B:$B,0)),"")</f>
        <v>19</v>
      </c>
      <c r="M190">
        <f t="shared" si="11"/>
        <v>38</v>
      </c>
      <c r="N190">
        <f t="shared" si="12"/>
        <v>93</v>
      </c>
      <c r="O190">
        <f t="shared" si="13"/>
        <v>65.492957746478879</v>
      </c>
      <c r="P190">
        <f t="shared" si="14"/>
        <v>54.230985915492958</v>
      </c>
      <c r="Q190" t="str">
        <f>IFERROR(INDEX(Admissions_2024_2025!Q:Q,MATCH($B190,Admissions_2024_2025!$B:$B,0)),"")</f>
        <v>Mild spatial bias</v>
      </c>
      <c r="R190">
        <f>IFERROR(INDEX(Admissions_2024_2025!R:R,MATCH($B190,Admissions_2024_2025!$B:$B,0)),"")</f>
        <v>86</v>
      </c>
      <c r="S190">
        <f>IFERROR(INDEX(Admissions_2024_2025!S:S,MATCH($B190,Admissions_2024_2025!$B:$B,0)),"")</f>
        <v>101</v>
      </c>
      <c r="T190">
        <f>IFERROR(INDEX(Admissions_2024_2025!T:T,MATCH($B190,Admissions_2024_2025!$B:$B,0)),"")</f>
        <v>87</v>
      </c>
      <c r="U190">
        <f>IFERROR(INDEX(Admissions_2024_2025!U:U,MATCH($B190,Admissions_2024_2025!$B:$B,0)),"")</f>
        <v>99</v>
      </c>
      <c r="V190">
        <f>IFERROR(INDEX(Admissions_2024_2025!V:V,MATCH($B131,Admissions_2024_2025!$B:$B,0)),"")</f>
        <v>0</v>
      </c>
      <c r="W190" t="str">
        <f>IFERROR(INDEX(Admissions_2024_2025!W:W,MATCH($B190,Admissions_2024_2025!$B:$B,0)),"")</f>
        <v>2025 accepted list; CAT4 2022/2023 proxy domains</v>
      </c>
    </row>
    <row r="191" spans="1:23" x14ac:dyDescent="0.3">
      <c r="A191" t="s">
        <v>419</v>
      </c>
      <c r="B191" t="s">
        <v>453</v>
      </c>
      <c r="C191" t="s">
        <v>454</v>
      </c>
      <c r="D191" t="str">
        <f>IFERROR(INDEX(Admissions_2024_2025!D:D,MATCH($B191,Admissions_2024_2025!$B:$B,0)),"")</f>
        <v>Qatar Academy Private-KG Pri Prep Sec-Mixed</v>
      </c>
      <c r="E191" t="str">
        <f>IFERROR(INDEX(Admissions_2024_2025!E:E,MATCH($B191,Admissions_2024_2025!$B:$B,0)),"")</f>
        <v>Int.</v>
      </c>
      <c r="F191">
        <f>IFERROR(INDEX(Admissions_2024_2025!F:F,MATCH($B191,Admissions_2024_2025!$B:$B,0)),"")</f>
        <v>0</v>
      </c>
      <c r="G191">
        <f>IFERROR(INDEX(Admissions_2024_2025!G:G,MATCH($B191,Admissions_2024_2025!$B:$B,0)),"")</f>
        <v>0</v>
      </c>
      <c r="H191">
        <f>IFERROR(INDEX(Admissions_2024_2025!H:H,MATCH($B191,Admissions_2024_2025!$B:$B,0)),"")</f>
        <v>0</v>
      </c>
      <c r="I191">
        <f>IFERROR(INDEX(Admissions_2024_2025!I:I,MATCH($B191,Admissions_2024_2025!$B:$B,0)),"")</f>
        <v>0</v>
      </c>
      <c r="J191">
        <f>IFERROR(INDEX(Admissions_2024_2025!J:J,MATCH($B191,Admissions_2024_2025!$B:$B,0)),"")</f>
        <v>173</v>
      </c>
      <c r="K191">
        <f t="shared" si="10"/>
        <v>69.199999999999989</v>
      </c>
      <c r="L191">
        <f>IFERROR(INDEX(Admissions_2024_2025!L:L,MATCH($B191,Admissions_2024_2025!$B:$B,0)),"")</f>
        <v>33</v>
      </c>
      <c r="M191">
        <f t="shared" si="11"/>
        <v>66</v>
      </c>
      <c r="N191">
        <f t="shared" si="12"/>
        <v>104</v>
      </c>
      <c r="O191">
        <f t="shared" si="13"/>
        <v>73.239436619718319</v>
      </c>
      <c r="P191">
        <f t="shared" si="14"/>
        <v>69.479812206572774</v>
      </c>
      <c r="Q191" t="str">
        <f>IFERROR(INDEX(Admissions_2024_2025!Q:Q,MATCH($B191,Admissions_2024_2025!$B:$B,0)),"")</f>
        <v>No bias</v>
      </c>
      <c r="R191">
        <f>IFERROR(INDEX(Admissions_2024_2025!R:R,MATCH($B191,Admissions_2024_2025!$B:$B,0)),"")</f>
        <v>90</v>
      </c>
      <c r="S191">
        <f>IFERROR(INDEX(Admissions_2024_2025!S:S,MATCH($B191,Admissions_2024_2025!$B:$B,0)),"")</f>
        <v>119</v>
      </c>
      <c r="T191">
        <f>IFERROR(INDEX(Admissions_2024_2025!T:T,MATCH($B191,Admissions_2024_2025!$B:$B,0)),"")</f>
        <v>105</v>
      </c>
      <c r="U191">
        <f>IFERROR(INDEX(Admissions_2024_2025!U:U,MATCH($B191,Admissions_2024_2025!$B:$B,0)),"")</f>
        <v>100</v>
      </c>
      <c r="V191">
        <f>IFERROR(INDEX(Admissions_2024_2025!V:V,MATCH($B132,Admissions_2024_2025!$B:$B,0)),"")</f>
        <v>0</v>
      </c>
      <c r="W191" t="str">
        <f>IFERROR(INDEX(Admissions_2024_2025!W:W,MATCH($B191,Admissions_2024_2025!$B:$B,0)),"")</f>
        <v>2025 accepted list; CAT4 2022/2023 proxy domains</v>
      </c>
    </row>
    <row r="192" spans="1:23" x14ac:dyDescent="0.3">
      <c r="A192" t="s">
        <v>419</v>
      </c>
      <c r="B192" t="s">
        <v>455</v>
      </c>
      <c r="C192" t="s">
        <v>456</v>
      </c>
      <c r="D192" t="str">
        <f>IFERROR(INDEX(Admissions_2024_2025!D:D,MATCH($B192,Admissions_2024_2025!$B:$B,0)),"")</f>
        <v>Al Maha English School - Pri - Boys</v>
      </c>
      <c r="E192" t="str">
        <f>IFERROR(INDEX(Admissions_2024_2025!E:E,MATCH($B192,Admissions_2024_2025!$B:$B,0)),"")</f>
        <v>Int.</v>
      </c>
      <c r="F192">
        <f>IFERROR(INDEX(Admissions_2024_2025!F:F,MATCH($B192,Admissions_2024_2025!$B:$B,0)),"")</f>
        <v>92</v>
      </c>
      <c r="G192">
        <f>IFERROR(INDEX(Admissions_2024_2025!G:G,MATCH($B192,Admissions_2024_2025!$B:$B,0)),"")</f>
        <v>96</v>
      </c>
      <c r="H192">
        <f>IFERROR(INDEX(Admissions_2024_2025!H:H,MATCH($B192,Admissions_2024_2025!$B:$B,0)),"")</f>
        <v>96</v>
      </c>
      <c r="I192">
        <f>IFERROR(INDEX(Admissions_2024_2025!I:I,MATCH($B192,Admissions_2024_2025!$B:$B,0)),"")</f>
        <v>0</v>
      </c>
      <c r="J192">
        <f>IFERROR(INDEX(Admissions_2024_2025!J:J,MATCH($B192,Admissions_2024_2025!$B:$B,0)),"")</f>
        <v>152</v>
      </c>
      <c r="K192">
        <f t="shared" si="10"/>
        <v>60.8</v>
      </c>
      <c r="L192">
        <f>IFERROR(INDEX(Admissions_2024_2025!L:L,MATCH($B192,Admissions_2024_2025!$B:$B,0)),"")</f>
        <v>26</v>
      </c>
      <c r="M192">
        <f t="shared" si="11"/>
        <v>52</v>
      </c>
      <c r="N192">
        <f t="shared" si="12"/>
        <v>100</v>
      </c>
      <c r="O192">
        <f t="shared" si="13"/>
        <v>70.422535211267601</v>
      </c>
      <c r="P192">
        <f t="shared" si="14"/>
        <v>61.074178403755866</v>
      </c>
      <c r="Q192" t="str">
        <f>IFERROR(INDEX(Admissions_2024_2025!Q:Q,MATCH($B192,Admissions_2024_2025!$B:$B,0)),"")</f>
        <v>Mild spatial bias</v>
      </c>
      <c r="R192">
        <f>IFERROR(INDEX(Admissions_2024_2025!R:R,MATCH($B192,Admissions_2024_2025!$B:$B,0)),"")</f>
        <v>93</v>
      </c>
      <c r="S192">
        <f>IFERROR(INDEX(Admissions_2024_2025!S:S,MATCH($B192,Admissions_2024_2025!$B:$B,0)),"")</f>
        <v>93</v>
      </c>
      <c r="T192">
        <f>IFERROR(INDEX(Admissions_2024_2025!T:T,MATCH($B192,Admissions_2024_2025!$B:$B,0)),"")</f>
        <v>105</v>
      </c>
      <c r="U192">
        <f>IFERROR(INDEX(Admissions_2024_2025!U:U,MATCH($B192,Admissions_2024_2025!$B:$B,0)),"")</f>
        <v>108</v>
      </c>
      <c r="V192">
        <f>IFERROR(INDEX(Admissions_2024_2025!V:V,MATCH($B133,Admissions_2024_2025!$B:$B,0)),"")</f>
        <v>0</v>
      </c>
      <c r="W192" t="str">
        <f>IFERROR(INDEX(Admissions_2024_2025!W:W,MATCH($B192,Admissions_2024_2025!$B:$B,0)),"")</f>
        <v>2025 accepted list; CAT4 2022/2023 proxy domains</v>
      </c>
    </row>
    <row r="193" spans="1:23" x14ac:dyDescent="0.3">
      <c r="A193" t="s">
        <v>419</v>
      </c>
      <c r="B193" t="s">
        <v>457</v>
      </c>
      <c r="C193" t="s">
        <v>458</v>
      </c>
      <c r="D193" t="str">
        <f>IFERROR(INDEX(Admissions_2024_2025!D:D,MATCH($B193,Admissions_2024_2025!$B:$B,0)),"")</f>
        <v>AlHayat Universal School - KG Pri - Mixed</v>
      </c>
      <c r="E193" t="str">
        <f>IFERROR(INDEX(Admissions_2024_2025!E:E,MATCH($B193,Admissions_2024_2025!$B:$B,0)),"")</f>
        <v>Int.</v>
      </c>
      <c r="F193">
        <f>IFERROR(INDEX(Admissions_2024_2025!F:F,MATCH($B193,Admissions_2024_2025!$B:$B,0)),"")</f>
        <v>63</v>
      </c>
      <c r="G193">
        <f>IFERROR(INDEX(Admissions_2024_2025!G:G,MATCH($B193,Admissions_2024_2025!$B:$B,0)),"")</f>
        <v>78</v>
      </c>
      <c r="H193">
        <f>IFERROR(INDEX(Admissions_2024_2025!H:H,MATCH($B193,Admissions_2024_2025!$B:$B,0)),"")</f>
        <v>79</v>
      </c>
      <c r="I193">
        <f>IFERROR(INDEX(Admissions_2024_2025!I:I,MATCH($B193,Admissions_2024_2025!$B:$B,0)),"")</f>
        <v>0</v>
      </c>
      <c r="J193">
        <f>IFERROR(INDEX(Admissions_2024_2025!J:J,MATCH($B193,Admissions_2024_2025!$B:$B,0)),"")</f>
        <v>125</v>
      </c>
      <c r="K193">
        <f t="shared" si="10"/>
        <v>50</v>
      </c>
      <c r="L193">
        <f>IFERROR(INDEX(Admissions_2024_2025!L:L,MATCH($B193,Admissions_2024_2025!$B:$B,0)),"")</f>
        <v>30</v>
      </c>
      <c r="M193">
        <f t="shared" si="11"/>
        <v>60</v>
      </c>
      <c r="N193">
        <f t="shared" si="12"/>
        <v>103</v>
      </c>
      <c r="O193">
        <f t="shared" si="13"/>
        <v>72.535211267605632</v>
      </c>
      <c r="P193">
        <f t="shared" si="14"/>
        <v>60.845070422535208</v>
      </c>
      <c r="Q193" t="str">
        <f>IFERROR(INDEX(Admissions_2024_2025!Q:Q,MATCH($B193,Admissions_2024_2025!$B:$B,0)),"")</f>
        <v>Extreme spatial bias</v>
      </c>
      <c r="R193">
        <f>IFERROR(INDEX(Admissions_2024_2025!R:R,MATCH($B193,Admissions_2024_2025!$B:$B,0)),"")</f>
        <v>81</v>
      </c>
      <c r="S193">
        <f>IFERROR(INDEX(Admissions_2024_2025!S:S,MATCH($B193,Admissions_2024_2025!$B:$B,0)),"")</f>
        <v>121</v>
      </c>
      <c r="T193">
        <f>IFERROR(INDEX(Admissions_2024_2025!T:T,MATCH($B193,Admissions_2024_2025!$B:$B,0)),"")</f>
        <v>99</v>
      </c>
      <c r="U193">
        <f>IFERROR(INDEX(Admissions_2024_2025!U:U,MATCH($B193,Admissions_2024_2025!$B:$B,0)),"")</f>
        <v>111</v>
      </c>
      <c r="V193">
        <f>IFERROR(INDEX(Admissions_2024_2025!V:V,MATCH($B134,Admissions_2024_2025!$B:$B,0)),"")</f>
        <v>0</v>
      </c>
      <c r="W193" t="str">
        <f>IFERROR(INDEX(Admissions_2024_2025!W:W,MATCH($B193,Admissions_2024_2025!$B:$B,0)),"")</f>
        <v>2025 accepted list; CAT4 2022/2023 proxy domains</v>
      </c>
    </row>
    <row r="194" spans="1:23" x14ac:dyDescent="0.3">
      <c r="A194" t="s">
        <v>419</v>
      </c>
      <c r="B194" t="s">
        <v>459</v>
      </c>
      <c r="C194" t="s">
        <v>460</v>
      </c>
      <c r="D194" t="str">
        <f>IFERROR(INDEX(Admissions_2024_2025!D:D,MATCH($B194,Admissions_2024_2025!$B:$B,0)),"")</f>
        <v>AlHammad International developed School-K Pi Pp Se</v>
      </c>
      <c r="E194" t="str">
        <f>IFERROR(INDEX(Admissions_2024_2025!E:E,MATCH($B194,Admissions_2024_2025!$B:$B,0)),"")</f>
        <v>Int.</v>
      </c>
      <c r="F194">
        <f>IFERROR(INDEX(Admissions_2024_2025!F:F,MATCH($B194,Admissions_2024_2025!$B:$B,0)),"")</f>
        <v>96.7</v>
      </c>
      <c r="G194">
        <f>IFERROR(INDEX(Admissions_2024_2025!G:G,MATCH($B194,Admissions_2024_2025!$B:$B,0)),"")</f>
        <v>86.7</v>
      </c>
      <c r="H194">
        <f>IFERROR(INDEX(Admissions_2024_2025!H:H,MATCH($B194,Admissions_2024_2025!$B:$B,0)),"")</f>
        <v>76.7</v>
      </c>
      <c r="I194">
        <f>IFERROR(INDEX(Admissions_2024_2025!I:I,MATCH($B194,Admissions_2024_2025!$B:$B,0)),"")</f>
        <v>0</v>
      </c>
      <c r="J194">
        <f>IFERROR(INDEX(Admissions_2024_2025!J:J,MATCH($B194,Admissions_2024_2025!$B:$B,0)),"")</f>
        <v>140</v>
      </c>
      <c r="K194">
        <f t="shared" ref="K194:K257" si="15">IF(J194="","",J194/250*100)</f>
        <v>56.000000000000007</v>
      </c>
      <c r="L194">
        <f>IFERROR(INDEX(Admissions_2024_2025!L:L,MATCH($B194,Admissions_2024_2025!$B:$B,0)),"")</f>
        <v>19</v>
      </c>
      <c r="M194">
        <f t="shared" ref="M194:M257" si="16">IF(L194="","",L194/50*100)</f>
        <v>38</v>
      </c>
      <c r="N194">
        <f t="shared" ref="N194:N232" si="17">IF(COUNT(R194:U194)=0,"",ROUND(AVERAGE(R194:U194),0))</f>
        <v>100</v>
      </c>
      <c r="O194">
        <f t="shared" ref="O194:O257" si="18">IF(N194="","",N194/142*100)</f>
        <v>70.422535211267601</v>
      </c>
      <c r="P194">
        <f t="shared" ref="P194:P257" si="19">IF(COUNT(K194,M194,O194)=0,"",AVERAGE(K194,M194,O194))</f>
        <v>54.807511737089193</v>
      </c>
      <c r="Q194" t="str">
        <f>IFERROR(INDEX(Admissions_2024_2025!Q:Q,MATCH($B194,Admissions_2024_2025!$B:$B,0)),"")</f>
        <v>Mild spatial bias</v>
      </c>
      <c r="R194">
        <f>IFERROR(INDEX(Admissions_2024_2025!R:R,MATCH($B194,Admissions_2024_2025!$B:$B,0)),"")</f>
        <v>88</v>
      </c>
      <c r="S194">
        <f>IFERROR(INDEX(Admissions_2024_2025!S:S,MATCH($B194,Admissions_2024_2025!$B:$B,0)),"")</f>
        <v>107</v>
      </c>
      <c r="T194">
        <f>IFERROR(INDEX(Admissions_2024_2025!T:T,MATCH($B194,Admissions_2024_2025!$B:$B,0)),"")</f>
        <v>105</v>
      </c>
      <c r="U194">
        <f>IFERROR(INDEX(Admissions_2024_2025!U:U,MATCH($B194,Admissions_2024_2025!$B:$B,0)),"")</f>
        <v>100</v>
      </c>
      <c r="V194">
        <f>IFERROR(INDEX(Admissions_2024_2025!V:V,MATCH($B135,Admissions_2024_2025!$B:$B,0)),"")</f>
        <v>0</v>
      </c>
      <c r="W194" t="str">
        <f>IFERROR(INDEX(Admissions_2024_2025!W:W,MATCH($B194,Admissions_2024_2025!$B:$B,0)),"")</f>
        <v>2025 accepted list; CAT4 2022/2023 proxy domains</v>
      </c>
    </row>
    <row r="195" spans="1:23" x14ac:dyDescent="0.3">
      <c r="A195" t="s">
        <v>419</v>
      </c>
      <c r="B195" t="s">
        <v>461</v>
      </c>
      <c r="C195" t="s">
        <v>462</v>
      </c>
      <c r="D195" t="str">
        <f>IFERROR(INDEX(Admissions_2024_2025!D:D,MATCH($B195,Admissions_2024_2025!$B:$B,0)),"")</f>
        <v>Qatar Academy Sidra</v>
      </c>
      <c r="E195" t="str">
        <f>IFERROR(INDEX(Admissions_2024_2025!E:E,MATCH($B195,Admissions_2024_2025!$B:$B,0)),"")</f>
        <v>Int.</v>
      </c>
      <c r="F195">
        <f>IFERROR(INDEX(Admissions_2024_2025!F:F,MATCH($B195,Admissions_2024_2025!$B:$B,0)),"")</f>
        <v>6</v>
      </c>
      <c r="G195">
        <f>IFERROR(INDEX(Admissions_2024_2025!G:G,MATCH($B195,Admissions_2024_2025!$B:$B,0)),"")</f>
        <v>6</v>
      </c>
      <c r="H195">
        <f>IFERROR(INDEX(Admissions_2024_2025!H:H,MATCH($B195,Admissions_2024_2025!$B:$B,0)),"")</f>
        <v>5</v>
      </c>
      <c r="I195">
        <f>IFERROR(INDEX(Admissions_2024_2025!I:I,MATCH($B195,Admissions_2024_2025!$B:$B,0)),"")</f>
        <v>0</v>
      </c>
      <c r="J195">
        <f>IFERROR(INDEX(Admissions_2024_2025!J:J,MATCH($B195,Admissions_2024_2025!$B:$B,0)),"")</f>
        <v>179</v>
      </c>
      <c r="K195">
        <f t="shared" si="15"/>
        <v>71.599999999999994</v>
      </c>
      <c r="L195">
        <f>IFERROR(INDEX(Admissions_2024_2025!L:L,MATCH($B195,Admissions_2024_2025!$B:$B,0)),"")</f>
        <v>21</v>
      </c>
      <c r="M195">
        <f t="shared" si="16"/>
        <v>42</v>
      </c>
      <c r="N195">
        <f t="shared" si="17"/>
        <v>105</v>
      </c>
      <c r="O195">
        <f t="shared" si="18"/>
        <v>73.943661971830991</v>
      </c>
      <c r="P195">
        <f t="shared" si="19"/>
        <v>62.514553990610331</v>
      </c>
      <c r="Q195" t="str">
        <f>IFERROR(INDEX(Admissions_2024_2025!Q:Q,MATCH($B195,Admissions_2024_2025!$B:$B,0)),"")</f>
        <v>Mild verbal bias</v>
      </c>
      <c r="R195">
        <f>IFERROR(INDEX(Admissions_2024_2025!R:R,MATCH($B195,Admissions_2024_2025!$B:$B,0)),"")</f>
        <v>110</v>
      </c>
      <c r="S195">
        <f>IFERROR(INDEX(Admissions_2024_2025!S:S,MATCH($B195,Admissions_2024_2025!$B:$B,0)),"")</f>
        <v>113</v>
      </c>
      <c r="T195">
        <f>IFERROR(INDEX(Admissions_2024_2025!T:T,MATCH($B195,Admissions_2024_2025!$B:$B,0)),"")</f>
        <v>105</v>
      </c>
      <c r="U195">
        <f>IFERROR(INDEX(Admissions_2024_2025!U:U,MATCH($B195,Admissions_2024_2025!$B:$B,0)),"")</f>
        <v>93</v>
      </c>
      <c r="V195">
        <f>IFERROR(INDEX(Admissions_2024_2025!V:V,MATCH($B136,Admissions_2024_2025!$B:$B,0)),"")</f>
        <v>0</v>
      </c>
      <c r="W195" t="str">
        <f>IFERROR(INDEX(Admissions_2024_2025!W:W,MATCH($B195,Admissions_2024_2025!$B:$B,0)),"")</f>
        <v>2025 accepted list; CAT4 2022/2023 proxy domains</v>
      </c>
    </row>
    <row r="196" spans="1:23" x14ac:dyDescent="0.3">
      <c r="A196" t="s">
        <v>419</v>
      </c>
      <c r="B196" t="s">
        <v>463</v>
      </c>
      <c r="C196" t="s">
        <v>464</v>
      </c>
      <c r="D196" t="str">
        <f>IFERROR(INDEX(Admissions_2024_2025!D:D,MATCH($B196,Admissions_2024_2025!$B:$B,0)),"")</f>
        <v>Al-Yarmouk Preparatory School for Boys</v>
      </c>
      <c r="E196" t="str">
        <f>IFERROR(INDEX(Admissions_2024_2025!E:E,MATCH($B196,Admissions_2024_2025!$B:$B,0)),"")</f>
        <v>MOE</v>
      </c>
      <c r="F196">
        <f>IFERROR(INDEX(Admissions_2024_2025!F:F,MATCH($B196,Admissions_2024_2025!$B:$B,0)),"")</f>
        <v>94</v>
      </c>
      <c r="G196">
        <f>IFERROR(INDEX(Admissions_2024_2025!G:G,MATCH($B196,Admissions_2024_2025!$B:$B,0)),"")</f>
        <v>95</v>
      </c>
      <c r="H196">
        <f>IFERROR(INDEX(Admissions_2024_2025!H:H,MATCH($B196,Admissions_2024_2025!$B:$B,0)),"")</f>
        <v>94</v>
      </c>
      <c r="I196">
        <f>IFERROR(INDEX(Admissions_2024_2025!I:I,MATCH($B196,Admissions_2024_2025!$B:$B,0)),"")</f>
        <v>0</v>
      </c>
      <c r="J196">
        <f>IFERROR(INDEX(Admissions_2024_2025!J:J,MATCH($B196,Admissions_2024_2025!$B:$B,0)),"")</f>
        <v>163</v>
      </c>
      <c r="K196">
        <f t="shared" si="15"/>
        <v>65.2</v>
      </c>
      <c r="L196">
        <f>IFERROR(INDEX(Admissions_2024_2025!L:L,MATCH($B196,Admissions_2024_2025!$B:$B,0)),"")</f>
        <v>30</v>
      </c>
      <c r="M196">
        <f t="shared" si="16"/>
        <v>60</v>
      </c>
      <c r="N196">
        <f t="shared" si="17"/>
        <v>110</v>
      </c>
      <c r="O196">
        <f t="shared" si="18"/>
        <v>77.464788732394368</v>
      </c>
      <c r="P196">
        <f t="shared" si="19"/>
        <v>67.55492957746479</v>
      </c>
      <c r="Q196" t="str">
        <f>IFERROR(INDEX(Admissions_2024_2025!Q:Q,MATCH($B196,Admissions_2024_2025!$B:$B,0)),"")</f>
        <v>Moderate spatial bias</v>
      </c>
      <c r="R196">
        <f>IFERROR(INDEX(Admissions_2024_2025!R:R,MATCH($B196,Admissions_2024_2025!$B:$B,0)),"")</f>
        <v>98</v>
      </c>
      <c r="S196">
        <f>IFERROR(INDEX(Admissions_2024_2025!S:S,MATCH($B196,Admissions_2024_2025!$B:$B,0)),"")</f>
        <v>106</v>
      </c>
      <c r="T196">
        <f>IFERROR(INDEX(Admissions_2024_2025!T:T,MATCH($B196,Admissions_2024_2025!$B:$B,0)),"")</f>
        <v>114</v>
      </c>
      <c r="U196">
        <f>IFERROR(INDEX(Admissions_2024_2025!U:U,MATCH($B196,Admissions_2024_2025!$B:$B,0)),"")</f>
        <v>120</v>
      </c>
      <c r="V196">
        <f>IFERROR(INDEX(Admissions_2024_2025!V:V,MATCH($B137,Admissions_2024_2025!$B:$B,0)),"")</f>
        <v>0</v>
      </c>
      <c r="W196" t="str">
        <f>IFERROR(INDEX(Admissions_2024_2025!W:W,MATCH($B196,Admissions_2024_2025!$B:$B,0)),"")</f>
        <v>2025 accepted list; CAT4 2022/2023 proxy domains</v>
      </c>
    </row>
    <row r="197" spans="1:23" x14ac:dyDescent="0.3">
      <c r="A197" t="s">
        <v>419</v>
      </c>
      <c r="B197" t="s">
        <v>465</v>
      </c>
      <c r="C197" t="s">
        <v>466</v>
      </c>
      <c r="D197">
        <f>IFERROR(INDEX(Admissions_2024_2025!D:D,MATCH($B197,Admissions_2024_2025!$B:$B,0)),"")</f>
        <v>0</v>
      </c>
      <c r="E197" t="str">
        <f>IFERROR(INDEX(Admissions_2024_2025!E:E,MATCH($B197,Admissions_2024_2025!$B:$B,0)),"")</f>
        <v>Int.</v>
      </c>
      <c r="F197">
        <f>IFERROR(INDEX(Admissions_2024_2025!F:F,MATCH($B197,Admissions_2024_2025!$B:$B,0)),"")</f>
        <v>0</v>
      </c>
      <c r="G197">
        <f>IFERROR(INDEX(Admissions_2024_2025!G:G,MATCH($B197,Admissions_2024_2025!$B:$B,0)),"")</f>
        <v>0</v>
      </c>
      <c r="H197">
        <f>IFERROR(INDEX(Admissions_2024_2025!H:H,MATCH($B197,Admissions_2024_2025!$B:$B,0)),"")</f>
        <v>0</v>
      </c>
      <c r="I197">
        <f>IFERROR(INDEX(Admissions_2024_2025!I:I,MATCH($B197,Admissions_2024_2025!$B:$B,0)),"")</f>
        <v>0</v>
      </c>
      <c r="J197">
        <f>IFERROR(INDEX(Admissions_2024_2025!J:J,MATCH($B197,Admissions_2024_2025!$B:$B,0)),"")</f>
        <v>168</v>
      </c>
      <c r="K197">
        <f t="shared" si="15"/>
        <v>67.2</v>
      </c>
      <c r="L197">
        <f>IFERROR(INDEX(Admissions_2024_2025!L:L,MATCH($B197,Admissions_2024_2025!$B:$B,0)),"")</f>
        <v>24</v>
      </c>
      <c r="M197">
        <f t="shared" si="16"/>
        <v>48</v>
      </c>
      <c r="N197">
        <f t="shared" si="17"/>
        <v>100</v>
      </c>
      <c r="O197">
        <f t="shared" si="18"/>
        <v>70.422535211267601</v>
      </c>
      <c r="P197">
        <f t="shared" si="19"/>
        <v>61.87417840375587</v>
      </c>
      <c r="Q197" t="str">
        <f>IFERROR(INDEX(Admissions_2024_2025!Q:Q,MATCH($B197,Admissions_2024_2025!$B:$B,0)),"")</f>
        <v>Moderate verbal bias</v>
      </c>
      <c r="R197">
        <f>IFERROR(INDEX(Admissions_2024_2025!R:R,MATCH($B197,Admissions_2024_2025!$B:$B,0)),"")</f>
        <v>109</v>
      </c>
      <c r="S197">
        <f>IFERROR(INDEX(Admissions_2024_2025!S:S,MATCH($B197,Admissions_2024_2025!$B:$B,0)),"")</f>
        <v>98</v>
      </c>
      <c r="T197">
        <f>IFERROR(INDEX(Admissions_2024_2025!T:T,MATCH($B197,Admissions_2024_2025!$B:$B,0)),"")</f>
        <v>105</v>
      </c>
      <c r="U197">
        <f>IFERROR(INDEX(Admissions_2024_2025!U:U,MATCH($B197,Admissions_2024_2025!$B:$B,0)),"")</f>
        <v>88</v>
      </c>
      <c r="V197">
        <f>IFERROR(INDEX(Admissions_2024_2025!V:V,MATCH($B138,Admissions_2024_2025!$B:$B,0)),"")</f>
        <v>0</v>
      </c>
      <c r="W197" t="str">
        <f>IFERROR(INDEX(Admissions_2024_2025!W:W,MATCH($B197,Admissions_2024_2025!$B:$B,0)),"")</f>
        <v>2025 accepted list; CAT4 2022/2023 proxy domains</v>
      </c>
    </row>
    <row r="198" spans="1:23" x14ac:dyDescent="0.3">
      <c r="A198" t="s">
        <v>419</v>
      </c>
      <c r="B198" t="s">
        <v>467</v>
      </c>
      <c r="C198" t="s">
        <v>468</v>
      </c>
      <c r="D198">
        <f>IFERROR(INDEX(Admissions_2024_2025!D:D,MATCH($B198,Admissions_2024_2025!$B:$B,0)),"")</f>
        <v>0</v>
      </c>
      <c r="E198">
        <f>IFERROR(INDEX(Admissions_2024_2025!E:E,MATCH($B198,Admissions_2024_2025!$B:$B,0)),"")</f>
        <v>0</v>
      </c>
      <c r="F198">
        <f>IFERROR(INDEX(Admissions_2024_2025!F:F,MATCH($B198,Admissions_2024_2025!$B:$B,0)),"")</f>
        <v>0</v>
      </c>
      <c r="G198">
        <f>IFERROR(INDEX(Admissions_2024_2025!G:G,MATCH($B198,Admissions_2024_2025!$B:$B,0)),"")</f>
        <v>0</v>
      </c>
      <c r="H198">
        <f>IFERROR(INDEX(Admissions_2024_2025!H:H,MATCH($B198,Admissions_2024_2025!$B:$B,0)),"")</f>
        <v>0</v>
      </c>
      <c r="I198">
        <f>IFERROR(INDEX(Admissions_2024_2025!I:I,MATCH($B198,Admissions_2024_2025!$B:$B,0)),"")</f>
        <v>0</v>
      </c>
      <c r="J198">
        <f>IFERROR(INDEX(Admissions_2024_2025!J:J,MATCH($B198,Admissions_2024_2025!$B:$B,0)),"")</f>
        <v>0</v>
      </c>
      <c r="K198">
        <f t="shared" si="15"/>
        <v>0</v>
      </c>
      <c r="L198">
        <f>IFERROR(INDEX(Admissions_2024_2025!L:L,MATCH($B198,Admissions_2024_2025!$B:$B,0)),"")</f>
        <v>0</v>
      </c>
      <c r="M198">
        <f t="shared" si="16"/>
        <v>0</v>
      </c>
      <c r="N198">
        <f t="shared" si="17"/>
        <v>101</v>
      </c>
      <c r="O198">
        <f t="shared" si="18"/>
        <v>71.126760563380287</v>
      </c>
      <c r="P198">
        <f t="shared" si="19"/>
        <v>23.708920187793428</v>
      </c>
      <c r="Q198" t="str">
        <f>IFERROR(INDEX(Admissions_2024_2025!Q:Q,MATCH($B198,Admissions_2024_2025!$B:$B,0)),"")</f>
        <v>Mild spatial bias</v>
      </c>
      <c r="R198">
        <f>IFERROR(INDEX(Admissions_2024_2025!R:R,MATCH($B198,Admissions_2024_2025!$B:$B,0)),"")</f>
        <v>85</v>
      </c>
      <c r="S198">
        <f>IFERROR(INDEX(Admissions_2024_2025!S:S,MATCH($B198,Admissions_2024_2025!$B:$B,0)),"")</f>
        <v>112</v>
      </c>
      <c r="T198">
        <f>IFERROR(INDEX(Admissions_2024_2025!T:T,MATCH($B198,Admissions_2024_2025!$B:$B,0)),"")</f>
        <v>110</v>
      </c>
      <c r="U198">
        <f>IFERROR(INDEX(Admissions_2024_2025!U:U,MATCH($B198,Admissions_2024_2025!$B:$B,0)),"")</f>
        <v>97</v>
      </c>
      <c r="V198">
        <f>IFERROR(INDEX(Admissions_2024_2025!V:V,MATCH($B139,Admissions_2024_2025!$B:$B,0)),"")</f>
        <v>0</v>
      </c>
      <c r="W198" t="str">
        <f>IFERROR(INDEX(Admissions_2024_2025!W:W,MATCH($B198,Admissions_2024_2025!$B:$B,0)),"")</f>
        <v>CAT4 2022/2023 proxy domains</v>
      </c>
    </row>
    <row r="199" spans="1:23" x14ac:dyDescent="0.3">
      <c r="A199" t="s">
        <v>419</v>
      </c>
      <c r="B199" t="s">
        <v>469</v>
      </c>
      <c r="C199" t="s">
        <v>470</v>
      </c>
      <c r="D199" t="str">
        <f>IFERROR(INDEX(Admissions_2024_2025!D:D,MATCH($B199,Admissions_2024_2025!$B:$B,0)),"")</f>
        <v>Al Khor International School - British Curriculum</v>
      </c>
      <c r="E199" t="str">
        <f>IFERROR(INDEX(Admissions_2024_2025!E:E,MATCH($B199,Admissions_2024_2025!$B:$B,0)),"")</f>
        <v>Int.</v>
      </c>
      <c r="F199">
        <f>IFERROR(INDEX(Admissions_2024_2025!F:F,MATCH($B199,Admissions_2024_2025!$B:$B,0)),"")</f>
        <v>75</v>
      </c>
      <c r="G199">
        <f>IFERROR(INDEX(Admissions_2024_2025!G:G,MATCH($B199,Admissions_2024_2025!$B:$B,0)),"")</f>
        <v>75</v>
      </c>
      <c r="H199">
        <f>IFERROR(INDEX(Admissions_2024_2025!H:H,MATCH($B199,Admissions_2024_2025!$B:$B,0)),"")</f>
        <v>65</v>
      </c>
      <c r="I199">
        <f>IFERROR(INDEX(Admissions_2024_2025!I:I,MATCH($B199,Admissions_2024_2025!$B:$B,0)),"")</f>
        <v>0</v>
      </c>
      <c r="J199">
        <f>IFERROR(INDEX(Admissions_2024_2025!J:J,MATCH($B199,Admissions_2024_2025!$B:$B,0)),"")</f>
        <v>143</v>
      </c>
      <c r="K199">
        <f t="shared" si="15"/>
        <v>57.199999999999996</v>
      </c>
      <c r="L199">
        <f>IFERROR(INDEX(Admissions_2024_2025!L:L,MATCH($B199,Admissions_2024_2025!$B:$B,0)),"")</f>
        <v>21</v>
      </c>
      <c r="M199">
        <f t="shared" si="16"/>
        <v>42</v>
      </c>
      <c r="N199">
        <f t="shared" si="17"/>
        <v>101</v>
      </c>
      <c r="O199">
        <f t="shared" si="18"/>
        <v>71.126760563380287</v>
      </c>
      <c r="P199">
        <f t="shared" si="19"/>
        <v>56.775586854460094</v>
      </c>
      <c r="Q199" t="str">
        <f>IFERROR(INDEX(Admissions_2024_2025!Q:Q,MATCH($B199,Admissions_2024_2025!$B:$B,0)),"")</f>
        <v>Extreme spatial bias</v>
      </c>
      <c r="R199">
        <f>IFERROR(INDEX(Admissions_2024_2025!R:R,MATCH($B199,Admissions_2024_2025!$B:$B,0)),"")</f>
        <v>88</v>
      </c>
      <c r="S199">
        <f>IFERROR(INDEX(Admissions_2024_2025!S:S,MATCH($B199,Admissions_2024_2025!$B:$B,0)),"")</f>
        <v>100</v>
      </c>
      <c r="T199">
        <f>IFERROR(INDEX(Admissions_2024_2025!T:T,MATCH($B199,Admissions_2024_2025!$B:$B,0)),"")</f>
        <v>101</v>
      </c>
      <c r="U199">
        <f>IFERROR(INDEX(Admissions_2024_2025!U:U,MATCH($B199,Admissions_2024_2025!$B:$B,0)),"")</f>
        <v>116</v>
      </c>
      <c r="V199">
        <f>IFERROR(INDEX(Admissions_2024_2025!V:V,MATCH($B140,Admissions_2024_2025!$B:$B,0)),"")</f>
        <v>0</v>
      </c>
      <c r="W199" t="str">
        <f>IFERROR(INDEX(Admissions_2024_2025!W:W,MATCH($B199,Admissions_2024_2025!$B:$B,0)),"")</f>
        <v>2025 accepted list; CAT4 2022/2023 proxy domains</v>
      </c>
    </row>
    <row r="200" spans="1:23" x14ac:dyDescent="0.3">
      <c r="A200" t="s">
        <v>419</v>
      </c>
      <c r="B200" t="s">
        <v>471</v>
      </c>
      <c r="C200" t="s">
        <v>472</v>
      </c>
      <c r="D200">
        <f>IFERROR(INDEX(Admissions_2024_2025!D:D,MATCH($B200,Admissions_2024_2025!$B:$B,0)),"")</f>
        <v>0</v>
      </c>
      <c r="E200" t="str">
        <f>IFERROR(INDEX(Admissions_2024_2025!E:E,MATCH($B200,Admissions_2024_2025!$B:$B,0)),"")</f>
        <v>Int.</v>
      </c>
      <c r="F200">
        <f>IFERROR(INDEX(Admissions_2024_2025!F:F,MATCH($B200,Admissions_2024_2025!$B:$B,0)),"")</f>
        <v>0</v>
      </c>
      <c r="G200">
        <f>IFERROR(INDEX(Admissions_2024_2025!G:G,MATCH($B200,Admissions_2024_2025!$B:$B,0)),"")</f>
        <v>0</v>
      </c>
      <c r="H200">
        <f>IFERROR(INDEX(Admissions_2024_2025!H:H,MATCH($B200,Admissions_2024_2025!$B:$B,0)),"")</f>
        <v>0</v>
      </c>
      <c r="I200">
        <f>IFERROR(INDEX(Admissions_2024_2025!I:I,MATCH($B200,Admissions_2024_2025!$B:$B,0)),"")</f>
        <v>0</v>
      </c>
      <c r="J200">
        <f>IFERROR(INDEX(Admissions_2024_2025!J:J,MATCH($B200,Admissions_2024_2025!$B:$B,0)),"")</f>
        <v>159</v>
      </c>
      <c r="K200">
        <f t="shared" si="15"/>
        <v>63.6</v>
      </c>
      <c r="L200">
        <f>IFERROR(INDEX(Admissions_2024_2025!L:L,MATCH($B200,Admissions_2024_2025!$B:$B,0)),"")</f>
        <v>25</v>
      </c>
      <c r="M200">
        <f t="shared" si="16"/>
        <v>50</v>
      </c>
      <c r="N200">
        <f t="shared" si="17"/>
        <v>100</v>
      </c>
      <c r="O200">
        <f t="shared" si="18"/>
        <v>70.422535211267601</v>
      </c>
      <c r="P200">
        <f t="shared" si="19"/>
        <v>61.340845070422539</v>
      </c>
      <c r="Q200" t="str">
        <f>IFERROR(INDEX(Admissions_2024_2025!Q:Q,MATCH($B200,Admissions_2024_2025!$B:$B,0)),"")</f>
        <v>Mild spatial bias</v>
      </c>
      <c r="R200">
        <f>IFERROR(INDEX(Admissions_2024_2025!R:R,MATCH($B200,Admissions_2024_2025!$B:$B,0)),"")</f>
        <v>86</v>
      </c>
      <c r="S200">
        <f>IFERROR(INDEX(Admissions_2024_2025!S:S,MATCH($B200,Admissions_2024_2025!$B:$B,0)),"")</f>
        <v>116</v>
      </c>
      <c r="T200">
        <f>IFERROR(INDEX(Admissions_2024_2025!T:T,MATCH($B200,Admissions_2024_2025!$B:$B,0)),"")</f>
        <v>99</v>
      </c>
      <c r="U200">
        <f>IFERROR(INDEX(Admissions_2024_2025!U:U,MATCH($B200,Admissions_2024_2025!$B:$B,0)),"")</f>
        <v>100</v>
      </c>
      <c r="V200">
        <f>IFERROR(INDEX(Admissions_2024_2025!V:V,MATCH($B141,Admissions_2024_2025!$B:$B,0)),"")</f>
        <v>0</v>
      </c>
      <c r="W200" t="str">
        <f>IFERROR(INDEX(Admissions_2024_2025!W:W,MATCH($B200,Admissions_2024_2025!$B:$B,0)),"")</f>
        <v>2025 accepted list; CAT4 2022/2023 proxy domains</v>
      </c>
    </row>
    <row r="201" spans="1:23" x14ac:dyDescent="0.3">
      <c r="A201" t="s">
        <v>419</v>
      </c>
      <c r="B201" t="s">
        <v>473</v>
      </c>
      <c r="C201" t="s">
        <v>474</v>
      </c>
      <c r="D201" t="str">
        <f>IFERROR(INDEX(Admissions_2024_2025!D:D,MATCH($B201,Admissions_2024_2025!$B:$B,0)),"")</f>
        <v>Al Maha English School - Pri - Boys</v>
      </c>
      <c r="E201" t="str">
        <f>IFERROR(INDEX(Admissions_2024_2025!E:E,MATCH($B201,Admissions_2024_2025!$B:$B,0)),"")</f>
        <v>Int.</v>
      </c>
      <c r="F201">
        <f>IFERROR(INDEX(Admissions_2024_2025!F:F,MATCH($B201,Admissions_2024_2025!$B:$B,0)),"")</f>
        <v>87</v>
      </c>
      <c r="G201">
        <f>IFERROR(INDEX(Admissions_2024_2025!G:G,MATCH($B201,Admissions_2024_2025!$B:$B,0)),"")</f>
        <v>80</v>
      </c>
      <c r="H201">
        <f>IFERROR(INDEX(Admissions_2024_2025!H:H,MATCH($B201,Admissions_2024_2025!$B:$B,0)),"")</f>
        <v>91</v>
      </c>
      <c r="I201">
        <f>IFERROR(INDEX(Admissions_2024_2025!I:I,MATCH($B201,Admissions_2024_2025!$B:$B,0)),"")</f>
        <v>0</v>
      </c>
      <c r="J201">
        <f>IFERROR(INDEX(Admissions_2024_2025!J:J,MATCH($B201,Admissions_2024_2025!$B:$B,0)),"")</f>
        <v>149</v>
      </c>
      <c r="K201">
        <f t="shared" si="15"/>
        <v>59.599999999999994</v>
      </c>
      <c r="L201">
        <f>IFERROR(INDEX(Admissions_2024_2025!L:L,MATCH($B201,Admissions_2024_2025!$B:$B,0)),"")</f>
        <v>27</v>
      </c>
      <c r="M201">
        <f t="shared" si="16"/>
        <v>54</v>
      </c>
      <c r="N201">
        <f t="shared" si="17"/>
        <v>99</v>
      </c>
      <c r="O201">
        <f t="shared" si="18"/>
        <v>69.718309859154928</v>
      </c>
      <c r="P201">
        <f t="shared" si="19"/>
        <v>61.106103286384972</v>
      </c>
      <c r="Q201" t="str">
        <f>IFERROR(INDEX(Admissions_2024_2025!Q:Q,MATCH($B201,Admissions_2024_2025!$B:$B,0)),"")</f>
        <v>No bias</v>
      </c>
      <c r="R201">
        <f>IFERROR(INDEX(Admissions_2024_2025!R:R,MATCH($B201,Admissions_2024_2025!$B:$B,0)),"")</f>
        <v>91</v>
      </c>
      <c r="S201">
        <f>IFERROR(INDEX(Admissions_2024_2025!S:S,MATCH($B201,Admissions_2024_2025!$B:$B,0)),"")</f>
        <v>105</v>
      </c>
      <c r="T201">
        <f>IFERROR(INDEX(Admissions_2024_2025!T:T,MATCH($B201,Admissions_2024_2025!$B:$B,0)),"")</f>
        <v>102</v>
      </c>
      <c r="U201">
        <f>IFERROR(INDEX(Admissions_2024_2025!U:U,MATCH($B201,Admissions_2024_2025!$B:$B,0)),"")</f>
        <v>99</v>
      </c>
      <c r="V201">
        <f>IFERROR(INDEX(Admissions_2024_2025!V:V,MATCH($B142,Admissions_2024_2025!$B:$B,0)),"")</f>
        <v>0</v>
      </c>
      <c r="W201" t="str">
        <f>IFERROR(INDEX(Admissions_2024_2025!W:W,MATCH($B201,Admissions_2024_2025!$B:$B,0)),"")</f>
        <v>2025 accepted list; CAT4 2022/2023 proxy domains</v>
      </c>
    </row>
    <row r="202" spans="1:23" x14ac:dyDescent="0.3">
      <c r="A202" t="s">
        <v>419</v>
      </c>
      <c r="B202" t="s">
        <v>475</v>
      </c>
      <c r="C202" t="s">
        <v>476</v>
      </c>
      <c r="D202" t="str">
        <f>IFERROR(INDEX(Admissions_2024_2025!D:D,MATCH($B202,Admissions_2024_2025!$B:$B,0)),"")</f>
        <v>Abu Ubaydah Preparatory School for Boys</v>
      </c>
      <c r="E202" t="str">
        <f>IFERROR(INDEX(Admissions_2024_2025!E:E,MATCH($B202,Admissions_2024_2025!$B:$B,0)),"")</f>
        <v>MOE</v>
      </c>
      <c r="F202">
        <f>IFERROR(INDEX(Admissions_2024_2025!F:F,MATCH($B202,Admissions_2024_2025!$B:$B,0)),"")</f>
        <v>92</v>
      </c>
      <c r="G202">
        <f>IFERROR(INDEX(Admissions_2024_2025!G:G,MATCH($B202,Admissions_2024_2025!$B:$B,0)),"")</f>
        <v>96</v>
      </c>
      <c r="H202">
        <f>IFERROR(INDEX(Admissions_2024_2025!H:H,MATCH($B202,Admissions_2024_2025!$B:$B,0)),"")</f>
        <v>95</v>
      </c>
      <c r="I202">
        <f>IFERROR(INDEX(Admissions_2024_2025!I:I,MATCH($B202,Admissions_2024_2025!$B:$B,0)),"")</f>
        <v>0</v>
      </c>
      <c r="J202">
        <f>IFERROR(INDEX(Admissions_2024_2025!J:J,MATCH($B202,Admissions_2024_2025!$B:$B,0)),"")</f>
        <v>140</v>
      </c>
      <c r="K202">
        <f t="shared" si="15"/>
        <v>56.000000000000007</v>
      </c>
      <c r="L202">
        <f>IFERROR(INDEX(Admissions_2024_2025!L:L,MATCH($B202,Admissions_2024_2025!$B:$B,0)),"")</f>
        <v>30</v>
      </c>
      <c r="M202">
        <f t="shared" si="16"/>
        <v>60</v>
      </c>
      <c r="N202">
        <f t="shared" si="17"/>
        <v>97</v>
      </c>
      <c r="O202">
        <f t="shared" si="18"/>
        <v>68.309859154929569</v>
      </c>
      <c r="P202">
        <f t="shared" si="19"/>
        <v>61.436619718309856</v>
      </c>
      <c r="Q202" t="str">
        <f>IFERROR(INDEX(Admissions_2024_2025!Q:Q,MATCH($B202,Admissions_2024_2025!$B:$B,0)),"")</f>
        <v>Extreme spatial bias</v>
      </c>
      <c r="R202">
        <f>IFERROR(INDEX(Admissions_2024_2025!R:R,MATCH($B202,Admissions_2024_2025!$B:$B,0)),"")</f>
        <v>79</v>
      </c>
      <c r="S202">
        <f>IFERROR(INDEX(Admissions_2024_2025!S:S,MATCH($B202,Admissions_2024_2025!$B:$B,0)),"")</f>
        <v>102</v>
      </c>
      <c r="T202">
        <f>IFERROR(INDEX(Admissions_2024_2025!T:T,MATCH($B202,Admissions_2024_2025!$B:$B,0)),"")</f>
        <v>101</v>
      </c>
      <c r="U202">
        <f>IFERROR(INDEX(Admissions_2024_2025!U:U,MATCH($B202,Admissions_2024_2025!$B:$B,0)),"")</f>
        <v>106</v>
      </c>
      <c r="V202">
        <f>IFERROR(INDEX(Admissions_2024_2025!V:V,MATCH($B143,Admissions_2024_2025!$B:$B,0)),"")</f>
        <v>0</v>
      </c>
      <c r="W202" t="str">
        <f>IFERROR(INDEX(Admissions_2024_2025!W:W,MATCH($B202,Admissions_2024_2025!$B:$B,0)),"")</f>
        <v>2025 accepted list; CAT4 2022/2023 proxy domains</v>
      </c>
    </row>
    <row r="203" spans="1:23" x14ac:dyDescent="0.3">
      <c r="A203" t="s">
        <v>419</v>
      </c>
      <c r="B203" t="s">
        <v>477</v>
      </c>
      <c r="C203" t="s">
        <v>478</v>
      </c>
      <c r="D203">
        <f>IFERROR(INDEX(Admissions_2024_2025!D:D,MATCH($B203,Admissions_2024_2025!$B:$B,0)),"")</f>
        <v>0</v>
      </c>
      <c r="E203">
        <f>IFERROR(INDEX(Admissions_2024_2025!E:E,MATCH($B203,Admissions_2024_2025!$B:$B,0)),"")</f>
        <v>0</v>
      </c>
      <c r="F203">
        <f>IFERROR(INDEX(Admissions_2024_2025!F:F,MATCH($B203,Admissions_2024_2025!$B:$B,0)),"")</f>
        <v>0</v>
      </c>
      <c r="G203">
        <f>IFERROR(INDEX(Admissions_2024_2025!G:G,MATCH($B203,Admissions_2024_2025!$B:$B,0)),"")</f>
        <v>0</v>
      </c>
      <c r="H203">
        <f>IFERROR(INDEX(Admissions_2024_2025!H:H,MATCH($B203,Admissions_2024_2025!$B:$B,0)),"")</f>
        <v>0</v>
      </c>
      <c r="I203">
        <f>IFERROR(INDEX(Admissions_2024_2025!I:I,MATCH($B203,Admissions_2024_2025!$B:$B,0)),"")</f>
        <v>0</v>
      </c>
      <c r="J203">
        <f>IFERROR(INDEX(Admissions_2024_2025!J:J,MATCH($B203,Admissions_2024_2025!$B:$B,0)),"")</f>
        <v>0</v>
      </c>
      <c r="K203">
        <f t="shared" si="15"/>
        <v>0</v>
      </c>
      <c r="L203">
        <f>IFERROR(INDEX(Admissions_2024_2025!L:L,MATCH($B203,Admissions_2024_2025!$B:$B,0)),"")</f>
        <v>0</v>
      </c>
      <c r="M203">
        <f t="shared" si="16"/>
        <v>0</v>
      </c>
      <c r="N203">
        <f t="shared" si="17"/>
        <v>95</v>
      </c>
      <c r="O203">
        <f t="shared" si="18"/>
        <v>66.901408450704224</v>
      </c>
      <c r="P203">
        <f t="shared" si="19"/>
        <v>22.300469483568076</v>
      </c>
      <c r="Q203" t="str">
        <f>IFERROR(INDEX(Admissions_2024_2025!Q:Q,MATCH($B203,Admissions_2024_2025!$B:$B,0)),"")</f>
        <v>Moderate spatial bias</v>
      </c>
      <c r="R203">
        <f>IFERROR(INDEX(Admissions_2024_2025!R:R,MATCH($B203,Admissions_2024_2025!$B:$B,0)),"")</f>
        <v>77</v>
      </c>
      <c r="S203">
        <f>IFERROR(INDEX(Admissions_2024_2025!S:S,MATCH($B203,Admissions_2024_2025!$B:$B,0)),"")</f>
        <v>98</v>
      </c>
      <c r="T203">
        <f>IFERROR(INDEX(Admissions_2024_2025!T:T,MATCH($B203,Admissions_2024_2025!$B:$B,0)),"")</f>
        <v>107</v>
      </c>
      <c r="U203">
        <f>IFERROR(INDEX(Admissions_2024_2025!U:U,MATCH($B203,Admissions_2024_2025!$B:$B,0)),"")</f>
        <v>97</v>
      </c>
      <c r="V203">
        <f>IFERROR(INDEX(Admissions_2024_2025!V:V,MATCH($B144,Admissions_2024_2025!$B:$B,0)),"")</f>
        <v>0</v>
      </c>
      <c r="W203" t="str">
        <f>IFERROR(INDEX(Admissions_2024_2025!W:W,MATCH($B203,Admissions_2024_2025!$B:$B,0)),"")</f>
        <v>CAT4 2022/2023 proxy domains</v>
      </c>
    </row>
    <row r="204" spans="1:23" x14ac:dyDescent="0.3">
      <c r="A204" t="s">
        <v>419</v>
      </c>
      <c r="B204" t="s">
        <v>479</v>
      </c>
      <c r="C204" t="s">
        <v>480</v>
      </c>
      <c r="D204" t="str">
        <f>IFERROR(INDEX(Admissions_2024_2025!D:D,MATCH($B204,Admissions_2024_2025!$B:$B,0)),"")</f>
        <v>Khalid Bin Ahmad Preparatory School for Boys</v>
      </c>
      <c r="E204" t="str">
        <f>IFERROR(INDEX(Admissions_2024_2025!E:E,MATCH($B204,Admissions_2024_2025!$B:$B,0)),"")</f>
        <v>MOE</v>
      </c>
      <c r="F204">
        <f>IFERROR(INDEX(Admissions_2024_2025!F:F,MATCH($B204,Admissions_2024_2025!$B:$B,0)),"")</f>
        <v>85</v>
      </c>
      <c r="G204">
        <f>IFERROR(INDEX(Admissions_2024_2025!G:G,MATCH($B204,Admissions_2024_2025!$B:$B,0)),"")</f>
        <v>98</v>
      </c>
      <c r="H204">
        <f>IFERROR(INDEX(Admissions_2024_2025!H:H,MATCH($B204,Admissions_2024_2025!$B:$B,0)),"")</f>
        <v>84</v>
      </c>
      <c r="I204">
        <f>IFERROR(INDEX(Admissions_2024_2025!I:I,MATCH($B204,Admissions_2024_2025!$B:$B,0)),"")</f>
        <v>0</v>
      </c>
      <c r="J204">
        <f>IFERROR(INDEX(Admissions_2024_2025!J:J,MATCH($B204,Admissions_2024_2025!$B:$B,0)),"")</f>
        <v>146</v>
      </c>
      <c r="K204">
        <f t="shared" si="15"/>
        <v>58.4</v>
      </c>
      <c r="L204">
        <f>IFERROR(INDEX(Admissions_2024_2025!L:L,MATCH($B204,Admissions_2024_2025!$B:$B,0)),"")</f>
        <v>19</v>
      </c>
      <c r="M204">
        <f t="shared" si="16"/>
        <v>38</v>
      </c>
      <c r="N204">
        <f t="shared" si="17"/>
        <v>92</v>
      </c>
      <c r="O204">
        <f t="shared" si="18"/>
        <v>64.788732394366207</v>
      </c>
      <c r="P204">
        <f t="shared" si="19"/>
        <v>53.72957746478874</v>
      </c>
      <c r="Q204" t="str">
        <f>IFERROR(INDEX(Admissions_2024_2025!Q:Q,MATCH($B204,Admissions_2024_2025!$B:$B,0)),"")</f>
        <v>No bias</v>
      </c>
      <c r="R204">
        <f>IFERROR(INDEX(Admissions_2024_2025!R:R,MATCH($B204,Admissions_2024_2025!$B:$B,0)),"")</f>
        <v>81</v>
      </c>
      <c r="S204">
        <f>IFERROR(INDEX(Admissions_2024_2025!S:S,MATCH($B204,Admissions_2024_2025!$B:$B,0)),"")</f>
        <v>95</v>
      </c>
      <c r="T204">
        <f>IFERROR(INDEX(Admissions_2024_2025!T:T,MATCH($B204,Admissions_2024_2025!$B:$B,0)),"")</f>
        <v>109</v>
      </c>
      <c r="U204">
        <f>IFERROR(INDEX(Admissions_2024_2025!U:U,MATCH($B204,Admissions_2024_2025!$B:$B,0)),"")</f>
        <v>84</v>
      </c>
      <c r="V204">
        <f>IFERROR(INDEX(Admissions_2024_2025!V:V,MATCH($B145,Admissions_2024_2025!$B:$B,0)),"")</f>
        <v>0</v>
      </c>
      <c r="W204" t="str">
        <f>IFERROR(INDEX(Admissions_2024_2025!W:W,MATCH($B204,Admissions_2024_2025!$B:$B,0)),"")</f>
        <v>2025 accepted list; CAT4 2022/2023 proxy domains</v>
      </c>
    </row>
    <row r="205" spans="1:23" x14ac:dyDescent="0.3">
      <c r="A205" t="s">
        <v>419</v>
      </c>
      <c r="B205" t="s">
        <v>481</v>
      </c>
      <c r="C205" t="s">
        <v>482</v>
      </c>
      <c r="D205" t="str">
        <f>IFERROR(INDEX(Admissions_2024_2025!D:D,MATCH($B205,Admissions_2024_2025!$B:$B,0)),"")</f>
        <v>Qatar Academy Al-Wakra</v>
      </c>
      <c r="E205" t="str">
        <f>IFERROR(INDEX(Admissions_2024_2025!E:E,MATCH($B205,Admissions_2024_2025!$B:$B,0)),"")</f>
        <v>Int.</v>
      </c>
      <c r="F205">
        <f>IFERROR(INDEX(Admissions_2024_2025!F:F,MATCH($B205,Admissions_2024_2025!$B:$B,0)),"")</f>
        <v>6</v>
      </c>
      <c r="G205">
        <f>IFERROR(INDEX(Admissions_2024_2025!G:G,MATCH($B205,Admissions_2024_2025!$B:$B,0)),"")</f>
        <v>5</v>
      </c>
      <c r="H205">
        <f>IFERROR(INDEX(Admissions_2024_2025!H:H,MATCH($B205,Admissions_2024_2025!$B:$B,0)),"")</f>
        <v>7</v>
      </c>
      <c r="I205">
        <f>IFERROR(INDEX(Admissions_2024_2025!I:I,MATCH($B205,Admissions_2024_2025!$B:$B,0)),"")</f>
        <v>0</v>
      </c>
      <c r="J205">
        <f>IFERROR(INDEX(Admissions_2024_2025!J:J,MATCH($B205,Admissions_2024_2025!$B:$B,0)),"")</f>
        <v>173</v>
      </c>
      <c r="K205">
        <f t="shared" si="15"/>
        <v>69.199999999999989</v>
      </c>
      <c r="L205">
        <f>IFERROR(INDEX(Admissions_2024_2025!L:L,MATCH($B205,Admissions_2024_2025!$B:$B,0)),"")</f>
        <v>36</v>
      </c>
      <c r="M205">
        <f t="shared" si="16"/>
        <v>72</v>
      </c>
      <c r="N205">
        <f t="shared" si="17"/>
        <v>117</v>
      </c>
      <c r="O205">
        <f t="shared" si="18"/>
        <v>82.394366197183103</v>
      </c>
      <c r="P205">
        <f t="shared" si="19"/>
        <v>74.531455399061031</v>
      </c>
      <c r="Q205" t="str">
        <f>IFERROR(INDEX(Admissions_2024_2025!Q:Q,MATCH($B205,Admissions_2024_2025!$B:$B,0)),"")</f>
        <v>Moderate spatial bias</v>
      </c>
      <c r="R205">
        <f>IFERROR(INDEX(Admissions_2024_2025!R:R,MATCH($B205,Admissions_2024_2025!$B:$B,0)),"")</f>
        <v>106</v>
      </c>
      <c r="S205">
        <f>IFERROR(INDEX(Admissions_2024_2025!S:S,MATCH($B205,Admissions_2024_2025!$B:$B,0)),"")</f>
        <v>114</v>
      </c>
      <c r="T205">
        <f>IFERROR(INDEX(Admissions_2024_2025!T:T,MATCH($B205,Admissions_2024_2025!$B:$B,0)),"")</f>
        <v>120</v>
      </c>
      <c r="U205">
        <f>IFERROR(INDEX(Admissions_2024_2025!U:U,MATCH($B205,Admissions_2024_2025!$B:$B,0)),"")</f>
        <v>128</v>
      </c>
      <c r="V205">
        <f>IFERROR(INDEX(Admissions_2024_2025!V:V,MATCH($B146,Admissions_2024_2025!$B:$B,0)),"")</f>
        <v>0</v>
      </c>
      <c r="W205" t="str">
        <f>IFERROR(INDEX(Admissions_2024_2025!W:W,MATCH($B205,Admissions_2024_2025!$B:$B,0)),"")</f>
        <v>2025 accepted list; CAT4 2022/2023 proxy domains</v>
      </c>
    </row>
    <row r="206" spans="1:23" x14ac:dyDescent="0.3">
      <c r="A206" t="s">
        <v>419</v>
      </c>
      <c r="B206" t="s">
        <v>483</v>
      </c>
      <c r="C206" t="s">
        <v>484</v>
      </c>
      <c r="D206" t="str">
        <f>IFERROR(INDEX(Admissions_2024_2025!D:D,MATCH($B206,Admissions_2024_2025!$B:$B,0)),"")</f>
        <v>Newton International SchoolÂ  Mixed - Alqitifia</v>
      </c>
      <c r="E206" t="str">
        <f>IFERROR(INDEX(Admissions_2024_2025!E:E,MATCH($B206,Admissions_2024_2025!$B:$B,0)),"")</f>
        <v>Int.</v>
      </c>
      <c r="F206">
        <f>IFERROR(INDEX(Admissions_2024_2025!F:F,MATCH($B206,Admissions_2024_2025!$B:$B,0)),"")</f>
        <v>0</v>
      </c>
      <c r="G206">
        <f>IFERROR(INDEX(Admissions_2024_2025!G:G,MATCH($B206,Admissions_2024_2025!$B:$B,0)),"")</f>
        <v>0</v>
      </c>
      <c r="H206">
        <f>IFERROR(INDEX(Admissions_2024_2025!H:H,MATCH($B206,Admissions_2024_2025!$B:$B,0)),"")</f>
        <v>0</v>
      </c>
      <c r="I206">
        <f>IFERROR(INDEX(Admissions_2024_2025!I:I,MATCH($B206,Admissions_2024_2025!$B:$B,0)),"")</f>
        <v>0</v>
      </c>
      <c r="J206">
        <f>IFERROR(INDEX(Admissions_2024_2025!J:J,MATCH($B206,Admissions_2024_2025!$B:$B,0)),"")</f>
        <v>154</v>
      </c>
      <c r="K206">
        <f t="shared" si="15"/>
        <v>61.6</v>
      </c>
      <c r="L206">
        <f>IFERROR(INDEX(Admissions_2024_2025!L:L,MATCH($B206,Admissions_2024_2025!$B:$B,0)),"")</f>
        <v>12</v>
      </c>
      <c r="M206">
        <f t="shared" si="16"/>
        <v>24</v>
      </c>
      <c r="N206">
        <f t="shared" si="17"/>
        <v>86</v>
      </c>
      <c r="O206">
        <f t="shared" si="18"/>
        <v>60.563380281690137</v>
      </c>
      <c r="P206">
        <f t="shared" si="19"/>
        <v>48.721126760563379</v>
      </c>
      <c r="Q206" t="str">
        <f>IFERROR(INDEX(Admissions_2024_2025!Q:Q,MATCH($B206,Admissions_2024_2025!$B:$B,0)),"")</f>
        <v>Mild verbal bias</v>
      </c>
      <c r="R206">
        <f>IFERROR(INDEX(Admissions_2024_2025!R:R,MATCH($B206,Admissions_2024_2025!$B:$B,0)),"")</f>
        <v>92</v>
      </c>
      <c r="S206">
        <f>IFERROR(INDEX(Admissions_2024_2025!S:S,MATCH($B206,Admissions_2024_2025!$B:$B,0)),"")</f>
        <v>88</v>
      </c>
      <c r="T206">
        <f>IFERROR(INDEX(Admissions_2024_2025!T:T,MATCH($B206,Admissions_2024_2025!$B:$B,0)),"")</f>
        <v>85</v>
      </c>
      <c r="U206">
        <f>IFERROR(INDEX(Admissions_2024_2025!U:U,MATCH($B206,Admissions_2024_2025!$B:$B,0)),"")</f>
        <v>77</v>
      </c>
      <c r="V206">
        <f>IFERROR(INDEX(Admissions_2024_2025!V:V,MATCH($B147,Admissions_2024_2025!$B:$B,0)),"")</f>
        <v>0</v>
      </c>
      <c r="W206" t="str">
        <f>IFERROR(INDEX(Admissions_2024_2025!W:W,MATCH($B206,Admissions_2024_2025!$B:$B,0)),"")</f>
        <v>2025 accepted list; CAT4 2022/2023 proxy domains</v>
      </c>
    </row>
    <row r="207" spans="1:23" x14ac:dyDescent="0.3">
      <c r="A207" t="s">
        <v>419</v>
      </c>
      <c r="B207" t="s">
        <v>485</v>
      </c>
      <c r="C207" t="s">
        <v>486</v>
      </c>
      <c r="D207" t="str">
        <f>IFERROR(INDEX(Admissions_2024_2025!D:D,MATCH($B207,Admissions_2024_2025!$B:$B,0)),"")</f>
        <v>Ibn Khaldun Preparatory School for Boys</v>
      </c>
      <c r="E207" t="str">
        <f>IFERROR(INDEX(Admissions_2024_2025!E:E,MATCH($B207,Admissions_2024_2025!$B:$B,0)),"")</f>
        <v>MOE</v>
      </c>
      <c r="F207">
        <f>IFERROR(INDEX(Admissions_2024_2025!F:F,MATCH($B207,Admissions_2024_2025!$B:$B,0)),"")</f>
        <v>98</v>
      </c>
      <c r="G207">
        <f>IFERROR(INDEX(Admissions_2024_2025!G:G,MATCH($B207,Admissions_2024_2025!$B:$B,0)),"")</f>
        <v>100</v>
      </c>
      <c r="H207">
        <f>IFERROR(INDEX(Admissions_2024_2025!H:H,MATCH($B207,Admissions_2024_2025!$B:$B,0)),"")</f>
        <v>94</v>
      </c>
      <c r="I207">
        <f>IFERROR(INDEX(Admissions_2024_2025!I:I,MATCH($B207,Admissions_2024_2025!$B:$B,0)),"")</f>
        <v>0</v>
      </c>
      <c r="J207">
        <f>IFERROR(INDEX(Admissions_2024_2025!J:J,MATCH($B207,Admissions_2024_2025!$B:$B,0)),"")</f>
        <v>148</v>
      </c>
      <c r="K207">
        <f t="shared" si="15"/>
        <v>59.199999999999996</v>
      </c>
      <c r="L207">
        <f>IFERROR(INDEX(Admissions_2024_2025!L:L,MATCH($B207,Admissions_2024_2025!$B:$B,0)),"")</f>
        <v>19</v>
      </c>
      <c r="M207">
        <f t="shared" si="16"/>
        <v>38</v>
      </c>
      <c r="N207">
        <f t="shared" si="17"/>
        <v>97</v>
      </c>
      <c r="O207">
        <f t="shared" si="18"/>
        <v>68.309859154929569</v>
      </c>
      <c r="P207">
        <f t="shared" si="19"/>
        <v>55.169953051643184</v>
      </c>
      <c r="Q207" t="str">
        <f>IFERROR(INDEX(Admissions_2024_2025!Q:Q,MATCH($B207,Admissions_2024_2025!$B:$B,0)),"")</f>
        <v>Mild spatial bias</v>
      </c>
      <c r="R207">
        <f>IFERROR(INDEX(Admissions_2024_2025!R:R,MATCH($B207,Admissions_2024_2025!$B:$B,0)),"")</f>
        <v>85</v>
      </c>
      <c r="S207">
        <f>IFERROR(INDEX(Admissions_2024_2025!S:S,MATCH($B207,Admissions_2024_2025!$B:$B,0)),"")</f>
        <v>102</v>
      </c>
      <c r="T207">
        <f>IFERROR(INDEX(Admissions_2024_2025!T:T,MATCH($B207,Admissions_2024_2025!$B:$B,0)),"")</f>
        <v>103</v>
      </c>
      <c r="U207">
        <f>IFERROR(INDEX(Admissions_2024_2025!U:U,MATCH($B207,Admissions_2024_2025!$B:$B,0)),"")</f>
        <v>97</v>
      </c>
      <c r="V207">
        <f>IFERROR(INDEX(Admissions_2024_2025!V:V,MATCH($B148,Admissions_2024_2025!$B:$B,0)),"")</f>
        <v>0</v>
      </c>
      <c r="W207" t="str">
        <f>IFERROR(INDEX(Admissions_2024_2025!W:W,MATCH($B207,Admissions_2024_2025!$B:$B,0)),"")</f>
        <v>2025 accepted list; CAT4 2022/2023 proxy domains</v>
      </c>
    </row>
    <row r="208" spans="1:23" x14ac:dyDescent="0.3">
      <c r="A208" t="s">
        <v>419</v>
      </c>
      <c r="B208" t="s">
        <v>487</v>
      </c>
      <c r="C208" t="s">
        <v>488</v>
      </c>
      <c r="D208">
        <f>IFERROR(INDEX(Admissions_2024_2025!D:D,MATCH($B208,Admissions_2024_2025!$B:$B,0)),"")</f>
        <v>0</v>
      </c>
      <c r="E208">
        <f>IFERROR(INDEX(Admissions_2024_2025!E:E,MATCH($B208,Admissions_2024_2025!$B:$B,0)),"")</f>
        <v>0</v>
      </c>
      <c r="F208">
        <f>IFERROR(INDEX(Admissions_2024_2025!F:F,MATCH($B208,Admissions_2024_2025!$B:$B,0)),"")</f>
        <v>0</v>
      </c>
      <c r="G208">
        <f>IFERROR(INDEX(Admissions_2024_2025!G:G,MATCH($B208,Admissions_2024_2025!$B:$B,0)),"")</f>
        <v>0</v>
      </c>
      <c r="H208">
        <f>IFERROR(INDEX(Admissions_2024_2025!H:H,MATCH($B208,Admissions_2024_2025!$B:$B,0)),"")</f>
        <v>0</v>
      </c>
      <c r="I208">
        <f>IFERROR(INDEX(Admissions_2024_2025!I:I,MATCH($B208,Admissions_2024_2025!$B:$B,0)),"")</f>
        <v>0</v>
      </c>
      <c r="J208">
        <f>IFERROR(INDEX(Admissions_2024_2025!J:J,MATCH($B208,Admissions_2024_2025!$B:$B,0)),"")</f>
        <v>0</v>
      </c>
      <c r="K208">
        <f t="shared" si="15"/>
        <v>0</v>
      </c>
      <c r="L208">
        <f>IFERROR(INDEX(Admissions_2024_2025!L:L,MATCH($B208,Admissions_2024_2025!$B:$B,0)),"")</f>
        <v>0</v>
      </c>
      <c r="M208">
        <f t="shared" si="16"/>
        <v>0</v>
      </c>
      <c r="N208">
        <f t="shared" si="17"/>
        <v>90</v>
      </c>
      <c r="O208">
        <f t="shared" si="18"/>
        <v>63.380281690140848</v>
      </c>
      <c r="P208">
        <f t="shared" si="19"/>
        <v>21.126760563380284</v>
      </c>
      <c r="Q208" t="str">
        <f>IFERROR(INDEX(Admissions_2024_2025!Q:Q,MATCH($B208,Admissions_2024_2025!$B:$B,0)),"")</f>
        <v>No bias</v>
      </c>
      <c r="R208">
        <f>IFERROR(INDEX(Admissions_2024_2025!R:R,MATCH($B208,Admissions_2024_2025!$B:$B,0)),"")</f>
        <v>76</v>
      </c>
      <c r="S208">
        <f>IFERROR(INDEX(Admissions_2024_2025!S:S,MATCH($B208,Admissions_2024_2025!$B:$B,0)),"")</f>
        <v>106</v>
      </c>
      <c r="T208">
        <f>IFERROR(INDEX(Admissions_2024_2025!T:T,MATCH($B208,Admissions_2024_2025!$B:$B,0)),"")</f>
        <v>94</v>
      </c>
      <c r="U208">
        <f>IFERROR(INDEX(Admissions_2024_2025!U:U,MATCH($B208,Admissions_2024_2025!$B:$B,0)),"")</f>
        <v>84</v>
      </c>
      <c r="V208">
        <f>IFERROR(INDEX(Admissions_2024_2025!V:V,MATCH($B149,Admissions_2024_2025!$B:$B,0)),"")</f>
        <v>0</v>
      </c>
      <c r="W208" t="str">
        <f>IFERROR(INDEX(Admissions_2024_2025!W:W,MATCH($B208,Admissions_2024_2025!$B:$B,0)),"")</f>
        <v>CAT4 2022/2023 proxy domains</v>
      </c>
    </row>
    <row r="209" spans="1:23" x14ac:dyDescent="0.3">
      <c r="A209" t="s">
        <v>419</v>
      </c>
      <c r="B209" t="s">
        <v>489</v>
      </c>
      <c r="C209" t="s">
        <v>490</v>
      </c>
      <c r="D209" t="str">
        <f>IFERROR(INDEX(Admissions_2024_2025!D:D,MATCH($B209,Admissions_2024_2025!$B:$B,0)),"")</f>
        <v>Umar ibn Al-Khattab Preparatory School for Boys</v>
      </c>
      <c r="E209" t="str">
        <f>IFERROR(INDEX(Admissions_2024_2025!E:E,MATCH($B209,Admissions_2024_2025!$B:$B,0)),"")</f>
        <v>MOE</v>
      </c>
      <c r="F209">
        <f>IFERROR(INDEX(Admissions_2024_2025!F:F,MATCH($B209,Admissions_2024_2025!$B:$B,0)),"")</f>
        <v>88</v>
      </c>
      <c r="G209">
        <f>IFERROR(INDEX(Admissions_2024_2025!G:G,MATCH($B209,Admissions_2024_2025!$B:$B,0)),"")</f>
        <v>89</v>
      </c>
      <c r="H209">
        <f>IFERROR(INDEX(Admissions_2024_2025!H:H,MATCH($B209,Admissions_2024_2025!$B:$B,0)),"")</f>
        <v>91</v>
      </c>
      <c r="I209">
        <f>IFERROR(INDEX(Admissions_2024_2025!I:I,MATCH($B209,Admissions_2024_2025!$B:$B,0)),"")</f>
        <v>0</v>
      </c>
      <c r="J209">
        <f>IFERROR(INDEX(Admissions_2024_2025!J:J,MATCH($B209,Admissions_2024_2025!$B:$B,0)),"")</f>
        <v>136</v>
      </c>
      <c r="K209">
        <f t="shared" si="15"/>
        <v>54.400000000000006</v>
      </c>
      <c r="L209">
        <f>IFERROR(INDEX(Admissions_2024_2025!L:L,MATCH($B209,Admissions_2024_2025!$B:$B,0)),"")</f>
        <v>24</v>
      </c>
      <c r="M209">
        <f t="shared" si="16"/>
        <v>48</v>
      </c>
      <c r="N209">
        <f t="shared" si="17"/>
        <v>99</v>
      </c>
      <c r="O209">
        <f t="shared" si="18"/>
        <v>69.718309859154928</v>
      </c>
      <c r="P209">
        <f t="shared" si="19"/>
        <v>57.372769953051638</v>
      </c>
      <c r="Q209" t="str">
        <f>IFERROR(INDEX(Admissions_2024_2025!Q:Q,MATCH($B209,Admissions_2024_2025!$B:$B,0)),"")</f>
        <v>No bias</v>
      </c>
      <c r="R209">
        <f>IFERROR(INDEX(Admissions_2024_2025!R:R,MATCH($B209,Admissions_2024_2025!$B:$B,0)),"")</f>
        <v>89</v>
      </c>
      <c r="S209">
        <f>IFERROR(INDEX(Admissions_2024_2025!S:S,MATCH($B209,Admissions_2024_2025!$B:$B,0)),"")</f>
        <v>101</v>
      </c>
      <c r="T209">
        <f>IFERROR(INDEX(Admissions_2024_2025!T:T,MATCH($B209,Admissions_2024_2025!$B:$B,0)),"")</f>
        <v>105</v>
      </c>
      <c r="U209">
        <f>IFERROR(INDEX(Admissions_2024_2025!U:U,MATCH($B209,Admissions_2024_2025!$B:$B,0)),"")</f>
        <v>101</v>
      </c>
      <c r="V209">
        <f>IFERROR(INDEX(Admissions_2024_2025!V:V,MATCH($B150,Admissions_2024_2025!$B:$B,0)),"")</f>
        <v>0</v>
      </c>
      <c r="W209" t="str">
        <f>IFERROR(INDEX(Admissions_2024_2025!W:W,MATCH($B209,Admissions_2024_2025!$B:$B,0)),"")</f>
        <v>2025 accepted list; CAT4 2022/2023 proxy domains</v>
      </c>
    </row>
    <row r="210" spans="1:23" x14ac:dyDescent="0.3">
      <c r="A210" t="s">
        <v>419</v>
      </c>
      <c r="B210" t="s">
        <v>491</v>
      </c>
      <c r="C210" t="s">
        <v>492</v>
      </c>
      <c r="D210" t="str">
        <f>IFERROR(INDEX(Admissions_2024_2025!D:D,MATCH($B210,Admissions_2024_2025!$B:$B,0)),"")</f>
        <v>Al-Furqan Private Prep - Boys</v>
      </c>
      <c r="E210" t="str">
        <f>IFERROR(INDEX(Admissions_2024_2025!E:E,MATCH($B210,Admissions_2024_2025!$B:$B,0)),"")</f>
        <v>MOE</v>
      </c>
      <c r="F210">
        <f>IFERROR(INDEX(Admissions_2024_2025!F:F,MATCH($B210,Admissions_2024_2025!$B:$B,0)),"")</f>
        <v>88</v>
      </c>
      <c r="G210">
        <f>IFERROR(INDEX(Admissions_2024_2025!G:G,MATCH($B210,Admissions_2024_2025!$B:$B,0)),"")</f>
        <v>91</v>
      </c>
      <c r="H210">
        <f>IFERROR(INDEX(Admissions_2024_2025!H:H,MATCH($B210,Admissions_2024_2025!$B:$B,0)),"")</f>
        <v>91</v>
      </c>
      <c r="I210">
        <f>IFERROR(INDEX(Admissions_2024_2025!I:I,MATCH($B210,Admissions_2024_2025!$B:$B,0)),"")</f>
        <v>0</v>
      </c>
      <c r="J210">
        <f>IFERROR(INDEX(Admissions_2024_2025!J:J,MATCH($B210,Admissions_2024_2025!$B:$B,0)),"")</f>
        <v>178</v>
      </c>
      <c r="K210">
        <f t="shared" si="15"/>
        <v>71.2</v>
      </c>
      <c r="L210">
        <f>IFERROR(INDEX(Admissions_2024_2025!L:L,MATCH($B210,Admissions_2024_2025!$B:$B,0)),"")</f>
        <v>24</v>
      </c>
      <c r="M210">
        <f t="shared" si="16"/>
        <v>48</v>
      </c>
      <c r="N210">
        <f t="shared" si="17"/>
        <v>96</v>
      </c>
      <c r="O210">
        <f t="shared" si="18"/>
        <v>67.605633802816897</v>
      </c>
      <c r="P210">
        <f t="shared" si="19"/>
        <v>62.268544600938959</v>
      </c>
      <c r="Q210" t="str">
        <f>IFERROR(INDEX(Admissions_2024_2025!Q:Q,MATCH($B210,Admissions_2024_2025!$B:$B,0)),"")</f>
        <v>No bias</v>
      </c>
      <c r="R210">
        <f>IFERROR(INDEX(Admissions_2024_2025!R:R,MATCH($B210,Admissions_2024_2025!$B:$B,0)),"")</f>
        <v>83</v>
      </c>
      <c r="S210">
        <f>IFERROR(INDEX(Admissions_2024_2025!S:S,MATCH($B210,Admissions_2024_2025!$B:$B,0)),"")</f>
        <v>106</v>
      </c>
      <c r="T210">
        <f>IFERROR(INDEX(Admissions_2024_2025!T:T,MATCH($B210,Admissions_2024_2025!$B:$B,0)),"")</f>
        <v>112</v>
      </c>
      <c r="U210">
        <f>IFERROR(INDEX(Admissions_2024_2025!U:U,MATCH($B210,Admissions_2024_2025!$B:$B,0)),"")</f>
        <v>83</v>
      </c>
      <c r="V210">
        <f>IFERROR(INDEX(Admissions_2024_2025!V:V,MATCH($B151,Admissions_2024_2025!$B:$B,0)),"")</f>
        <v>0</v>
      </c>
      <c r="W210" t="str">
        <f>IFERROR(INDEX(Admissions_2024_2025!W:W,MATCH($B210,Admissions_2024_2025!$B:$B,0)),"")</f>
        <v>2025 accepted list; CAT4 2022/2023 proxy domains</v>
      </c>
    </row>
    <row r="211" spans="1:23" x14ac:dyDescent="0.3">
      <c r="A211" t="s">
        <v>419</v>
      </c>
      <c r="B211" t="s">
        <v>493</v>
      </c>
      <c r="C211" t="s">
        <v>494</v>
      </c>
      <c r="D211" t="str">
        <f>IFERROR(INDEX(Admissions_2024_2025!D:D,MATCH($B211,Admissions_2024_2025!$B:$B,0)),"")</f>
        <v>Newton International SchoolÂ  Mixed - Alqitifia</v>
      </c>
      <c r="E211" t="str">
        <f>IFERROR(INDEX(Admissions_2024_2025!E:E,MATCH($B211,Admissions_2024_2025!$B:$B,0)),"")</f>
        <v>Int.</v>
      </c>
      <c r="F211">
        <f>IFERROR(INDEX(Admissions_2024_2025!F:F,MATCH($B211,Admissions_2024_2025!$B:$B,0)),"")</f>
        <v>93</v>
      </c>
      <c r="G211">
        <f>IFERROR(INDEX(Admissions_2024_2025!G:G,MATCH($B211,Admissions_2024_2025!$B:$B,0)),"")</f>
        <v>75</v>
      </c>
      <c r="H211">
        <f>IFERROR(INDEX(Admissions_2024_2025!H:H,MATCH($B211,Admissions_2024_2025!$B:$B,0)),"")</f>
        <v>98</v>
      </c>
      <c r="I211">
        <f>IFERROR(INDEX(Admissions_2024_2025!I:I,MATCH($B211,Admissions_2024_2025!$B:$B,0)),"")</f>
        <v>0</v>
      </c>
      <c r="J211">
        <f>IFERROR(INDEX(Admissions_2024_2025!J:J,MATCH($B211,Admissions_2024_2025!$B:$B,0)),"")</f>
        <v>171</v>
      </c>
      <c r="K211">
        <f t="shared" si="15"/>
        <v>68.400000000000006</v>
      </c>
      <c r="L211">
        <f>IFERROR(INDEX(Admissions_2024_2025!L:L,MATCH($B211,Admissions_2024_2025!$B:$B,0)),"")</f>
        <v>29</v>
      </c>
      <c r="M211">
        <f t="shared" si="16"/>
        <v>57.999999999999993</v>
      </c>
      <c r="N211">
        <f t="shared" si="17"/>
        <v>90</v>
      </c>
      <c r="O211">
        <f t="shared" si="18"/>
        <v>63.380281690140848</v>
      </c>
      <c r="P211">
        <f t="shared" si="19"/>
        <v>63.260093896713613</v>
      </c>
      <c r="Q211" t="str">
        <f>IFERROR(INDEX(Admissions_2024_2025!Q:Q,MATCH($B211,Admissions_2024_2025!$B:$B,0)),"")</f>
        <v>No bias</v>
      </c>
      <c r="R211">
        <f>IFERROR(INDEX(Admissions_2024_2025!R:R,MATCH($B211,Admissions_2024_2025!$B:$B,0)),"")</f>
        <v>88</v>
      </c>
      <c r="S211">
        <f>IFERROR(INDEX(Admissions_2024_2025!S:S,MATCH($B211,Admissions_2024_2025!$B:$B,0)),"")</f>
        <v>94</v>
      </c>
      <c r="T211">
        <f>IFERROR(INDEX(Admissions_2024_2025!T:T,MATCH($B211,Admissions_2024_2025!$B:$B,0)),"")</f>
        <v>102</v>
      </c>
      <c r="U211">
        <f>IFERROR(INDEX(Admissions_2024_2025!U:U,MATCH($B211,Admissions_2024_2025!$B:$B,0)),"")</f>
        <v>77</v>
      </c>
      <c r="V211">
        <f>IFERROR(INDEX(Admissions_2024_2025!V:V,MATCH($B152,Admissions_2024_2025!$B:$B,0)),"")</f>
        <v>0</v>
      </c>
      <c r="W211" t="str">
        <f>IFERROR(INDEX(Admissions_2024_2025!W:W,MATCH($B211,Admissions_2024_2025!$B:$B,0)),"")</f>
        <v>2025 accepted list; CAT4 2022/2023 proxy domains</v>
      </c>
    </row>
    <row r="212" spans="1:23" x14ac:dyDescent="0.3">
      <c r="A212" t="s">
        <v>419</v>
      </c>
      <c r="B212" t="s">
        <v>495</v>
      </c>
      <c r="C212" t="s">
        <v>496</v>
      </c>
      <c r="D212">
        <f>IFERROR(INDEX(Admissions_2024_2025!D:D,MATCH($B212,Admissions_2024_2025!$B:$B,0)),"")</f>
        <v>0</v>
      </c>
      <c r="E212">
        <f>IFERROR(INDEX(Admissions_2024_2025!E:E,MATCH($B212,Admissions_2024_2025!$B:$B,0)),"")</f>
        <v>0</v>
      </c>
      <c r="F212">
        <f>IFERROR(INDEX(Admissions_2024_2025!F:F,MATCH($B212,Admissions_2024_2025!$B:$B,0)),"")</f>
        <v>0</v>
      </c>
      <c r="G212">
        <f>IFERROR(INDEX(Admissions_2024_2025!G:G,MATCH($B212,Admissions_2024_2025!$B:$B,0)),"")</f>
        <v>0</v>
      </c>
      <c r="H212">
        <f>IFERROR(INDEX(Admissions_2024_2025!H:H,MATCH($B212,Admissions_2024_2025!$B:$B,0)),"")</f>
        <v>0</v>
      </c>
      <c r="I212">
        <f>IFERROR(INDEX(Admissions_2024_2025!I:I,MATCH($B212,Admissions_2024_2025!$B:$B,0)),"")</f>
        <v>0</v>
      </c>
      <c r="J212">
        <f>IFERROR(INDEX(Admissions_2024_2025!J:J,MATCH($B212,Admissions_2024_2025!$B:$B,0)),"")</f>
        <v>0</v>
      </c>
      <c r="K212">
        <f t="shared" si="15"/>
        <v>0</v>
      </c>
      <c r="L212">
        <f>IFERROR(INDEX(Admissions_2024_2025!L:L,MATCH($B212,Admissions_2024_2025!$B:$B,0)),"")</f>
        <v>0</v>
      </c>
      <c r="M212">
        <f t="shared" si="16"/>
        <v>0</v>
      </c>
      <c r="N212">
        <f t="shared" si="17"/>
        <v>91</v>
      </c>
      <c r="O212">
        <f t="shared" si="18"/>
        <v>64.08450704225352</v>
      </c>
      <c r="P212">
        <f t="shared" si="19"/>
        <v>21.36150234741784</v>
      </c>
      <c r="Q212" t="str">
        <f>IFERROR(INDEX(Admissions_2024_2025!Q:Q,MATCH($B212,Admissions_2024_2025!$B:$B,0)),"")</f>
        <v>Extreme spatial bias</v>
      </c>
      <c r="R212">
        <f>IFERROR(INDEX(Admissions_2024_2025!R:R,MATCH($B212,Admissions_2024_2025!$B:$B,0)),"")</f>
        <v>73</v>
      </c>
      <c r="S212">
        <f>IFERROR(INDEX(Admissions_2024_2025!S:S,MATCH($B212,Admissions_2024_2025!$B:$B,0)),"")</f>
        <v>102</v>
      </c>
      <c r="T212">
        <f>IFERROR(INDEX(Admissions_2024_2025!T:T,MATCH($B212,Admissions_2024_2025!$B:$B,0)),"")</f>
        <v>90</v>
      </c>
      <c r="U212">
        <f>IFERROR(INDEX(Admissions_2024_2025!U:U,MATCH($B212,Admissions_2024_2025!$B:$B,0)),"")</f>
        <v>97</v>
      </c>
      <c r="V212">
        <f>IFERROR(INDEX(Admissions_2024_2025!V:V,MATCH($B153,Admissions_2024_2025!$B:$B,0)),"")</f>
        <v>0</v>
      </c>
      <c r="W212" t="str">
        <f>IFERROR(INDEX(Admissions_2024_2025!W:W,MATCH($B212,Admissions_2024_2025!$B:$B,0)),"")</f>
        <v>CAT4 2022/2023 proxy domains</v>
      </c>
    </row>
    <row r="213" spans="1:23" x14ac:dyDescent="0.3">
      <c r="A213" t="s">
        <v>419</v>
      </c>
      <c r="B213" t="s">
        <v>497</v>
      </c>
      <c r="C213" t="s">
        <v>498</v>
      </c>
      <c r="D213" t="str">
        <f>IFERROR(INDEX(Admissions_2024_2025!D:D,MATCH($B213,Admissions_2024_2025!$B:$B,0)),"")</f>
        <v>Newton International Academy</v>
      </c>
      <c r="E213" t="str">
        <f>IFERROR(INDEX(Admissions_2024_2025!E:E,MATCH($B213,Admissions_2024_2025!$B:$B,0)),"")</f>
        <v>Int.</v>
      </c>
      <c r="F213">
        <f>IFERROR(INDEX(Admissions_2024_2025!F:F,MATCH($B213,Admissions_2024_2025!$B:$B,0)),"")</f>
        <v>0</v>
      </c>
      <c r="G213">
        <f>IFERROR(INDEX(Admissions_2024_2025!G:G,MATCH($B213,Admissions_2024_2025!$B:$B,0)),"")</f>
        <v>0</v>
      </c>
      <c r="H213">
        <f>IFERROR(INDEX(Admissions_2024_2025!H:H,MATCH($B213,Admissions_2024_2025!$B:$B,0)),"")</f>
        <v>0</v>
      </c>
      <c r="I213">
        <f>IFERROR(INDEX(Admissions_2024_2025!I:I,MATCH($B213,Admissions_2024_2025!$B:$B,0)),"")</f>
        <v>0</v>
      </c>
      <c r="J213">
        <f>IFERROR(INDEX(Admissions_2024_2025!J:J,MATCH($B213,Admissions_2024_2025!$B:$B,0)),"")</f>
        <v>139</v>
      </c>
      <c r="K213">
        <f t="shared" si="15"/>
        <v>55.600000000000009</v>
      </c>
      <c r="L213">
        <f>IFERROR(INDEX(Admissions_2024_2025!L:L,MATCH($B213,Admissions_2024_2025!$B:$B,0)),"")</f>
        <v>25</v>
      </c>
      <c r="M213">
        <f t="shared" si="16"/>
        <v>50</v>
      </c>
      <c r="N213">
        <f t="shared" si="17"/>
        <v>108</v>
      </c>
      <c r="O213">
        <f t="shared" si="18"/>
        <v>76.056338028169009</v>
      </c>
      <c r="P213">
        <f t="shared" si="19"/>
        <v>60.552112676056339</v>
      </c>
      <c r="Q213" t="str">
        <f>IFERROR(INDEX(Admissions_2024_2025!Q:Q,MATCH($B213,Admissions_2024_2025!$B:$B,0)),"")</f>
        <v>Moderate spatial bias</v>
      </c>
      <c r="R213">
        <f>IFERROR(INDEX(Admissions_2024_2025!R:R,MATCH($B213,Admissions_2024_2025!$B:$B,0)),"")</f>
        <v>91</v>
      </c>
      <c r="S213">
        <f>IFERROR(INDEX(Admissions_2024_2025!S:S,MATCH($B213,Admissions_2024_2025!$B:$B,0)),"")</f>
        <v>116</v>
      </c>
      <c r="T213">
        <f>IFERROR(INDEX(Admissions_2024_2025!T:T,MATCH($B213,Admissions_2024_2025!$B:$B,0)),"")</f>
        <v>111</v>
      </c>
      <c r="U213">
        <f>IFERROR(INDEX(Admissions_2024_2025!U:U,MATCH($B213,Admissions_2024_2025!$B:$B,0)),"")</f>
        <v>115</v>
      </c>
      <c r="V213">
        <f>IFERROR(INDEX(Admissions_2024_2025!V:V,MATCH($B154,Admissions_2024_2025!$B:$B,0)),"")</f>
        <v>0</v>
      </c>
      <c r="W213" t="str">
        <f>IFERROR(INDEX(Admissions_2024_2025!W:W,MATCH($B213,Admissions_2024_2025!$B:$B,0)),"")</f>
        <v>2025 accepted list; CAT4 2022/2023 proxy domains</v>
      </c>
    </row>
    <row r="214" spans="1:23" x14ac:dyDescent="0.3">
      <c r="A214" t="s">
        <v>419</v>
      </c>
      <c r="B214" t="s">
        <v>499</v>
      </c>
      <c r="C214" t="s">
        <v>500</v>
      </c>
      <c r="D214">
        <f>IFERROR(INDEX(Admissions_2024_2025!D:D,MATCH($B214,Admissions_2024_2025!$B:$B,0)),"")</f>
        <v>0</v>
      </c>
      <c r="E214">
        <f>IFERROR(INDEX(Admissions_2024_2025!E:E,MATCH($B214,Admissions_2024_2025!$B:$B,0)),"")</f>
        <v>0</v>
      </c>
      <c r="F214">
        <f>IFERROR(INDEX(Admissions_2024_2025!F:F,MATCH($B214,Admissions_2024_2025!$B:$B,0)),"")</f>
        <v>0</v>
      </c>
      <c r="G214">
        <f>IFERROR(INDEX(Admissions_2024_2025!G:G,MATCH($B214,Admissions_2024_2025!$B:$B,0)),"")</f>
        <v>0</v>
      </c>
      <c r="H214">
        <f>IFERROR(INDEX(Admissions_2024_2025!H:H,MATCH($B214,Admissions_2024_2025!$B:$B,0)),"")</f>
        <v>0</v>
      </c>
      <c r="I214">
        <f>IFERROR(INDEX(Admissions_2024_2025!I:I,MATCH($B214,Admissions_2024_2025!$B:$B,0)),"")</f>
        <v>0</v>
      </c>
      <c r="J214">
        <f>IFERROR(INDEX(Admissions_2024_2025!J:J,MATCH($B214,Admissions_2024_2025!$B:$B,0)),"")</f>
        <v>0</v>
      </c>
      <c r="K214">
        <f t="shared" si="15"/>
        <v>0</v>
      </c>
      <c r="L214">
        <f>IFERROR(INDEX(Admissions_2024_2025!L:L,MATCH($B214,Admissions_2024_2025!$B:$B,0)),"")</f>
        <v>0</v>
      </c>
      <c r="M214">
        <f t="shared" si="16"/>
        <v>0</v>
      </c>
      <c r="N214">
        <f t="shared" si="17"/>
        <v>85</v>
      </c>
      <c r="O214">
        <f t="shared" si="18"/>
        <v>59.859154929577464</v>
      </c>
      <c r="P214">
        <f t="shared" si="19"/>
        <v>19.953051643192488</v>
      </c>
      <c r="Q214" t="str">
        <f>IFERROR(INDEX(Admissions_2024_2025!Q:Q,MATCH($B214,Admissions_2024_2025!$B:$B,0)),"")</f>
        <v>No bias</v>
      </c>
      <c r="R214">
        <f>IFERROR(INDEX(Admissions_2024_2025!R:R,MATCH($B214,Admissions_2024_2025!$B:$B,0)),"")</f>
        <v>84</v>
      </c>
      <c r="S214">
        <f>IFERROR(INDEX(Admissions_2024_2025!S:S,MATCH($B214,Admissions_2024_2025!$B:$B,0)),"")</f>
        <v>97</v>
      </c>
      <c r="T214">
        <f>IFERROR(INDEX(Admissions_2024_2025!T:T,MATCH($B214,Admissions_2024_2025!$B:$B,0)),"")</f>
        <v>82</v>
      </c>
      <c r="U214">
        <f>IFERROR(INDEX(Admissions_2024_2025!U:U,MATCH($B214,Admissions_2024_2025!$B:$B,0)),"")</f>
        <v>77</v>
      </c>
      <c r="V214">
        <f>IFERROR(INDEX(Admissions_2024_2025!V:V,MATCH($B155,Admissions_2024_2025!$B:$B,0)),"")</f>
        <v>0</v>
      </c>
      <c r="W214" t="str">
        <f>IFERROR(INDEX(Admissions_2024_2025!W:W,MATCH($B214,Admissions_2024_2025!$B:$B,0)),"")</f>
        <v>CAT4 2022/2023 proxy domains</v>
      </c>
    </row>
    <row r="215" spans="1:23" x14ac:dyDescent="0.3">
      <c r="A215" t="s">
        <v>419</v>
      </c>
      <c r="B215" t="s">
        <v>501</v>
      </c>
      <c r="C215" t="s">
        <v>502</v>
      </c>
      <c r="D215" t="str">
        <f>IFERROR(INDEX(Admissions_2024_2025!D:D,MATCH($B215,Admissions_2024_2025!$B:$B,0)),"")</f>
        <v>Noor Al Khaleej International School-KG Pi Pep-Mix</v>
      </c>
      <c r="E215" t="str">
        <f>IFERROR(INDEX(Admissions_2024_2025!E:E,MATCH($B215,Admissions_2024_2025!$B:$B,0)),"")</f>
        <v>Int.</v>
      </c>
      <c r="F215">
        <f>IFERROR(INDEX(Admissions_2024_2025!F:F,MATCH($B215,Admissions_2024_2025!$B:$B,0)),"")</f>
        <v>82</v>
      </c>
      <c r="G215">
        <f>IFERROR(INDEX(Admissions_2024_2025!G:G,MATCH($B215,Admissions_2024_2025!$B:$B,0)),"")</f>
        <v>74</v>
      </c>
      <c r="H215">
        <f>IFERROR(INDEX(Admissions_2024_2025!H:H,MATCH($B215,Admissions_2024_2025!$B:$B,0)),"")</f>
        <v>51</v>
      </c>
      <c r="I215">
        <f>IFERROR(INDEX(Admissions_2024_2025!I:I,MATCH($B215,Admissions_2024_2025!$B:$B,0)),"")</f>
        <v>0</v>
      </c>
      <c r="J215">
        <f>IFERROR(INDEX(Admissions_2024_2025!J:J,MATCH($B215,Admissions_2024_2025!$B:$B,0)),"")</f>
        <v>156</v>
      </c>
      <c r="K215">
        <f t="shared" si="15"/>
        <v>62.4</v>
      </c>
      <c r="L215">
        <f>IFERROR(INDEX(Admissions_2024_2025!L:L,MATCH($B215,Admissions_2024_2025!$B:$B,0)),"")</f>
        <v>29</v>
      </c>
      <c r="M215">
        <f t="shared" si="16"/>
        <v>57.999999999999993</v>
      </c>
      <c r="N215">
        <f t="shared" si="17"/>
        <v>92</v>
      </c>
      <c r="O215">
        <f t="shared" si="18"/>
        <v>64.788732394366207</v>
      </c>
      <c r="P215">
        <f t="shared" si="19"/>
        <v>61.729577464788726</v>
      </c>
      <c r="Q215" t="str">
        <f>IFERROR(INDEX(Admissions_2024_2025!Q:Q,MATCH($B215,Admissions_2024_2025!$B:$B,0)),"")</f>
        <v>No bias</v>
      </c>
      <c r="R215">
        <f>IFERROR(INDEX(Admissions_2024_2025!R:R,MATCH($B215,Admissions_2024_2025!$B:$B,0)),"")</f>
        <v>89</v>
      </c>
      <c r="S215">
        <f>IFERROR(INDEX(Admissions_2024_2025!S:S,MATCH($B215,Admissions_2024_2025!$B:$B,0)),"")</f>
        <v>106</v>
      </c>
      <c r="T215">
        <f>IFERROR(INDEX(Admissions_2024_2025!T:T,MATCH($B215,Admissions_2024_2025!$B:$B,0)),"")</f>
        <v>87</v>
      </c>
      <c r="U215">
        <f>IFERROR(INDEX(Admissions_2024_2025!U:U,MATCH($B215,Admissions_2024_2025!$B:$B,0)),"")</f>
        <v>86</v>
      </c>
      <c r="V215">
        <f>IFERROR(INDEX(Admissions_2024_2025!V:V,MATCH($B156,Admissions_2024_2025!$B:$B,0)),"")</f>
        <v>0</v>
      </c>
      <c r="W215" t="str">
        <f>IFERROR(INDEX(Admissions_2024_2025!W:W,MATCH($B215,Admissions_2024_2025!$B:$B,0)),"")</f>
        <v>2025 accepted list; CAT4 2022/2023 proxy domains</v>
      </c>
    </row>
    <row r="216" spans="1:23" x14ac:dyDescent="0.3">
      <c r="A216" t="s">
        <v>419</v>
      </c>
      <c r="B216" t="s">
        <v>503</v>
      </c>
      <c r="C216" t="s">
        <v>504</v>
      </c>
      <c r="D216" t="str">
        <f>IFERROR(INDEX(Admissions_2024_2025!D:D,MATCH($B216,Admissions_2024_2025!$B:$B,0)),"")</f>
        <v>Qatar Leadership Academy</v>
      </c>
      <c r="E216" t="str">
        <f>IFERROR(INDEX(Admissions_2024_2025!E:E,MATCH($B216,Admissions_2024_2025!$B:$B,0)),"")</f>
        <v>Int.</v>
      </c>
      <c r="F216">
        <f>IFERROR(INDEX(Admissions_2024_2025!F:F,MATCH($B216,Admissions_2024_2025!$B:$B,0)),"")</f>
        <v>90</v>
      </c>
      <c r="G216">
        <f>IFERROR(INDEX(Admissions_2024_2025!G:G,MATCH($B216,Admissions_2024_2025!$B:$B,0)),"")</f>
        <v>90</v>
      </c>
      <c r="H216">
        <f>IFERROR(INDEX(Admissions_2024_2025!H:H,MATCH($B216,Admissions_2024_2025!$B:$B,0)),"")</f>
        <v>92</v>
      </c>
      <c r="I216">
        <f>IFERROR(INDEX(Admissions_2024_2025!I:I,MATCH($B216,Admissions_2024_2025!$B:$B,0)),"")</f>
        <v>0</v>
      </c>
      <c r="J216">
        <f>IFERROR(INDEX(Admissions_2024_2025!J:J,MATCH($B216,Admissions_2024_2025!$B:$B,0)),"")</f>
        <v>151</v>
      </c>
      <c r="K216">
        <f t="shared" si="15"/>
        <v>60.4</v>
      </c>
      <c r="L216">
        <f>IFERROR(INDEX(Admissions_2024_2025!L:L,MATCH($B216,Admissions_2024_2025!$B:$B,0)),"")</f>
        <v>21</v>
      </c>
      <c r="M216">
        <f t="shared" si="16"/>
        <v>42</v>
      </c>
      <c r="N216">
        <f t="shared" si="17"/>
        <v>97</v>
      </c>
      <c r="O216">
        <f t="shared" si="18"/>
        <v>68.309859154929569</v>
      </c>
      <c r="P216">
        <f t="shared" si="19"/>
        <v>56.903286384976525</v>
      </c>
      <c r="Q216" t="str">
        <f>IFERROR(INDEX(Admissions_2024_2025!Q:Q,MATCH($B216,Admissions_2024_2025!$B:$B,0)),"")</f>
        <v>No bias</v>
      </c>
      <c r="R216">
        <f>IFERROR(INDEX(Admissions_2024_2025!R:R,MATCH($B216,Admissions_2024_2025!$B:$B,0)),"")</f>
        <v>85</v>
      </c>
      <c r="S216">
        <f>IFERROR(INDEX(Admissions_2024_2025!S:S,MATCH($B216,Admissions_2024_2025!$B:$B,0)),"")</f>
        <v>104</v>
      </c>
      <c r="T216">
        <f>IFERROR(INDEX(Admissions_2024_2025!T:T,MATCH($B216,Admissions_2024_2025!$B:$B,0)),"")</f>
        <v>109</v>
      </c>
      <c r="U216">
        <f>IFERROR(INDEX(Admissions_2024_2025!U:U,MATCH($B216,Admissions_2024_2025!$B:$B,0)),"")</f>
        <v>91</v>
      </c>
      <c r="V216">
        <f>IFERROR(INDEX(Admissions_2024_2025!V:V,MATCH($B157,Admissions_2024_2025!$B:$B,0)),"")</f>
        <v>0</v>
      </c>
      <c r="W216" t="str">
        <f>IFERROR(INDEX(Admissions_2024_2025!W:W,MATCH($B216,Admissions_2024_2025!$B:$B,0)),"")</f>
        <v>2025 accepted list; CAT4 2022/2023 proxy domains</v>
      </c>
    </row>
    <row r="217" spans="1:23" x14ac:dyDescent="0.3">
      <c r="A217" t="s">
        <v>419</v>
      </c>
      <c r="B217" t="s">
        <v>505</v>
      </c>
      <c r="C217" t="s">
        <v>506</v>
      </c>
      <c r="D217">
        <f>IFERROR(INDEX(Admissions_2024_2025!D:D,MATCH($B217,Admissions_2024_2025!$B:$B,0)),"")</f>
        <v>0</v>
      </c>
      <c r="E217">
        <f>IFERROR(INDEX(Admissions_2024_2025!E:E,MATCH($B217,Admissions_2024_2025!$B:$B,0)),"")</f>
        <v>0</v>
      </c>
      <c r="F217">
        <f>IFERROR(INDEX(Admissions_2024_2025!F:F,MATCH($B217,Admissions_2024_2025!$B:$B,0)),"")</f>
        <v>0</v>
      </c>
      <c r="G217">
        <f>IFERROR(INDEX(Admissions_2024_2025!G:G,MATCH($B217,Admissions_2024_2025!$B:$B,0)),"")</f>
        <v>0</v>
      </c>
      <c r="H217">
        <f>IFERROR(INDEX(Admissions_2024_2025!H:H,MATCH($B217,Admissions_2024_2025!$B:$B,0)),"")</f>
        <v>0</v>
      </c>
      <c r="I217">
        <f>IFERROR(INDEX(Admissions_2024_2025!I:I,MATCH($B217,Admissions_2024_2025!$B:$B,0)),"")</f>
        <v>0</v>
      </c>
      <c r="J217">
        <f>IFERROR(INDEX(Admissions_2024_2025!J:J,MATCH($B217,Admissions_2024_2025!$B:$B,0)),"")</f>
        <v>0</v>
      </c>
      <c r="K217">
        <f t="shared" si="15"/>
        <v>0</v>
      </c>
      <c r="L217">
        <f>IFERROR(INDEX(Admissions_2024_2025!L:L,MATCH($B217,Admissions_2024_2025!$B:$B,0)),"")</f>
        <v>0</v>
      </c>
      <c r="M217">
        <f t="shared" si="16"/>
        <v>0</v>
      </c>
      <c r="N217">
        <f t="shared" si="17"/>
        <v>93</v>
      </c>
      <c r="O217">
        <f t="shared" si="18"/>
        <v>65.492957746478879</v>
      </c>
      <c r="P217">
        <f t="shared" si="19"/>
        <v>21.83098591549296</v>
      </c>
      <c r="Q217" t="str">
        <f>IFERROR(INDEX(Admissions_2024_2025!Q:Q,MATCH($B217,Admissions_2024_2025!$B:$B,0)),"")</f>
        <v>Mild spatial bias</v>
      </c>
      <c r="R217">
        <f>IFERROR(INDEX(Admissions_2024_2025!R:R,MATCH($B217,Admissions_2024_2025!$B:$B,0)),"")</f>
        <v>78</v>
      </c>
      <c r="S217">
        <f>IFERROR(INDEX(Admissions_2024_2025!S:S,MATCH($B217,Admissions_2024_2025!$B:$B,0)),"")</f>
        <v>95</v>
      </c>
      <c r="T217">
        <f>IFERROR(INDEX(Admissions_2024_2025!T:T,MATCH($B217,Admissions_2024_2025!$B:$B,0)),"")</f>
        <v>102</v>
      </c>
      <c r="U217">
        <f>IFERROR(INDEX(Admissions_2024_2025!U:U,MATCH($B217,Admissions_2024_2025!$B:$B,0)),"")</f>
        <v>95</v>
      </c>
      <c r="V217">
        <f>IFERROR(INDEX(Admissions_2024_2025!V:V,MATCH($B158,Admissions_2024_2025!$B:$B,0)),"")</f>
        <v>0</v>
      </c>
      <c r="W217" t="str">
        <f>IFERROR(INDEX(Admissions_2024_2025!W:W,MATCH($B217,Admissions_2024_2025!$B:$B,0)),"")</f>
        <v>CAT4 2022/2023 proxy domains</v>
      </c>
    </row>
    <row r="218" spans="1:23" x14ac:dyDescent="0.3">
      <c r="A218" t="s">
        <v>419</v>
      </c>
      <c r="B218" t="s">
        <v>507</v>
      </c>
      <c r="C218" t="s">
        <v>508</v>
      </c>
      <c r="D218">
        <f>IFERROR(INDEX(Admissions_2024_2025!D:D,MATCH($B218,Admissions_2024_2025!$B:$B,0)),"")</f>
        <v>0</v>
      </c>
      <c r="E218">
        <f>IFERROR(INDEX(Admissions_2024_2025!E:E,MATCH($B218,Admissions_2024_2025!$B:$B,0)),"")</f>
        <v>0</v>
      </c>
      <c r="F218">
        <f>IFERROR(INDEX(Admissions_2024_2025!F:F,MATCH($B218,Admissions_2024_2025!$B:$B,0)),"")</f>
        <v>0</v>
      </c>
      <c r="G218">
        <f>IFERROR(INDEX(Admissions_2024_2025!G:G,MATCH($B218,Admissions_2024_2025!$B:$B,0)),"")</f>
        <v>0</v>
      </c>
      <c r="H218">
        <f>IFERROR(INDEX(Admissions_2024_2025!H:H,MATCH($B218,Admissions_2024_2025!$B:$B,0)),"")</f>
        <v>0</v>
      </c>
      <c r="I218">
        <f>IFERROR(INDEX(Admissions_2024_2025!I:I,MATCH($B218,Admissions_2024_2025!$B:$B,0)),"")</f>
        <v>0</v>
      </c>
      <c r="J218">
        <f>IFERROR(INDEX(Admissions_2024_2025!J:J,MATCH($B218,Admissions_2024_2025!$B:$B,0)),"")</f>
        <v>0</v>
      </c>
      <c r="K218">
        <f t="shared" si="15"/>
        <v>0</v>
      </c>
      <c r="L218">
        <f>IFERROR(INDEX(Admissions_2024_2025!L:L,MATCH($B218,Admissions_2024_2025!$B:$B,0)),"")</f>
        <v>0</v>
      </c>
      <c r="M218">
        <f t="shared" si="16"/>
        <v>0</v>
      </c>
      <c r="N218">
        <f t="shared" si="17"/>
        <v>94</v>
      </c>
      <c r="O218">
        <f t="shared" si="18"/>
        <v>66.197183098591552</v>
      </c>
      <c r="P218">
        <f t="shared" si="19"/>
        <v>22.065727699530516</v>
      </c>
      <c r="Q218" t="str">
        <f>IFERROR(INDEX(Admissions_2024_2025!Q:Q,MATCH($B218,Admissions_2024_2025!$B:$B,0)),"")</f>
        <v>No bias</v>
      </c>
      <c r="R218">
        <f>IFERROR(INDEX(Admissions_2024_2025!R:R,MATCH($B218,Admissions_2024_2025!$B:$B,0)),"")</f>
        <v>97</v>
      </c>
      <c r="S218">
        <f>IFERROR(INDEX(Admissions_2024_2025!S:S,MATCH($B218,Admissions_2024_2025!$B:$B,0)),"")</f>
        <v>82</v>
      </c>
      <c r="T218">
        <f>IFERROR(INDEX(Admissions_2024_2025!T:T,MATCH($B218,Admissions_2024_2025!$B:$B,0)),"")</f>
        <v>99</v>
      </c>
      <c r="U218">
        <f>IFERROR(INDEX(Admissions_2024_2025!U:U,MATCH($B218,Admissions_2024_2025!$B:$B,0)),"")</f>
        <v>99</v>
      </c>
      <c r="V218">
        <f>IFERROR(INDEX(Admissions_2024_2025!V:V,MATCH($B159,Admissions_2024_2025!$B:$B,0)),"")</f>
        <v>0</v>
      </c>
      <c r="W218" t="str">
        <f>IFERROR(INDEX(Admissions_2024_2025!W:W,MATCH($B218,Admissions_2024_2025!$B:$B,0)),"")</f>
        <v>CAT4 2022/2023 proxy domains</v>
      </c>
    </row>
    <row r="219" spans="1:23" x14ac:dyDescent="0.3">
      <c r="A219" t="s">
        <v>419</v>
      </c>
      <c r="B219" t="s">
        <v>509</v>
      </c>
      <c r="C219" t="s">
        <v>510</v>
      </c>
      <c r="D219" t="str">
        <f>IFERROR(INDEX(Admissions_2024_2025!D:D,MATCH($B219,Admissions_2024_2025!$B:$B,0)),"")</f>
        <v>American Academy School - Althamama branch</v>
      </c>
      <c r="E219" t="str">
        <f>IFERROR(INDEX(Admissions_2024_2025!E:E,MATCH($B219,Admissions_2024_2025!$B:$B,0)),"")</f>
        <v>Int.</v>
      </c>
      <c r="F219">
        <f>IFERROR(INDEX(Admissions_2024_2025!F:F,MATCH($B219,Admissions_2024_2025!$B:$B,0)),"")</f>
        <v>82</v>
      </c>
      <c r="G219">
        <f>IFERROR(INDEX(Admissions_2024_2025!G:G,MATCH($B219,Admissions_2024_2025!$B:$B,0)),"")</f>
        <v>73</v>
      </c>
      <c r="H219">
        <f>IFERROR(INDEX(Admissions_2024_2025!H:H,MATCH($B219,Admissions_2024_2025!$B:$B,0)),"")</f>
        <v>84</v>
      </c>
      <c r="I219">
        <f>IFERROR(INDEX(Admissions_2024_2025!I:I,MATCH($B219,Admissions_2024_2025!$B:$B,0)),"")</f>
        <v>0</v>
      </c>
      <c r="J219">
        <f>IFERROR(INDEX(Admissions_2024_2025!J:J,MATCH($B219,Admissions_2024_2025!$B:$B,0)),"")</f>
        <v>136</v>
      </c>
      <c r="K219">
        <f t="shared" si="15"/>
        <v>54.400000000000006</v>
      </c>
      <c r="L219">
        <f>IFERROR(INDEX(Admissions_2024_2025!L:L,MATCH($B219,Admissions_2024_2025!$B:$B,0)),"")</f>
        <v>21</v>
      </c>
      <c r="M219">
        <f t="shared" si="16"/>
        <v>42</v>
      </c>
      <c r="N219">
        <f t="shared" si="17"/>
        <v>98</v>
      </c>
      <c r="O219">
        <f t="shared" si="18"/>
        <v>69.014084507042256</v>
      </c>
      <c r="P219">
        <f t="shared" si="19"/>
        <v>55.138028169014092</v>
      </c>
      <c r="Q219" t="str">
        <f>IFERROR(INDEX(Admissions_2024_2025!Q:Q,MATCH($B219,Admissions_2024_2025!$B:$B,0)),"")</f>
        <v>Moderate spatial bias</v>
      </c>
      <c r="R219">
        <f>IFERROR(INDEX(Admissions_2024_2025!R:R,MATCH($B219,Admissions_2024_2025!$B:$B,0)),"")</f>
        <v>79</v>
      </c>
      <c r="S219">
        <f>IFERROR(INDEX(Admissions_2024_2025!S:S,MATCH($B219,Admissions_2024_2025!$B:$B,0)),"")</f>
        <v>111</v>
      </c>
      <c r="T219">
        <f>IFERROR(INDEX(Admissions_2024_2025!T:T,MATCH($B219,Admissions_2024_2025!$B:$B,0)),"")</f>
        <v>103</v>
      </c>
      <c r="U219">
        <f>IFERROR(INDEX(Admissions_2024_2025!U:U,MATCH($B219,Admissions_2024_2025!$B:$B,0)),"")</f>
        <v>97</v>
      </c>
      <c r="V219">
        <f>IFERROR(INDEX(Admissions_2024_2025!V:V,MATCH($B160,Admissions_2024_2025!$B:$B,0)),"")</f>
        <v>0</v>
      </c>
      <c r="W219" t="str">
        <f>IFERROR(INDEX(Admissions_2024_2025!W:W,MATCH($B219,Admissions_2024_2025!$B:$B,0)),"")</f>
        <v>2025 accepted list; CAT4 2022/2023 proxy domains</v>
      </c>
    </row>
    <row r="220" spans="1:23" x14ac:dyDescent="0.3">
      <c r="A220" t="s">
        <v>419</v>
      </c>
      <c r="B220" t="s">
        <v>511</v>
      </c>
      <c r="C220" t="s">
        <v>512</v>
      </c>
      <c r="D220" t="str">
        <f>IFERROR(INDEX(Admissions_2024_2025!D:D,MATCH($B220,Admissions_2024_2025!$B:$B,0)),"")</f>
        <v>Newton International School-KG Pri Prep Sec-Mixed</v>
      </c>
      <c r="E220" t="str">
        <f>IFERROR(INDEX(Admissions_2024_2025!E:E,MATCH($B220,Admissions_2024_2025!$B:$B,0)),"")</f>
        <v>Int.</v>
      </c>
      <c r="F220">
        <f>IFERROR(INDEX(Admissions_2024_2025!F:F,MATCH($B220,Admissions_2024_2025!$B:$B,0)),"")</f>
        <v>0</v>
      </c>
      <c r="G220">
        <f>IFERROR(INDEX(Admissions_2024_2025!G:G,MATCH($B220,Admissions_2024_2025!$B:$B,0)),"")</f>
        <v>0</v>
      </c>
      <c r="H220">
        <f>IFERROR(INDEX(Admissions_2024_2025!H:H,MATCH($B220,Admissions_2024_2025!$B:$B,0)),"")</f>
        <v>0</v>
      </c>
      <c r="I220">
        <f>IFERROR(INDEX(Admissions_2024_2025!I:I,MATCH($B220,Admissions_2024_2025!$B:$B,0)),"")</f>
        <v>0</v>
      </c>
      <c r="J220">
        <f>IFERROR(INDEX(Admissions_2024_2025!J:J,MATCH($B220,Admissions_2024_2025!$B:$B,0)),"")</f>
        <v>146</v>
      </c>
      <c r="K220">
        <f t="shared" si="15"/>
        <v>58.4</v>
      </c>
      <c r="L220">
        <f>IFERROR(INDEX(Admissions_2024_2025!L:L,MATCH($B220,Admissions_2024_2025!$B:$B,0)),"")</f>
        <v>28</v>
      </c>
      <c r="M220">
        <f t="shared" si="16"/>
        <v>56.000000000000007</v>
      </c>
      <c r="N220">
        <f t="shared" si="17"/>
        <v>97</v>
      </c>
      <c r="O220">
        <f t="shared" si="18"/>
        <v>68.309859154929569</v>
      </c>
      <c r="P220">
        <f t="shared" si="19"/>
        <v>60.903286384976525</v>
      </c>
      <c r="Q220" t="str">
        <f>IFERROR(INDEX(Admissions_2024_2025!Q:Q,MATCH($B220,Admissions_2024_2025!$B:$B,0)),"")</f>
        <v>Mild spatial bias</v>
      </c>
      <c r="R220">
        <f>IFERROR(INDEX(Admissions_2024_2025!R:R,MATCH($B220,Admissions_2024_2025!$B:$B,0)),"")</f>
        <v>81</v>
      </c>
      <c r="S220">
        <f>IFERROR(INDEX(Admissions_2024_2025!S:S,MATCH($B220,Admissions_2024_2025!$B:$B,0)),"")</f>
        <v>104</v>
      </c>
      <c r="T220">
        <f>IFERROR(INDEX(Admissions_2024_2025!T:T,MATCH($B220,Admissions_2024_2025!$B:$B,0)),"")</f>
        <v>109</v>
      </c>
      <c r="U220">
        <f>IFERROR(INDEX(Admissions_2024_2025!U:U,MATCH($B220,Admissions_2024_2025!$B:$B,0)),"")</f>
        <v>93</v>
      </c>
      <c r="V220">
        <f>IFERROR(INDEX(Admissions_2024_2025!V:V,MATCH($B161,Admissions_2024_2025!$B:$B,0)),"")</f>
        <v>0</v>
      </c>
      <c r="W220" t="str">
        <f>IFERROR(INDEX(Admissions_2024_2025!W:W,MATCH($B220,Admissions_2024_2025!$B:$B,0)),"")</f>
        <v>2025 accepted list; CAT4 2022/2023 proxy domains</v>
      </c>
    </row>
    <row r="221" spans="1:23" x14ac:dyDescent="0.3">
      <c r="A221" t="s">
        <v>419</v>
      </c>
      <c r="B221" t="s">
        <v>513</v>
      </c>
      <c r="C221" t="s">
        <v>514</v>
      </c>
      <c r="D221" t="str">
        <f>IFERROR(INDEX(Admissions_2024_2025!D:D,MATCH($B221,Admissions_2024_2025!$B:$B,0)),"")</f>
        <v>Hamza ibn Abdul-Muttalib Preparatory School for Boys</v>
      </c>
      <c r="E221" t="str">
        <f>IFERROR(INDEX(Admissions_2024_2025!E:E,MATCH($B221,Admissions_2024_2025!$B:$B,0)),"")</f>
        <v>MOE</v>
      </c>
      <c r="F221">
        <f>IFERROR(INDEX(Admissions_2024_2025!F:F,MATCH($B221,Admissions_2024_2025!$B:$B,0)),"")</f>
        <v>91</v>
      </c>
      <c r="G221">
        <f>IFERROR(INDEX(Admissions_2024_2025!G:G,MATCH($B221,Admissions_2024_2025!$B:$B,0)),"")</f>
        <v>99</v>
      </c>
      <c r="H221">
        <f>IFERROR(INDEX(Admissions_2024_2025!H:H,MATCH($B221,Admissions_2024_2025!$B:$B,0)),"")</f>
        <v>99</v>
      </c>
      <c r="I221">
        <f>IFERROR(INDEX(Admissions_2024_2025!I:I,MATCH($B221,Admissions_2024_2025!$B:$B,0)),"")</f>
        <v>0</v>
      </c>
      <c r="J221">
        <f>IFERROR(INDEX(Admissions_2024_2025!J:J,MATCH($B221,Admissions_2024_2025!$B:$B,0)),"")</f>
        <v>124</v>
      </c>
      <c r="K221">
        <f t="shared" si="15"/>
        <v>49.6</v>
      </c>
      <c r="L221">
        <f>IFERROR(INDEX(Admissions_2024_2025!L:L,MATCH($B221,Admissions_2024_2025!$B:$B,0)),"")</f>
        <v>28</v>
      </c>
      <c r="M221">
        <f t="shared" si="16"/>
        <v>56.000000000000007</v>
      </c>
      <c r="N221">
        <f t="shared" si="17"/>
        <v>104</v>
      </c>
      <c r="O221">
        <f t="shared" si="18"/>
        <v>73.239436619718319</v>
      </c>
      <c r="P221">
        <f t="shared" si="19"/>
        <v>59.613145539906107</v>
      </c>
      <c r="Q221" t="str">
        <f>IFERROR(INDEX(Admissions_2024_2025!Q:Q,MATCH($B221,Admissions_2024_2025!$B:$B,0)),"")</f>
        <v>Moderate spatial bias</v>
      </c>
      <c r="R221">
        <f>IFERROR(INDEX(Admissions_2024_2025!R:R,MATCH($B221,Admissions_2024_2025!$B:$B,0)),"")</f>
        <v>82</v>
      </c>
      <c r="S221">
        <f>IFERROR(INDEX(Admissions_2024_2025!S:S,MATCH($B221,Admissions_2024_2025!$B:$B,0)),"")</f>
        <v>118</v>
      </c>
      <c r="T221">
        <f>IFERROR(INDEX(Admissions_2024_2025!T:T,MATCH($B221,Admissions_2024_2025!$B:$B,0)),"")</f>
        <v>110</v>
      </c>
      <c r="U221">
        <f>IFERROR(INDEX(Admissions_2024_2025!U:U,MATCH($B221,Admissions_2024_2025!$B:$B,0)),"")</f>
        <v>106</v>
      </c>
      <c r="V221">
        <f>IFERROR(INDEX(Admissions_2024_2025!V:V,MATCH($B162,Admissions_2024_2025!$B:$B,0)),"")</f>
        <v>0</v>
      </c>
      <c r="W221" t="str">
        <f>IFERROR(INDEX(Admissions_2024_2025!W:W,MATCH($B221,Admissions_2024_2025!$B:$B,0)),"")</f>
        <v>2025 accepted list; CAT4 2022/2023 proxy domains</v>
      </c>
    </row>
    <row r="222" spans="1:23" x14ac:dyDescent="0.3">
      <c r="A222" t="s">
        <v>419</v>
      </c>
      <c r="B222" t="s">
        <v>515</v>
      </c>
      <c r="C222" t="s">
        <v>516</v>
      </c>
      <c r="D222" t="str">
        <f>IFERROR(INDEX(Admissions_2024_2025!D:D,MATCH($B222,Admissions_2024_2025!$B:$B,0)),"")</f>
        <v>Edison International Academy-Muraikh</v>
      </c>
      <c r="E222" t="str">
        <f>IFERROR(INDEX(Admissions_2024_2025!E:E,MATCH($B222,Admissions_2024_2025!$B:$B,0)),"")</f>
        <v>Int.</v>
      </c>
      <c r="F222">
        <f>IFERROR(INDEX(Admissions_2024_2025!F:F,MATCH($B222,Admissions_2024_2025!$B:$B,0)),"")</f>
        <v>0</v>
      </c>
      <c r="G222">
        <f>IFERROR(INDEX(Admissions_2024_2025!G:G,MATCH($B222,Admissions_2024_2025!$B:$B,0)),"")</f>
        <v>0</v>
      </c>
      <c r="H222">
        <f>IFERROR(INDEX(Admissions_2024_2025!H:H,MATCH($B222,Admissions_2024_2025!$B:$B,0)),"")</f>
        <v>0</v>
      </c>
      <c r="I222">
        <f>IFERROR(INDEX(Admissions_2024_2025!I:I,MATCH($B222,Admissions_2024_2025!$B:$B,0)),"")</f>
        <v>0</v>
      </c>
      <c r="J222">
        <f>IFERROR(INDEX(Admissions_2024_2025!J:J,MATCH($B222,Admissions_2024_2025!$B:$B,0)),"")</f>
        <v>165</v>
      </c>
      <c r="K222">
        <f t="shared" si="15"/>
        <v>66</v>
      </c>
      <c r="L222">
        <f>IFERROR(INDEX(Admissions_2024_2025!L:L,MATCH($B222,Admissions_2024_2025!$B:$B,0)),"")</f>
        <v>23</v>
      </c>
      <c r="M222">
        <f t="shared" si="16"/>
        <v>46</v>
      </c>
      <c r="N222">
        <f t="shared" si="17"/>
        <v>107</v>
      </c>
      <c r="O222">
        <f t="shared" si="18"/>
        <v>75.352112676056336</v>
      </c>
      <c r="P222">
        <f t="shared" si="19"/>
        <v>62.450704225352105</v>
      </c>
      <c r="Q222" t="str">
        <f>IFERROR(INDEX(Admissions_2024_2025!Q:Q,MATCH($B222,Admissions_2024_2025!$B:$B,0)),"")</f>
        <v>No bias</v>
      </c>
      <c r="R222">
        <f>IFERROR(INDEX(Admissions_2024_2025!R:R,MATCH($B222,Admissions_2024_2025!$B:$B,0)),"")</f>
        <v>101</v>
      </c>
      <c r="S222">
        <f>IFERROR(INDEX(Admissions_2024_2025!S:S,MATCH($B222,Admissions_2024_2025!$B:$B,0)),"")</f>
        <v>95</v>
      </c>
      <c r="T222">
        <f>IFERROR(INDEX(Admissions_2024_2025!T:T,MATCH($B222,Admissions_2024_2025!$B:$B,0)),"")</f>
        <v>122</v>
      </c>
      <c r="U222">
        <f>IFERROR(INDEX(Admissions_2024_2025!U:U,MATCH($B222,Admissions_2024_2025!$B:$B,0)),"")</f>
        <v>109</v>
      </c>
      <c r="V222">
        <f>IFERROR(INDEX(Admissions_2024_2025!V:V,MATCH($B163,Admissions_2024_2025!$B:$B,0)),"")</f>
        <v>0</v>
      </c>
      <c r="W222" t="str">
        <f>IFERROR(INDEX(Admissions_2024_2025!W:W,MATCH($B222,Admissions_2024_2025!$B:$B,0)),"")</f>
        <v>2025 accepted list; CAT4 2022/2023 proxy domains</v>
      </c>
    </row>
    <row r="223" spans="1:23" x14ac:dyDescent="0.3">
      <c r="A223" t="s">
        <v>419</v>
      </c>
      <c r="B223" t="s">
        <v>517</v>
      </c>
      <c r="C223" t="s">
        <v>518</v>
      </c>
      <c r="D223" t="str">
        <f>IFERROR(INDEX(Admissions_2024_2025!D:D,MATCH($B223,Admissions_2024_2025!$B:$B,0)),"")</f>
        <v>The English Modern School-KG Pri Prep Sec-Mixed</v>
      </c>
      <c r="E223" t="str">
        <f>IFERROR(INDEX(Admissions_2024_2025!E:E,MATCH($B223,Admissions_2024_2025!$B:$B,0)),"")</f>
        <v>Int.</v>
      </c>
      <c r="F223">
        <f>IFERROR(INDEX(Admissions_2024_2025!F:F,MATCH($B223,Admissions_2024_2025!$B:$B,0)),"")</f>
        <v>3</v>
      </c>
      <c r="G223">
        <f>IFERROR(INDEX(Admissions_2024_2025!G:G,MATCH($B223,Admissions_2024_2025!$B:$B,0)),"")</f>
        <v>3</v>
      </c>
      <c r="H223">
        <f>IFERROR(INDEX(Admissions_2024_2025!H:H,MATCH($B223,Admissions_2024_2025!$B:$B,0)),"")</f>
        <v>3</v>
      </c>
      <c r="I223">
        <f>IFERROR(INDEX(Admissions_2024_2025!I:I,MATCH($B223,Admissions_2024_2025!$B:$B,0)),"")</f>
        <v>0</v>
      </c>
      <c r="J223">
        <f>IFERROR(INDEX(Admissions_2024_2025!J:J,MATCH($B223,Admissions_2024_2025!$B:$B,0)),"")</f>
        <v>143</v>
      </c>
      <c r="K223">
        <f t="shared" si="15"/>
        <v>57.199999999999996</v>
      </c>
      <c r="L223">
        <f>IFERROR(INDEX(Admissions_2024_2025!L:L,MATCH($B223,Admissions_2024_2025!$B:$B,0)),"")</f>
        <v>26</v>
      </c>
      <c r="M223">
        <f t="shared" si="16"/>
        <v>52</v>
      </c>
      <c r="N223">
        <f t="shared" si="17"/>
        <v>93</v>
      </c>
      <c r="O223">
        <f t="shared" si="18"/>
        <v>65.492957746478879</v>
      </c>
      <c r="P223">
        <f t="shared" si="19"/>
        <v>58.230985915492958</v>
      </c>
      <c r="Q223" t="str">
        <f>IFERROR(INDEX(Admissions_2024_2025!Q:Q,MATCH($B223,Admissions_2024_2025!$B:$B,0)),"")</f>
        <v>No bias</v>
      </c>
      <c r="R223">
        <f>IFERROR(INDEX(Admissions_2024_2025!R:R,MATCH($B223,Admissions_2024_2025!$B:$B,0)),"")</f>
        <v>85</v>
      </c>
      <c r="S223">
        <f>IFERROR(INDEX(Admissions_2024_2025!S:S,MATCH($B223,Admissions_2024_2025!$B:$B,0)),"")</f>
        <v>99</v>
      </c>
      <c r="T223">
        <f>IFERROR(INDEX(Admissions_2024_2025!T:T,MATCH($B223,Admissions_2024_2025!$B:$B,0)),"")</f>
        <v>100</v>
      </c>
      <c r="U223">
        <f>IFERROR(INDEX(Admissions_2024_2025!U:U,MATCH($B223,Admissions_2024_2025!$B:$B,0)),"")</f>
        <v>86</v>
      </c>
      <c r="V223">
        <f>IFERROR(INDEX(Admissions_2024_2025!V:V,MATCH($B164,Admissions_2024_2025!$B:$B,0)),"")</f>
        <v>0</v>
      </c>
      <c r="W223" t="str">
        <f>IFERROR(INDEX(Admissions_2024_2025!W:W,MATCH($B223,Admissions_2024_2025!$B:$B,0)),"")</f>
        <v>2025 accepted list; CAT4 2022/2023 proxy domains</v>
      </c>
    </row>
    <row r="224" spans="1:23" x14ac:dyDescent="0.3">
      <c r="A224" t="s">
        <v>419</v>
      </c>
      <c r="B224" t="s">
        <v>519</v>
      </c>
      <c r="C224" t="s">
        <v>520</v>
      </c>
      <c r="D224" t="str">
        <f>IFERROR(INDEX(Admissions_2024_2025!D:D,MATCH($B224,Admissions_2024_2025!$B:$B,0)),"")</f>
        <v>Al Rayyan Private School Boys â€“ Girls</v>
      </c>
      <c r="E224" t="str">
        <f>IFERROR(INDEX(Admissions_2024_2025!E:E,MATCH($B224,Admissions_2024_2025!$B:$B,0)),"")</f>
        <v>MOE</v>
      </c>
      <c r="F224">
        <f>IFERROR(INDEX(Admissions_2024_2025!F:F,MATCH($B224,Admissions_2024_2025!$B:$B,0)),"")</f>
        <v>86</v>
      </c>
      <c r="G224">
        <f>IFERROR(INDEX(Admissions_2024_2025!G:G,MATCH($B224,Admissions_2024_2025!$B:$B,0)),"")</f>
        <v>84</v>
      </c>
      <c r="H224">
        <f>IFERROR(INDEX(Admissions_2024_2025!H:H,MATCH($B224,Admissions_2024_2025!$B:$B,0)),"")</f>
        <v>82</v>
      </c>
      <c r="I224">
        <f>IFERROR(INDEX(Admissions_2024_2025!I:I,MATCH($B224,Admissions_2024_2025!$B:$B,0)),"")</f>
        <v>0</v>
      </c>
      <c r="J224">
        <f>IFERROR(INDEX(Admissions_2024_2025!J:J,MATCH($B224,Admissions_2024_2025!$B:$B,0)),"")</f>
        <v>152</v>
      </c>
      <c r="K224">
        <f t="shared" si="15"/>
        <v>60.8</v>
      </c>
      <c r="L224">
        <f>IFERROR(INDEX(Admissions_2024_2025!L:L,MATCH($B224,Admissions_2024_2025!$B:$B,0)),"")</f>
        <v>18</v>
      </c>
      <c r="M224">
        <f t="shared" si="16"/>
        <v>36</v>
      </c>
      <c r="N224">
        <f t="shared" si="17"/>
        <v>103</v>
      </c>
      <c r="O224">
        <f t="shared" si="18"/>
        <v>72.535211267605632</v>
      </c>
      <c r="P224">
        <f t="shared" si="19"/>
        <v>56.445070422535217</v>
      </c>
      <c r="Q224" t="str">
        <f>IFERROR(INDEX(Admissions_2024_2025!Q:Q,MATCH($B224,Admissions_2024_2025!$B:$B,0)),"")</f>
        <v>Mild spatial bias</v>
      </c>
      <c r="R224">
        <f>IFERROR(INDEX(Admissions_2024_2025!R:R,MATCH($B224,Admissions_2024_2025!$B:$B,0)),"")</f>
        <v>88</v>
      </c>
      <c r="S224">
        <f>IFERROR(INDEX(Admissions_2024_2025!S:S,MATCH($B224,Admissions_2024_2025!$B:$B,0)),"")</f>
        <v>106</v>
      </c>
      <c r="T224">
        <f>IFERROR(INDEX(Admissions_2024_2025!T:T,MATCH($B224,Admissions_2024_2025!$B:$B,0)),"")</f>
        <v>116</v>
      </c>
      <c r="U224">
        <f>IFERROR(INDEX(Admissions_2024_2025!U:U,MATCH($B224,Admissions_2024_2025!$B:$B,0)),"")</f>
        <v>103</v>
      </c>
      <c r="V224">
        <f>IFERROR(INDEX(Admissions_2024_2025!V:V,MATCH($B165,Admissions_2024_2025!$B:$B,0)),"")</f>
        <v>0</v>
      </c>
      <c r="W224" t="str">
        <f>IFERROR(INDEX(Admissions_2024_2025!W:W,MATCH($B224,Admissions_2024_2025!$B:$B,0)),"")</f>
        <v>2025 accepted list; CAT4 2022/2023 proxy domains</v>
      </c>
    </row>
    <row r="225" spans="1:23" x14ac:dyDescent="0.3">
      <c r="A225" t="s">
        <v>419</v>
      </c>
      <c r="B225" t="s">
        <v>521</v>
      </c>
      <c r="C225" t="s">
        <v>522</v>
      </c>
      <c r="D225" t="str">
        <f>IFERROR(INDEX(Admissions_2024_2025!D:D,MATCH($B225,Admissions_2024_2025!$B:$B,0)),"")</f>
        <v>American Academy School - Althamama branch</v>
      </c>
      <c r="E225" t="str">
        <f>IFERROR(INDEX(Admissions_2024_2025!E:E,MATCH($B225,Admissions_2024_2025!$B:$B,0)),"")</f>
        <v>Int.</v>
      </c>
      <c r="F225">
        <f>IFERROR(INDEX(Admissions_2024_2025!F:F,MATCH($B225,Admissions_2024_2025!$B:$B,0)),"")</f>
        <v>88</v>
      </c>
      <c r="G225">
        <f>IFERROR(INDEX(Admissions_2024_2025!G:G,MATCH($B225,Admissions_2024_2025!$B:$B,0)),"")</f>
        <v>95</v>
      </c>
      <c r="H225">
        <f>IFERROR(INDEX(Admissions_2024_2025!H:H,MATCH($B225,Admissions_2024_2025!$B:$B,0)),"")</f>
        <v>98</v>
      </c>
      <c r="I225">
        <f>IFERROR(INDEX(Admissions_2024_2025!I:I,MATCH($B225,Admissions_2024_2025!$B:$B,0)),"")</f>
        <v>0</v>
      </c>
      <c r="J225">
        <f>IFERROR(INDEX(Admissions_2024_2025!J:J,MATCH($B225,Admissions_2024_2025!$B:$B,0)),"")</f>
        <v>149</v>
      </c>
      <c r="K225">
        <f t="shared" si="15"/>
        <v>59.599999999999994</v>
      </c>
      <c r="L225">
        <f>IFERROR(INDEX(Admissions_2024_2025!L:L,MATCH($B225,Admissions_2024_2025!$B:$B,0)),"")</f>
        <v>24</v>
      </c>
      <c r="M225">
        <f t="shared" si="16"/>
        <v>48</v>
      </c>
      <c r="N225">
        <f t="shared" si="17"/>
        <v>93</v>
      </c>
      <c r="O225">
        <f t="shared" si="18"/>
        <v>65.492957746478879</v>
      </c>
      <c r="P225">
        <f t="shared" si="19"/>
        <v>57.697652582159627</v>
      </c>
      <c r="Q225" t="str">
        <f>IFERROR(INDEX(Admissions_2024_2025!Q:Q,MATCH($B225,Admissions_2024_2025!$B:$B,0)),"")</f>
        <v>Moderate spatial bias</v>
      </c>
      <c r="R225">
        <f>IFERROR(INDEX(Admissions_2024_2025!R:R,MATCH($B225,Admissions_2024_2025!$B:$B,0)),"")</f>
        <v>77</v>
      </c>
      <c r="S225">
        <f>IFERROR(INDEX(Admissions_2024_2025!S:S,MATCH($B225,Admissions_2024_2025!$B:$B,0)),"")</f>
        <v>99</v>
      </c>
      <c r="T225">
        <f>IFERROR(INDEX(Admissions_2024_2025!T:T,MATCH($B225,Admissions_2024_2025!$B:$B,0)),"")</f>
        <v>98</v>
      </c>
      <c r="U225">
        <f>IFERROR(INDEX(Admissions_2024_2025!U:U,MATCH($B225,Admissions_2024_2025!$B:$B,0)),"")</f>
        <v>99</v>
      </c>
      <c r="V225">
        <f>IFERROR(INDEX(Admissions_2024_2025!V:V,MATCH($B166,Admissions_2024_2025!$B:$B,0)),"")</f>
        <v>0</v>
      </c>
      <c r="W225" t="str">
        <f>IFERROR(INDEX(Admissions_2024_2025!W:W,MATCH($B225,Admissions_2024_2025!$B:$B,0)),"")</f>
        <v>2025 accepted list; CAT4 2022/2023 proxy domains</v>
      </c>
    </row>
    <row r="226" spans="1:23" x14ac:dyDescent="0.3">
      <c r="A226" t="s">
        <v>419</v>
      </c>
      <c r="B226" t="s">
        <v>523</v>
      </c>
      <c r="C226" t="s">
        <v>524</v>
      </c>
      <c r="D226" t="str">
        <f>IFERROR(INDEX(Admissions_2024_2025!D:D,MATCH($B226,Admissions_2024_2025!$B:$B,0)),"")</f>
        <v>Al Maha English School - Pri - Boys</v>
      </c>
      <c r="E226" t="str">
        <f>IFERROR(INDEX(Admissions_2024_2025!E:E,MATCH($B226,Admissions_2024_2025!$B:$B,0)),"")</f>
        <v>Int.</v>
      </c>
      <c r="F226">
        <f>IFERROR(INDEX(Admissions_2024_2025!F:F,MATCH($B226,Admissions_2024_2025!$B:$B,0)),"")</f>
        <v>88</v>
      </c>
      <c r="G226">
        <f>IFERROR(INDEX(Admissions_2024_2025!G:G,MATCH($B226,Admissions_2024_2025!$B:$B,0)),"")</f>
        <v>89</v>
      </c>
      <c r="H226">
        <f>IFERROR(INDEX(Admissions_2024_2025!H:H,MATCH($B226,Admissions_2024_2025!$B:$B,0)),"")</f>
        <v>86</v>
      </c>
      <c r="I226">
        <f>IFERROR(INDEX(Admissions_2024_2025!I:I,MATCH($B226,Admissions_2024_2025!$B:$B,0)),"")</f>
        <v>0</v>
      </c>
      <c r="J226">
        <f>IFERROR(INDEX(Admissions_2024_2025!J:J,MATCH($B226,Admissions_2024_2025!$B:$B,0)),"")</f>
        <v>145</v>
      </c>
      <c r="K226">
        <f t="shared" si="15"/>
        <v>57.999999999999993</v>
      </c>
      <c r="L226">
        <f>IFERROR(INDEX(Admissions_2024_2025!L:L,MATCH($B226,Admissions_2024_2025!$B:$B,0)),"")</f>
        <v>22</v>
      </c>
      <c r="M226">
        <f t="shared" si="16"/>
        <v>44</v>
      </c>
      <c r="N226">
        <f t="shared" si="17"/>
        <v>104</v>
      </c>
      <c r="O226">
        <f t="shared" si="18"/>
        <v>73.239436619718319</v>
      </c>
      <c r="P226">
        <f t="shared" si="19"/>
        <v>58.413145539906111</v>
      </c>
      <c r="Q226" t="str">
        <f>IFERROR(INDEX(Admissions_2024_2025!Q:Q,MATCH($B226,Admissions_2024_2025!$B:$B,0)),"")</f>
        <v>Moderate spatial bias</v>
      </c>
      <c r="R226">
        <f>IFERROR(INDEX(Admissions_2024_2025!R:R,MATCH($B226,Admissions_2024_2025!$B:$B,0)),"")</f>
        <v>91</v>
      </c>
      <c r="S226">
        <f>IFERROR(INDEX(Admissions_2024_2025!S:S,MATCH($B226,Admissions_2024_2025!$B:$B,0)),"")</f>
        <v>95</v>
      </c>
      <c r="T226">
        <f>IFERROR(INDEX(Admissions_2024_2025!T:T,MATCH($B226,Admissions_2024_2025!$B:$B,0)),"")</f>
        <v>116</v>
      </c>
      <c r="U226">
        <f>IFERROR(INDEX(Admissions_2024_2025!U:U,MATCH($B226,Admissions_2024_2025!$B:$B,0)),"")</f>
        <v>115</v>
      </c>
      <c r="V226">
        <f>IFERROR(INDEX(Admissions_2024_2025!V:V,MATCH($B167,Admissions_2024_2025!$B:$B,0)),"")</f>
        <v>0</v>
      </c>
      <c r="W226" t="str">
        <f>IFERROR(INDEX(Admissions_2024_2025!W:W,MATCH($B226,Admissions_2024_2025!$B:$B,0)),"")</f>
        <v>2025 accepted list; CAT4 2022/2023 proxy domains</v>
      </c>
    </row>
    <row r="227" spans="1:23" x14ac:dyDescent="0.3">
      <c r="A227" t="s">
        <v>419</v>
      </c>
      <c r="B227" t="s">
        <v>525</v>
      </c>
      <c r="C227" t="s">
        <v>526</v>
      </c>
      <c r="D227" t="str">
        <f>IFERROR(INDEX(Admissions_2024_2025!D:D,MATCH($B227,Admissions_2024_2025!$B:$B,0)),"")</f>
        <v>Compass International - Khalifa</v>
      </c>
      <c r="E227" t="str">
        <f>IFERROR(INDEX(Admissions_2024_2025!E:E,MATCH($B227,Admissions_2024_2025!$B:$B,0)),"")</f>
        <v>Int.</v>
      </c>
      <c r="F227">
        <f>IFERROR(INDEX(Admissions_2024_2025!F:F,MATCH($B227,Admissions_2024_2025!$B:$B,0)),"")</f>
        <v>0</v>
      </c>
      <c r="G227">
        <f>IFERROR(INDEX(Admissions_2024_2025!G:G,MATCH($B227,Admissions_2024_2025!$B:$B,0)),"")</f>
        <v>0</v>
      </c>
      <c r="H227">
        <f>IFERROR(INDEX(Admissions_2024_2025!H:H,MATCH($B227,Admissions_2024_2025!$B:$B,0)),"")</f>
        <v>0</v>
      </c>
      <c r="I227">
        <f>IFERROR(INDEX(Admissions_2024_2025!I:I,MATCH($B227,Admissions_2024_2025!$B:$B,0)),"")</f>
        <v>0</v>
      </c>
      <c r="J227">
        <f>IFERROR(INDEX(Admissions_2024_2025!J:J,MATCH($B227,Admissions_2024_2025!$B:$B,0)),"")</f>
        <v>154</v>
      </c>
      <c r="K227">
        <f t="shared" si="15"/>
        <v>61.6</v>
      </c>
      <c r="L227">
        <f>IFERROR(INDEX(Admissions_2024_2025!L:L,MATCH($B227,Admissions_2024_2025!$B:$B,0)),"")</f>
        <v>31</v>
      </c>
      <c r="M227">
        <f t="shared" si="16"/>
        <v>62</v>
      </c>
      <c r="N227">
        <f t="shared" si="17"/>
        <v>110</v>
      </c>
      <c r="O227">
        <f t="shared" si="18"/>
        <v>77.464788732394368</v>
      </c>
      <c r="P227">
        <f t="shared" si="19"/>
        <v>67.021596244131459</v>
      </c>
      <c r="Q227" t="str">
        <f>IFERROR(INDEX(Admissions_2024_2025!Q:Q,MATCH($B227,Admissions_2024_2025!$B:$B,0)),"")</f>
        <v>Moderate spatial bias</v>
      </c>
      <c r="R227">
        <f>IFERROR(INDEX(Admissions_2024_2025!R:R,MATCH($B227,Admissions_2024_2025!$B:$B,0)),"")</f>
        <v>85</v>
      </c>
      <c r="S227">
        <f>IFERROR(INDEX(Admissions_2024_2025!S:S,MATCH($B227,Admissions_2024_2025!$B:$B,0)),"")</f>
        <v>129</v>
      </c>
      <c r="T227">
        <f>IFERROR(INDEX(Admissions_2024_2025!T:T,MATCH($B227,Admissions_2024_2025!$B:$B,0)),"")</f>
        <v>116</v>
      </c>
      <c r="U227">
        <f>IFERROR(INDEX(Admissions_2024_2025!U:U,MATCH($B227,Admissions_2024_2025!$B:$B,0)),"")</f>
        <v>110</v>
      </c>
      <c r="V227">
        <f>IFERROR(INDEX(Admissions_2024_2025!V:V,MATCH($B168,Admissions_2024_2025!$B:$B,0)),"")</f>
        <v>0</v>
      </c>
      <c r="W227" t="str">
        <f>IFERROR(INDEX(Admissions_2024_2025!W:W,MATCH($B227,Admissions_2024_2025!$B:$B,0)),"")</f>
        <v>2025 accepted list; CAT4 2022/2023 proxy domains</v>
      </c>
    </row>
    <row r="228" spans="1:23" x14ac:dyDescent="0.3">
      <c r="A228" t="s">
        <v>419</v>
      </c>
      <c r="B228" t="s">
        <v>527</v>
      </c>
      <c r="C228" t="s">
        <v>528</v>
      </c>
      <c r="D228" t="str">
        <f>IFERROR(INDEX(Admissions_2024_2025!D:D,MATCH($B228,Admissions_2024_2025!$B:$B,0)),"")</f>
        <v>Newton International SchoolÂ  Mixed - Alqitifia</v>
      </c>
      <c r="E228" t="str">
        <f>IFERROR(INDEX(Admissions_2024_2025!E:E,MATCH($B228,Admissions_2024_2025!$B:$B,0)),"")</f>
        <v>Int.</v>
      </c>
      <c r="F228">
        <f>IFERROR(INDEX(Admissions_2024_2025!F:F,MATCH($B228,Admissions_2024_2025!$B:$B,0)),"")</f>
        <v>6</v>
      </c>
      <c r="G228">
        <f>IFERROR(INDEX(Admissions_2024_2025!G:G,MATCH($B228,Admissions_2024_2025!$B:$B,0)),"")</f>
        <v>6</v>
      </c>
      <c r="H228">
        <f>IFERROR(INDEX(Admissions_2024_2025!H:H,MATCH($B228,Admissions_2024_2025!$B:$B,0)),"")</f>
        <v>8</v>
      </c>
      <c r="I228">
        <f>IFERROR(INDEX(Admissions_2024_2025!I:I,MATCH($B228,Admissions_2024_2025!$B:$B,0)),"")</f>
        <v>0</v>
      </c>
      <c r="J228">
        <f>IFERROR(INDEX(Admissions_2024_2025!J:J,MATCH($B228,Admissions_2024_2025!$B:$B,0)),"")</f>
        <v>148</v>
      </c>
      <c r="K228">
        <f t="shared" si="15"/>
        <v>59.199999999999996</v>
      </c>
      <c r="L228">
        <f>IFERROR(INDEX(Admissions_2024_2025!L:L,MATCH($B228,Admissions_2024_2025!$B:$B,0)),"")</f>
        <v>28</v>
      </c>
      <c r="M228">
        <f t="shared" si="16"/>
        <v>56.000000000000007</v>
      </c>
      <c r="N228">
        <f t="shared" si="17"/>
        <v>98</v>
      </c>
      <c r="O228">
        <f t="shared" si="18"/>
        <v>69.014084507042256</v>
      </c>
      <c r="P228">
        <f t="shared" si="19"/>
        <v>61.40469483568075</v>
      </c>
      <c r="Q228" t="str">
        <f>IFERROR(INDEX(Admissions_2024_2025!Q:Q,MATCH($B228,Admissions_2024_2025!$B:$B,0)),"")</f>
        <v>No bias</v>
      </c>
      <c r="R228">
        <f>IFERROR(INDEX(Admissions_2024_2025!R:R,MATCH($B228,Admissions_2024_2025!$B:$B,0)),"")</f>
        <v>97</v>
      </c>
      <c r="S228">
        <f>IFERROR(INDEX(Admissions_2024_2025!S:S,MATCH($B228,Admissions_2024_2025!$B:$B,0)),"")</f>
        <v>104</v>
      </c>
      <c r="T228">
        <f>IFERROR(INDEX(Admissions_2024_2025!T:T,MATCH($B228,Admissions_2024_2025!$B:$B,0)),"")</f>
        <v>98</v>
      </c>
      <c r="U228">
        <f>IFERROR(INDEX(Admissions_2024_2025!U:U,MATCH($B228,Admissions_2024_2025!$B:$B,0)),"")</f>
        <v>93</v>
      </c>
      <c r="V228">
        <f>IFERROR(INDEX(Admissions_2024_2025!V:V,MATCH($B169,Admissions_2024_2025!$B:$B,0)),"")</f>
        <v>0</v>
      </c>
      <c r="W228" t="str">
        <f>IFERROR(INDEX(Admissions_2024_2025!W:W,MATCH($B228,Admissions_2024_2025!$B:$B,0)),"")</f>
        <v>2025 accepted list; CAT4 2022/2023 proxy domains</v>
      </c>
    </row>
    <row r="229" spans="1:23" x14ac:dyDescent="0.3">
      <c r="A229" t="s">
        <v>419</v>
      </c>
      <c r="B229" t="s">
        <v>529</v>
      </c>
      <c r="C229" t="s">
        <v>530</v>
      </c>
      <c r="D229" t="str">
        <f>IFERROR(INDEX(Admissions_2024_2025!D:D,MATCH($B229,Admissions_2024_2025!$B:$B,0)),"")</f>
        <v>Ali ibn Abi Talib Preparatory School for Boys</v>
      </c>
      <c r="E229" t="str">
        <f>IFERROR(INDEX(Admissions_2024_2025!E:E,MATCH($B229,Admissions_2024_2025!$B:$B,0)),"")</f>
        <v>MOE</v>
      </c>
      <c r="F229">
        <f>IFERROR(INDEX(Admissions_2024_2025!F:F,MATCH($B229,Admissions_2024_2025!$B:$B,0)),"")</f>
        <v>100</v>
      </c>
      <c r="G229">
        <f>IFERROR(INDEX(Admissions_2024_2025!G:G,MATCH($B229,Admissions_2024_2025!$B:$B,0)),"")</f>
        <v>89</v>
      </c>
      <c r="H229">
        <f>IFERROR(INDEX(Admissions_2024_2025!H:H,MATCH($B229,Admissions_2024_2025!$B:$B,0)),"")</f>
        <v>98</v>
      </c>
      <c r="I229">
        <f>IFERROR(INDEX(Admissions_2024_2025!I:I,MATCH($B229,Admissions_2024_2025!$B:$B,0)),"")</f>
        <v>0</v>
      </c>
      <c r="J229">
        <f>IFERROR(INDEX(Admissions_2024_2025!J:J,MATCH($B229,Admissions_2024_2025!$B:$B,0)),"")</f>
        <v>152</v>
      </c>
      <c r="K229">
        <f t="shared" si="15"/>
        <v>60.8</v>
      </c>
      <c r="L229">
        <f>IFERROR(INDEX(Admissions_2024_2025!L:L,MATCH($B229,Admissions_2024_2025!$B:$B,0)),"")</f>
        <v>25</v>
      </c>
      <c r="M229">
        <f t="shared" si="16"/>
        <v>50</v>
      </c>
      <c r="N229">
        <f t="shared" si="17"/>
        <v>103</v>
      </c>
      <c r="O229">
        <f t="shared" si="18"/>
        <v>72.535211267605632</v>
      </c>
      <c r="P229">
        <f t="shared" si="19"/>
        <v>61.111737089201881</v>
      </c>
      <c r="Q229" t="str">
        <f>IFERROR(INDEX(Admissions_2024_2025!Q:Q,MATCH($B229,Admissions_2024_2025!$B:$B,0)),"")</f>
        <v>Mild spatial bias</v>
      </c>
      <c r="R229">
        <f>IFERROR(INDEX(Admissions_2024_2025!R:R,MATCH($B229,Admissions_2024_2025!$B:$B,0)),"")</f>
        <v>89</v>
      </c>
      <c r="S229">
        <f>IFERROR(INDEX(Admissions_2024_2025!S:S,MATCH($B229,Admissions_2024_2025!$B:$B,0)),"")</f>
        <v>104</v>
      </c>
      <c r="T229">
        <f>IFERROR(INDEX(Admissions_2024_2025!T:T,MATCH($B229,Admissions_2024_2025!$B:$B,0)),"")</f>
        <v>111</v>
      </c>
      <c r="U229">
        <f>IFERROR(INDEX(Admissions_2024_2025!U:U,MATCH($B229,Admissions_2024_2025!$B:$B,0)),"")</f>
        <v>106</v>
      </c>
      <c r="V229">
        <f>IFERROR(INDEX(Admissions_2024_2025!V:V,MATCH($B170,Admissions_2024_2025!$B:$B,0)),"")</f>
        <v>0</v>
      </c>
      <c r="W229" t="str">
        <f>IFERROR(INDEX(Admissions_2024_2025!W:W,MATCH($B229,Admissions_2024_2025!$B:$B,0)),"")</f>
        <v>2025 accepted list; CAT4 2022/2023 proxy domains</v>
      </c>
    </row>
    <row r="230" spans="1:23" x14ac:dyDescent="0.3">
      <c r="A230" t="s">
        <v>419</v>
      </c>
      <c r="B230" t="s">
        <v>531</v>
      </c>
      <c r="C230" t="s">
        <v>532</v>
      </c>
      <c r="D230" t="str">
        <f>IFERROR(INDEX(Admissions_2024_2025!D:D,MATCH($B230,Admissions_2024_2025!$B:$B,0)),"")</f>
        <v>Al-Furqan Private Prep - Boys</v>
      </c>
      <c r="E230" t="str">
        <f>IFERROR(INDEX(Admissions_2024_2025!E:E,MATCH($B230,Admissions_2024_2025!$B:$B,0)),"")</f>
        <v>MOE</v>
      </c>
      <c r="F230">
        <f>IFERROR(INDEX(Admissions_2024_2025!F:F,MATCH($B230,Admissions_2024_2025!$B:$B,0)),"")</f>
        <v>96</v>
      </c>
      <c r="G230">
        <f>IFERROR(INDEX(Admissions_2024_2025!G:G,MATCH($B230,Admissions_2024_2025!$B:$B,0)),"")</f>
        <v>94</v>
      </c>
      <c r="H230">
        <f>IFERROR(INDEX(Admissions_2024_2025!H:H,MATCH($B230,Admissions_2024_2025!$B:$B,0)),"")</f>
        <v>100</v>
      </c>
      <c r="I230">
        <f>IFERROR(INDEX(Admissions_2024_2025!I:I,MATCH($B230,Admissions_2024_2025!$B:$B,0)),"")</f>
        <v>0</v>
      </c>
      <c r="J230">
        <f>IFERROR(INDEX(Admissions_2024_2025!J:J,MATCH($B230,Admissions_2024_2025!$B:$B,0)),"")</f>
        <v>155</v>
      </c>
      <c r="K230">
        <f t="shared" si="15"/>
        <v>62</v>
      </c>
      <c r="L230">
        <f>IFERROR(INDEX(Admissions_2024_2025!L:L,MATCH($B230,Admissions_2024_2025!$B:$B,0)),"")</f>
        <v>29</v>
      </c>
      <c r="M230">
        <f t="shared" si="16"/>
        <v>57.999999999999993</v>
      </c>
      <c r="N230">
        <f t="shared" si="17"/>
        <v>92</v>
      </c>
      <c r="O230">
        <f t="shared" si="18"/>
        <v>64.788732394366207</v>
      </c>
      <c r="P230">
        <f t="shared" si="19"/>
        <v>61.5962441314554</v>
      </c>
      <c r="Q230" t="str">
        <f>IFERROR(INDEX(Admissions_2024_2025!Q:Q,MATCH($B230,Admissions_2024_2025!$B:$B,0)),"")</f>
        <v>No bias</v>
      </c>
      <c r="R230">
        <f>IFERROR(INDEX(Admissions_2024_2025!R:R,MATCH($B230,Admissions_2024_2025!$B:$B,0)),"")</f>
        <v>85</v>
      </c>
      <c r="S230">
        <f>IFERROR(INDEX(Admissions_2024_2025!S:S,MATCH($B230,Admissions_2024_2025!$B:$B,0)),"")</f>
        <v>108</v>
      </c>
      <c r="T230">
        <f>IFERROR(INDEX(Admissions_2024_2025!T:T,MATCH($B230,Admissions_2024_2025!$B:$B,0)),"")</f>
        <v>89</v>
      </c>
      <c r="U230">
        <f>IFERROR(INDEX(Admissions_2024_2025!U:U,MATCH($B230,Admissions_2024_2025!$B:$B,0)),"")</f>
        <v>86</v>
      </c>
      <c r="V230">
        <f>IFERROR(INDEX(Admissions_2024_2025!V:V,MATCH($B171,Admissions_2024_2025!$B:$B,0)),"")</f>
        <v>0</v>
      </c>
      <c r="W230" t="str">
        <f>IFERROR(INDEX(Admissions_2024_2025!W:W,MATCH($B230,Admissions_2024_2025!$B:$B,0)),"")</f>
        <v>2025 accepted list; CAT4 2022/2023 proxy domains</v>
      </c>
    </row>
    <row r="231" spans="1:23" x14ac:dyDescent="0.3">
      <c r="A231" t="s">
        <v>419</v>
      </c>
      <c r="B231" t="s">
        <v>533</v>
      </c>
      <c r="C231" t="s">
        <v>534</v>
      </c>
      <c r="D231" t="str">
        <f>IFERROR(INDEX(Admissions_2024_2025!D:D,MATCH($B231,Admissions_2024_2025!$B:$B,0)),"")</f>
        <v>Qatar Finland international School</v>
      </c>
      <c r="E231" t="str">
        <f>IFERROR(INDEX(Admissions_2024_2025!E:E,MATCH($B231,Admissions_2024_2025!$B:$B,0)),"")</f>
        <v>Int.</v>
      </c>
      <c r="F231">
        <f>IFERROR(INDEX(Admissions_2024_2025!F:F,MATCH($B231,Admissions_2024_2025!$B:$B,0)),"")</f>
        <v>6</v>
      </c>
      <c r="G231">
        <f>IFERROR(INDEX(Admissions_2024_2025!G:G,MATCH($B231,Admissions_2024_2025!$B:$B,0)),"")</f>
        <v>6.33</v>
      </c>
      <c r="H231">
        <f>IFERROR(INDEX(Admissions_2024_2025!H:H,MATCH($B231,Admissions_2024_2025!$B:$B,0)),"")</f>
        <v>5</v>
      </c>
      <c r="I231">
        <f>IFERROR(INDEX(Admissions_2024_2025!I:I,MATCH($B231,Admissions_2024_2025!$B:$B,0)),"")</f>
        <v>0</v>
      </c>
      <c r="J231">
        <f>IFERROR(INDEX(Admissions_2024_2025!J:J,MATCH($B231,Admissions_2024_2025!$B:$B,0)),"")</f>
        <v>146</v>
      </c>
      <c r="K231">
        <f t="shared" si="15"/>
        <v>58.4</v>
      </c>
      <c r="L231">
        <f>IFERROR(INDEX(Admissions_2024_2025!L:L,MATCH($B231,Admissions_2024_2025!$B:$B,0)),"")</f>
        <v>28</v>
      </c>
      <c r="M231">
        <f t="shared" si="16"/>
        <v>56.000000000000007</v>
      </c>
      <c r="N231">
        <f t="shared" si="17"/>
        <v>98</v>
      </c>
      <c r="O231">
        <f t="shared" si="18"/>
        <v>69.014084507042256</v>
      </c>
      <c r="P231">
        <f t="shared" si="19"/>
        <v>61.138028169014092</v>
      </c>
      <c r="Q231" t="str">
        <f>IFERROR(INDEX(Admissions_2024_2025!Q:Q,MATCH($B231,Admissions_2024_2025!$B:$B,0)),"")</f>
        <v>Mild spatial bias</v>
      </c>
      <c r="R231">
        <f>IFERROR(INDEX(Admissions_2024_2025!R:R,MATCH($B231,Admissions_2024_2025!$B:$B,0)),"")</f>
        <v>80</v>
      </c>
      <c r="S231">
        <f>IFERROR(INDEX(Admissions_2024_2025!S:S,MATCH($B231,Admissions_2024_2025!$B:$B,0)),"")</f>
        <v>95</v>
      </c>
      <c r="T231">
        <f>IFERROR(INDEX(Admissions_2024_2025!T:T,MATCH($B231,Admissions_2024_2025!$B:$B,0)),"")</f>
        <v>120</v>
      </c>
      <c r="U231">
        <f>IFERROR(INDEX(Admissions_2024_2025!U:U,MATCH($B231,Admissions_2024_2025!$B:$B,0)),"")</f>
        <v>95</v>
      </c>
      <c r="V231">
        <f>IFERROR(INDEX(Admissions_2024_2025!V:V,MATCH($B172,Admissions_2024_2025!$B:$B,0)),"")</f>
        <v>0</v>
      </c>
      <c r="W231" t="str">
        <f>IFERROR(INDEX(Admissions_2024_2025!W:W,MATCH($B231,Admissions_2024_2025!$B:$B,0)),"")</f>
        <v>2025 accepted list; CAT4 2022/2023 proxy domains</v>
      </c>
    </row>
    <row r="232" spans="1:23" x14ac:dyDescent="0.3">
      <c r="A232" t="s">
        <v>419</v>
      </c>
      <c r="B232" t="s">
        <v>535</v>
      </c>
      <c r="C232" t="s">
        <v>536</v>
      </c>
      <c r="D232" t="str">
        <f>IFERROR(INDEX(Admissions_2024_2025!D:D,MATCH($B232,Admissions_2024_2025!$B:$B,0)),"")</f>
        <v>Al-Furqan Private Prep - Boys</v>
      </c>
      <c r="E232" t="str">
        <f>IFERROR(INDEX(Admissions_2024_2025!E:E,MATCH($B232,Admissions_2024_2025!$B:$B,0)),"")</f>
        <v>MOE</v>
      </c>
      <c r="F232">
        <f>IFERROR(INDEX(Admissions_2024_2025!F:F,MATCH($B232,Admissions_2024_2025!$B:$B,0)),"")</f>
        <v>96</v>
      </c>
      <c r="G232">
        <f>IFERROR(INDEX(Admissions_2024_2025!G:G,MATCH($B232,Admissions_2024_2025!$B:$B,0)),"")</f>
        <v>85</v>
      </c>
      <c r="H232">
        <f>IFERROR(INDEX(Admissions_2024_2025!H:H,MATCH($B232,Admissions_2024_2025!$B:$B,0)),"")</f>
        <v>90</v>
      </c>
      <c r="I232">
        <f>IFERROR(INDEX(Admissions_2024_2025!I:I,MATCH($B232,Admissions_2024_2025!$B:$B,0)),"")</f>
        <v>0</v>
      </c>
      <c r="J232">
        <f>IFERROR(INDEX(Admissions_2024_2025!J:J,MATCH($B232,Admissions_2024_2025!$B:$B,0)),"")</f>
        <v>177</v>
      </c>
      <c r="K232">
        <f t="shared" si="15"/>
        <v>70.8</v>
      </c>
      <c r="L232">
        <f>IFERROR(INDEX(Admissions_2024_2025!L:L,MATCH($B232,Admissions_2024_2025!$B:$B,0)),"")</f>
        <v>18</v>
      </c>
      <c r="M232">
        <f t="shared" si="16"/>
        <v>36</v>
      </c>
      <c r="N232">
        <f t="shared" si="17"/>
        <v>102</v>
      </c>
      <c r="O232">
        <f t="shared" si="18"/>
        <v>71.83098591549296</v>
      </c>
      <c r="P232">
        <f t="shared" si="19"/>
        <v>59.543661971830979</v>
      </c>
      <c r="Q232" t="str">
        <f>IFERROR(INDEX(Admissions_2024_2025!Q:Q,MATCH($B232,Admissions_2024_2025!$B:$B,0)),"")</f>
        <v>Moderate verbal bias</v>
      </c>
      <c r="R232">
        <f>IFERROR(INDEX(Admissions_2024_2025!R:R,MATCH($B232,Admissions_2024_2025!$B:$B,0)),"")</f>
        <v>113</v>
      </c>
      <c r="S232">
        <f>IFERROR(INDEX(Admissions_2024_2025!S:S,MATCH($B232,Admissions_2024_2025!$B:$B,0)),"")</f>
        <v>96</v>
      </c>
      <c r="T232">
        <f>IFERROR(INDEX(Admissions_2024_2025!T:T,MATCH($B232,Admissions_2024_2025!$B:$B,0)),"")</f>
        <v>105</v>
      </c>
      <c r="U232">
        <f>IFERROR(INDEX(Admissions_2024_2025!U:U,MATCH($B232,Admissions_2024_2025!$B:$B,0)),"")</f>
        <v>95</v>
      </c>
      <c r="V232">
        <f>IFERROR(INDEX(Admissions_2024_2025!V:V,MATCH($B173,Admissions_2024_2025!$B:$B,0)),"")</f>
        <v>0</v>
      </c>
      <c r="W232" t="str">
        <f>IFERROR(INDEX(Admissions_2024_2025!W:W,MATCH($B232,Admissions_2024_2025!$B:$B,0)),"")</f>
        <v>2025 accepted list; CAT4 2022/2023 proxy domains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32"/>
  <sheetViews>
    <sheetView workbookViewId="0"/>
  </sheetViews>
  <sheetFormatPr defaultRowHeight="14.4" x14ac:dyDescent="0.3"/>
  <sheetData>
    <row r="1" spans="1:23" ht="43.2" customHeight="1" x14ac:dyDescent="0.3">
      <c r="A1" s="27" t="s">
        <v>39</v>
      </c>
      <c r="B1" s="27" t="s">
        <v>40</v>
      </c>
      <c r="C1" s="27" t="s">
        <v>41</v>
      </c>
      <c r="D1" s="27" t="s">
        <v>537</v>
      </c>
      <c r="E1" s="27" t="s">
        <v>538</v>
      </c>
      <c r="F1" s="27" t="s">
        <v>539</v>
      </c>
      <c r="G1" s="27" t="s">
        <v>540</v>
      </c>
      <c r="H1" s="27" t="s">
        <v>541</v>
      </c>
      <c r="I1" s="27" t="s">
        <v>542</v>
      </c>
      <c r="J1" s="27" t="s">
        <v>543</v>
      </c>
      <c r="K1" s="27" t="s">
        <v>544</v>
      </c>
      <c r="L1" s="27" t="s">
        <v>545</v>
      </c>
      <c r="M1" s="27" t="s">
        <v>546</v>
      </c>
      <c r="N1" s="27" t="s">
        <v>547</v>
      </c>
      <c r="O1" s="27" t="s">
        <v>548</v>
      </c>
      <c r="P1" s="27" t="s">
        <v>47</v>
      </c>
      <c r="Q1" s="27" t="s">
        <v>549</v>
      </c>
      <c r="R1" s="27" t="s">
        <v>550</v>
      </c>
      <c r="S1" s="27" t="s">
        <v>551</v>
      </c>
      <c r="T1" s="27" t="s">
        <v>552</v>
      </c>
      <c r="U1" s="27" t="s">
        <v>553</v>
      </c>
      <c r="V1" s="27" t="s">
        <v>554</v>
      </c>
      <c r="W1" s="27" t="s">
        <v>555</v>
      </c>
    </row>
    <row r="2" spans="1:23" x14ac:dyDescent="0.3">
      <c r="A2" t="s">
        <v>60</v>
      </c>
      <c r="B2" t="s">
        <v>61</v>
      </c>
      <c r="C2" t="s">
        <v>62</v>
      </c>
      <c r="F2">
        <v>46</v>
      </c>
      <c r="G2">
        <v>68</v>
      </c>
      <c r="H2">
        <v>80</v>
      </c>
      <c r="J2">
        <v>115</v>
      </c>
      <c r="K2">
        <f t="shared" ref="K2:K65" si="0">IF(J2="","",J2/250*100)</f>
        <v>46</v>
      </c>
      <c r="L2">
        <v>60</v>
      </c>
      <c r="M2">
        <f t="shared" ref="M2:M65" si="1">IF(L2="","",L2/50*100)</f>
        <v>120</v>
      </c>
      <c r="N2" t="str">
        <f t="shared" ref="N2:N65" si="2">IF(COUNT(R2:U2)=0,"",ROUND(AVERAGE(R2:U2),0))</f>
        <v/>
      </c>
      <c r="O2" t="str">
        <f t="shared" ref="O2:O65" si="3">IF(N2="","",N2/142*100)</f>
        <v/>
      </c>
      <c r="P2">
        <f t="shared" ref="P2:P65" si="4">IF(COUNT(K2,M2,O2)=0,"",AVERAGE(K2,M2,O2))</f>
        <v>83</v>
      </c>
      <c r="Q2" t="str">
        <f>IF($A2="Class of 2022","",IFERROR(INDEX(CAT4_2022_2023!$F:$F,MATCH($B2,CAT4_2022_2023!$A:$A,0)),IFERROR(INDEX(CAT4_2021_2022!$F:$F,MATCH($B2,CAT4_2021_2022!$A:$A,0)),"")))</f>
        <v/>
      </c>
      <c r="R2" t="str">
        <f>IF($A2="Class of 2022","",IFERROR(INDEX(CAT4_2022_2023!$G:$G,MATCH($B2,CAT4_2022_2023!$A:$A,0)),IFERROR(INDEX(CAT4_2021_2022!$G:$G,MATCH($B2,CAT4_2021_2022!$A:$A,0)),"")))</f>
        <v/>
      </c>
      <c r="S2" t="str">
        <f>IF($A2="Class of 2022","",IFERROR(INDEX(CAT4_2022_2023!$H:$H,MATCH($B2,CAT4_2022_2023!$A:$A,0)),IFERROR(INDEX(CAT4_2021_2022!$H:$H,MATCH($B2,CAT4_2021_2022!$A:$A,0)),"")))</f>
        <v/>
      </c>
      <c r="T2" t="str">
        <f>IF($A2="Class of 2022","",IFERROR(INDEX(CAT4_2022_2023!$I:$I,MATCH($B2,CAT4_2022_2023!$A:$A,0)),IFERROR(INDEX(CAT4_2021_2022!$I:$I,MATCH($B2,CAT4_2021_2022!$A:$A,0)),"")))</f>
        <v/>
      </c>
      <c r="U2" t="str">
        <f>IF($A2="Class of 2022","",IFERROR(INDEX(CAT4_2022_2023!$J:$J,MATCH($B2,CAT4_2022_2023!$A:$A,0)),IFERROR(INDEX(CAT4_2021_2022!$J:$J,MATCH($B2,CAT4_2021_2022!$A:$A,0)),"")))</f>
        <v/>
      </c>
      <c r="W2" t="s">
        <v>556</v>
      </c>
    </row>
    <row r="3" spans="1:23" x14ac:dyDescent="0.3">
      <c r="A3" t="s">
        <v>60</v>
      </c>
      <c r="B3" t="s">
        <v>67</v>
      </c>
      <c r="C3" t="s">
        <v>68</v>
      </c>
      <c r="F3">
        <v>70.8</v>
      </c>
      <c r="G3">
        <v>88.000000000000014</v>
      </c>
      <c r="H3">
        <v>78.666666666666671</v>
      </c>
      <c r="J3">
        <v>177</v>
      </c>
      <c r="K3">
        <f t="shared" si="0"/>
        <v>70.8</v>
      </c>
      <c r="L3">
        <v>59</v>
      </c>
      <c r="M3">
        <f t="shared" si="1"/>
        <v>118</v>
      </c>
      <c r="N3" t="str">
        <f t="shared" si="2"/>
        <v/>
      </c>
      <c r="O3" t="str">
        <f t="shared" si="3"/>
        <v/>
      </c>
      <c r="P3">
        <f t="shared" si="4"/>
        <v>94.4</v>
      </c>
      <c r="Q3" t="str">
        <f>IF($A3="Class of 2022","",IFERROR(INDEX(CAT4_2022_2023!$F:$F,MATCH($B3,CAT4_2022_2023!$A:$A,0)),IFERROR(INDEX(CAT4_2021_2022!$F:$F,MATCH($B3,CAT4_2021_2022!$A:$A,0)),"")))</f>
        <v/>
      </c>
      <c r="R3" t="str">
        <f>IF($A3="Class of 2022","",IFERROR(INDEX(CAT4_2022_2023!$G:$G,MATCH($B3,CAT4_2022_2023!$A:$A,0)),IFERROR(INDEX(CAT4_2021_2022!$G:$G,MATCH($B3,CAT4_2021_2022!$A:$A,0)),"")))</f>
        <v/>
      </c>
      <c r="S3" t="str">
        <f>IF($A3="Class of 2022","",IFERROR(INDEX(CAT4_2022_2023!$H:$H,MATCH($B3,CAT4_2022_2023!$A:$A,0)),IFERROR(INDEX(CAT4_2021_2022!$H:$H,MATCH($B3,CAT4_2021_2022!$A:$A,0)),"")))</f>
        <v/>
      </c>
      <c r="T3" t="str">
        <f>IF($A3="Class of 2022","",IFERROR(INDEX(CAT4_2022_2023!$I:$I,MATCH($B3,CAT4_2022_2023!$A:$A,0)),IFERROR(INDEX(CAT4_2021_2022!$I:$I,MATCH($B3,CAT4_2021_2022!$A:$A,0)),"")))</f>
        <v/>
      </c>
      <c r="U3" t="str">
        <f>IF($A3="Class of 2022","",IFERROR(INDEX(CAT4_2022_2023!$J:$J,MATCH($B3,CAT4_2022_2023!$A:$A,0)),IFERROR(INDEX(CAT4_2021_2022!$J:$J,MATCH($B3,CAT4_2021_2022!$A:$A,0)),"")))</f>
        <v/>
      </c>
      <c r="W3" t="s">
        <v>556</v>
      </c>
    </row>
    <row r="4" spans="1:23" x14ac:dyDescent="0.3">
      <c r="A4" t="s">
        <v>60</v>
      </c>
      <c r="B4" t="s">
        <v>69</v>
      </c>
      <c r="C4" t="s">
        <v>70</v>
      </c>
      <c r="F4">
        <v>56</v>
      </c>
      <c r="G4">
        <v>72</v>
      </c>
      <c r="H4">
        <v>72</v>
      </c>
      <c r="J4">
        <v>140</v>
      </c>
      <c r="K4">
        <f t="shared" si="0"/>
        <v>56.000000000000007</v>
      </c>
      <c r="L4">
        <v>54</v>
      </c>
      <c r="M4">
        <f t="shared" si="1"/>
        <v>108</v>
      </c>
      <c r="N4" t="str">
        <f t="shared" si="2"/>
        <v/>
      </c>
      <c r="O4" t="str">
        <f t="shared" si="3"/>
        <v/>
      </c>
      <c r="P4">
        <f t="shared" si="4"/>
        <v>82</v>
      </c>
      <c r="Q4" t="str">
        <f>IF($A4="Class of 2022","",IFERROR(INDEX(CAT4_2022_2023!$F:$F,MATCH($B4,CAT4_2022_2023!$A:$A,0)),IFERROR(INDEX(CAT4_2021_2022!$F:$F,MATCH($B4,CAT4_2021_2022!$A:$A,0)),"")))</f>
        <v/>
      </c>
      <c r="R4" t="str">
        <f>IF($A4="Class of 2022","",IFERROR(INDEX(CAT4_2022_2023!$G:$G,MATCH($B4,CAT4_2022_2023!$A:$A,0)),IFERROR(INDEX(CAT4_2021_2022!$G:$G,MATCH($B4,CAT4_2021_2022!$A:$A,0)),"")))</f>
        <v/>
      </c>
      <c r="S4" t="str">
        <f>IF($A4="Class of 2022","",IFERROR(INDEX(CAT4_2022_2023!$H:$H,MATCH($B4,CAT4_2022_2023!$A:$A,0)),IFERROR(INDEX(CAT4_2021_2022!$H:$H,MATCH($B4,CAT4_2021_2022!$A:$A,0)),"")))</f>
        <v/>
      </c>
      <c r="T4" t="str">
        <f>IF($A4="Class of 2022","",IFERROR(INDEX(CAT4_2022_2023!$I:$I,MATCH($B4,CAT4_2022_2023!$A:$A,0)),IFERROR(INDEX(CAT4_2021_2022!$I:$I,MATCH($B4,CAT4_2021_2022!$A:$A,0)),"")))</f>
        <v/>
      </c>
      <c r="U4" t="str">
        <f>IF($A4="Class of 2022","",IFERROR(INDEX(CAT4_2022_2023!$J:$J,MATCH($B4,CAT4_2022_2023!$A:$A,0)),IFERROR(INDEX(CAT4_2021_2022!$J:$J,MATCH($B4,CAT4_2021_2022!$A:$A,0)),"")))</f>
        <v/>
      </c>
      <c r="W4" t="s">
        <v>556</v>
      </c>
    </row>
    <row r="5" spans="1:23" x14ac:dyDescent="0.3">
      <c r="A5" t="s">
        <v>60</v>
      </c>
      <c r="B5" t="s">
        <v>71</v>
      </c>
      <c r="C5" t="s">
        <v>72</v>
      </c>
      <c r="F5">
        <v>54.4</v>
      </c>
      <c r="G5">
        <v>84</v>
      </c>
      <c r="H5">
        <v>69.333333333333329</v>
      </c>
      <c r="J5">
        <v>136</v>
      </c>
      <c r="K5">
        <f t="shared" si="0"/>
        <v>54.400000000000006</v>
      </c>
      <c r="L5">
        <v>52</v>
      </c>
      <c r="M5">
        <f t="shared" si="1"/>
        <v>104</v>
      </c>
      <c r="N5" t="str">
        <f t="shared" si="2"/>
        <v/>
      </c>
      <c r="O5" t="str">
        <f t="shared" si="3"/>
        <v/>
      </c>
      <c r="P5">
        <f t="shared" si="4"/>
        <v>79.2</v>
      </c>
      <c r="Q5" t="str">
        <f>IF($A5="Class of 2022","",IFERROR(INDEX(CAT4_2022_2023!$F:$F,MATCH($B5,CAT4_2022_2023!$A:$A,0)),IFERROR(INDEX(CAT4_2021_2022!$F:$F,MATCH($B5,CAT4_2021_2022!$A:$A,0)),"")))</f>
        <v/>
      </c>
      <c r="R5" t="str">
        <f>IF($A5="Class of 2022","",IFERROR(INDEX(CAT4_2022_2023!$G:$G,MATCH($B5,CAT4_2022_2023!$A:$A,0)),IFERROR(INDEX(CAT4_2021_2022!$G:$G,MATCH($B5,CAT4_2021_2022!$A:$A,0)),"")))</f>
        <v/>
      </c>
      <c r="S5" t="str">
        <f>IF($A5="Class of 2022","",IFERROR(INDEX(CAT4_2022_2023!$H:$H,MATCH($B5,CAT4_2022_2023!$A:$A,0)),IFERROR(INDEX(CAT4_2021_2022!$H:$H,MATCH($B5,CAT4_2021_2022!$A:$A,0)),"")))</f>
        <v/>
      </c>
      <c r="T5" t="str">
        <f>IF($A5="Class of 2022","",IFERROR(INDEX(CAT4_2022_2023!$I:$I,MATCH($B5,CAT4_2022_2023!$A:$A,0)),IFERROR(INDEX(CAT4_2021_2022!$I:$I,MATCH($B5,CAT4_2021_2022!$A:$A,0)),"")))</f>
        <v/>
      </c>
      <c r="U5" t="str">
        <f>IF($A5="Class of 2022","",IFERROR(INDEX(CAT4_2022_2023!$J:$J,MATCH($B5,CAT4_2022_2023!$A:$A,0)),IFERROR(INDEX(CAT4_2021_2022!$J:$J,MATCH($B5,CAT4_2021_2022!$A:$A,0)),"")))</f>
        <v/>
      </c>
      <c r="W5" t="s">
        <v>556</v>
      </c>
    </row>
    <row r="6" spans="1:23" x14ac:dyDescent="0.3">
      <c r="A6" t="s">
        <v>60</v>
      </c>
      <c r="B6" t="s">
        <v>73</v>
      </c>
      <c r="C6" t="s">
        <v>74</v>
      </c>
      <c r="F6">
        <v>59.2</v>
      </c>
      <c r="G6">
        <v>80</v>
      </c>
      <c r="H6">
        <v>76</v>
      </c>
      <c r="J6">
        <v>148</v>
      </c>
      <c r="K6">
        <f t="shared" si="0"/>
        <v>59.199999999999996</v>
      </c>
      <c r="L6">
        <v>57</v>
      </c>
      <c r="M6">
        <f t="shared" si="1"/>
        <v>113.99999999999999</v>
      </c>
      <c r="N6" t="str">
        <f t="shared" si="2"/>
        <v/>
      </c>
      <c r="O6" t="str">
        <f t="shared" si="3"/>
        <v/>
      </c>
      <c r="P6">
        <f t="shared" si="4"/>
        <v>86.6</v>
      </c>
      <c r="Q6" t="str">
        <f>IF($A6="Class of 2022","",IFERROR(INDEX(CAT4_2022_2023!$F:$F,MATCH($B6,CAT4_2022_2023!$A:$A,0)),IFERROR(INDEX(CAT4_2021_2022!$F:$F,MATCH($B6,CAT4_2021_2022!$A:$A,0)),"")))</f>
        <v/>
      </c>
      <c r="R6" t="str">
        <f>IF($A6="Class of 2022","",IFERROR(INDEX(CAT4_2022_2023!$G:$G,MATCH($B6,CAT4_2022_2023!$A:$A,0)),IFERROR(INDEX(CAT4_2021_2022!$G:$G,MATCH($B6,CAT4_2021_2022!$A:$A,0)),"")))</f>
        <v/>
      </c>
      <c r="S6" t="str">
        <f>IF($A6="Class of 2022","",IFERROR(INDEX(CAT4_2022_2023!$H:$H,MATCH($B6,CAT4_2022_2023!$A:$A,0)),IFERROR(INDEX(CAT4_2021_2022!$H:$H,MATCH($B6,CAT4_2021_2022!$A:$A,0)),"")))</f>
        <v/>
      </c>
      <c r="T6" t="str">
        <f>IF($A6="Class of 2022","",IFERROR(INDEX(CAT4_2022_2023!$I:$I,MATCH($B6,CAT4_2022_2023!$A:$A,0)),IFERROR(INDEX(CAT4_2021_2022!$I:$I,MATCH($B6,CAT4_2021_2022!$A:$A,0)),"")))</f>
        <v/>
      </c>
      <c r="U6" t="str">
        <f>IF($A6="Class of 2022","",IFERROR(INDEX(CAT4_2022_2023!$J:$J,MATCH($B6,CAT4_2022_2023!$A:$A,0)),IFERROR(INDEX(CAT4_2021_2022!$J:$J,MATCH($B6,CAT4_2021_2022!$A:$A,0)),"")))</f>
        <v/>
      </c>
      <c r="W6" t="s">
        <v>556</v>
      </c>
    </row>
    <row r="7" spans="1:23" x14ac:dyDescent="0.3">
      <c r="A7" t="s">
        <v>60</v>
      </c>
      <c r="B7" t="s">
        <v>75</v>
      </c>
      <c r="C7" t="s">
        <v>76</v>
      </c>
      <c r="F7">
        <v>67.2</v>
      </c>
      <c r="G7">
        <v>96</v>
      </c>
      <c r="H7">
        <v>54.666666666666657</v>
      </c>
      <c r="J7">
        <v>168</v>
      </c>
      <c r="K7">
        <f t="shared" si="0"/>
        <v>67.2</v>
      </c>
      <c r="L7">
        <v>41</v>
      </c>
      <c r="M7">
        <f t="shared" si="1"/>
        <v>82</v>
      </c>
      <c r="N7" t="str">
        <f t="shared" si="2"/>
        <v/>
      </c>
      <c r="O7" t="str">
        <f t="shared" si="3"/>
        <v/>
      </c>
      <c r="P7">
        <f t="shared" si="4"/>
        <v>74.599999999999994</v>
      </c>
      <c r="Q7" t="str">
        <f>IF($A7="Class of 2022","",IFERROR(INDEX(CAT4_2022_2023!$F:$F,MATCH($B7,CAT4_2022_2023!$A:$A,0)),IFERROR(INDEX(CAT4_2021_2022!$F:$F,MATCH($B7,CAT4_2021_2022!$A:$A,0)),"")))</f>
        <v/>
      </c>
      <c r="R7" t="str">
        <f>IF($A7="Class of 2022","",IFERROR(INDEX(CAT4_2022_2023!$G:$G,MATCH($B7,CAT4_2022_2023!$A:$A,0)),IFERROR(INDEX(CAT4_2021_2022!$G:$G,MATCH($B7,CAT4_2021_2022!$A:$A,0)),"")))</f>
        <v/>
      </c>
      <c r="S7" t="str">
        <f>IF($A7="Class of 2022","",IFERROR(INDEX(CAT4_2022_2023!$H:$H,MATCH($B7,CAT4_2022_2023!$A:$A,0)),IFERROR(INDEX(CAT4_2021_2022!$H:$H,MATCH($B7,CAT4_2021_2022!$A:$A,0)),"")))</f>
        <v/>
      </c>
      <c r="T7" t="str">
        <f>IF($A7="Class of 2022","",IFERROR(INDEX(CAT4_2022_2023!$I:$I,MATCH($B7,CAT4_2022_2023!$A:$A,0)),IFERROR(INDEX(CAT4_2021_2022!$I:$I,MATCH($B7,CAT4_2021_2022!$A:$A,0)),"")))</f>
        <v/>
      </c>
      <c r="U7" t="str">
        <f>IF($A7="Class of 2022","",IFERROR(INDEX(CAT4_2022_2023!$J:$J,MATCH($B7,CAT4_2022_2023!$A:$A,0)),IFERROR(INDEX(CAT4_2021_2022!$J:$J,MATCH($B7,CAT4_2021_2022!$A:$A,0)),"")))</f>
        <v/>
      </c>
      <c r="W7" t="s">
        <v>556</v>
      </c>
    </row>
    <row r="8" spans="1:23" x14ac:dyDescent="0.3">
      <c r="A8" t="s">
        <v>60</v>
      </c>
      <c r="B8" t="s">
        <v>77</v>
      </c>
      <c r="C8" t="s">
        <v>78</v>
      </c>
      <c r="F8">
        <v>58.4</v>
      </c>
      <c r="G8">
        <v>88.000000000000014</v>
      </c>
      <c r="H8">
        <v>62.666666666666657</v>
      </c>
      <c r="J8">
        <v>146</v>
      </c>
      <c r="K8">
        <f t="shared" si="0"/>
        <v>58.4</v>
      </c>
      <c r="L8">
        <v>47</v>
      </c>
      <c r="M8">
        <f t="shared" si="1"/>
        <v>94</v>
      </c>
      <c r="N8" t="str">
        <f t="shared" si="2"/>
        <v/>
      </c>
      <c r="O8" t="str">
        <f t="shared" si="3"/>
        <v/>
      </c>
      <c r="P8">
        <f t="shared" si="4"/>
        <v>76.2</v>
      </c>
      <c r="Q8" t="str">
        <f>IF($A8="Class of 2022","",IFERROR(INDEX(CAT4_2022_2023!$F:$F,MATCH($B8,CAT4_2022_2023!$A:$A,0)),IFERROR(INDEX(CAT4_2021_2022!$F:$F,MATCH($B8,CAT4_2021_2022!$A:$A,0)),"")))</f>
        <v/>
      </c>
      <c r="R8" t="str">
        <f>IF($A8="Class of 2022","",IFERROR(INDEX(CAT4_2022_2023!$G:$G,MATCH($B8,CAT4_2022_2023!$A:$A,0)),IFERROR(INDEX(CAT4_2021_2022!$G:$G,MATCH($B8,CAT4_2021_2022!$A:$A,0)),"")))</f>
        <v/>
      </c>
      <c r="S8" t="str">
        <f>IF($A8="Class of 2022","",IFERROR(INDEX(CAT4_2022_2023!$H:$H,MATCH($B8,CAT4_2022_2023!$A:$A,0)),IFERROR(INDEX(CAT4_2021_2022!$H:$H,MATCH($B8,CAT4_2021_2022!$A:$A,0)),"")))</f>
        <v/>
      </c>
      <c r="T8" t="str">
        <f>IF($A8="Class of 2022","",IFERROR(INDEX(CAT4_2022_2023!$I:$I,MATCH($B8,CAT4_2022_2023!$A:$A,0)),IFERROR(INDEX(CAT4_2021_2022!$I:$I,MATCH($B8,CAT4_2021_2022!$A:$A,0)),"")))</f>
        <v/>
      </c>
      <c r="U8" t="str">
        <f>IF($A8="Class of 2022","",IFERROR(INDEX(CAT4_2022_2023!$J:$J,MATCH($B8,CAT4_2022_2023!$A:$A,0)),IFERROR(INDEX(CAT4_2021_2022!$J:$J,MATCH($B8,CAT4_2021_2022!$A:$A,0)),"")))</f>
        <v/>
      </c>
      <c r="W8" t="s">
        <v>556</v>
      </c>
    </row>
    <row r="9" spans="1:23" x14ac:dyDescent="0.3">
      <c r="A9" t="s">
        <v>60</v>
      </c>
      <c r="B9" t="s">
        <v>79</v>
      </c>
      <c r="C9" t="s">
        <v>80</v>
      </c>
      <c r="F9">
        <v>57.6</v>
      </c>
      <c r="G9">
        <v>88.000000000000014</v>
      </c>
      <c r="H9">
        <v>74.666666666666671</v>
      </c>
      <c r="J9">
        <v>144</v>
      </c>
      <c r="K9">
        <f t="shared" si="0"/>
        <v>57.599999999999994</v>
      </c>
      <c r="L9">
        <v>56</v>
      </c>
      <c r="M9">
        <f t="shared" si="1"/>
        <v>112.00000000000001</v>
      </c>
      <c r="N9" t="str">
        <f t="shared" si="2"/>
        <v/>
      </c>
      <c r="O9" t="str">
        <f t="shared" si="3"/>
        <v/>
      </c>
      <c r="P9">
        <f t="shared" si="4"/>
        <v>84.800000000000011</v>
      </c>
      <c r="Q9" t="str">
        <f>IF($A9="Class of 2022","",IFERROR(INDEX(CAT4_2022_2023!$F:$F,MATCH($B9,CAT4_2022_2023!$A:$A,0)),IFERROR(INDEX(CAT4_2021_2022!$F:$F,MATCH($B9,CAT4_2021_2022!$A:$A,0)),"")))</f>
        <v/>
      </c>
      <c r="R9" t="str">
        <f>IF($A9="Class of 2022","",IFERROR(INDEX(CAT4_2022_2023!$G:$G,MATCH($B9,CAT4_2022_2023!$A:$A,0)),IFERROR(INDEX(CAT4_2021_2022!$G:$G,MATCH($B9,CAT4_2021_2022!$A:$A,0)),"")))</f>
        <v/>
      </c>
      <c r="S9" t="str">
        <f>IF($A9="Class of 2022","",IFERROR(INDEX(CAT4_2022_2023!$H:$H,MATCH($B9,CAT4_2022_2023!$A:$A,0)),IFERROR(INDEX(CAT4_2021_2022!$H:$H,MATCH($B9,CAT4_2021_2022!$A:$A,0)),"")))</f>
        <v/>
      </c>
      <c r="T9" t="str">
        <f>IF($A9="Class of 2022","",IFERROR(INDEX(CAT4_2022_2023!$I:$I,MATCH($B9,CAT4_2022_2023!$A:$A,0)),IFERROR(INDEX(CAT4_2021_2022!$I:$I,MATCH($B9,CAT4_2021_2022!$A:$A,0)),"")))</f>
        <v/>
      </c>
      <c r="U9" t="str">
        <f>IF($A9="Class of 2022","",IFERROR(INDEX(CAT4_2022_2023!$J:$J,MATCH($B9,CAT4_2022_2023!$A:$A,0)),IFERROR(INDEX(CAT4_2021_2022!$J:$J,MATCH($B9,CAT4_2021_2022!$A:$A,0)),"")))</f>
        <v/>
      </c>
      <c r="W9" t="s">
        <v>556</v>
      </c>
    </row>
    <row r="10" spans="1:23" x14ac:dyDescent="0.3">
      <c r="A10" t="s">
        <v>60</v>
      </c>
      <c r="B10" t="s">
        <v>81</v>
      </c>
      <c r="C10" t="s">
        <v>82</v>
      </c>
      <c r="F10">
        <v>66</v>
      </c>
      <c r="G10">
        <v>96</v>
      </c>
      <c r="H10">
        <v>74.666666666666671</v>
      </c>
      <c r="J10">
        <v>165</v>
      </c>
      <c r="K10">
        <f t="shared" si="0"/>
        <v>66</v>
      </c>
      <c r="L10">
        <v>56</v>
      </c>
      <c r="M10">
        <f t="shared" si="1"/>
        <v>112.00000000000001</v>
      </c>
      <c r="N10" t="str">
        <f t="shared" si="2"/>
        <v/>
      </c>
      <c r="O10" t="str">
        <f t="shared" si="3"/>
        <v/>
      </c>
      <c r="P10">
        <f t="shared" si="4"/>
        <v>89</v>
      </c>
      <c r="Q10" t="str">
        <f>IF($A10="Class of 2022","",IFERROR(INDEX(CAT4_2022_2023!$F:$F,MATCH($B10,CAT4_2022_2023!$A:$A,0)),IFERROR(INDEX(CAT4_2021_2022!$F:$F,MATCH($B10,CAT4_2021_2022!$A:$A,0)),"")))</f>
        <v/>
      </c>
      <c r="R10" t="str">
        <f>IF($A10="Class of 2022","",IFERROR(INDEX(CAT4_2022_2023!$G:$G,MATCH($B10,CAT4_2022_2023!$A:$A,0)),IFERROR(INDEX(CAT4_2021_2022!$G:$G,MATCH($B10,CAT4_2021_2022!$A:$A,0)),"")))</f>
        <v/>
      </c>
      <c r="S10" t="str">
        <f>IF($A10="Class of 2022","",IFERROR(INDEX(CAT4_2022_2023!$H:$H,MATCH($B10,CAT4_2022_2023!$A:$A,0)),IFERROR(INDEX(CAT4_2021_2022!$H:$H,MATCH($B10,CAT4_2021_2022!$A:$A,0)),"")))</f>
        <v/>
      </c>
      <c r="T10" t="str">
        <f>IF($A10="Class of 2022","",IFERROR(INDEX(CAT4_2022_2023!$I:$I,MATCH($B10,CAT4_2022_2023!$A:$A,0)),IFERROR(INDEX(CAT4_2021_2022!$I:$I,MATCH($B10,CAT4_2021_2022!$A:$A,0)),"")))</f>
        <v/>
      </c>
      <c r="U10" t="str">
        <f>IF($A10="Class of 2022","",IFERROR(INDEX(CAT4_2022_2023!$J:$J,MATCH($B10,CAT4_2022_2023!$A:$A,0)),IFERROR(INDEX(CAT4_2021_2022!$J:$J,MATCH($B10,CAT4_2021_2022!$A:$A,0)),"")))</f>
        <v/>
      </c>
      <c r="W10" t="s">
        <v>556</v>
      </c>
    </row>
    <row r="11" spans="1:23" x14ac:dyDescent="0.3">
      <c r="A11" t="s">
        <v>60</v>
      </c>
      <c r="B11" t="s">
        <v>83</v>
      </c>
      <c r="C11" t="s">
        <v>84</v>
      </c>
      <c r="G11">
        <v>96</v>
      </c>
      <c r="H11">
        <v>72</v>
      </c>
      <c r="K11" t="str">
        <f t="shared" si="0"/>
        <v/>
      </c>
      <c r="L11">
        <v>54</v>
      </c>
      <c r="M11">
        <f t="shared" si="1"/>
        <v>108</v>
      </c>
      <c r="N11" t="str">
        <f t="shared" si="2"/>
        <v/>
      </c>
      <c r="O11" t="str">
        <f t="shared" si="3"/>
        <v/>
      </c>
      <c r="P11">
        <f t="shared" si="4"/>
        <v>108</v>
      </c>
      <c r="Q11" t="str">
        <f>IF($A11="Class of 2022","",IFERROR(INDEX(CAT4_2022_2023!$F:$F,MATCH($B11,CAT4_2022_2023!$A:$A,0)),IFERROR(INDEX(CAT4_2021_2022!$F:$F,MATCH($B11,CAT4_2021_2022!$A:$A,0)),"")))</f>
        <v/>
      </c>
      <c r="R11" t="str">
        <f>IF($A11="Class of 2022","",IFERROR(INDEX(CAT4_2022_2023!$G:$G,MATCH($B11,CAT4_2022_2023!$A:$A,0)),IFERROR(INDEX(CAT4_2021_2022!$G:$G,MATCH($B11,CAT4_2021_2022!$A:$A,0)),"")))</f>
        <v/>
      </c>
      <c r="S11" t="str">
        <f>IF($A11="Class of 2022","",IFERROR(INDEX(CAT4_2022_2023!$H:$H,MATCH($B11,CAT4_2022_2023!$A:$A,0)),IFERROR(INDEX(CAT4_2021_2022!$H:$H,MATCH($B11,CAT4_2021_2022!$A:$A,0)),"")))</f>
        <v/>
      </c>
      <c r="T11" t="str">
        <f>IF($A11="Class of 2022","",IFERROR(INDEX(CAT4_2022_2023!$I:$I,MATCH($B11,CAT4_2022_2023!$A:$A,0)),IFERROR(INDEX(CAT4_2021_2022!$I:$I,MATCH($B11,CAT4_2021_2022!$A:$A,0)),"")))</f>
        <v/>
      </c>
      <c r="U11" t="str">
        <f>IF($A11="Class of 2022","",IFERROR(INDEX(CAT4_2022_2023!$J:$J,MATCH($B11,CAT4_2022_2023!$A:$A,0)),IFERROR(INDEX(CAT4_2021_2022!$J:$J,MATCH($B11,CAT4_2021_2022!$A:$A,0)),"")))</f>
        <v/>
      </c>
      <c r="W11" t="s">
        <v>556</v>
      </c>
    </row>
    <row r="12" spans="1:23" x14ac:dyDescent="0.3">
      <c r="A12" t="s">
        <v>60</v>
      </c>
      <c r="B12" t="s">
        <v>85</v>
      </c>
      <c r="C12" t="s">
        <v>86</v>
      </c>
      <c r="F12">
        <v>62</v>
      </c>
      <c r="G12">
        <v>91.999999999999986</v>
      </c>
      <c r="H12">
        <v>60</v>
      </c>
      <c r="J12">
        <v>155</v>
      </c>
      <c r="K12">
        <f t="shared" si="0"/>
        <v>62</v>
      </c>
      <c r="L12">
        <v>45</v>
      </c>
      <c r="M12">
        <f t="shared" si="1"/>
        <v>90</v>
      </c>
      <c r="N12" t="str">
        <f t="shared" si="2"/>
        <v/>
      </c>
      <c r="O12" t="str">
        <f t="shared" si="3"/>
        <v/>
      </c>
      <c r="P12">
        <f t="shared" si="4"/>
        <v>76</v>
      </c>
      <c r="Q12" t="str">
        <f>IF($A12="Class of 2022","",IFERROR(INDEX(CAT4_2022_2023!$F:$F,MATCH($B12,CAT4_2022_2023!$A:$A,0)),IFERROR(INDEX(CAT4_2021_2022!$F:$F,MATCH($B12,CAT4_2021_2022!$A:$A,0)),"")))</f>
        <v/>
      </c>
      <c r="R12" t="str">
        <f>IF($A12="Class of 2022","",IFERROR(INDEX(CAT4_2022_2023!$G:$G,MATCH($B12,CAT4_2022_2023!$A:$A,0)),IFERROR(INDEX(CAT4_2021_2022!$G:$G,MATCH($B12,CAT4_2021_2022!$A:$A,0)),"")))</f>
        <v/>
      </c>
      <c r="S12" t="str">
        <f>IF($A12="Class of 2022","",IFERROR(INDEX(CAT4_2022_2023!$H:$H,MATCH($B12,CAT4_2022_2023!$A:$A,0)),IFERROR(INDEX(CAT4_2021_2022!$H:$H,MATCH($B12,CAT4_2021_2022!$A:$A,0)),"")))</f>
        <v/>
      </c>
      <c r="T12" t="str">
        <f>IF($A12="Class of 2022","",IFERROR(INDEX(CAT4_2022_2023!$I:$I,MATCH($B12,CAT4_2022_2023!$A:$A,0)),IFERROR(INDEX(CAT4_2021_2022!$I:$I,MATCH($B12,CAT4_2021_2022!$A:$A,0)),"")))</f>
        <v/>
      </c>
      <c r="U12" t="str">
        <f>IF($A12="Class of 2022","",IFERROR(INDEX(CAT4_2022_2023!$J:$J,MATCH($B12,CAT4_2022_2023!$A:$A,0)),IFERROR(INDEX(CAT4_2021_2022!$J:$J,MATCH($B12,CAT4_2021_2022!$A:$A,0)),"")))</f>
        <v/>
      </c>
      <c r="W12" t="s">
        <v>556</v>
      </c>
    </row>
    <row r="13" spans="1:23" x14ac:dyDescent="0.3">
      <c r="A13" t="s">
        <v>60</v>
      </c>
      <c r="B13" t="s">
        <v>87</v>
      </c>
      <c r="C13" t="s">
        <v>88</v>
      </c>
      <c r="F13">
        <v>43.6</v>
      </c>
      <c r="G13">
        <v>56</v>
      </c>
      <c r="H13">
        <v>74.666666666666671</v>
      </c>
      <c r="J13">
        <v>109</v>
      </c>
      <c r="K13">
        <f t="shared" si="0"/>
        <v>43.6</v>
      </c>
      <c r="L13">
        <v>56</v>
      </c>
      <c r="M13">
        <f t="shared" si="1"/>
        <v>112.00000000000001</v>
      </c>
      <c r="N13" t="str">
        <f t="shared" si="2"/>
        <v/>
      </c>
      <c r="O13" t="str">
        <f t="shared" si="3"/>
        <v/>
      </c>
      <c r="P13">
        <f t="shared" si="4"/>
        <v>77.800000000000011</v>
      </c>
      <c r="Q13" t="str">
        <f>IF($A13="Class of 2022","",IFERROR(INDEX(CAT4_2022_2023!$F:$F,MATCH($B13,CAT4_2022_2023!$A:$A,0)),IFERROR(INDEX(CAT4_2021_2022!$F:$F,MATCH($B13,CAT4_2021_2022!$A:$A,0)),"")))</f>
        <v/>
      </c>
      <c r="R13" t="str">
        <f>IF($A13="Class of 2022","",IFERROR(INDEX(CAT4_2022_2023!$G:$G,MATCH($B13,CAT4_2022_2023!$A:$A,0)),IFERROR(INDEX(CAT4_2021_2022!$G:$G,MATCH($B13,CAT4_2021_2022!$A:$A,0)),"")))</f>
        <v/>
      </c>
      <c r="S13" t="str">
        <f>IF($A13="Class of 2022","",IFERROR(INDEX(CAT4_2022_2023!$H:$H,MATCH($B13,CAT4_2022_2023!$A:$A,0)),IFERROR(INDEX(CAT4_2021_2022!$H:$H,MATCH($B13,CAT4_2021_2022!$A:$A,0)),"")))</f>
        <v/>
      </c>
      <c r="T13" t="str">
        <f>IF($A13="Class of 2022","",IFERROR(INDEX(CAT4_2022_2023!$I:$I,MATCH($B13,CAT4_2022_2023!$A:$A,0)),IFERROR(INDEX(CAT4_2021_2022!$I:$I,MATCH($B13,CAT4_2021_2022!$A:$A,0)),"")))</f>
        <v/>
      </c>
      <c r="U13" t="str">
        <f>IF($A13="Class of 2022","",IFERROR(INDEX(CAT4_2022_2023!$J:$J,MATCH($B13,CAT4_2022_2023!$A:$A,0)),IFERROR(INDEX(CAT4_2021_2022!$J:$J,MATCH($B13,CAT4_2021_2022!$A:$A,0)),"")))</f>
        <v/>
      </c>
      <c r="W13" t="s">
        <v>556</v>
      </c>
    </row>
    <row r="14" spans="1:23" x14ac:dyDescent="0.3">
      <c r="A14" t="s">
        <v>60</v>
      </c>
      <c r="B14" t="s">
        <v>89</v>
      </c>
      <c r="C14" t="s">
        <v>90</v>
      </c>
      <c r="F14">
        <v>60.8</v>
      </c>
      <c r="G14">
        <v>88.000000000000014</v>
      </c>
      <c r="H14">
        <v>61.333333333333343</v>
      </c>
      <c r="J14">
        <v>152</v>
      </c>
      <c r="K14">
        <f t="shared" si="0"/>
        <v>60.8</v>
      </c>
      <c r="L14">
        <v>46</v>
      </c>
      <c r="M14">
        <f t="shared" si="1"/>
        <v>92</v>
      </c>
      <c r="N14" t="str">
        <f t="shared" si="2"/>
        <v/>
      </c>
      <c r="O14" t="str">
        <f t="shared" si="3"/>
        <v/>
      </c>
      <c r="P14">
        <f t="shared" si="4"/>
        <v>76.400000000000006</v>
      </c>
      <c r="Q14" t="str">
        <f>IF($A14="Class of 2022","",IFERROR(INDEX(CAT4_2022_2023!$F:$F,MATCH($B14,CAT4_2022_2023!$A:$A,0)),IFERROR(INDEX(CAT4_2021_2022!$F:$F,MATCH($B14,CAT4_2021_2022!$A:$A,0)),"")))</f>
        <v/>
      </c>
      <c r="R14" t="str">
        <f>IF($A14="Class of 2022","",IFERROR(INDEX(CAT4_2022_2023!$G:$G,MATCH($B14,CAT4_2022_2023!$A:$A,0)),IFERROR(INDEX(CAT4_2021_2022!$G:$G,MATCH($B14,CAT4_2021_2022!$A:$A,0)),"")))</f>
        <v/>
      </c>
      <c r="S14" t="str">
        <f>IF($A14="Class of 2022","",IFERROR(INDEX(CAT4_2022_2023!$H:$H,MATCH($B14,CAT4_2022_2023!$A:$A,0)),IFERROR(INDEX(CAT4_2021_2022!$H:$H,MATCH($B14,CAT4_2021_2022!$A:$A,0)),"")))</f>
        <v/>
      </c>
      <c r="T14" t="str">
        <f>IF($A14="Class of 2022","",IFERROR(INDEX(CAT4_2022_2023!$I:$I,MATCH($B14,CAT4_2022_2023!$A:$A,0)),IFERROR(INDEX(CAT4_2021_2022!$I:$I,MATCH($B14,CAT4_2021_2022!$A:$A,0)),"")))</f>
        <v/>
      </c>
      <c r="U14" t="str">
        <f>IF($A14="Class of 2022","",IFERROR(INDEX(CAT4_2022_2023!$J:$J,MATCH($B14,CAT4_2022_2023!$A:$A,0)),IFERROR(INDEX(CAT4_2021_2022!$J:$J,MATCH($B14,CAT4_2021_2022!$A:$A,0)),"")))</f>
        <v/>
      </c>
      <c r="W14" t="s">
        <v>556</v>
      </c>
    </row>
    <row r="15" spans="1:23" x14ac:dyDescent="0.3">
      <c r="A15" t="s">
        <v>60</v>
      </c>
      <c r="B15" t="s">
        <v>91</v>
      </c>
      <c r="C15" t="s">
        <v>92</v>
      </c>
      <c r="F15">
        <v>61.2</v>
      </c>
      <c r="G15">
        <v>91.999999999999986</v>
      </c>
      <c r="H15">
        <v>62.666666666666657</v>
      </c>
      <c r="J15">
        <v>153</v>
      </c>
      <c r="K15">
        <f t="shared" si="0"/>
        <v>61.199999999999996</v>
      </c>
      <c r="L15">
        <v>47</v>
      </c>
      <c r="M15">
        <f t="shared" si="1"/>
        <v>94</v>
      </c>
      <c r="N15" t="str">
        <f t="shared" si="2"/>
        <v/>
      </c>
      <c r="O15" t="str">
        <f t="shared" si="3"/>
        <v/>
      </c>
      <c r="P15">
        <f t="shared" si="4"/>
        <v>77.599999999999994</v>
      </c>
      <c r="Q15" t="str">
        <f>IF($A15="Class of 2022","",IFERROR(INDEX(CAT4_2022_2023!$F:$F,MATCH($B15,CAT4_2022_2023!$A:$A,0)),IFERROR(INDEX(CAT4_2021_2022!$F:$F,MATCH($B15,CAT4_2021_2022!$A:$A,0)),"")))</f>
        <v/>
      </c>
      <c r="R15" t="str">
        <f>IF($A15="Class of 2022","",IFERROR(INDEX(CAT4_2022_2023!$G:$G,MATCH($B15,CAT4_2022_2023!$A:$A,0)),IFERROR(INDEX(CAT4_2021_2022!$G:$G,MATCH($B15,CAT4_2021_2022!$A:$A,0)),"")))</f>
        <v/>
      </c>
      <c r="S15" t="str">
        <f>IF($A15="Class of 2022","",IFERROR(INDEX(CAT4_2022_2023!$H:$H,MATCH($B15,CAT4_2022_2023!$A:$A,0)),IFERROR(INDEX(CAT4_2021_2022!$H:$H,MATCH($B15,CAT4_2021_2022!$A:$A,0)),"")))</f>
        <v/>
      </c>
      <c r="T15" t="str">
        <f>IF($A15="Class of 2022","",IFERROR(INDEX(CAT4_2022_2023!$I:$I,MATCH($B15,CAT4_2022_2023!$A:$A,0)),IFERROR(INDEX(CAT4_2021_2022!$I:$I,MATCH($B15,CAT4_2021_2022!$A:$A,0)),"")))</f>
        <v/>
      </c>
      <c r="U15" t="str">
        <f>IF($A15="Class of 2022","",IFERROR(INDEX(CAT4_2022_2023!$J:$J,MATCH($B15,CAT4_2022_2023!$A:$A,0)),IFERROR(INDEX(CAT4_2021_2022!$J:$J,MATCH($B15,CAT4_2021_2022!$A:$A,0)),"")))</f>
        <v/>
      </c>
      <c r="W15" t="s">
        <v>556</v>
      </c>
    </row>
    <row r="16" spans="1:23" x14ac:dyDescent="0.3">
      <c r="A16" t="s">
        <v>60</v>
      </c>
      <c r="B16" t="s">
        <v>93</v>
      </c>
      <c r="C16" t="s">
        <v>94</v>
      </c>
      <c r="F16">
        <v>56.8</v>
      </c>
      <c r="G16">
        <v>100</v>
      </c>
      <c r="H16">
        <v>53.333333333333343</v>
      </c>
      <c r="J16">
        <v>142</v>
      </c>
      <c r="K16">
        <f t="shared" si="0"/>
        <v>56.8</v>
      </c>
      <c r="L16">
        <v>40</v>
      </c>
      <c r="M16">
        <f t="shared" si="1"/>
        <v>80</v>
      </c>
      <c r="N16" t="str">
        <f t="shared" si="2"/>
        <v/>
      </c>
      <c r="O16" t="str">
        <f t="shared" si="3"/>
        <v/>
      </c>
      <c r="P16">
        <f t="shared" si="4"/>
        <v>68.400000000000006</v>
      </c>
      <c r="Q16" t="str">
        <f>IF($A16="Class of 2022","",IFERROR(INDEX(CAT4_2022_2023!$F:$F,MATCH($B16,CAT4_2022_2023!$A:$A,0)),IFERROR(INDEX(CAT4_2021_2022!$F:$F,MATCH($B16,CAT4_2021_2022!$A:$A,0)),"")))</f>
        <v/>
      </c>
      <c r="R16" t="str">
        <f>IF($A16="Class of 2022","",IFERROR(INDEX(CAT4_2022_2023!$G:$G,MATCH($B16,CAT4_2022_2023!$A:$A,0)),IFERROR(INDEX(CAT4_2021_2022!$G:$G,MATCH($B16,CAT4_2021_2022!$A:$A,0)),"")))</f>
        <v/>
      </c>
      <c r="S16" t="str">
        <f>IF($A16="Class of 2022","",IFERROR(INDEX(CAT4_2022_2023!$H:$H,MATCH($B16,CAT4_2022_2023!$A:$A,0)),IFERROR(INDEX(CAT4_2021_2022!$H:$H,MATCH($B16,CAT4_2021_2022!$A:$A,0)),"")))</f>
        <v/>
      </c>
      <c r="T16" t="str">
        <f>IF($A16="Class of 2022","",IFERROR(INDEX(CAT4_2022_2023!$I:$I,MATCH($B16,CAT4_2022_2023!$A:$A,0)),IFERROR(INDEX(CAT4_2021_2022!$I:$I,MATCH($B16,CAT4_2021_2022!$A:$A,0)),"")))</f>
        <v/>
      </c>
      <c r="U16" t="str">
        <f>IF($A16="Class of 2022","",IFERROR(INDEX(CAT4_2022_2023!$J:$J,MATCH($B16,CAT4_2022_2023!$A:$A,0)),IFERROR(INDEX(CAT4_2021_2022!$J:$J,MATCH($B16,CAT4_2021_2022!$A:$A,0)),"")))</f>
        <v/>
      </c>
      <c r="W16" t="s">
        <v>556</v>
      </c>
    </row>
    <row r="17" spans="1:23" x14ac:dyDescent="0.3">
      <c r="A17" t="s">
        <v>60</v>
      </c>
      <c r="B17" t="s">
        <v>95</v>
      </c>
      <c r="C17" t="s">
        <v>96</v>
      </c>
      <c r="F17">
        <v>60.4</v>
      </c>
      <c r="G17">
        <v>84</v>
      </c>
      <c r="H17">
        <v>62.666666666666657</v>
      </c>
      <c r="J17">
        <v>151</v>
      </c>
      <c r="K17">
        <f t="shared" si="0"/>
        <v>60.4</v>
      </c>
      <c r="L17">
        <v>47</v>
      </c>
      <c r="M17">
        <f t="shared" si="1"/>
        <v>94</v>
      </c>
      <c r="N17" t="str">
        <f t="shared" si="2"/>
        <v/>
      </c>
      <c r="O17" t="str">
        <f t="shared" si="3"/>
        <v/>
      </c>
      <c r="P17">
        <f t="shared" si="4"/>
        <v>77.2</v>
      </c>
      <c r="Q17" t="str">
        <f>IF($A17="Class of 2022","",IFERROR(INDEX(CAT4_2022_2023!$F:$F,MATCH($B17,CAT4_2022_2023!$A:$A,0)),IFERROR(INDEX(CAT4_2021_2022!$F:$F,MATCH($B17,CAT4_2021_2022!$A:$A,0)),"")))</f>
        <v/>
      </c>
      <c r="R17" t="str">
        <f>IF($A17="Class of 2022","",IFERROR(INDEX(CAT4_2022_2023!$G:$G,MATCH($B17,CAT4_2022_2023!$A:$A,0)),IFERROR(INDEX(CAT4_2021_2022!$G:$G,MATCH($B17,CAT4_2021_2022!$A:$A,0)),"")))</f>
        <v/>
      </c>
      <c r="S17" t="str">
        <f>IF($A17="Class of 2022","",IFERROR(INDEX(CAT4_2022_2023!$H:$H,MATCH($B17,CAT4_2022_2023!$A:$A,0)),IFERROR(INDEX(CAT4_2021_2022!$H:$H,MATCH($B17,CAT4_2021_2022!$A:$A,0)),"")))</f>
        <v/>
      </c>
      <c r="T17" t="str">
        <f>IF($A17="Class of 2022","",IFERROR(INDEX(CAT4_2022_2023!$I:$I,MATCH($B17,CAT4_2022_2023!$A:$A,0)),IFERROR(INDEX(CAT4_2021_2022!$I:$I,MATCH($B17,CAT4_2021_2022!$A:$A,0)),"")))</f>
        <v/>
      </c>
      <c r="U17" t="str">
        <f>IF($A17="Class of 2022","",IFERROR(INDEX(CAT4_2022_2023!$J:$J,MATCH($B17,CAT4_2022_2023!$A:$A,0)),IFERROR(INDEX(CAT4_2021_2022!$J:$J,MATCH($B17,CAT4_2021_2022!$A:$A,0)),"")))</f>
        <v/>
      </c>
      <c r="W17" t="s">
        <v>556</v>
      </c>
    </row>
    <row r="18" spans="1:23" x14ac:dyDescent="0.3">
      <c r="A18" t="s">
        <v>60</v>
      </c>
      <c r="B18" t="s">
        <v>97</v>
      </c>
      <c r="C18" t="s">
        <v>98</v>
      </c>
      <c r="F18">
        <v>40.4</v>
      </c>
      <c r="G18">
        <v>68</v>
      </c>
      <c r="H18">
        <v>53.333333333333343</v>
      </c>
      <c r="J18">
        <v>101</v>
      </c>
      <c r="K18">
        <f t="shared" si="0"/>
        <v>40.400000000000006</v>
      </c>
      <c r="L18">
        <v>40</v>
      </c>
      <c r="M18">
        <f t="shared" si="1"/>
        <v>80</v>
      </c>
      <c r="N18" t="str">
        <f t="shared" si="2"/>
        <v/>
      </c>
      <c r="O18" t="str">
        <f t="shared" si="3"/>
        <v/>
      </c>
      <c r="P18">
        <f t="shared" si="4"/>
        <v>60.2</v>
      </c>
      <c r="Q18" t="str">
        <f>IF($A18="Class of 2022","",IFERROR(INDEX(CAT4_2022_2023!$F:$F,MATCH($B18,CAT4_2022_2023!$A:$A,0)),IFERROR(INDEX(CAT4_2021_2022!$F:$F,MATCH($B18,CAT4_2021_2022!$A:$A,0)),"")))</f>
        <v/>
      </c>
      <c r="R18" t="str">
        <f>IF($A18="Class of 2022","",IFERROR(INDEX(CAT4_2022_2023!$G:$G,MATCH($B18,CAT4_2022_2023!$A:$A,0)),IFERROR(INDEX(CAT4_2021_2022!$G:$G,MATCH($B18,CAT4_2021_2022!$A:$A,0)),"")))</f>
        <v/>
      </c>
      <c r="S18" t="str">
        <f>IF($A18="Class of 2022","",IFERROR(INDEX(CAT4_2022_2023!$H:$H,MATCH($B18,CAT4_2022_2023!$A:$A,0)),IFERROR(INDEX(CAT4_2021_2022!$H:$H,MATCH($B18,CAT4_2021_2022!$A:$A,0)),"")))</f>
        <v/>
      </c>
      <c r="T18" t="str">
        <f>IF($A18="Class of 2022","",IFERROR(INDEX(CAT4_2022_2023!$I:$I,MATCH($B18,CAT4_2022_2023!$A:$A,0)),IFERROR(INDEX(CAT4_2021_2022!$I:$I,MATCH($B18,CAT4_2021_2022!$A:$A,0)),"")))</f>
        <v/>
      </c>
      <c r="U18" t="str">
        <f>IF($A18="Class of 2022","",IFERROR(INDEX(CAT4_2022_2023!$J:$J,MATCH($B18,CAT4_2022_2023!$A:$A,0)),IFERROR(INDEX(CAT4_2021_2022!$J:$J,MATCH($B18,CAT4_2021_2022!$A:$A,0)),"")))</f>
        <v/>
      </c>
      <c r="W18" t="s">
        <v>556</v>
      </c>
    </row>
    <row r="19" spans="1:23" x14ac:dyDescent="0.3">
      <c r="A19" t="s">
        <v>60</v>
      </c>
      <c r="B19" t="s">
        <v>100</v>
      </c>
      <c r="C19" t="s">
        <v>101</v>
      </c>
      <c r="F19">
        <v>63.2</v>
      </c>
      <c r="G19">
        <v>96</v>
      </c>
      <c r="H19">
        <v>57.333333333333343</v>
      </c>
      <c r="J19">
        <v>158</v>
      </c>
      <c r="K19">
        <f t="shared" si="0"/>
        <v>63.2</v>
      </c>
      <c r="L19">
        <v>43</v>
      </c>
      <c r="M19">
        <f t="shared" si="1"/>
        <v>86</v>
      </c>
      <c r="N19" t="str">
        <f t="shared" si="2"/>
        <v/>
      </c>
      <c r="O19" t="str">
        <f t="shared" si="3"/>
        <v/>
      </c>
      <c r="P19">
        <f t="shared" si="4"/>
        <v>74.599999999999994</v>
      </c>
      <c r="Q19" t="str">
        <f>IF($A19="Class of 2022","",IFERROR(INDEX(CAT4_2022_2023!$F:$F,MATCH($B19,CAT4_2022_2023!$A:$A,0)),IFERROR(INDEX(CAT4_2021_2022!$F:$F,MATCH($B19,CAT4_2021_2022!$A:$A,0)),"")))</f>
        <v/>
      </c>
      <c r="R19" t="str">
        <f>IF($A19="Class of 2022","",IFERROR(INDEX(CAT4_2022_2023!$G:$G,MATCH($B19,CAT4_2022_2023!$A:$A,0)),IFERROR(INDEX(CAT4_2021_2022!$G:$G,MATCH($B19,CAT4_2021_2022!$A:$A,0)),"")))</f>
        <v/>
      </c>
      <c r="S19" t="str">
        <f>IF($A19="Class of 2022","",IFERROR(INDEX(CAT4_2022_2023!$H:$H,MATCH($B19,CAT4_2022_2023!$A:$A,0)),IFERROR(INDEX(CAT4_2021_2022!$H:$H,MATCH($B19,CAT4_2021_2022!$A:$A,0)),"")))</f>
        <v/>
      </c>
      <c r="T19" t="str">
        <f>IF($A19="Class of 2022","",IFERROR(INDEX(CAT4_2022_2023!$I:$I,MATCH($B19,CAT4_2022_2023!$A:$A,0)),IFERROR(INDEX(CAT4_2021_2022!$I:$I,MATCH($B19,CAT4_2021_2022!$A:$A,0)),"")))</f>
        <v/>
      </c>
      <c r="U19" t="str">
        <f>IF($A19="Class of 2022","",IFERROR(INDEX(CAT4_2022_2023!$J:$J,MATCH($B19,CAT4_2022_2023!$A:$A,0)),IFERROR(INDEX(CAT4_2021_2022!$J:$J,MATCH($B19,CAT4_2021_2022!$A:$A,0)),"")))</f>
        <v/>
      </c>
      <c r="W19" t="s">
        <v>556</v>
      </c>
    </row>
    <row r="20" spans="1:23" x14ac:dyDescent="0.3">
      <c r="A20" t="s">
        <v>60</v>
      </c>
      <c r="B20" t="s">
        <v>102</v>
      </c>
      <c r="C20" t="s">
        <v>103</v>
      </c>
      <c r="F20">
        <v>46.4</v>
      </c>
      <c r="G20">
        <v>72</v>
      </c>
      <c r="H20">
        <v>77.333333333333329</v>
      </c>
      <c r="J20">
        <v>116</v>
      </c>
      <c r="K20">
        <f t="shared" si="0"/>
        <v>46.400000000000006</v>
      </c>
      <c r="L20">
        <v>58</v>
      </c>
      <c r="M20">
        <f t="shared" si="1"/>
        <v>115.99999999999999</v>
      </c>
      <c r="N20" t="str">
        <f t="shared" si="2"/>
        <v/>
      </c>
      <c r="O20" t="str">
        <f t="shared" si="3"/>
        <v/>
      </c>
      <c r="P20">
        <f t="shared" si="4"/>
        <v>81.199999999999989</v>
      </c>
      <c r="Q20" t="str">
        <f>IF($A20="Class of 2022","",IFERROR(INDEX(CAT4_2022_2023!$F:$F,MATCH($B20,CAT4_2022_2023!$A:$A,0)),IFERROR(INDEX(CAT4_2021_2022!$F:$F,MATCH($B20,CAT4_2021_2022!$A:$A,0)),"")))</f>
        <v/>
      </c>
      <c r="R20" t="str">
        <f>IF($A20="Class of 2022","",IFERROR(INDEX(CAT4_2022_2023!$G:$G,MATCH($B20,CAT4_2022_2023!$A:$A,0)),IFERROR(INDEX(CAT4_2021_2022!$G:$G,MATCH($B20,CAT4_2021_2022!$A:$A,0)),"")))</f>
        <v/>
      </c>
      <c r="S20" t="str">
        <f>IF($A20="Class of 2022","",IFERROR(INDEX(CAT4_2022_2023!$H:$H,MATCH($B20,CAT4_2022_2023!$A:$A,0)),IFERROR(INDEX(CAT4_2021_2022!$H:$H,MATCH($B20,CAT4_2021_2022!$A:$A,0)),"")))</f>
        <v/>
      </c>
      <c r="T20" t="str">
        <f>IF($A20="Class of 2022","",IFERROR(INDEX(CAT4_2022_2023!$I:$I,MATCH($B20,CAT4_2022_2023!$A:$A,0)),IFERROR(INDEX(CAT4_2021_2022!$I:$I,MATCH($B20,CAT4_2021_2022!$A:$A,0)),"")))</f>
        <v/>
      </c>
      <c r="U20" t="str">
        <f>IF($A20="Class of 2022","",IFERROR(INDEX(CAT4_2022_2023!$J:$J,MATCH($B20,CAT4_2022_2023!$A:$A,0)),IFERROR(INDEX(CAT4_2021_2022!$J:$J,MATCH($B20,CAT4_2021_2022!$A:$A,0)),"")))</f>
        <v/>
      </c>
      <c r="W20" t="s">
        <v>556</v>
      </c>
    </row>
    <row r="21" spans="1:23" x14ac:dyDescent="0.3">
      <c r="A21" t="s">
        <v>60</v>
      </c>
      <c r="B21" t="s">
        <v>104</v>
      </c>
      <c r="C21" t="s">
        <v>105</v>
      </c>
      <c r="F21">
        <v>60.8</v>
      </c>
      <c r="G21">
        <v>88.000000000000014</v>
      </c>
      <c r="H21">
        <v>61.333333333333343</v>
      </c>
      <c r="J21">
        <v>152</v>
      </c>
      <c r="K21">
        <f t="shared" si="0"/>
        <v>60.8</v>
      </c>
      <c r="L21">
        <v>46</v>
      </c>
      <c r="M21">
        <f t="shared" si="1"/>
        <v>92</v>
      </c>
      <c r="N21" t="str">
        <f t="shared" si="2"/>
        <v/>
      </c>
      <c r="O21" t="str">
        <f t="shared" si="3"/>
        <v/>
      </c>
      <c r="P21">
        <f t="shared" si="4"/>
        <v>76.400000000000006</v>
      </c>
      <c r="Q21" t="str">
        <f>IF($A21="Class of 2022","",IFERROR(INDEX(CAT4_2022_2023!$F:$F,MATCH($B21,CAT4_2022_2023!$A:$A,0)),IFERROR(INDEX(CAT4_2021_2022!$F:$F,MATCH($B21,CAT4_2021_2022!$A:$A,0)),"")))</f>
        <v/>
      </c>
      <c r="R21" t="str">
        <f>IF($A21="Class of 2022","",IFERROR(INDEX(CAT4_2022_2023!$G:$G,MATCH($B21,CAT4_2022_2023!$A:$A,0)),IFERROR(INDEX(CAT4_2021_2022!$G:$G,MATCH($B21,CAT4_2021_2022!$A:$A,0)),"")))</f>
        <v/>
      </c>
      <c r="S21" t="str">
        <f>IF($A21="Class of 2022","",IFERROR(INDEX(CAT4_2022_2023!$H:$H,MATCH($B21,CAT4_2022_2023!$A:$A,0)),IFERROR(INDEX(CAT4_2021_2022!$H:$H,MATCH($B21,CAT4_2021_2022!$A:$A,0)),"")))</f>
        <v/>
      </c>
      <c r="T21" t="str">
        <f>IF($A21="Class of 2022","",IFERROR(INDEX(CAT4_2022_2023!$I:$I,MATCH($B21,CAT4_2022_2023!$A:$A,0)),IFERROR(INDEX(CAT4_2021_2022!$I:$I,MATCH($B21,CAT4_2021_2022!$A:$A,0)),"")))</f>
        <v/>
      </c>
      <c r="U21" t="str">
        <f>IF($A21="Class of 2022","",IFERROR(INDEX(CAT4_2022_2023!$J:$J,MATCH($B21,CAT4_2022_2023!$A:$A,0)),IFERROR(INDEX(CAT4_2021_2022!$J:$J,MATCH($B21,CAT4_2021_2022!$A:$A,0)),"")))</f>
        <v/>
      </c>
      <c r="W21" t="s">
        <v>556</v>
      </c>
    </row>
    <row r="22" spans="1:23" x14ac:dyDescent="0.3">
      <c r="A22" t="s">
        <v>60</v>
      </c>
      <c r="B22" t="s">
        <v>106</v>
      </c>
      <c r="C22" t="s">
        <v>107</v>
      </c>
      <c r="F22">
        <v>47.2</v>
      </c>
      <c r="G22">
        <v>72</v>
      </c>
      <c r="H22">
        <v>80</v>
      </c>
      <c r="J22">
        <v>118</v>
      </c>
      <c r="K22">
        <f t="shared" si="0"/>
        <v>47.199999999999996</v>
      </c>
      <c r="L22">
        <v>60</v>
      </c>
      <c r="M22">
        <f t="shared" si="1"/>
        <v>120</v>
      </c>
      <c r="N22" t="str">
        <f t="shared" si="2"/>
        <v/>
      </c>
      <c r="O22" t="str">
        <f t="shared" si="3"/>
        <v/>
      </c>
      <c r="P22">
        <f t="shared" si="4"/>
        <v>83.6</v>
      </c>
      <c r="Q22" t="str">
        <f>IF($A22="Class of 2022","",IFERROR(INDEX(CAT4_2022_2023!$F:$F,MATCH($B22,CAT4_2022_2023!$A:$A,0)),IFERROR(INDEX(CAT4_2021_2022!$F:$F,MATCH($B22,CAT4_2021_2022!$A:$A,0)),"")))</f>
        <v/>
      </c>
      <c r="R22" t="str">
        <f>IF($A22="Class of 2022","",IFERROR(INDEX(CAT4_2022_2023!$G:$G,MATCH($B22,CAT4_2022_2023!$A:$A,0)),IFERROR(INDEX(CAT4_2021_2022!$G:$G,MATCH($B22,CAT4_2021_2022!$A:$A,0)),"")))</f>
        <v/>
      </c>
      <c r="S22" t="str">
        <f>IF($A22="Class of 2022","",IFERROR(INDEX(CAT4_2022_2023!$H:$H,MATCH($B22,CAT4_2022_2023!$A:$A,0)),IFERROR(INDEX(CAT4_2021_2022!$H:$H,MATCH($B22,CAT4_2021_2022!$A:$A,0)),"")))</f>
        <v/>
      </c>
      <c r="T22" t="str">
        <f>IF($A22="Class of 2022","",IFERROR(INDEX(CAT4_2022_2023!$I:$I,MATCH($B22,CAT4_2022_2023!$A:$A,0)),IFERROR(INDEX(CAT4_2021_2022!$I:$I,MATCH($B22,CAT4_2021_2022!$A:$A,0)),"")))</f>
        <v/>
      </c>
      <c r="U22" t="str">
        <f>IF($A22="Class of 2022","",IFERROR(INDEX(CAT4_2022_2023!$J:$J,MATCH($B22,CAT4_2022_2023!$A:$A,0)),IFERROR(INDEX(CAT4_2021_2022!$J:$J,MATCH($B22,CAT4_2021_2022!$A:$A,0)),"")))</f>
        <v/>
      </c>
      <c r="W22" t="s">
        <v>556</v>
      </c>
    </row>
    <row r="23" spans="1:23" x14ac:dyDescent="0.3">
      <c r="A23" t="s">
        <v>60</v>
      </c>
      <c r="B23" t="s">
        <v>108</v>
      </c>
      <c r="C23" t="s">
        <v>109</v>
      </c>
      <c r="F23">
        <v>49.2</v>
      </c>
      <c r="G23">
        <v>72</v>
      </c>
      <c r="H23">
        <v>52</v>
      </c>
      <c r="J23">
        <v>123</v>
      </c>
      <c r="K23">
        <f t="shared" si="0"/>
        <v>49.2</v>
      </c>
      <c r="L23">
        <v>39</v>
      </c>
      <c r="M23">
        <f t="shared" si="1"/>
        <v>78</v>
      </c>
      <c r="N23" t="str">
        <f t="shared" si="2"/>
        <v/>
      </c>
      <c r="O23" t="str">
        <f t="shared" si="3"/>
        <v/>
      </c>
      <c r="P23">
        <f t="shared" si="4"/>
        <v>63.6</v>
      </c>
      <c r="Q23" t="str">
        <f>IF($A23="Class of 2022","",IFERROR(INDEX(CAT4_2022_2023!$F:$F,MATCH($B23,CAT4_2022_2023!$A:$A,0)),IFERROR(INDEX(CAT4_2021_2022!$F:$F,MATCH($B23,CAT4_2021_2022!$A:$A,0)),"")))</f>
        <v/>
      </c>
      <c r="R23" t="str">
        <f>IF($A23="Class of 2022","",IFERROR(INDEX(CAT4_2022_2023!$G:$G,MATCH($B23,CAT4_2022_2023!$A:$A,0)),IFERROR(INDEX(CAT4_2021_2022!$G:$G,MATCH($B23,CAT4_2021_2022!$A:$A,0)),"")))</f>
        <v/>
      </c>
      <c r="S23" t="str">
        <f>IF($A23="Class of 2022","",IFERROR(INDEX(CAT4_2022_2023!$H:$H,MATCH($B23,CAT4_2022_2023!$A:$A,0)),IFERROR(INDEX(CAT4_2021_2022!$H:$H,MATCH($B23,CAT4_2021_2022!$A:$A,0)),"")))</f>
        <v/>
      </c>
      <c r="T23" t="str">
        <f>IF($A23="Class of 2022","",IFERROR(INDEX(CAT4_2022_2023!$I:$I,MATCH($B23,CAT4_2022_2023!$A:$A,0)),IFERROR(INDEX(CAT4_2021_2022!$I:$I,MATCH($B23,CAT4_2021_2022!$A:$A,0)),"")))</f>
        <v/>
      </c>
      <c r="U23" t="str">
        <f>IF($A23="Class of 2022","",IFERROR(INDEX(CAT4_2022_2023!$J:$J,MATCH($B23,CAT4_2022_2023!$A:$A,0)),IFERROR(INDEX(CAT4_2021_2022!$J:$J,MATCH($B23,CAT4_2021_2022!$A:$A,0)),"")))</f>
        <v/>
      </c>
      <c r="W23" t="s">
        <v>556</v>
      </c>
    </row>
    <row r="24" spans="1:23" x14ac:dyDescent="0.3">
      <c r="A24" t="s">
        <v>60</v>
      </c>
      <c r="B24" t="s">
        <v>110</v>
      </c>
      <c r="C24" t="s">
        <v>111</v>
      </c>
      <c r="F24">
        <v>48.8</v>
      </c>
      <c r="G24">
        <v>56</v>
      </c>
      <c r="H24">
        <v>56</v>
      </c>
      <c r="J24">
        <v>122</v>
      </c>
      <c r="K24">
        <f t="shared" si="0"/>
        <v>48.8</v>
      </c>
      <c r="L24">
        <v>42</v>
      </c>
      <c r="M24">
        <f t="shared" si="1"/>
        <v>84</v>
      </c>
      <c r="N24" t="str">
        <f t="shared" si="2"/>
        <v/>
      </c>
      <c r="O24" t="str">
        <f t="shared" si="3"/>
        <v/>
      </c>
      <c r="P24">
        <f t="shared" si="4"/>
        <v>66.400000000000006</v>
      </c>
      <c r="Q24" t="str">
        <f>IF($A24="Class of 2022","",IFERROR(INDEX(CAT4_2022_2023!$F:$F,MATCH($B24,CAT4_2022_2023!$A:$A,0)),IFERROR(INDEX(CAT4_2021_2022!$F:$F,MATCH($B24,CAT4_2021_2022!$A:$A,0)),"")))</f>
        <v/>
      </c>
      <c r="R24" t="str">
        <f>IF($A24="Class of 2022","",IFERROR(INDEX(CAT4_2022_2023!$G:$G,MATCH($B24,CAT4_2022_2023!$A:$A,0)),IFERROR(INDEX(CAT4_2021_2022!$G:$G,MATCH($B24,CAT4_2021_2022!$A:$A,0)),"")))</f>
        <v/>
      </c>
      <c r="S24" t="str">
        <f>IF($A24="Class of 2022","",IFERROR(INDEX(CAT4_2022_2023!$H:$H,MATCH($B24,CAT4_2022_2023!$A:$A,0)),IFERROR(INDEX(CAT4_2021_2022!$H:$H,MATCH($B24,CAT4_2021_2022!$A:$A,0)),"")))</f>
        <v/>
      </c>
      <c r="T24" t="str">
        <f>IF($A24="Class of 2022","",IFERROR(INDEX(CAT4_2022_2023!$I:$I,MATCH($B24,CAT4_2022_2023!$A:$A,0)),IFERROR(INDEX(CAT4_2021_2022!$I:$I,MATCH($B24,CAT4_2021_2022!$A:$A,0)),"")))</f>
        <v/>
      </c>
      <c r="U24" t="str">
        <f>IF($A24="Class of 2022","",IFERROR(INDEX(CAT4_2022_2023!$J:$J,MATCH($B24,CAT4_2022_2023!$A:$A,0)),IFERROR(INDEX(CAT4_2021_2022!$J:$J,MATCH($B24,CAT4_2021_2022!$A:$A,0)),"")))</f>
        <v/>
      </c>
      <c r="W24" t="s">
        <v>556</v>
      </c>
    </row>
    <row r="25" spans="1:23" x14ac:dyDescent="0.3">
      <c r="A25" t="s">
        <v>60</v>
      </c>
      <c r="B25" t="s">
        <v>112</v>
      </c>
      <c r="C25" t="s">
        <v>113</v>
      </c>
      <c r="F25">
        <v>66</v>
      </c>
      <c r="G25">
        <v>96</v>
      </c>
      <c r="H25">
        <v>72</v>
      </c>
      <c r="J25">
        <v>165</v>
      </c>
      <c r="K25">
        <f t="shared" si="0"/>
        <v>66</v>
      </c>
      <c r="L25">
        <v>54</v>
      </c>
      <c r="M25">
        <f t="shared" si="1"/>
        <v>108</v>
      </c>
      <c r="N25" t="str">
        <f t="shared" si="2"/>
        <v/>
      </c>
      <c r="O25" t="str">
        <f t="shared" si="3"/>
        <v/>
      </c>
      <c r="P25">
        <f t="shared" si="4"/>
        <v>87</v>
      </c>
      <c r="Q25" t="str">
        <f>IF($A25="Class of 2022","",IFERROR(INDEX(CAT4_2022_2023!$F:$F,MATCH($B25,CAT4_2022_2023!$A:$A,0)),IFERROR(INDEX(CAT4_2021_2022!$F:$F,MATCH($B25,CAT4_2021_2022!$A:$A,0)),"")))</f>
        <v/>
      </c>
      <c r="R25" t="str">
        <f>IF($A25="Class of 2022","",IFERROR(INDEX(CAT4_2022_2023!$G:$G,MATCH($B25,CAT4_2022_2023!$A:$A,0)),IFERROR(INDEX(CAT4_2021_2022!$G:$G,MATCH($B25,CAT4_2021_2022!$A:$A,0)),"")))</f>
        <v/>
      </c>
      <c r="S25" t="str">
        <f>IF($A25="Class of 2022","",IFERROR(INDEX(CAT4_2022_2023!$H:$H,MATCH($B25,CAT4_2022_2023!$A:$A,0)),IFERROR(INDEX(CAT4_2021_2022!$H:$H,MATCH($B25,CAT4_2021_2022!$A:$A,0)),"")))</f>
        <v/>
      </c>
      <c r="T25" t="str">
        <f>IF($A25="Class of 2022","",IFERROR(INDEX(CAT4_2022_2023!$I:$I,MATCH($B25,CAT4_2022_2023!$A:$A,0)),IFERROR(INDEX(CAT4_2021_2022!$I:$I,MATCH($B25,CAT4_2021_2022!$A:$A,0)),"")))</f>
        <v/>
      </c>
      <c r="U25" t="str">
        <f>IF($A25="Class of 2022","",IFERROR(INDEX(CAT4_2022_2023!$J:$J,MATCH($B25,CAT4_2022_2023!$A:$A,0)),IFERROR(INDEX(CAT4_2021_2022!$J:$J,MATCH($B25,CAT4_2021_2022!$A:$A,0)),"")))</f>
        <v/>
      </c>
      <c r="W25" t="s">
        <v>556</v>
      </c>
    </row>
    <row r="26" spans="1:23" x14ac:dyDescent="0.3">
      <c r="A26" t="s">
        <v>60</v>
      </c>
      <c r="B26" t="s">
        <v>114</v>
      </c>
      <c r="C26" t="s">
        <v>115</v>
      </c>
      <c r="F26">
        <v>55.2</v>
      </c>
      <c r="G26">
        <v>76</v>
      </c>
      <c r="H26">
        <v>65.333333333333329</v>
      </c>
      <c r="J26">
        <v>138</v>
      </c>
      <c r="K26">
        <f t="shared" si="0"/>
        <v>55.2</v>
      </c>
      <c r="L26">
        <v>49</v>
      </c>
      <c r="M26">
        <f t="shared" si="1"/>
        <v>98</v>
      </c>
      <c r="N26" t="str">
        <f t="shared" si="2"/>
        <v/>
      </c>
      <c r="O26" t="str">
        <f t="shared" si="3"/>
        <v/>
      </c>
      <c r="P26">
        <f t="shared" si="4"/>
        <v>76.599999999999994</v>
      </c>
      <c r="Q26" t="str">
        <f>IF($A26="Class of 2022","",IFERROR(INDEX(CAT4_2022_2023!$F:$F,MATCH($B26,CAT4_2022_2023!$A:$A,0)),IFERROR(INDEX(CAT4_2021_2022!$F:$F,MATCH($B26,CAT4_2021_2022!$A:$A,0)),"")))</f>
        <v/>
      </c>
      <c r="R26" t="str">
        <f>IF($A26="Class of 2022","",IFERROR(INDEX(CAT4_2022_2023!$G:$G,MATCH($B26,CAT4_2022_2023!$A:$A,0)),IFERROR(INDEX(CAT4_2021_2022!$G:$G,MATCH($B26,CAT4_2021_2022!$A:$A,0)),"")))</f>
        <v/>
      </c>
      <c r="S26" t="str">
        <f>IF($A26="Class of 2022","",IFERROR(INDEX(CAT4_2022_2023!$H:$H,MATCH($B26,CAT4_2022_2023!$A:$A,0)),IFERROR(INDEX(CAT4_2021_2022!$H:$H,MATCH($B26,CAT4_2021_2022!$A:$A,0)),"")))</f>
        <v/>
      </c>
      <c r="T26" t="str">
        <f>IF($A26="Class of 2022","",IFERROR(INDEX(CAT4_2022_2023!$I:$I,MATCH($B26,CAT4_2022_2023!$A:$A,0)),IFERROR(INDEX(CAT4_2021_2022!$I:$I,MATCH($B26,CAT4_2021_2022!$A:$A,0)),"")))</f>
        <v/>
      </c>
      <c r="U26" t="str">
        <f>IF($A26="Class of 2022","",IFERROR(INDEX(CAT4_2022_2023!$J:$J,MATCH($B26,CAT4_2022_2023!$A:$A,0)),IFERROR(INDEX(CAT4_2021_2022!$J:$J,MATCH($B26,CAT4_2021_2022!$A:$A,0)),"")))</f>
        <v/>
      </c>
      <c r="W26" t="s">
        <v>556</v>
      </c>
    </row>
    <row r="27" spans="1:23" x14ac:dyDescent="0.3">
      <c r="A27" t="s">
        <v>60</v>
      </c>
      <c r="B27" t="s">
        <v>116</v>
      </c>
      <c r="C27" t="s">
        <v>117</v>
      </c>
      <c r="F27">
        <v>52</v>
      </c>
      <c r="G27">
        <v>60</v>
      </c>
      <c r="H27">
        <v>60</v>
      </c>
      <c r="J27">
        <v>130</v>
      </c>
      <c r="K27">
        <f t="shared" si="0"/>
        <v>52</v>
      </c>
      <c r="L27">
        <v>45</v>
      </c>
      <c r="M27">
        <f t="shared" si="1"/>
        <v>90</v>
      </c>
      <c r="N27" t="str">
        <f t="shared" si="2"/>
        <v/>
      </c>
      <c r="O27" t="str">
        <f t="shared" si="3"/>
        <v/>
      </c>
      <c r="P27">
        <f t="shared" si="4"/>
        <v>71</v>
      </c>
      <c r="Q27" t="str">
        <f>IF($A27="Class of 2022","",IFERROR(INDEX(CAT4_2022_2023!$F:$F,MATCH($B27,CAT4_2022_2023!$A:$A,0)),IFERROR(INDEX(CAT4_2021_2022!$F:$F,MATCH($B27,CAT4_2021_2022!$A:$A,0)),"")))</f>
        <v/>
      </c>
      <c r="R27" t="str">
        <f>IF($A27="Class of 2022","",IFERROR(INDEX(CAT4_2022_2023!$G:$G,MATCH($B27,CAT4_2022_2023!$A:$A,0)),IFERROR(INDEX(CAT4_2021_2022!$G:$G,MATCH($B27,CAT4_2021_2022!$A:$A,0)),"")))</f>
        <v/>
      </c>
      <c r="S27" t="str">
        <f>IF($A27="Class of 2022","",IFERROR(INDEX(CAT4_2022_2023!$H:$H,MATCH($B27,CAT4_2022_2023!$A:$A,0)),IFERROR(INDEX(CAT4_2021_2022!$H:$H,MATCH($B27,CAT4_2021_2022!$A:$A,0)),"")))</f>
        <v/>
      </c>
      <c r="T27" t="str">
        <f>IF($A27="Class of 2022","",IFERROR(INDEX(CAT4_2022_2023!$I:$I,MATCH($B27,CAT4_2022_2023!$A:$A,0)),IFERROR(INDEX(CAT4_2021_2022!$I:$I,MATCH($B27,CAT4_2021_2022!$A:$A,0)),"")))</f>
        <v/>
      </c>
      <c r="U27" t="str">
        <f>IF($A27="Class of 2022","",IFERROR(INDEX(CAT4_2022_2023!$J:$J,MATCH($B27,CAT4_2022_2023!$A:$A,0)),IFERROR(INDEX(CAT4_2021_2022!$J:$J,MATCH($B27,CAT4_2021_2022!$A:$A,0)),"")))</f>
        <v/>
      </c>
      <c r="W27" t="s">
        <v>556</v>
      </c>
    </row>
    <row r="28" spans="1:23" x14ac:dyDescent="0.3">
      <c r="A28" t="s">
        <v>60</v>
      </c>
      <c r="B28" t="s">
        <v>118</v>
      </c>
      <c r="C28" t="s">
        <v>119</v>
      </c>
      <c r="F28">
        <v>45.6</v>
      </c>
      <c r="G28">
        <v>76</v>
      </c>
      <c r="H28">
        <v>90.666666666666671</v>
      </c>
      <c r="J28">
        <v>114</v>
      </c>
      <c r="K28">
        <f t="shared" si="0"/>
        <v>45.6</v>
      </c>
      <c r="L28">
        <v>68</v>
      </c>
      <c r="M28">
        <f t="shared" si="1"/>
        <v>136</v>
      </c>
      <c r="N28" t="str">
        <f t="shared" si="2"/>
        <v/>
      </c>
      <c r="O28" t="str">
        <f t="shared" si="3"/>
        <v/>
      </c>
      <c r="P28">
        <f t="shared" si="4"/>
        <v>90.8</v>
      </c>
      <c r="Q28" t="str">
        <f>IF($A28="Class of 2022","",IFERROR(INDEX(CAT4_2022_2023!$F:$F,MATCH($B28,CAT4_2022_2023!$A:$A,0)),IFERROR(INDEX(CAT4_2021_2022!$F:$F,MATCH($B28,CAT4_2021_2022!$A:$A,0)),"")))</f>
        <v/>
      </c>
      <c r="R28" t="str">
        <f>IF($A28="Class of 2022","",IFERROR(INDEX(CAT4_2022_2023!$G:$G,MATCH($B28,CAT4_2022_2023!$A:$A,0)),IFERROR(INDEX(CAT4_2021_2022!$G:$G,MATCH($B28,CAT4_2021_2022!$A:$A,0)),"")))</f>
        <v/>
      </c>
      <c r="S28" t="str">
        <f>IF($A28="Class of 2022","",IFERROR(INDEX(CAT4_2022_2023!$H:$H,MATCH($B28,CAT4_2022_2023!$A:$A,0)),IFERROR(INDEX(CAT4_2021_2022!$H:$H,MATCH($B28,CAT4_2021_2022!$A:$A,0)),"")))</f>
        <v/>
      </c>
      <c r="T28" t="str">
        <f>IF($A28="Class of 2022","",IFERROR(INDEX(CAT4_2022_2023!$I:$I,MATCH($B28,CAT4_2022_2023!$A:$A,0)),IFERROR(INDEX(CAT4_2021_2022!$I:$I,MATCH($B28,CAT4_2021_2022!$A:$A,0)),"")))</f>
        <v/>
      </c>
      <c r="U28" t="str">
        <f>IF($A28="Class of 2022","",IFERROR(INDEX(CAT4_2022_2023!$J:$J,MATCH($B28,CAT4_2022_2023!$A:$A,0)),IFERROR(INDEX(CAT4_2021_2022!$J:$J,MATCH($B28,CAT4_2021_2022!$A:$A,0)),"")))</f>
        <v/>
      </c>
      <c r="W28" t="s">
        <v>556</v>
      </c>
    </row>
    <row r="29" spans="1:23" x14ac:dyDescent="0.3">
      <c r="A29" t="s">
        <v>60</v>
      </c>
      <c r="B29" t="s">
        <v>121</v>
      </c>
      <c r="C29" t="s">
        <v>122</v>
      </c>
      <c r="G29">
        <v>88.000000000000014</v>
      </c>
      <c r="H29">
        <v>66.666666666666671</v>
      </c>
      <c r="K29" t="str">
        <f t="shared" si="0"/>
        <v/>
      </c>
      <c r="L29">
        <v>50</v>
      </c>
      <c r="M29">
        <f t="shared" si="1"/>
        <v>100</v>
      </c>
      <c r="N29" t="str">
        <f t="shared" si="2"/>
        <v/>
      </c>
      <c r="O29" t="str">
        <f t="shared" si="3"/>
        <v/>
      </c>
      <c r="P29">
        <f t="shared" si="4"/>
        <v>100</v>
      </c>
      <c r="Q29" t="str">
        <f>IF($A29="Class of 2022","",IFERROR(INDEX(CAT4_2022_2023!$F:$F,MATCH($B29,CAT4_2022_2023!$A:$A,0)),IFERROR(INDEX(CAT4_2021_2022!$F:$F,MATCH($B29,CAT4_2021_2022!$A:$A,0)),"")))</f>
        <v/>
      </c>
      <c r="R29" t="str">
        <f>IF($A29="Class of 2022","",IFERROR(INDEX(CAT4_2022_2023!$G:$G,MATCH($B29,CAT4_2022_2023!$A:$A,0)),IFERROR(INDEX(CAT4_2021_2022!$G:$G,MATCH($B29,CAT4_2021_2022!$A:$A,0)),"")))</f>
        <v/>
      </c>
      <c r="S29" t="str">
        <f>IF($A29="Class of 2022","",IFERROR(INDEX(CAT4_2022_2023!$H:$H,MATCH($B29,CAT4_2022_2023!$A:$A,0)),IFERROR(INDEX(CAT4_2021_2022!$H:$H,MATCH($B29,CAT4_2021_2022!$A:$A,0)),"")))</f>
        <v/>
      </c>
      <c r="T29" t="str">
        <f>IF($A29="Class of 2022","",IFERROR(INDEX(CAT4_2022_2023!$I:$I,MATCH($B29,CAT4_2022_2023!$A:$A,0)),IFERROR(INDEX(CAT4_2021_2022!$I:$I,MATCH($B29,CAT4_2021_2022!$A:$A,0)),"")))</f>
        <v/>
      </c>
      <c r="U29" t="str">
        <f>IF($A29="Class of 2022","",IFERROR(INDEX(CAT4_2022_2023!$J:$J,MATCH($B29,CAT4_2022_2023!$A:$A,0)),IFERROR(INDEX(CAT4_2021_2022!$J:$J,MATCH($B29,CAT4_2021_2022!$A:$A,0)),"")))</f>
        <v/>
      </c>
      <c r="W29" t="s">
        <v>556</v>
      </c>
    </row>
    <row r="30" spans="1:23" x14ac:dyDescent="0.3">
      <c r="A30" t="s">
        <v>60</v>
      </c>
      <c r="B30" t="s">
        <v>123</v>
      </c>
      <c r="C30" t="s">
        <v>124</v>
      </c>
      <c r="F30">
        <v>48</v>
      </c>
      <c r="G30">
        <v>100</v>
      </c>
      <c r="H30">
        <v>77.333333333333329</v>
      </c>
      <c r="J30">
        <v>120</v>
      </c>
      <c r="K30">
        <f t="shared" si="0"/>
        <v>48</v>
      </c>
      <c r="L30">
        <v>58</v>
      </c>
      <c r="M30">
        <f t="shared" si="1"/>
        <v>115.99999999999999</v>
      </c>
      <c r="N30" t="str">
        <f t="shared" si="2"/>
        <v/>
      </c>
      <c r="O30" t="str">
        <f t="shared" si="3"/>
        <v/>
      </c>
      <c r="P30">
        <f t="shared" si="4"/>
        <v>82</v>
      </c>
      <c r="Q30" t="str">
        <f>IF($A30="Class of 2022","",IFERROR(INDEX(CAT4_2022_2023!$F:$F,MATCH($B30,CAT4_2022_2023!$A:$A,0)),IFERROR(INDEX(CAT4_2021_2022!$F:$F,MATCH($B30,CAT4_2021_2022!$A:$A,0)),"")))</f>
        <v/>
      </c>
      <c r="R30" t="str">
        <f>IF($A30="Class of 2022","",IFERROR(INDEX(CAT4_2022_2023!$G:$G,MATCH($B30,CAT4_2022_2023!$A:$A,0)),IFERROR(INDEX(CAT4_2021_2022!$G:$G,MATCH($B30,CAT4_2021_2022!$A:$A,0)),"")))</f>
        <v/>
      </c>
      <c r="S30" t="str">
        <f>IF($A30="Class of 2022","",IFERROR(INDEX(CAT4_2022_2023!$H:$H,MATCH($B30,CAT4_2022_2023!$A:$A,0)),IFERROR(INDEX(CAT4_2021_2022!$H:$H,MATCH($B30,CAT4_2021_2022!$A:$A,0)),"")))</f>
        <v/>
      </c>
      <c r="T30" t="str">
        <f>IF($A30="Class of 2022","",IFERROR(INDEX(CAT4_2022_2023!$I:$I,MATCH($B30,CAT4_2022_2023!$A:$A,0)),IFERROR(INDEX(CAT4_2021_2022!$I:$I,MATCH($B30,CAT4_2021_2022!$A:$A,0)),"")))</f>
        <v/>
      </c>
      <c r="U30" t="str">
        <f>IF($A30="Class of 2022","",IFERROR(INDEX(CAT4_2022_2023!$J:$J,MATCH($B30,CAT4_2022_2023!$A:$A,0)),IFERROR(INDEX(CAT4_2021_2022!$J:$J,MATCH($B30,CAT4_2021_2022!$A:$A,0)),"")))</f>
        <v/>
      </c>
      <c r="W30" t="s">
        <v>556</v>
      </c>
    </row>
    <row r="31" spans="1:23" x14ac:dyDescent="0.3">
      <c r="A31" t="s">
        <v>60</v>
      </c>
      <c r="B31" t="s">
        <v>125</v>
      </c>
      <c r="C31" t="s">
        <v>126</v>
      </c>
      <c r="F31">
        <v>71.599999999999994</v>
      </c>
      <c r="G31">
        <v>91.999999999999986</v>
      </c>
      <c r="H31">
        <v>81.333333333333329</v>
      </c>
      <c r="J31">
        <v>179</v>
      </c>
      <c r="K31">
        <f t="shared" si="0"/>
        <v>71.599999999999994</v>
      </c>
      <c r="L31">
        <v>61</v>
      </c>
      <c r="M31">
        <f t="shared" si="1"/>
        <v>122</v>
      </c>
      <c r="N31" t="str">
        <f t="shared" si="2"/>
        <v/>
      </c>
      <c r="O31" t="str">
        <f t="shared" si="3"/>
        <v/>
      </c>
      <c r="P31">
        <f t="shared" si="4"/>
        <v>96.8</v>
      </c>
      <c r="Q31" t="str">
        <f>IF($A31="Class of 2022","",IFERROR(INDEX(CAT4_2022_2023!$F:$F,MATCH($B31,CAT4_2022_2023!$A:$A,0)),IFERROR(INDEX(CAT4_2021_2022!$F:$F,MATCH($B31,CAT4_2021_2022!$A:$A,0)),"")))</f>
        <v/>
      </c>
      <c r="R31" t="str">
        <f>IF($A31="Class of 2022","",IFERROR(INDEX(CAT4_2022_2023!$G:$G,MATCH($B31,CAT4_2022_2023!$A:$A,0)),IFERROR(INDEX(CAT4_2021_2022!$G:$G,MATCH($B31,CAT4_2021_2022!$A:$A,0)),"")))</f>
        <v/>
      </c>
      <c r="S31" t="str">
        <f>IF($A31="Class of 2022","",IFERROR(INDEX(CAT4_2022_2023!$H:$H,MATCH($B31,CAT4_2022_2023!$A:$A,0)),IFERROR(INDEX(CAT4_2021_2022!$H:$H,MATCH($B31,CAT4_2021_2022!$A:$A,0)),"")))</f>
        <v/>
      </c>
      <c r="T31" t="str">
        <f>IF($A31="Class of 2022","",IFERROR(INDEX(CAT4_2022_2023!$I:$I,MATCH($B31,CAT4_2022_2023!$A:$A,0)),IFERROR(INDEX(CAT4_2021_2022!$I:$I,MATCH($B31,CAT4_2021_2022!$A:$A,0)),"")))</f>
        <v/>
      </c>
      <c r="U31" t="str">
        <f>IF($A31="Class of 2022","",IFERROR(INDEX(CAT4_2022_2023!$J:$J,MATCH($B31,CAT4_2022_2023!$A:$A,0)),IFERROR(INDEX(CAT4_2021_2022!$J:$J,MATCH($B31,CAT4_2021_2022!$A:$A,0)),"")))</f>
        <v/>
      </c>
      <c r="W31" t="s">
        <v>556</v>
      </c>
    </row>
    <row r="32" spans="1:23" x14ac:dyDescent="0.3">
      <c r="A32" t="s">
        <v>60</v>
      </c>
      <c r="B32" t="s">
        <v>127</v>
      </c>
      <c r="C32" t="s">
        <v>128</v>
      </c>
      <c r="F32">
        <v>42.4</v>
      </c>
      <c r="G32">
        <v>76</v>
      </c>
      <c r="H32">
        <v>56</v>
      </c>
      <c r="J32">
        <v>106</v>
      </c>
      <c r="K32">
        <f t="shared" si="0"/>
        <v>42.4</v>
      </c>
      <c r="L32">
        <v>42</v>
      </c>
      <c r="M32">
        <f t="shared" si="1"/>
        <v>84</v>
      </c>
      <c r="N32" t="str">
        <f t="shared" si="2"/>
        <v/>
      </c>
      <c r="O32" t="str">
        <f t="shared" si="3"/>
        <v/>
      </c>
      <c r="P32">
        <f t="shared" si="4"/>
        <v>63.2</v>
      </c>
      <c r="Q32" t="str">
        <f>IF($A32="Class of 2022","",IFERROR(INDEX(CAT4_2022_2023!$F:$F,MATCH($B32,CAT4_2022_2023!$A:$A,0)),IFERROR(INDEX(CAT4_2021_2022!$F:$F,MATCH($B32,CAT4_2021_2022!$A:$A,0)),"")))</f>
        <v/>
      </c>
      <c r="R32" t="str">
        <f>IF($A32="Class of 2022","",IFERROR(INDEX(CAT4_2022_2023!$G:$G,MATCH($B32,CAT4_2022_2023!$A:$A,0)),IFERROR(INDEX(CAT4_2021_2022!$G:$G,MATCH($B32,CAT4_2021_2022!$A:$A,0)),"")))</f>
        <v/>
      </c>
      <c r="S32" t="str">
        <f>IF($A32="Class of 2022","",IFERROR(INDEX(CAT4_2022_2023!$H:$H,MATCH($B32,CAT4_2022_2023!$A:$A,0)),IFERROR(INDEX(CAT4_2021_2022!$H:$H,MATCH($B32,CAT4_2021_2022!$A:$A,0)),"")))</f>
        <v/>
      </c>
      <c r="T32" t="str">
        <f>IF($A32="Class of 2022","",IFERROR(INDEX(CAT4_2022_2023!$I:$I,MATCH($B32,CAT4_2022_2023!$A:$A,0)),IFERROR(INDEX(CAT4_2021_2022!$I:$I,MATCH($B32,CAT4_2021_2022!$A:$A,0)),"")))</f>
        <v/>
      </c>
      <c r="U32" t="str">
        <f>IF($A32="Class of 2022","",IFERROR(INDEX(CAT4_2022_2023!$J:$J,MATCH($B32,CAT4_2022_2023!$A:$A,0)),IFERROR(INDEX(CAT4_2021_2022!$J:$J,MATCH($B32,CAT4_2021_2022!$A:$A,0)),"")))</f>
        <v/>
      </c>
      <c r="W32" t="s">
        <v>556</v>
      </c>
    </row>
    <row r="33" spans="1:23" x14ac:dyDescent="0.3">
      <c r="A33" t="s">
        <v>60</v>
      </c>
      <c r="B33" t="s">
        <v>129</v>
      </c>
      <c r="C33" t="s">
        <v>130</v>
      </c>
      <c r="F33">
        <v>66.400000000000006</v>
      </c>
      <c r="G33">
        <v>96</v>
      </c>
      <c r="H33">
        <v>72</v>
      </c>
      <c r="J33">
        <v>166</v>
      </c>
      <c r="K33">
        <f t="shared" si="0"/>
        <v>66.400000000000006</v>
      </c>
      <c r="L33">
        <v>54</v>
      </c>
      <c r="M33">
        <f t="shared" si="1"/>
        <v>108</v>
      </c>
      <c r="N33" t="str">
        <f t="shared" si="2"/>
        <v/>
      </c>
      <c r="O33" t="str">
        <f t="shared" si="3"/>
        <v/>
      </c>
      <c r="P33">
        <f t="shared" si="4"/>
        <v>87.2</v>
      </c>
      <c r="Q33" t="str">
        <f>IF($A33="Class of 2022","",IFERROR(INDEX(CAT4_2022_2023!$F:$F,MATCH($B33,CAT4_2022_2023!$A:$A,0)),IFERROR(INDEX(CAT4_2021_2022!$F:$F,MATCH($B33,CAT4_2021_2022!$A:$A,0)),"")))</f>
        <v/>
      </c>
      <c r="R33" t="str">
        <f>IF($A33="Class of 2022","",IFERROR(INDEX(CAT4_2022_2023!$G:$G,MATCH($B33,CAT4_2022_2023!$A:$A,0)),IFERROR(INDEX(CAT4_2021_2022!$G:$G,MATCH($B33,CAT4_2021_2022!$A:$A,0)),"")))</f>
        <v/>
      </c>
      <c r="S33" t="str">
        <f>IF($A33="Class of 2022","",IFERROR(INDEX(CAT4_2022_2023!$H:$H,MATCH($B33,CAT4_2022_2023!$A:$A,0)),IFERROR(INDEX(CAT4_2021_2022!$H:$H,MATCH($B33,CAT4_2021_2022!$A:$A,0)),"")))</f>
        <v/>
      </c>
      <c r="T33" t="str">
        <f>IF($A33="Class of 2022","",IFERROR(INDEX(CAT4_2022_2023!$I:$I,MATCH($B33,CAT4_2022_2023!$A:$A,0)),IFERROR(INDEX(CAT4_2021_2022!$I:$I,MATCH($B33,CAT4_2021_2022!$A:$A,0)),"")))</f>
        <v/>
      </c>
      <c r="U33" t="str">
        <f>IF($A33="Class of 2022","",IFERROR(INDEX(CAT4_2022_2023!$J:$J,MATCH($B33,CAT4_2022_2023!$A:$A,0)),IFERROR(INDEX(CAT4_2021_2022!$J:$J,MATCH($B33,CAT4_2021_2022!$A:$A,0)),"")))</f>
        <v/>
      </c>
      <c r="W33" t="s">
        <v>556</v>
      </c>
    </row>
    <row r="34" spans="1:23" x14ac:dyDescent="0.3">
      <c r="A34" t="s">
        <v>60</v>
      </c>
      <c r="B34" t="s">
        <v>131</v>
      </c>
      <c r="C34" t="s">
        <v>132</v>
      </c>
      <c r="F34">
        <v>57.6</v>
      </c>
      <c r="G34">
        <v>91.999999999999986</v>
      </c>
      <c r="H34">
        <v>78.666666666666671</v>
      </c>
      <c r="J34">
        <v>144</v>
      </c>
      <c r="K34">
        <f t="shared" si="0"/>
        <v>57.599999999999994</v>
      </c>
      <c r="L34">
        <v>59</v>
      </c>
      <c r="M34">
        <f t="shared" si="1"/>
        <v>118</v>
      </c>
      <c r="N34" t="str">
        <f t="shared" si="2"/>
        <v/>
      </c>
      <c r="O34" t="str">
        <f t="shared" si="3"/>
        <v/>
      </c>
      <c r="P34">
        <f t="shared" si="4"/>
        <v>87.8</v>
      </c>
      <c r="Q34" t="str">
        <f>IF($A34="Class of 2022","",IFERROR(INDEX(CAT4_2022_2023!$F:$F,MATCH($B34,CAT4_2022_2023!$A:$A,0)),IFERROR(INDEX(CAT4_2021_2022!$F:$F,MATCH($B34,CAT4_2021_2022!$A:$A,0)),"")))</f>
        <v/>
      </c>
      <c r="R34" t="str">
        <f>IF($A34="Class of 2022","",IFERROR(INDEX(CAT4_2022_2023!$G:$G,MATCH($B34,CAT4_2022_2023!$A:$A,0)),IFERROR(INDEX(CAT4_2021_2022!$G:$G,MATCH($B34,CAT4_2021_2022!$A:$A,0)),"")))</f>
        <v/>
      </c>
      <c r="S34" t="str">
        <f>IF($A34="Class of 2022","",IFERROR(INDEX(CAT4_2022_2023!$H:$H,MATCH($B34,CAT4_2022_2023!$A:$A,0)),IFERROR(INDEX(CAT4_2021_2022!$H:$H,MATCH($B34,CAT4_2021_2022!$A:$A,0)),"")))</f>
        <v/>
      </c>
      <c r="T34" t="str">
        <f>IF($A34="Class of 2022","",IFERROR(INDEX(CAT4_2022_2023!$I:$I,MATCH($B34,CAT4_2022_2023!$A:$A,0)),IFERROR(INDEX(CAT4_2021_2022!$I:$I,MATCH($B34,CAT4_2021_2022!$A:$A,0)),"")))</f>
        <v/>
      </c>
      <c r="U34" t="str">
        <f>IF($A34="Class of 2022","",IFERROR(INDEX(CAT4_2022_2023!$J:$J,MATCH($B34,CAT4_2022_2023!$A:$A,0)),IFERROR(INDEX(CAT4_2021_2022!$J:$J,MATCH($B34,CAT4_2021_2022!$A:$A,0)),"")))</f>
        <v/>
      </c>
      <c r="W34" t="s">
        <v>556</v>
      </c>
    </row>
    <row r="35" spans="1:23" x14ac:dyDescent="0.3">
      <c r="A35" t="s">
        <v>60</v>
      </c>
      <c r="B35" t="s">
        <v>133</v>
      </c>
      <c r="C35" t="s">
        <v>134</v>
      </c>
      <c r="F35">
        <v>60.8</v>
      </c>
      <c r="G35">
        <v>76</v>
      </c>
      <c r="H35">
        <v>72</v>
      </c>
      <c r="J35">
        <v>152</v>
      </c>
      <c r="K35">
        <f t="shared" si="0"/>
        <v>60.8</v>
      </c>
      <c r="L35">
        <v>54</v>
      </c>
      <c r="M35">
        <f t="shared" si="1"/>
        <v>108</v>
      </c>
      <c r="N35" t="str">
        <f t="shared" si="2"/>
        <v/>
      </c>
      <c r="O35" t="str">
        <f t="shared" si="3"/>
        <v/>
      </c>
      <c r="P35">
        <f t="shared" si="4"/>
        <v>84.4</v>
      </c>
      <c r="Q35" t="str">
        <f>IF($A35="Class of 2022","",IFERROR(INDEX(CAT4_2022_2023!$F:$F,MATCH($B35,CAT4_2022_2023!$A:$A,0)),IFERROR(INDEX(CAT4_2021_2022!$F:$F,MATCH($B35,CAT4_2021_2022!$A:$A,0)),"")))</f>
        <v/>
      </c>
      <c r="R35" t="str">
        <f>IF($A35="Class of 2022","",IFERROR(INDEX(CAT4_2022_2023!$G:$G,MATCH($B35,CAT4_2022_2023!$A:$A,0)),IFERROR(INDEX(CAT4_2021_2022!$G:$G,MATCH($B35,CAT4_2021_2022!$A:$A,0)),"")))</f>
        <v/>
      </c>
      <c r="S35" t="str">
        <f>IF($A35="Class of 2022","",IFERROR(INDEX(CAT4_2022_2023!$H:$H,MATCH($B35,CAT4_2022_2023!$A:$A,0)),IFERROR(INDEX(CAT4_2021_2022!$H:$H,MATCH($B35,CAT4_2021_2022!$A:$A,0)),"")))</f>
        <v/>
      </c>
      <c r="T35" t="str">
        <f>IF($A35="Class of 2022","",IFERROR(INDEX(CAT4_2022_2023!$I:$I,MATCH($B35,CAT4_2022_2023!$A:$A,0)),IFERROR(INDEX(CAT4_2021_2022!$I:$I,MATCH($B35,CAT4_2021_2022!$A:$A,0)),"")))</f>
        <v/>
      </c>
      <c r="U35" t="str">
        <f>IF($A35="Class of 2022","",IFERROR(INDEX(CAT4_2022_2023!$J:$J,MATCH($B35,CAT4_2022_2023!$A:$A,0)),IFERROR(INDEX(CAT4_2021_2022!$J:$J,MATCH($B35,CAT4_2021_2022!$A:$A,0)),"")))</f>
        <v/>
      </c>
      <c r="W35" t="s">
        <v>556</v>
      </c>
    </row>
    <row r="36" spans="1:23" x14ac:dyDescent="0.3">
      <c r="A36" t="s">
        <v>60</v>
      </c>
      <c r="B36" t="s">
        <v>135</v>
      </c>
      <c r="C36" t="s">
        <v>136</v>
      </c>
      <c r="F36">
        <v>64.400000000000006</v>
      </c>
      <c r="G36">
        <v>76</v>
      </c>
      <c r="H36">
        <v>70.666666666666671</v>
      </c>
      <c r="J36">
        <v>161</v>
      </c>
      <c r="K36">
        <f t="shared" si="0"/>
        <v>64.400000000000006</v>
      </c>
      <c r="L36">
        <v>53</v>
      </c>
      <c r="M36">
        <f t="shared" si="1"/>
        <v>106</v>
      </c>
      <c r="N36" t="str">
        <f t="shared" si="2"/>
        <v/>
      </c>
      <c r="O36" t="str">
        <f t="shared" si="3"/>
        <v/>
      </c>
      <c r="P36">
        <f t="shared" si="4"/>
        <v>85.2</v>
      </c>
      <c r="Q36" t="str">
        <f>IF($A36="Class of 2022","",IFERROR(INDEX(CAT4_2022_2023!$F:$F,MATCH($B36,CAT4_2022_2023!$A:$A,0)),IFERROR(INDEX(CAT4_2021_2022!$F:$F,MATCH($B36,CAT4_2021_2022!$A:$A,0)),"")))</f>
        <v/>
      </c>
      <c r="R36" t="str">
        <f>IF($A36="Class of 2022","",IFERROR(INDEX(CAT4_2022_2023!$G:$G,MATCH($B36,CAT4_2022_2023!$A:$A,0)),IFERROR(INDEX(CAT4_2021_2022!$G:$G,MATCH($B36,CAT4_2021_2022!$A:$A,0)),"")))</f>
        <v/>
      </c>
      <c r="S36" t="str">
        <f>IF($A36="Class of 2022","",IFERROR(INDEX(CAT4_2022_2023!$H:$H,MATCH($B36,CAT4_2022_2023!$A:$A,0)),IFERROR(INDEX(CAT4_2021_2022!$H:$H,MATCH($B36,CAT4_2021_2022!$A:$A,0)),"")))</f>
        <v/>
      </c>
      <c r="T36" t="str">
        <f>IF($A36="Class of 2022","",IFERROR(INDEX(CAT4_2022_2023!$I:$I,MATCH($B36,CAT4_2022_2023!$A:$A,0)),IFERROR(INDEX(CAT4_2021_2022!$I:$I,MATCH($B36,CAT4_2021_2022!$A:$A,0)),"")))</f>
        <v/>
      </c>
      <c r="U36" t="str">
        <f>IF($A36="Class of 2022","",IFERROR(INDEX(CAT4_2022_2023!$J:$J,MATCH($B36,CAT4_2022_2023!$A:$A,0)),IFERROR(INDEX(CAT4_2021_2022!$J:$J,MATCH($B36,CAT4_2021_2022!$A:$A,0)),"")))</f>
        <v/>
      </c>
      <c r="W36" t="s">
        <v>556</v>
      </c>
    </row>
    <row r="37" spans="1:23" x14ac:dyDescent="0.3">
      <c r="A37" t="s">
        <v>60</v>
      </c>
      <c r="B37" t="s">
        <v>137</v>
      </c>
      <c r="C37" t="s">
        <v>138</v>
      </c>
      <c r="F37">
        <v>54</v>
      </c>
      <c r="G37">
        <v>91.999999999999986</v>
      </c>
      <c r="H37">
        <v>62.666666666666657</v>
      </c>
      <c r="J37">
        <v>135</v>
      </c>
      <c r="K37">
        <f t="shared" si="0"/>
        <v>54</v>
      </c>
      <c r="L37">
        <v>47</v>
      </c>
      <c r="M37">
        <f t="shared" si="1"/>
        <v>94</v>
      </c>
      <c r="N37" t="str">
        <f t="shared" si="2"/>
        <v/>
      </c>
      <c r="O37" t="str">
        <f t="shared" si="3"/>
        <v/>
      </c>
      <c r="P37">
        <f t="shared" si="4"/>
        <v>74</v>
      </c>
      <c r="Q37" t="str">
        <f>IF($A37="Class of 2022","",IFERROR(INDEX(CAT4_2022_2023!$F:$F,MATCH($B37,CAT4_2022_2023!$A:$A,0)),IFERROR(INDEX(CAT4_2021_2022!$F:$F,MATCH($B37,CAT4_2021_2022!$A:$A,0)),"")))</f>
        <v/>
      </c>
      <c r="R37" t="str">
        <f>IF($A37="Class of 2022","",IFERROR(INDEX(CAT4_2022_2023!$G:$G,MATCH($B37,CAT4_2022_2023!$A:$A,0)),IFERROR(INDEX(CAT4_2021_2022!$G:$G,MATCH($B37,CAT4_2021_2022!$A:$A,0)),"")))</f>
        <v/>
      </c>
      <c r="S37" t="str">
        <f>IF($A37="Class of 2022","",IFERROR(INDEX(CAT4_2022_2023!$H:$H,MATCH($B37,CAT4_2022_2023!$A:$A,0)),IFERROR(INDEX(CAT4_2021_2022!$H:$H,MATCH($B37,CAT4_2021_2022!$A:$A,0)),"")))</f>
        <v/>
      </c>
      <c r="T37" t="str">
        <f>IF($A37="Class of 2022","",IFERROR(INDEX(CAT4_2022_2023!$I:$I,MATCH($B37,CAT4_2022_2023!$A:$A,0)),IFERROR(INDEX(CAT4_2021_2022!$I:$I,MATCH($B37,CAT4_2021_2022!$A:$A,0)),"")))</f>
        <v/>
      </c>
      <c r="U37" t="str">
        <f>IF($A37="Class of 2022","",IFERROR(INDEX(CAT4_2022_2023!$J:$J,MATCH($B37,CAT4_2022_2023!$A:$A,0)),IFERROR(INDEX(CAT4_2021_2022!$J:$J,MATCH($B37,CAT4_2021_2022!$A:$A,0)),"")))</f>
        <v/>
      </c>
      <c r="W37" t="s">
        <v>556</v>
      </c>
    </row>
    <row r="38" spans="1:23" x14ac:dyDescent="0.3">
      <c r="A38" t="s">
        <v>60</v>
      </c>
      <c r="B38" t="s">
        <v>139</v>
      </c>
      <c r="C38" t="s">
        <v>140</v>
      </c>
      <c r="F38">
        <v>52</v>
      </c>
      <c r="G38">
        <v>76</v>
      </c>
      <c r="H38">
        <v>68</v>
      </c>
      <c r="J38">
        <v>130</v>
      </c>
      <c r="K38">
        <f t="shared" si="0"/>
        <v>52</v>
      </c>
      <c r="L38">
        <v>51</v>
      </c>
      <c r="M38">
        <f t="shared" si="1"/>
        <v>102</v>
      </c>
      <c r="N38" t="str">
        <f t="shared" si="2"/>
        <v/>
      </c>
      <c r="O38" t="str">
        <f t="shared" si="3"/>
        <v/>
      </c>
      <c r="P38">
        <f t="shared" si="4"/>
        <v>77</v>
      </c>
      <c r="Q38" t="str">
        <f>IF($A38="Class of 2022","",IFERROR(INDEX(CAT4_2022_2023!$F:$F,MATCH($B38,CAT4_2022_2023!$A:$A,0)),IFERROR(INDEX(CAT4_2021_2022!$F:$F,MATCH($B38,CAT4_2021_2022!$A:$A,0)),"")))</f>
        <v/>
      </c>
      <c r="R38" t="str">
        <f>IF($A38="Class of 2022","",IFERROR(INDEX(CAT4_2022_2023!$G:$G,MATCH($B38,CAT4_2022_2023!$A:$A,0)),IFERROR(INDEX(CAT4_2021_2022!$G:$G,MATCH($B38,CAT4_2021_2022!$A:$A,0)),"")))</f>
        <v/>
      </c>
      <c r="S38" t="str">
        <f>IF($A38="Class of 2022","",IFERROR(INDEX(CAT4_2022_2023!$H:$H,MATCH($B38,CAT4_2022_2023!$A:$A,0)),IFERROR(INDEX(CAT4_2021_2022!$H:$H,MATCH($B38,CAT4_2021_2022!$A:$A,0)),"")))</f>
        <v/>
      </c>
      <c r="T38" t="str">
        <f>IF($A38="Class of 2022","",IFERROR(INDEX(CAT4_2022_2023!$I:$I,MATCH($B38,CAT4_2022_2023!$A:$A,0)),IFERROR(INDEX(CAT4_2021_2022!$I:$I,MATCH($B38,CAT4_2021_2022!$A:$A,0)),"")))</f>
        <v/>
      </c>
      <c r="U38" t="str">
        <f>IF($A38="Class of 2022","",IFERROR(INDEX(CAT4_2022_2023!$J:$J,MATCH($B38,CAT4_2022_2023!$A:$A,0)),IFERROR(INDEX(CAT4_2021_2022!$J:$J,MATCH($B38,CAT4_2021_2022!$A:$A,0)),"")))</f>
        <v/>
      </c>
      <c r="W38" t="s">
        <v>556</v>
      </c>
    </row>
    <row r="39" spans="1:23" x14ac:dyDescent="0.3">
      <c r="A39" t="s">
        <v>60</v>
      </c>
      <c r="B39" t="s">
        <v>141</v>
      </c>
      <c r="C39" t="s">
        <v>142</v>
      </c>
      <c r="F39">
        <v>66</v>
      </c>
      <c r="G39">
        <v>100</v>
      </c>
      <c r="H39">
        <v>74.666666666666671</v>
      </c>
      <c r="J39">
        <v>165</v>
      </c>
      <c r="K39">
        <f t="shared" si="0"/>
        <v>66</v>
      </c>
      <c r="L39">
        <v>56</v>
      </c>
      <c r="M39">
        <f t="shared" si="1"/>
        <v>112.00000000000001</v>
      </c>
      <c r="N39" t="str">
        <f t="shared" si="2"/>
        <v/>
      </c>
      <c r="O39" t="str">
        <f t="shared" si="3"/>
        <v/>
      </c>
      <c r="P39">
        <f t="shared" si="4"/>
        <v>89</v>
      </c>
      <c r="Q39" t="str">
        <f>IF($A39="Class of 2022","",IFERROR(INDEX(CAT4_2022_2023!$F:$F,MATCH($B39,CAT4_2022_2023!$A:$A,0)),IFERROR(INDEX(CAT4_2021_2022!$F:$F,MATCH($B39,CAT4_2021_2022!$A:$A,0)),"")))</f>
        <v/>
      </c>
      <c r="R39" t="str">
        <f>IF($A39="Class of 2022","",IFERROR(INDEX(CAT4_2022_2023!$G:$G,MATCH($B39,CAT4_2022_2023!$A:$A,0)),IFERROR(INDEX(CAT4_2021_2022!$G:$G,MATCH($B39,CAT4_2021_2022!$A:$A,0)),"")))</f>
        <v/>
      </c>
      <c r="S39" t="str">
        <f>IF($A39="Class of 2022","",IFERROR(INDEX(CAT4_2022_2023!$H:$H,MATCH($B39,CAT4_2022_2023!$A:$A,0)),IFERROR(INDEX(CAT4_2021_2022!$H:$H,MATCH($B39,CAT4_2021_2022!$A:$A,0)),"")))</f>
        <v/>
      </c>
      <c r="T39" t="str">
        <f>IF($A39="Class of 2022","",IFERROR(INDEX(CAT4_2022_2023!$I:$I,MATCH($B39,CAT4_2022_2023!$A:$A,0)),IFERROR(INDEX(CAT4_2021_2022!$I:$I,MATCH($B39,CAT4_2021_2022!$A:$A,0)),"")))</f>
        <v/>
      </c>
      <c r="U39" t="str">
        <f>IF($A39="Class of 2022","",IFERROR(INDEX(CAT4_2022_2023!$J:$J,MATCH($B39,CAT4_2022_2023!$A:$A,0)),IFERROR(INDEX(CAT4_2021_2022!$J:$J,MATCH($B39,CAT4_2021_2022!$A:$A,0)),"")))</f>
        <v/>
      </c>
      <c r="W39" t="s">
        <v>556</v>
      </c>
    </row>
    <row r="40" spans="1:23" x14ac:dyDescent="0.3">
      <c r="A40" t="s">
        <v>60</v>
      </c>
      <c r="B40" t="s">
        <v>143</v>
      </c>
      <c r="C40" t="s">
        <v>144</v>
      </c>
      <c r="F40">
        <v>48</v>
      </c>
      <c r="G40">
        <v>100</v>
      </c>
      <c r="H40">
        <v>90.666666666666671</v>
      </c>
      <c r="J40">
        <v>120</v>
      </c>
      <c r="K40">
        <f t="shared" si="0"/>
        <v>48</v>
      </c>
      <c r="L40">
        <v>68</v>
      </c>
      <c r="M40">
        <f t="shared" si="1"/>
        <v>136</v>
      </c>
      <c r="N40" t="str">
        <f t="shared" si="2"/>
        <v/>
      </c>
      <c r="O40" t="str">
        <f t="shared" si="3"/>
        <v/>
      </c>
      <c r="P40">
        <f t="shared" si="4"/>
        <v>92</v>
      </c>
      <c r="Q40" t="str">
        <f>IF($A40="Class of 2022","",IFERROR(INDEX(CAT4_2022_2023!$F:$F,MATCH($B40,CAT4_2022_2023!$A:$A,0)),IFERROR(INDEX(CAT4_2021_2022!$F:$F,MATCH($B40,CAT4_2021_2022!$A:$A,0)),"")))</f>
        <v/>
      </c>
      <c r="R40" t="str">
        <f>IF($A40="Class of 2022","",IFERROR(INDEX(CAT4_2022_2023!$G:$G,MATCH($B40,CAT4_2022_2023!$A:$A,0)),IFERROR(INDEX(CAT4_2021_2022!$G:$G,MATCH($B40,CAT4_2021_2022!$A:$A,0)),"")))</f>
        <v/>
      </c>
      <c r="S40" t="str">
        <f>IF($A40="Class of 2022","",IFERROR(INDEX(CAT4_2022_2023!$H:$H,MATCH($B40,CAT4_2022_2023!$A:$A,0)),IFERROR(INDEX(CAT4_2021_2022!$H:$H,MATCH($B40,CAT4_2021_2022!$A:$A,0)),"")))</f>
        <v/>
      </c>
      <c r="T40" t="str">
        <f>IF($A40="Class of 2022","",IFERROR(INDEX(CAT4_2022_2023!$I:$I,MATCH($B40,CAT4_2022_2023!$A:$A,0)),IFERROR(INDEX(CAT4_2021_2022!$I:$I,MATCH($B40,CAT4_2021_2022!$A:$A,0)),"")))</f>
        <v/>
      </c>
      <c r="U40" t="str">
        <f>IF($A40="Class of 2022","",IFERROR(INDEX(CAT4_2022_2023!$J:$J,MATCH($B40,CAT4_2022_2023!$A:$A,0)),IFERROR(INDEX(CAT4_2021_2022!$J:$J,MATCH($B40,CAT4_2021_2022!$A:$A,0)),"")))</f>
        <v/>
      </c>
      <c r="W40" t="s">
        <v>556</v>
      </c>
    </row>
    <row r="41" spans="1:23" x14ac:dyDescent="0.3">
      <c r="A41" t="s">
        <v>60</v>
      </c>
      <c r="B41" t="s">
        <v>145</v>
      </c>
      <c r="C41" t="s">
        <v>146</v>
      </c>
      <c r="F41">
        <v>44.8</v>
      </c>
      <c r="G41">
        <v>64</v>
      </c>
      <c r="H41">
        <v>92</v>
      </c>
      <c r="J41">
        <v>112</v>
      </c>
      <c r="K41">
        <f t="shared" si="0"/>
        <v>44.800000000000004</v>
      </c>
      <c r="L41">
        <v>69</v>
      </c>
      <c r="M41">
        <f t="shared" si="1"/>
        <v>138</v>
      </c>
      <c r="N41" t="str">
        <f t="shared" si="2"/>
        <v/>
      </c>
      <c r="O41" t="str">
        <f t="shared" si="3"/>
        <v/>
      </c>
      <c r="P41">
        <f t="shared" si="4"/>
        <v>91.4</v>
      </c>
      <c r="Q41" t="str">
        <f>IF($A41="Class of 2022","",IFERROR(INDEX(CAT4_2022_2023!$F:$F,MATCH($B41,CAT4_2022_2023!$A:$A,0)),IFERROR(INDEX(CAT4_2021_2022!$F:$F,MATCH($B41,CAT4_2021_2022!$A:$A,0)),"")))</f>
        <v/>
      </c>
      <c r="R41" t="str">
        <f>IF($A41="Class of 2022","",IFERROR(INDEX(CAT4_2022_2023!$G:$G,MATCH($B41,CAT4_2022_2023!$A:$A,0)),IFERROR(INDEX(CAT4_2021_2022!$G:$G,MATCH($B41,CAT4_2021_2022!$A:$A,0)),"")))</f>
        <v/>
      </c>
      <c r="S41" t="str">
        <f>IF($A41="Class of 2022","",IFERROR(INDEX(CAT4_2022_2023!$H:$H,MATCH($B41,CAT4_2022_2023!$A:$A,0)),IFERROR(INDEX(CAT4_2021_2022!$H:$H,MATCH($B41,CAT4_2021_2022!$A:$A,0)),"")))</f>
        <v/>
      </c>
      <c r="T41" t="str">
        <f>IF($A41="Class of 2022","",IFERROR(INDEX(CAT4_2022_2023!$I:$I,MATCH($B41,CAT4_2022_2023!$A:$A,0)),IFERROR(INDEX(CAT4_2021_2022!$I:$I,MATCH($B41,CAT4_2021_2022!$A:$A,0)),"")))</f>
        <v/>
      </c>
      <c r="U41" t="str">
        <f>IF($A41="Class of 2022","",IFERROR(INDEX(CAT4_2022_2023!$J:$J,MATCH($B41,CAT4_2022_2023!$A:$A,0)),IFERROR(INDEX(CAT4_2021_2022!$J:$J,MATCH($B41,CAT4_2021_2022!$A:$A,0)),"")))</f>
        <v/>
      </c>
      <c r="W41" t="s">
        <v>556</v>
      </c>
    </row>
    <row r="42" spans="1:23" x14ac:dyDescent="0.3">
      <c r="A42" t="s">
        <v>60</v>
      </c>
      <c r="B42" t="s">
        <v>147</v>
      </c>
      <c r="C42" t="s">
        <v>148</v>
      </c>
      <c r="F42">
        <v>34.4</v>
      </c>
      <c r="G42">
        <v>56</v>
      </c>
      <c r="H42">
        <v>40</v>
      </c>
      <c r="J42">
        <v>86</v>
      </c>
      <c r="K42">
        <f t="shared" si="0"/>
        <v>34.4</v>
      </c>
      <c r="L42">
        <v>30</v>
      </c>
      <c r="M42">
        <f t="shared" si="1"/>
        <v>60</v>
      </c>
      <c r="N42" t="str">
        <f t="shared" si="2"/>
        <v/>
      </c>
      <c r="O42" t="str">
        <f t="shared" si="3"/>
        <v/>
      </c>
      <c r="P42">
        <f t="shared" si="4"/>
        <v>47.2</v>
      </c>
      <c r="Q42" t="str">
        <f>IF($A42="Class of 2022","",IFERROR(INDEX(CAT4_2022_2023!$F:$F,MATCH($B42,CAT4_2022_2023!$A:$A,0)),IFERROR(INDEX(CAT4_2021_2022!$F:$F,MATCH($B42,CAT4_2021_2022!$A:$A,0)),"")))</f>
        <v/>
      </c>
      <c r="R42" t="str">
        <f>IF($A42="Class of 2022","",IFERROR(INDEX(CAT4_2022_2023!$G:$G,MATCH($B42,CAT4_2022_2023!$A:$A,0)),IFERROR(INDEX(CAT4_2021_2022!$G:$G,MATCH($B42,CAT4_2021_2022!$A:$A,0)),"")))</f>
        <v/>
      </c>
      <c r="S42" t="str">
        <f>IF($A42="Class of 2022","",IFERROR(INDEX(CAT4_2022_2023!$H:$H,MATCH($B42,CAT4_2022_2023!$A:$A,0)),IFERROR(INDEX(CAT4_2021_2022!$H:$H,MATCH($B42,CAT4_2021_2022!$A:$A,0)),"")))</f>
        <v/>
      </c>
      <c r="T42" t="str">
        <f>IF($A42="Class of 2022","",IFERROR(INDEX(CAT4_2022_2023!$I:$I,MATCH($B42,CAT4_2022_2023!$A:$A,0)),IFERROR(INDEX(CAT4_2021_2022!$I:$I,MATCH($B42,CAT4_2021_2022!$A:$A,0)),"")))</f>
        <v/>
      </c>
      <c r="U42" t="str">
        <f>IF($A42="Class of 2022","",IFERROR(INDEX(CAT4_2022_2023!$J:$J,MATCH($B42,CAT4_2022_2023!$A:$A,0)),IFERROR(INDEX(CAT4_2021_2022!$J:$J,MATCH($B42,CAT4_2021_2022!$A:$A,0)),"")))</f>
        <v/>
      </c>
      <c r="W42" t="s">
        <v>556</v>
      </c>
    </row>
    <row r="43" spans="1:23" x14ac:dyDescent="0.3">
      <c r="A43" t="s">
        <v>60</v>
      </c>
      <c r="B43" t="s">
        <v>149</v>
      </c>
      <c r="C43" t="s">
        <v>150</v>
      </c>
      <c r="F43">
        <v>60.4</v>
      </c>
      <c r="G43">
        <v>91.999999999999986</v>
      </c>
      <c r="H43">
        <v>68</v>
      </c>
      <c r="J43">
        <v>151</v>
      </c>
      <c r="K43">
        <f t="shared" si="0"/>
        <v>60.4</v>
      </c>
      <c r="L43">
        <v>51</v>
      </c>
      <c r="M43">
        <f t="shared" si="1"/>
        <v>102</v>
      </c>
      <c r="N43" t="str">
        <f t="shared" si="2"/>
        <v/>
      </c>
      <c r="O43" t="str">
        <f t="shared" si="3"/>
        <v/>
      </c>
      <c r="P43">
        <f t="shared" si="4"/>
        <v>81.2</v>
      </c>
      <c r="Q43" t="str">
        <f>IF($A43="Class of 2022","",IFERROR(INDEX(CAT4_2022_2023!$F:$F,MATCH($B43,CAT4_2022_2023!$A:$A,0)),IFERROR(INDEX(CAT4_2021_2022!$F:$F,MATCH($B43,CAT4_2021_2022!$A:$A,0)),"")))</f>
        <v/>
      </c>
      <c r="R43" t="str">
        <f>IF($A43="Class of 2022","",IFERROR(INDEX(CAT4_2022_2023!$G:$G,MATCH($B43,CAT4_2022_2023!$A:$A,0)),IFERROR(INDEX(CAT4_2021_2022!$G:$G,MATCH($B43,CAT4_2021_2022!$A:$A,0)),"")))</f>
        <v/>
      </c>
      <c r="S43" t="str">
        <f>IF($A43="Class of 2022","",IFERROR(INDEX(CAT4_2022_2023!$H:$H,MATCH($B43,CAT4_2022_2023!$A:$A,0)),IFERROR(INDEX(CAT4_2021_2022!$H:$H,MATCH($B43,CAT4_2021_2022!$A:$A,0)),"")))</f>
        <v/>
      </c>
      <c r="T43" t="str">
        <f>IF($A43="Class of 2022","",IFERROR(INDEX(CAT4_2022_2023!$I:$I,MATCH($B43,CAT4_2022_2023!$A:$A,0)),IFERROR(INDEX(CAT4_2021_2022!$I:$I,MATCH($B43,CAT4_2021_2022!$A:$A,0)),"")))</f>
        <v/>
      </c>
      <c r="U43" t="str">
        <f>IF($A43="Class of 2022","",IFERROR(INDEX(CAT4_2022_2023!$J:$J,MATCH($B43,CAT4_2022_2023!$A:$A,0)),IFERROR(INDEX(CAT4_2021_2022!$J:$J,MATCH($B43,CAT4_2021_2022!$A:$A,0)),"")))</f>
        <v/>
      </c>
      <c r="W43" t="s">
        <v>556</v>
      </c>
    </row>
    <row r="44" spans="1:23" x14ac:dyDescent="0.3">
      <c r="A44" t="s">
        <v>60</v>
      </c>
      <c r="B44" t="s">
        <v>151</v>
      </c>
      <c r="C44" t="s">
        <v>152</v>
      </c>
      <c r="F44">
        <v>67.599999999999994</v>
      </c>
      <c r="G44">
        <v>68</v>
      </c>
      <c r="H44">
        <v>74.666666666666671</v>
      </c>
      <c r="J44">
        <v>169</v>
      </c>
      <c r="K44">
        <f t="shared" si="0"/>
        <v>67.600000000000009</v>
      </c>
      <c r="L44">
        <v>56</v>
      </c>
      <c r="M44">
        <f t="shared" si="1"/>
        <v>112.00000000000001</v>
      </c>
      <c r="N44" t="str">
        <f t="shared" si="2"/>
        <v/>
      </c>
      <c r="O44" t="str">
        <f t="shared" si="3"/>
        <v/>
      </c>
      <c r="P44">
        <f t="shared" si="4"/>
        <v>89.800000000000011</v>
      </c>
      <c r="Q44" t="str">
        <f>IF($A44="Class of 2022","",IFERROR(INDEX(CAT4_2022_2023!$F:$F,MATCH($B44,CAT4_2022_2023!$A:$A,0)),IFERROR(INDEX(CAT4_2021_2022!$F:$F,MATCH($B44,CAT4_2021_2022!$A:$A,0)),"")))</f>
        <v/>
      </c>
      <c r="R44" t="str">
        <f>IF($A44="Class of 2022","",IFERROR(INDEX(CAT4_2022_2023!$G:$G,MATCH($B44,CAT4_2022_2023!$A:$A,0)),IFERROR(INDEX(CAT4_2021_2022!$G:$G,MATCH($B44,CAT4_2021_2022!$A:$A,0)),"")))</f>
        <v/>
      </c>
      <c r="S44" t="str">
        <f>IF($A44="Class of 2022","",IFERROR(INDEX(CAT4_2022_2023!$H:$H,MATCH($B44,CAT4_2022_2023!$A:$A,0)),IFERROR(INDEX(CAT4_2021_2022!$H:$H,MATCH($B44,CAT4_2021_2022!$A:$A,0)),"")))</f>
        <v/>
      </c>
      <c r="T44" t="str">
        <f>IF($A44="Class of 2022","",IFERROR(INDEX(CAT4_2022_2023!$I:$I,MATCH($B44,CAT4_2022_2023!$A:$A,0)),IFERROR(INDEX(CAT4_2021_2022!$I:$I,MATCH($B44,CAT4_2021_2022!$A:$A,0)),"")))</f>
        <v/>
      </c>
      <c r="U44" t="str">
        <f>IF($A44="Class of 2022","",IFERROR(INDEX(CAT4_2022_2023!$J:$J,MATCH($B44,CAT4_2022_2023!$A:$A,0)),IFERROR(INDEX(CAT4_2021_2022!$J:$J,MATCH($B44,CAT4_2021_2022!$A:$A,0)),"")))</f>
        <v/>
      </c>
      <c r="W44" t="s">
        <v>556</v>
      </c>
    </row>
    <row r="45" spans="1:23" x14ac:dyDescent="0.3">
      <c r="A45" t="s">
        <v>60</v>
      </c>
      <c r="B45" t="s">
        <v>153</v>
      </c>
      <c r="C45" t="s">
        <v>154</v>
      </c>
      <c r="F45">
        <v>51.2</v>
      </c>
      <c r="G45">
        <v>64</v>
      </c>
      <c r="H45">
        <v>45.333333333333343</v>
      </c>
      <c r="J45">
        <v>128</v>
      </c>
      <c r="K45">
        <f t="shared" si="0"/>
        <v>51.2</v>
      </c>
      <c r="L45">
        <v>34</v>
      </c>
      <c r="M45">
        <f t="shared" si="1"/>
        <v>68</v>
      </c>
      <c r="N45" t="str">
        <f t="shared" si="2"/>
        <v/>
      </c>
      <c r="O45" t="str">
        <f t="shared" si="3"/>
        <v/>
      </c>
      <c r="P45">
        <f t="shared" si="4"/>
        <v>59.6</v>
      </c>
      <c r="Q45" t="str">
        <f>IF($A45="Class of 2022","",IFERROR(INDEX(CAT4_2022_2023!$F:$F,MATCH($B45,CAT4_2022_2023!$A:$A,0)),IFERROR(INDEX(CAT4_2021_2022!$F:$F,MATCH($B45,CAT4_2021_2022!$A:$A,0)),"")))</f>
        <v/>
      </c>
      <c r="R45" t="str">
        <f>IF($A45="Class of 2022","",IFERROR(INDEX(CAT4_2022_2023!$G:$G,MATCH($B45,CAT4_2022_2023!$A:$A,0)),IFERROR(INDEX(CAT4_2021_2022!$G:$G,MATCH($B45,CAT4_2021_2022!$A:$A,0)),"")))</f>
        <v/>
      </c>
      <c r="S45" t="str">
        <f>IF($A45="Class of 2022","",IFERROR(INDEX(CAT4_2022_2023!$H:$H,MATCH($B45,CAT4_2022_2023!$A:$A,0)),IFERROR(INDEX(CAT4_2021_2022!$H:$H,MATCH($B45,CAT4_2021_2022!$A:$A,0)),"")))</f>
        <v/>
      </c>
      <c r="T45" t="str">
        <f>IF($A45="Class of 2022","",IFERROR(INDEX(CAT4_2022_2023!$I:$I,MATCH($B45,CAT4_2022_2023!$A:$A,0)),IFERROR(INDEX(CAT4_2021_2022!$I:$I,MATCH($B45,CAT4_2021_2022!$A:$A,0)),"")))</f>
        <v/>
      </c>
      <c r="U45" t="str">
        <f>IF($A45="Class of 2022","",IFERROR(INDEX(CAT4_2022_2023!$J:$J,MATCH($B45,CAT4_2022_2023!$A:$A,0)),IFERROR(INDEX(CAT4_2021_2022!$J:$J,MATCH($B45,CAT4_2021_2022!$A:$A,0)),"")))</f>
        <v/>
      </c>
      <c r="W45" t="s">
        <v>556</v>
      </c>
    </row>
    <row r="46" spans="1:23" x14ac:dyDescent="0.3">
      <c r="A46" t="s">
        <v>60</v>
      </c>
      <c r="B46" t="s">
        <v>155</v>
      </c>
      <c r="C46" t="s">
        <v>156</v>
      </c>
      <c r="F46">
        <v>69.2</v>
      </c>
      <c r="G46">
        <v>56</v>
      </c>
      <c r="H46">
        <v>58.666666666666657</v>
      </c>
      <c r="J46">
        <v>173</v>
      </c>
      <c r="K46">
        <f t="shared" si="0"/>
        <v>69.199999999999989</v>
      </c>
      <c r="L46">
        <v>44</v>
      </c>
      <c r="M46">
        <f t="shared" si="1"/>
        <v>88</v>
      </c>
      <c r="N46" t="str">
        <f t="shared" si="2"/>
        <v/>
      </c>
      <c r="O46" t="str">
        <f t="shared" si="3"/>
        <v/>
      </c>
      <c r="P46">
        <f t="shared" si="4"/>
        <v>78.599999999999994</v>
      </c>
      <c r="Q46" t="str">
        <f>IF($A46="Class of 2022","",IFERROR(INDEX(CAT4_2022_2023!$F:$F,MATCH($B46,CAT4_2022_2023!$A:$A,0)),IFERROR(INDEX(CAT4_2021_2022!$F:$F,MATCH($B46,CAT4_2021_2022!$A:$A,0)),"")))</f>
        <v/>
      </c>
      <c r="R46" t="str">
        <f>IF($A46="Class of 2022","",IFERROR(INDEX(CAT4_2022_2023!$G:$G,MATCH($B46,CAT4_2022_2023!$A:$A,0)),IFERROR(INDEX(CAT4_2021_2022!$G:$G,MATCH($B46,CAT4_2021_2022!$A:$A,0)),"")))</f>
        <v/>
      </c>
      <c r="S46" t="str">
        <f>IF($A46="Class of 2022","",IFERROR(INDEX(CAT4_2022_2023!$H:$H,MATCH($B46,CAT4_2022_2023!$A:$A,0)),IFERROR(INDEX(CAT4_2021_2022!$H:$H,MATCH($B46,CAT4_2021_2022!$A:$A,0)),"")))</f>
        <v/>
      </c>
      <c r="T46" t="str">
        <f>IF($A46="Class of 2022","",IFERROR(INDEX(CAT4_2022_2023!$I:$I,MATCH($B46,CAT4_2022_2023!$A:$A,0)),IFERROR(INDEX(CAT4_2021_2022!$I:$I,MATCH($B46,CAT4_2021_2022!$A:$A,0)),"")))</f>
        <v/>
      </c>
      <c r="U46" t="str">
        <f>IF($A46="Class of 2022","",IFERROR(INDEX(CAT4_2022_2023!$J:$J,MATCH($B46,CAT4_2022_2023!$A:$A,0)),IFERROR(INDEX(CAT4_2021_2022!$J:$J,MATCH($B46,CAT4_2021_2022!$A:$A,0)),"")))</f>
        <v/>
      </c>
      <c r="W46" t="s">
        <v>556</v>
      </c>
    </row>
    <row r="47" spans="1:23" x14ac:dyDescent="0.3">
      <c r="A47" t="s">
        <v>60</v>
      </c>
      <c r="B47" t="s">
        <v>157</v>
      </c>
      <c r="C47" t="s">
        <v>158</v>
      </c>
      <c r="F47">
        <v>44.8</v>
      </c>
      <c r="G47">
        <v>68</v>
      </c>
      <c r="H47">
        <v>62.666666666666657</v>
      </c>
      <c r="J47">
        <v>112</v>
      </c>
      <c r="K47">
        <f t="shared" si="0"/>
        <v>44.800000000000004</v>
      </c>
      <c r="L47">
        <v>47</v>
      </c>
      <c r="M47">
        <f t="shared" si="1"/>
        <v>94</v>
      </c>
      <c r="N47" t="str">
        <f t="shared" si="2"/>
        <v/>
      </c>
      <c r="O47" t="str">
        <f t="shared" si="3"/>
        <v/>
      </c>
      <c r="P47">
        <f t="shared" si="4"/>
        <v>69.400000000000006</v>
      </c>
      <c r="Q47" t="str">
        <f>IF($A47="Class of 2022","",IFERROR(INDEX(CAT4_2022_2023!$F:$F,MATCH($B47,CAT4_2022_2023!$A:$A,0)),IFERROR(INDEX(CAT4_2021_2022!$F:$F,MATCH($B47,CAT4_2021_2022!$A:$A,0)),"")))</f>
        <v/>
      </c>
      <c r="R47" t="str">
        <f>IF($A47="Class of 2022","",IFERROR(INDEX(CAT4_2022_2023!$G:$G,MATCH($B47,CAT4_2022_2023!$A:$A,0)),IFERROR(INDEX(CAT4_2021_2022!$G:$G,MATCH($B47,CAT4_2021_2022!$A:$A,0)),"")))</f>
        <v/>
      </c>
      <c r="S47" t="str">
        <f>IF($A47="Class of 2022","",IFERROR(INDEX(CAT4_2022_2023!$H:$H,MATCH($B47,CAT4_2022_2023!$A:$A,0)),IFERROR(INDEX(CAT4_2021_2022!$H:$H,MATCH($B47,CAT4_2021_2022!$A:$A,0)),"")))</f>
        <v/>
      </c>
      <c r="T47" t="str">
        <f>IF($A47="Class of 2022","",IFERROR(INDEX(CAT4_2022_2023!$I:$I,MATCH($B47,CAT4_2022_2023!$A:$A,0)),IFERROR(INDEX(CAT4_2021_2022!$I:$I,MATCH($B47,CAT4_2021_2022!$A:$A,0)),"")))</f>
        <v/>
      </c>
      <c r="U47" t="str">
        <f>IF($A47="Class of 2022","",IFERROR(INDEX(CAT4_2022_2023!$J:$J,MATCH($B47,CAT4_2022_2023!$A:$A,0)),IFERROR(INDEX(CAT4_2021_2022!$J:$J,MATCH($B47,CAT4_2021_2022!$A:$A,0)),"")))</f>
        <v/>
      </c>
      <c r="W47" t="s">
        <v>556</v>
      </c>
    </row>
    <row r="48" spans="1:23" x14ac:dyDescent="0.3">
      <c r="A48" t="s">
        <v>60</v>
      </c>
      <c r="B48" t="s">
        <v>159</v>
      </c>
      <c r="C48" t="s">
        <v>160</v>
      </c>
      <c r="F48">
        <v>37.6</v>
      </c>
      <c r="G48">
        <v>91.999999999999986</v>
      </c>
      <c r="H48">
        <v>70.666666666666671</v>
      </c>
      <c r="J48">
        <v>94</v>
      </c>
      <c r="K48">
        <f t="shared" si="0"/>
        <v>37.6</v>
      </c>
      <c r="L48">
        <v>53</v>
      </c>
      <c r="M48">
        <f t="shared" si="1"/>
        <v>106</v>
      </c>
      <c r="N48" t="str">
        <f t="shared" si="2"/>
        <v/>
      </c>
      <c r="O48" t="str">
        <f t="shared" si="3"/>
        <v/>
      </c>
      <c r="P48">
        <f t="shared" si="4"/>
        <v>71.8</v>
      </c>
      <c r="Q48" t="str">
        <f>IF($A48="Class of 2022","",IFERROR(INDEX(CAT4_2022_2023!$F:$F,MATCH($B48,CAT4_2022_2023!$A:$A,0)),IFERROR(INDEX(CAT4_2021_2022!$F:$F,MATCH($B48,CAT4_2021_2022!$A:$A,0)),"")))</f>
        <v/>
      </c>
      <c r="R48" t="str">
        <f>IF($A48="Class of 2022","",IFERROR(INDEX(CAT4_2022_2023!$G:$G,MATCH($B48,CAT4_2022_2023!$A:$A,0)),IFERROR(INDEX(CAT4_2021_2022!$G:$G,MATCH($B48,CAT4_2021_2022!$A:$A,0)),"")))</f>
        <v/>
      </c>
      <c r="S48" t="str">
        <f>IF($A48="Class of 2022","",IFERROR(INDEX(CAT4_2022_2023!$H:$H,MATCH($B48,CAT4_2022_2023!$A:$A,0)),IFERROR(INDEX(CAT4_2021_2022!$H:$H,MATCH($B48,CAT4_2021_2022!$A:$A,0)),"")))</f>
        <v/>
      </c>
      <c r="T48" t="str">
        <f>IF($A48="Class of 2022","",IFERROR(INDEX(CAT4_2022_2023!$I:$I,MATCH($B48,CAT4_2022_2023!$A:$A,0)),IFERROR(INDEX(CAT4_2021_2022!$I:$I,MATCH($B48,CAT4_2021_2022!$A:$A,0)),"")))</f>
        <v/>
      </c>
      <c r="U48" t="str">
        <f>IF($A48="Class of 2022","",IFERROR(INDEX(CAT4_2022_2023!$J:$J,MATCH($B48,CAT4_2022_2023!$A:$A,0)),IFERROR(INDEX(CAT4_2021_2022!$J:$J,MATCH($B48,CAT4_2021_2022!$A:$A,0)),"")))</f>
        <v/>
      </c>
      <c r="W48" t="s">
        <v>556</v>
      </c>
    </row>
    <row r="49" spans="1:23" x14ac:dyDescent="0.3">
      <c r="A49" t="s">
        <v>60</v>
      </c>
      <c r="B49" t="s">
        <v>161</v>
      </c>
      <c r="C49" t="s">
        <v>162</v>
      </c>
      <c r="F49">
        <v>63.6</v>
      </c>
      <c r="G49">
        <v>76</v>
      </c>
      <c r="H49">
        <v>50.666666666666657</v>
      </c>
      <c r="J49">
        <v>159</v>
      </c>
      <c r="K49">
        <f t="shared" si="0"/>
        <v>63.6</v>
      </c>
      <c r="L49">
        <v>38</v>
      </c>
      <c r="M49">
        <f t="shared" si="1"/>
        <v>76</v>
      </c>
      <c r="N49" t="str">
        <f t="shared" si="2"/>
        <v/>
      </c>
      <c r="O49" t="str">
        <f t="shared" si="3"/>
        <v/>
      </c>
      <c r="P49">
        <f t="shared" si="4"/>
        <v>69.8</v>
      </c>
      <c r="Q49" t="str">
        <f>IF($A49="Class of 2022","",IFERROR(INDEX(CAT4_2022_2023!$F:$F,MATCH($B49,CAT4_2022_2023!$A:$A,0)),IFERROR(INDEX(CAT4_2021_2022!$F:$F,MATCH($B49,CAT4_2021_2022!$A:$A,0)),"")))</f>
        <v/>
      </c>
      <c r="R49" t="str">
        <f>IF($A49="Class of 2022","",IFERROR(INDEX(CAT4_2022_2023!$G:$G,MATCH($B49,CAT4_2022_2023!$A:$A,0)),IFERROR(INDEX(CAT4_2021_2022!$G:$G,MATCH($B49,CAT4_2021_2022!$A:$A,0)),"")))</f>
        <v/>
      </c>
      <c r="S49" t="str">
        <f>IF($A49="Class of 2022","",IFERROR(INDEX(CAT4_2022_2023!$H:$H,MATCH($B49,CAT4_2022_2023!$A:$A,0)),IFERROR(INDEX(CAT4_2021_2022!$H:$H,MATCH($B49,CAT4_2021_2022!$A:$A,0)),"")))</f>
        <v/>
      </c>
      <c r="T49" t="str">
        <f>IF($A49="Class of 2022","",IFERROR(INDEX(CAT4_2022_2023!$I:$I,MATCH($B49,CAT4_2022_2023!$A:$A,0)),IFERROR(INDEX(CAT4_2021_2022!$I:$I,MATCH($B49,CAT4_2021_2022!$A:$A,0)),"")))</f>
        <v/>
      </c>
      <c r="U49" t="str">
        <f>IF($A49="Class of 2022","",IFERROR(INDEX(CAT4_2022_2023!$J:$J,MATCH($B49,CAT4_2022_2023!$A:$A,0)),IFERROR(INDEX(CAT4_2021_2022!$J:$J,MATCH($B49,CAT4_2021_2022!$A:$A,0)),"")))</f>
        <v/>
      </c>
      <c r="W49" t="s">
        <v>556</v>
      </c>
    </row>
    <row r="50" spans="1:23" x14ac:dyDescent="0.3">
      <c r="A50" t="s">
        <v>60</v>
      </c>
      <c r="B50" t="s">
        <v>163</v>
      </c>
      <c r="C50" t="s">
        <v>164</v>
      </c>
      <c r="F50">
        <v>40.4</v>
      </c>
      <c r="G50">
        <v>64</v>
      </c>
      <c r="H50">
        <v>53.333333333333343</v>
      </c>
      <c r="J50">
        <v>101</v>
      </c>
      <c r="K50">
        <f t="shared" si="0"/>
        <v>40.400000000000006</v>
      </c>
      <c r="L50">
        <v>40</v>
      </c>
      <c r="M50">
        <f t="shared" si="1"/>
        <v>80</v>
      </c>
      <c r="N50" t="str">
        <f t="shared" si="2"/>
        <v/>
      </c>
      <c r="O50" t="str">
        <f t="shared" si="3"/>
        <v/>
      </c>
      <c r="P50">
        <f t="shared" si="4"/>
        <v>60.2</v>
      </c>
      <c r="Q50" t="str">
        <f>IF($A50="Class of 2022","",IFERROR(INDEX(CAT4_2022_2023!$F:$F,MATCH($B50,CAT4_2022_2023!$A:$A,0)),IFERROR(INDEX(CAT4_2021_2022!$F:$F,MATCH($B50,CAT4_2021_2022!$A:$A,0)),"")))</f>
        <v/>
      </c>
      <c r="R50" t="str">
        <f>IF($A50="Class of 2022","",IFERROR(INDEX(CAT4_2022_2023!$G:$G,MATCH($B50,CAT4_2022_2023!$A:$A,0)),IFERROR(INDEX(CAT4_2021_2022!$G:$G,MATCH($B50,CAT4_2021_2022!$A:$A,0)),"")))</f>
        <v/>
      </c>
      <c r="S50" t="str">
        <f>IF($A50="Class of 2022","",IFERROR(INDEX(CAT4_2022_2023!$H:$H,MATCH($B50,CAT4_2022_2023!$A:$A,0)),IFERROR(INDEX(CAT4_2021_2022!$H:$H,MATCH($B50,CAT4_2021_2022!$A:$A,0)),"")))</f>
        <v/>
      </c>
      <c r="T50" t="str">
        <f>IF($A50="Class of 2022","",IFERROR(INDEX(CAT4_2022_2023!$I:$I,MATCH($B50,CAT4_2022_2023!$A:$A,0)),IFERROR(INDEX(CAT4_2021_2022!$I:$I,MATCH($B50,CAT4_2021_2022!$A:$A,0)),"")))</f>
        <v/>
      </c>
      <c r="U50" t="str">
        <f>IF($A50="Class of 2022","",IFERROR(INDEX(CAT4_2022_2023!$J:$J,MATCH($B50,CAT4_2022_2023!$A:$A,0)),IFERROR(INDEX(CAT4_2021_2022!$J:$J,MATCH($B50,CAT4_2021_2022!$A:$A,0)),"")))</f>
        <v/>
      </c>
      <c r="W50" t="s">
        <v>556</v>
      </c>
    </row>
    <row r="51" spans="1:23" x14ac:dyDescent="0.3">
      <c r="A51" t="s">
        <v>60</v>
      </c>
      <c r="B51" t="s">
        <v>165</v>
      </c>
      <c r="C51" t="s">
        <v>166</v>
      </c>
      <c r="F51">
        <v>53.6</v>
      </c>
      <c r="G51">
        <v>100</v>
      </c>
      <c r="H51">
        <v>65.333333333333329</v>
      </c>
      <c r="J51">
        <v>134</v>
      </c>
      <c r="K51">
        <f t="shared" si="0"/>
        <v>53.6</v>
      </c>
      <c r="L51">
        <v>49</v>
      </c>
      <c r="M51">
        <f t="shared" si="1"/>
        <v>98</v>
      </c>
      <c r="N51" t="str">
        <f t="shared" si="2"/>
        <v/>
      </c>
      <c r="O51" t="str">
        <f t="shared" si="3"/>
        <v/>
      </c>
      <c r="P51">
        <f t="shared" si="4"/>
        <v>75.8</v>
      </c>
      <c r="Q51" t="str">
        <f>IF($A51="Class of 2022","",IFERROR(INDEX(CAT4_2022_2023!$F:$F,MATCH($B51,CAT4_2022_2023!$A:$A,0)),IFERROR(INDEX(CAT4_2021_2022!$F:$F,MATCH($B51,CAT4_2021_2022!$A:$A,0)),"")))</f>
        <v/>
      </c>
      <c r="R51" t="str">
        <f>IF($A51="Class of 2022","",IFERROR(INDEX(CAT4_2022_2023!$G:$G,MATCH($B51,CAT4_2022_2023!$A:$A,0)),IFERROR(INDEX(CAT4_2021_2022!$G:$G,MATCH($B51,CAT4_2021_2022!$A:$A,0)),"")))</f>
        <v/>
      </c>
      <c r="S51" t="str">
        <f>IF($A51="Class of 2022","",IFERROR(INDEX(CAT4_2022_2023!$H:$H,MATCH($B51,CAT4_2022_2023!$A:$A,0)),IFERROR(INDEX(CAT4_2021_2022!$H:$H,MATCH($B51,CAT4_2021_2022!$A:$A,0)),"")))</f>
        <v/>
      </c>
      <c r="T51" t="str">
        <f>IF($A51="Class of 2022","",IFERROR(INDEX(CAT4_2022_2023!$I:$I,MATCH($B51,CAT4_2022_2023!$A:$A,0)),IFERROR(INDEX(CAT4_2021_2022!$I:$I,MATCH($B51,CAT4_2021_2022!$A:$A,0)),"")))</f>
        <v/>
      </c>
      <c r="U51" t="str">
        <f>IF($A51="Class of 2022","",IFERROR(INDEX(CAT4_2022_2023!$J:$J,MATCH($B51,CAT4_2022_2023!$A:$A,0)),IFERROR(INDEX(CAT4_2021_2022!$J:$J,MATCH($B51,CAT4_2021_2022!$A:$A,0)),"")))</f>
        <v/>
      </c>
      <c r="W51" t="s">
        <v>556</v>
      </c>
    </row>
    <row r="52" spans="1:23" x14ac:dyDescent="0.3">
      <c r="A52" t="s">
        <v>60</v>
      </c>
      <c r="B52" t="s">
        <v>167</v>
      </c>
      <c r="C52" t="s">
        <v>168</v>
      </c>
      <c r="F52">
        <v>46.8</v>
      </c>
      <c r="G52">
        <v>72</v>
      </c>
      <c r="H52">
        <v>56</v>
      </c>
      <c r="J52">
        <v>117</v>
      </c>
      <c r="K52">
        <f t="shared" si="0"/>
        <v>46.800000000000004</v>
      </c>
      <c r="L52">
        <v>42</v>
      </c>
      <c r="M52">
        <f t="shared" si="1"/>
        <v>84</v>
      </c>
      <c r="N52" t="str">
        <f t="shared" si="2"/>
        <v/>
      </c>
      <c r="O52" t="str">
        <f t="shared" si="3"/>
        <v/>
      </c>
      <c r="P52">
        <f t="shared" si="4"/>
        <v>65.400000000000006</v>
      </c>
      <c r="Q52" t="str">
        <f>IF($A52="Class of 2022","",IFERROR(INDEX(CAT4_2022_2023!$F:$F,MATCH($B52,CAT4_2022_2023!$A:$A,0)),IFERROR(INDEX(CAT4_2021_2022!$F:$F,MATCH($B52,CAT4_2021_2022!$A:$A,0)),"")))</f>
        <v/>
      </c>
      <c r="R52" t="str">
        <f>IF($A52="Class of 2022","",IFERROR(INDEX(CAT4_2022_2023!$G:$G,MATCH($B52,CAT4_2022_2023!$A:$A,0)),IFERROR(INDEX(CAT4_2021_2022!$G:$G,MATCH($B52,CAT4_2021_2022!$A:$A,0)),"")))</f>
        <v/>
      </c>
      <c r="S52" t="str">
        <f>IF($A52="Class of 2022","",IFERROR(INDEX(CAT4_2022_2023!$H:$H,MATCH($B52,CAT4_2022_2023!$A:$A,0)),IFERROR(INDEX(CAT4_2021_2022!$H:$H,MATCH($B52,CAT4_2021_2022!$A:$A,0)),"")))</f>
        <v/>
      </c>
      <c r="T52" t="str">
        <f>IF($A52="Class of 2022","",IFERROR(INDEX(CAT4_2022_2023!$I:$I,MATCH($B52,CAT4_2022_2023!$A:$A,0)),IFERROR(INDEX(CAT4_2021_2022!$I:$I,MATCH($B52,CAT4_2021_2022!$A:$A,0)),"")))</f>
        <v/>
      </c>
      <c r="U52" t="str">
        <f>IF($A52="Class of 2022","",IFERROR(INDEX(CAT4_2022_2023!$J:$J,MATCH($B52,CAT4_2022_2023!$A:$A,0)),IFERROR(INDEX(CAT4_2021_2022!$J:$J,MATCH($B52,CAT4_2021_2022!$A:$A,0)),"")))</f>
        <v/>
      </c>
      <c r="W52" t="s">
        <v>556</v>
      </c>
    </row>
    <row r="53" spans="1:23" x14ac:dyDescent="0.3">
      <c r="A53" t="s">
        <v>60</v>
      </c>
      <c r="B53" t="s">
        <v>169</v>
      </c>
      <c r="C53" t="s">
        <v>170</v>
      </c>
      <c r="F53">
        <v>44</v>
      </c>
      <c r="G53">
        <v>88.000000000000014</v>
      </c>
      <c r="H53">
        <v>58.666666666666657</v>
      </c>
      <c r="J53">
        <v>110</v>
      </c>
      <c r="K53">
        <f t="shared" si="0"/>
        <v>44</v>
      </c>
      <c r="L53">
        <v>44</v>
      </c>
      <c r="M53">
        <f t="shared" si="1"/>
        <v>88</v>
      </c>
      <c r="N53" t="str">
        <f t="shared" si="2"/>
        <v/>
      </c>
      <c r="O53" t="str">
        <f t="shared" si="3"/>
        <v/>
      </c>
      <c r="P53">
        <f t="shared" si="4"/>
        <v>66</v>
      </c>
      <c r="Q53" t="str">
        <f>IF($A53="Class of 2022","",IFERROR(INDEX(CAT4_2022_2023!$F:$F,MATCH($B53,CAT4_2022_2023!$A:$A,0)),IFERROR(INDEX(CAT4_2021_2022!$F:$F,MATCH($B53,CAT4_2021_2022!$A:$A,0)),"")))</f>
        <v/>
      </c>
      <c r="R53" t="str">
        <f>IF($A53="Class of 2022","",IFERROR(INDEX(CAT4_2022_2023!$G:$G,MATCH($B53,CAT4_2022_2023!$A:$A,0)),IFERROR(INDEX(CAT4_2021_2022!$G:$G,MATCH($B53,CAT4_2021_2022!$A:$A,0)),"")))</f>
        <v/>
      </c>
      <c r="S53" t="str">
        <f>IF($A53="Class of 2022","",IFERROR(INDEX(CAT4_2022_2023!$H:$H,MATCH($B53,CAT4_2022_2023!$A:$A,0)),IFERROR(INDEX(CAT4_2021_2022!$H:$H,MATCH($B53,CAT4_2021_2022!$A:$A,0)),"")))</f>
        <v/>
      </c>
      <c r="T53" t="str">
        <f>IF($A53="Class of 2022","",IFERROR(INDEX(CAT4_2022_2023!$I:$I,MATCH($B53,CAT4_2022_2023!$A:$A,0)),IFERROR(INDEX(CAT4_2021_2022!$I:$I,MATCH($B53,CAT4_2021_2022!$A:$A,0)),"")))</f>
        <v/>
      </c>
      <c r="U53" t="str">
        <f>IF($A53="Class of 2022","",IFERROR(INDEX(CAT4_2022_2023!$J:$J,MATCH($B53,CAT4_2022_2023!$A:$A,0)),IFERROR(INDEX(CAT4_2021_2022!$J:$J,MATCH($B53,CAT4_2021_2022!$A:$A,0)),"")))</f>
        <v/>
      </c>
      <c r="W53" t="s">
        <v>556</v>
      </c>
    </row>
    <row r="54" spans="1:23" x14ac:dyDescent="0.3">
      <c r="A54" t="s">
        <v>60</v>
      </c>
      <c r="B54" t="s">
        <v>171</v>
      </c>
      <c r="C54" t="s">
        <v>172</v>
      </c>
      <c r="F54">
        <v>53.2</v>
      </c>
      <c r="G54">
        <v>91.999999999999986</v>
      </c>
      <c r="H54">
        <v>57.333333333333343</v>
      </c>
      <c r="J54">
        <v>133</v>
      </c>
      <c r="K54">
        <f t="shared" si="0"/>
        <v>53.2</v>
      </c>
      <c r="L54">
        <v>43</v>
      </c>
      <c r="M54">
        <f t="shared" si="1"/>
        <v>86</v>
      </c>
      <c r="N54" t="str">
        <f t="shared" si="2"/>
        <v/>
      </c>
      <c r="O54" t="str">
        <f t="shared" si="3"/>
        <v/>
      </c>
      <c r="P54">
        <f t="shared" si="4"/>
        <v>69.599999999999994</v>
      </c>
      <c r="Q54" t="str">
        <f>IF($A54="Class of 2022","",IFERROR(INDEX(CAT4_2022_2023!$F:$F,MATCH($B54,CAT4_2022_2023!$A:$A,0)),IFERROR(INDEX(CAT4_2021_2022!$F:$F,MATCH($B54,CAT4_2021_2022!$A:$A,0)),"")))</f>
        <v/>
      </c>
      <c r="R54" t="str">
        <f>IF($A54="Class of 2022","",IFERROR(INDEX(CAT4_2022_2023!$G:$G,MATCH($B54,CAT4_2022_2023!$A:$A,0)),IFERROR(INDEX(CAT4_2021_2022!$G:$G,MATCH($B54,CAT4_2021_2022!$A:$A,0)),"")))</f>
        <v/>
      </c>
      <c r="S54" t="str">
        <f>IF($A54="Class of 2022","",IFERROR(INDEX(CAT4_2022_2023!$H:$H,MATCH($B54,CAT4_2022_2023!$A:$A,0)),IFERROR(INDEX(CAT4_2021_2022!$H:$H,MATCH($B54,CAT4_2021_2022!$A:$A,0)),"")))</f>
        <v/>
      </c>
      <c r="T54" t="str">
        <f>IF($A54="Class of 2022","",IFERROR(INDEX(CAT4_2022_2023!$I:$I,MATCH($B54,CAT4_2022_2023!$A:$A,0)),IFERROR(INDEX(CAT4_2021_2022!$I:$I,MATCH($B54,CAT4_2021_2022!$A:$A,0)),"")))</f>
        <v/>
      </c>
      <c r="U54" t="str">
        <f>IF($A54="Class of 2022","",IFERROR(INDEX(CAT4_2022_2023!$J:$J,MATCH($B54,CAT4_2022_2023!$A:$A,0)),IFERROR(INDEX(CAT4_2021_2022!$J:$J,MATCH($B54,CAT4_2021_2022!$A:$A,0)),"")))</f>
        <v/>
      </c>
      <c r="W54" t="s">
        <v>556</v>
      </c>
    </row>
    <row r="55" spans="1:23" x14ac:dyDescent="0.3">
      <c r="A55" t="s">
        <v>60</v>
      </c>
      <c r="B55" t="s">
        <v>173</v>
      </c>
      <c r="C55" t="s">
        <v>174</v>
      </c>
      <c r="F55">
        <v>62.4</v>
      </c>
      <c r="G55">
        <v>64</v>
      </c>
      <c r="H55">
        <v>66.666666666666671</v>
      </c>
      <c r="J55">
        <v>156</v>
      </c>
      <c r="K55">
        <f t="shared" si="0"/>
        <v>62.4</v>
      </c>
      <c r="L55">
        <v>50</v>
      </c>
      <c r="M55">
        <f t="shared" si="1"/>
        <v>100</v>
      </c>
      <c r="N55" t="str">
        <f t="shared" si="2"/>
        <v/>
      </c>
      <c r="O55" t="str">
        <f t="shared" si="3"/>
        <v/>
      </c>
      <c r="P55">
        <f t="shared" si="4"/>
        <v>81.2</v>
      </c>
      <c r="Q55" t="str">
        <f>IF($A55="Class of 2022","",IFERROR(INDEX(CAT4_2022_2023!$F:$F,MATCH($B55,CAT4_2022_2023!$A:$A,0)),IFERROR(INDEX(CAT4_2021_2022!$F:$F,MATCH($B55,CAT4_2021_2022!$A:$A,0)),"")))</f>
        <v/>
      </c>
      <c r="R55" t="str">
        <f>IF($A55="Class of 2022","",IFERROR(INDEX(CAT4_2022_2023!$G:$G,MATCH($B55,CAT4_2022_2023!$A:$A,0)),IFERROR(INDEX(CAT4_2021_2022!$G:$G,MATCH($B55,CAT4_2021_2022!$A:$A,0)),"")))</f>
        <v/>
      </c>
      <c r="S55" t="str">
        <f>IF($A55="Class of 2022","",IFERROR(INDEX(CAT4_2022_2023!$H:$H,MATCH($B55,CAT4_2022_2023!$A:$A,0)),IFERROR(INDEX(CAT4_2021_2022!$H:$H,MATCH($B55,CAT4_2021_2022!$A:$A,0)),"")))</f>
        <v/>
      </c>
      <c r="T55" t="str">
        <f>IF($A55="Class of 2022","",IFERROR(INDEX(CAT4_2022_2023!$I:$I,MATCH($B55,CAT4_2022_2023!$A:$A,0)),IFERROR(INDEX(CAT4_2021_2022!$I:$I,MATCH($B55,CAT4_2021_2022!$A:$A,0)),"")))</f>
        <v/>
      </c>
      <c r="U55" t="str">
        <f>IF($A55="Class of 2022","",IFERROR(INDEX(CAT4_2022_2023!$J:$J,MATCH($B55,CAT4_2022_2023!$A:$A,0)),IFERROR(INDEX(CAT4_2021_2022!$J:$J,MATCH($B55,CAT4_2021_2022!$A:$A,0)),"")))</f>
        <v/>
      </c>
      <c r="W55" t="s">
        <v>556</v>
      </c>
    </row>
    <row r="56" spans="1:23" x14ac:dyDescent="0.3">
      <c r="A56" t="s">
        <v>60</v>
      </c>
      <c r="B56" t="s">
        <v>175</v>
      </c>
      <c r="C56" t="s">
        <v>176</v>
      </c>
      <c r="F56">
        <v>66.400000000000006</v>
      </c>
      <c r="G56">
        <v>91.999999999999986</v>
      </c>
      <c r="H56">
        <v>77.333333333333329</v>
      </c>
      <c r="J56">
        <v>166</v>
      </c>
      <c r="K56">
        <f t="shared" si="0"/>
        <v>66.400000000000006</v>
      </c>
      <c r="L56">
        <v>58</v>
      </c>
      <c r="M56">
        <f t="shared" si="1"/>
        <v>115.99999999999999</v>
      </c>
      <c r="N56" t="str">
        <f t="shared" si="2"/>
        <v/>
      </c>
      <c r="O56" t="str">
        <f t="shared" si="3"/>
        <v/>
      </c>
      <c r="P56">
        <f t="shared" si="4"/>
        <v>91.199999999999989</v>
      </c>
      <c r="Q56" t="str">
        <f>IF($A56="Class of 2022","",IFERROR(INDEX(CAT4_2022_2023!$F:$F,MATCH($B56,CAT4_2022_2023!$A:$A,0)),IFERROR(INDEX(CAT4_2021_2022!$F:$F,MATCH($B56,CAT4_2021_2022!$A:$A,0)),"")))</f>
        <v/>
      </c>
      <c r="R56" t="str">
        <f>IF($A56="Class of 2022","",IFERROR(INDEX(CAT4_2022_2023!$G:$G,MATCH($B56,CAT4_2022_2023!$A:$A,0)),IFERROR(INDEX(CAT4_2021_2022!$G:$G,MATCH($B56,CAT4_2021_2022!$A:$A,0)),"")))</f>
        <v/>
      </c>
      <c r="S56" t="str">
        <f>IF($A56="Class of 2022","",IFERROR(INDEX(CAT4_2022_2023!$H:$H,MATCH($B56,CAT4_2022_2023!$A:$A,0)),IFERROR(INDEX(CAT4_2021_2022!$H:$H,MATCH($B56,CAT4_2021_2022!$A:$A,0)),"")))</f>
        <v/>
      </c>
      <c r="T56" t="str">
        <f>IF($A56="Class of 2022","",IFERROR(INDEX(CAT4_2022_2023!$I:$I,MATCH($B56,CAT4_2022_2023!$A:$A,0)),IFERROR(INDEX(CAT4_2021_2022!$I:$I,MATCH($B56,CAT4_2021_2022!$A:$A,0)),"")))</f>
        <v/>
      </c>
      <c r="U56" t="str">
        <f>IF($A56="Class of 2022","",IFERROR(INDEX(CAT4_2022_2023!$J:$J,MATCH($B56,CAT4_2022_2023!$A:$A,0)),IFERROR(INDEX(CAT4_2021_2022!$J:$J,MATCH($B56,CAT4_2021_2022!$A:$A,0)),"")))</f>
        <v/>
      </c>
      <c r="W56" t="s">
        <v>556</v>
      </c>
    </row>
    <row r="57" spans="1:23" x14ac:dyDescent="0.3">
      <c r="A57" t="s">
        <v>60</v>
      </c>
      <c r="B57" t="s">
        <v>177</v>
      </c>
      <c r="C57" t="s">
        <v>178</v>
      </c>
      <c r="F57">
        <v>37.200000000000003</v>
      </c>
      <c r="G57">
        <v>56</v>
      </c>
      <c r="H57">
        <v>61.333333333333343</v>
      </c>
      <c r="J57">
        <v>93</v>
      </c>
      <c r="K57">
        <f t="shared" si="0"/>
        <v>37.200000000000003</v>
      </c>
      <c r="L57">
        <v>46</v>
      </c>
      <c r="M57">
        <f t="shared" si="1"/>
        <v>92</v>
      </c>
      <c r="N57" t="str">
        <f t="shared" si="2"/>
        <v/>
      </c>
      <c r="O57" t="str">
        <f t="shared" si="3"/>
        <v/>
      </c>
      <c r="P57">
        <f t="shared" si="4"/>
        <v>64.599999999999994</v>
      </c>
      <c r="Q57" t="str">
        <f>IF($A57="Class of 2022","",IFERROR(INDEX(CAT4_2022_2023!$F:$F,MATCH($B57,CAT4_2022_2023!$A:$A,0)),IFERROR(INDEX(CAT4_2021_2022!$F:$F,MATCH($B57,CAT4_2021_2022!$A:$A,0)),"")))</f>
        <v/>
      </c>
      <c r="R57" t="str">
        <f>IF($A57="Class of 2022","",IFERROR(INDEX(CAT4_2022_2023!$G:$G,MATCH($B57,CAT4_2022_2023!$A:$A,0)),IFERROR(INDEX(CAT4_2021_2022!$G:$G,MATCH($B57,CAT4_2021_2022!$A:$A,0)),"")))</f>
        <v/>
      </c>
      <c r="S57" t="str">
        <f>IF($A57="Class of 2022","",IFERROR(INDEX(CAT4_2022_2023!$H:$H,MATCH($B57,CAT4_2022_2023!$A:$A,0)),IFERROR(INDEX(CAT4_2021_2022!$H:$H,MATCH($B57,CAT4_2021_2022!$A:$A,0)),"")))</f>
        <v/>
      </c>
      <c r="T57" t="str">
        <f>IF($A57="Class of 2022","",IFERROR(INDEX(CAT4_2022_2023!$I:$I,MATCH($B57,CAT4_2022_2023!$A:$A,0)),IFERROR(INDEX(CAT4_2021_2022!$I:$I,MATCH($B57,CAT4_2021_2022!$A:$A,0)),"")))</f>
        <v/>
      </c>
      <c r="U57" t="str">
        <f>IF($A57="Class of 2022","",IFERROR(INDEX(CAT4_2022_2023!$J:$J,MATCH($B57,CAT4_2022_2023!$A:$A,0)),IFERROR(INDEX(CAT4_2021_2022!$J:$J,MATCH($B57,CAT4_2021_2022!$A:$A,0)),"")))</f>
        <v/>
      </c>
      <c r="W57" t="s">
        <v>556</v>
      </c>
    </row>
    <row r="58" spans="1:23" x14ac:dyDescent="0.3">
      <c r="A58" t="s">
        <v>60</v>
      </c>
      <c r="B58" t="s">
        <v>179</v>
      </c>
      <c r="C58" t="s">
        <v>180</v>
      </c>
      <c r="F58">
        <v>52.8</v>
      </c>
      <c r="G58">
        <v>100</v>
      </c>
      <c r="H58">
        <v>70.666666666666671</v>
      </c>
      <c r="J58">
        <v>132</v>
      </c>
      <c r="K58">
        <f t="shared" si="0"/>
        <v>52.800000000000004</v>
      </c>
      <c r="L58">
        <v>53</v>
      </c>
      <c r="M58">
        <f t="shared" si="1"/>
        <v>106</v>
      </c>
      <c r="N58" t="str">
        <f t="shared" si="2"/>
        <v/>
      </c>
      <c r="O58" t="str">
        <f t="shared" si="3"/>
        <v/>
      </c>
      <c r="P58">
        <f t="shared" si="4"/>
        <v>79.400000000000006</v>
      </c>
      <c r="Q58" t="str">
        <f>IF($A58="Class of 2022","",IFERROR(INDEX(CAT4_2022_2023!$F:$F,MATCH($B58,CAT4_2022_2023!$A:$A,0)),IFERROR(INDEX(CAT4_2021_2022!$F:$F,MATCH($B58,CAT4_2021_2022!$A:$A,0)),"")))</f>
        <v/>
      </c>
      <c r="R58" t="str">
        <f>IF($A58="Class of 2022","",IFERROR(INDEX(CAT4_2022_2023!$G:$G,MATCH($B58,CAT4_2022_2023!$A:$A,0)),IFERROR(INDEX(CAT4_2021_2022!$G:$G,MATCH($B58,CAT4_2021_2022!$A:$A,0)),"")))</f>
        <v/>
      </c>
      <c r="S58" t="str">
        <f>IF($A58="Class of 2022","",IFERROR(INDEX(CAT4_2022_2023!$H:$H,MATCH($B58,CAT4_2022_2023!$A:$A,0)),IFERROR(INDEX(CAT4_2021_2022!$H:$H,MATCH($B58,CAT4_2021_2022!$A:$A,0)),"")))</f>
        <v/>
      </c>
      <c r="T58" t="str">
        <f>IF($A58="Class of 2022","",IFERROR(INDEX(CAT4_2022_2023!$I:$I,MATCH($B58,CAT4_2022_2023!$A:$A,0)),IFERROR(INDEX(CAT4_2021_2022!$I:$I,MATCH($B58,CAT4_2021_2022!$A:$A,0)),"")))</f>
        <v/>
      </c>
      <c r="U58" t="str">
        <f>IF($A58="Class of 2022","",IFERROR(INDEX(CAT4_2022_2023!$J:$J,MATCH($B58,CAT4_2022_2023!$A:$A,0)),IFERROR(INDEX(CAT4_2021_2022!$J:$J,MATCH($B58,CAT4_2021_2022!$A:$A,0)),"")))</f>
        <v/>
      </c>
      <c r="W58" t="s">
        <v>556</v>
      </c>
    </row>
    <row r="59" spans="1:23" x14ac:dyDescent="0.3">
      <c r="A59" t="s">
        <v>60</v>
      </c>
      <c r="B59" t="s">
        <v>181</v>
      </c>
      <c r="C59" t="s">
        <v>182</v>
      </c>
      <c r="F59">
        <v>56.8</v>
      </c>
      <c r="G59">
        <v>96</v>
      </c>
      <c r="H59">
        <v>60</v>
      </c>
      <c r="J59">
        <v>142</v>
      </c>
      <c r="K59">
        <f t="shared" si="0"/>
        <v>56.8</v>
      </c>
      <c r="L59">
        <v>45</v>
      </c>
      <c r="M59">
        <f t="shared" si="1"/>
        <v>90</v>
      </c>
      <c r="N59" t="str">
        <f t="shared" si="2"/>
        <v/>
      </c>
      <c r="O59" t="str">
        <f t="shared" si="3"/>
        <v/>
      </c>
      <c r="P59">
        <f t="shared" si="4"/>
        <v>73.400000000000006</v>
      </c>
      <c r="Q59" t="str">
        <f>IF($A59="Class of 2022","",IFERROR(INDEX(CAT4_2022_2023!$F:$F,MATCH($B59,CAT4_2022_2023!$A:$A,0)),IFERROR(INDEX(CAT4_2021_2022!$F:$F,MATCH($B59,CAT4_2021_2022!$A:$A,0)),"")))</f>
        <v/>
      </c>
      <c r="R59" t="str">
        <f>IF($A59="Class of 2022","",IFERROR(INDEX(CAT4_2022_2023!$G:$G,MATCH($B59,CAT4_2022_2023!$A:$A,0)),IFERROR(INDEX(CAT4_2021_2022!$G:$G,MATCH($B59,CAT4_2021_2022!$A:$A,0)),"")))</f>
        <v/>
      </c>
      <c r="S59" t="str">
        <f>IF($A59="Class of 2022","",IFERROR(INDEX(CAT4_2022_2023!$H:$H,MATCH($B59,CAT4_2022_2023!$A:$A,0)),IFERROR(INDEX(CAT4_2021_2022!$H:$H,MATCH($B59,CAT4_2021_2022!$A:$A,0)),"")))</f>
        <v/>
      </c>
      <c r="T59" t="str">
        <f>IF($A59="Class of 2022","",IFERROR(INDEX(CAT4_2022_2023!$I:$I,MATCH($B59,CAT4_2022_2023!$A:$A,0)),IFERROR(INDEX(CAT4_2021_2022!$I:$I,MATCH($B59,CAT4_2021_2022!$A:$A,0)),"")))</f>
        <v/>
      </c>
      <c r="U59" t="str">
        <f>IF($A59="Class of 2022","",IFERROR(INDEX(CAT4_2022_2023!$J:$J,MATCH($B59,CAT4_2022_2023!$A:$A,0)),IFERROR(INDEX(CAT4_2021_2022!$J:$J,MATCH($B59,CAT4_2021_2022!$A:$A,0)),"")))</f>
        <v/>
      </c>
      <c r="W59" t="s">
        <v>556</v>
      </c>
    </row>
    <row r="60" spans="1:23" x14ac:dyDescent="0.3">
      <c r="A60" t="s">
        <v>60</v>
      </c>
      <c r="B60" t="s">
        <v>183</v>
      </c>
      <c r="C60" t="s">
        <v>184</v>
      </c>
      <c r="F60">
        <v>58</v>
      </c>
      <c r="G60">
        <v>100</v>
      </c>
      <c r="H60">
        <v>70.666666666666671</v>
      </c>
      <c r="J60">
        <v>145</v>
      </c>
      <c r="K60">
        <f t="shared" si="0"/>
        <v>57.999999999999993</v>
      </c>
      <c r="L60">
        <v>53</v>
      </c>
      <c r="M60">
        <f t="shared" si="1"/>
        <v>106</v>
      </c>
      <c r="N60" t="str">
        <f t="shared" si="2"/>
        <v/>
      </c>
      <c r="O60" t="str">
        <f t="shared" si="3"/>
        <v/>
      </c>
      <c r="P60">
        <f t="shared" si="4"/>
        <v>82</v>
      </c>
      <c r="Q60" t="str">
        <f>IF($A60="Class of 2022","",IFERROR(INDEX(CAT4_2022_2023!$F:$F,MATCH($B60,CAT4_2022_2023!$A:$A,0)),IFERROR(INDEX(CAT4_2021_2022!$F:$F,MATCH($B60,CAT4_2021_2022!$A:$A,0)),"")))</f>
        <v/>
      </c>
      <c r="R60" t="str">
        <f>IF($A60="Class of 2022","",IFERROR(INDEX(CAT4_2022_2023!$G:$G,MATCH($B60,CAT4_2022_2023!$A:$A,0)),IFERROR(INDEX(CAT4_2021_2022!$G:$G,MATCH($B60,CAT4_2021_2022!$A:$A,0)),"")))</f>
        <v/>
      </c>
      <c r="S60" t="str">
        <f>IF($A60="Class of 2022","",IFERROR(INDEX(CAT4_2022_2023!$H:$H,MATCH($B60,CAT4_2022_2023!$A:$A,0)),IFERROR(INDEX(CAT4_2021_2022!$H:$H,MATCH($B60,CAT4_2021_2022!$A:$A,0)),"")))</f>
        <v/>
      </c>
      <c r="T60" t="str">
        <f>IF($A60="Class of 2022","",IFERROR(INDEX(CAT4_2022_2023!$I:$I,MATCH($B60,CAT4_2022_2023!$A:$A,0)),IFERROR(INDEX(CAT4_2021_2022!$I:$I,MATCH($B60,CAT4_2021_2022!$A:$A,0)),"")))</f>
        <v/>
      </c>
      <c r="U60" t="str">
        <f>IF($A60="Class of 2022","",IFERROR(INDEX(CAT4_2022_2023!$J:$J,MATCH($B60,CAT4_2022_2023!$A:$A,0)),IFERROR(INDEX(CAT4_2021_2022!$J:$J,MATCH($B60,CAT4_2021_2022!$A:$A,0)),"")))</f>
        <v/>
      </c>
      <c r="W60" t="s">
        <v>556</v>
      </c>
    </row>
    <row r="61" spans="1:23" x14ac:dyDescent="0.3">
      <c r="A61" t="s">
        <v>185</v>
      </c>
      <c r="B61" t="s">
        <v>186</v>
      </c>
      <c r="C61" t="s">
        <v>557</v>
      </c>
      <c r="D61" t="s">
        <v>558</v>
      </c>
      <c r="E61" t="s">
        <v>559</v>
      </c>
      <c r="F61">
        <v>92</v>
      </c>
      <c r="I61" t="s">
        <v>560</v>
      </c>
      <c r="J61">
        <v>112</v>
      </c>
      <c r="K61">
        <f t="shared" si="0"/>
        <v>44.800000000000004</v>
      </c>
      <c r="L61">
        <v>63</v>
      </c>
      <c r="M61">
        <f t="shared" si="1"/>
        <v>126</v>
      </c>
      <c r="N61">
        <f t="shared" si="2"/>
        <v>105</v>
      </c>
      <c r="O61">
        <f t="shared" si="3"/>
        <v>73.943661971830991</v>
      </c>
      <c r="P61">
        <f t="shared" si="4"/>
        <v>81.581220657277001</v>
      </c>
      <c r="Q61" t="str">
        <f>IF($A61="Class of 2022","",IFERROR(INDEX(CAT4_2022_2023!$F:$F,MATCH($B61,CAT4_2022_2023!$A:$A,0)),IFERROR(INDEX(CAT4_2021_2022!$F:$F,MATCH($B61,CAT4_2021_2022!$A:$A,0)),"")))</f>
        <v>Moderate spatial bias</v>
      </c>
      <c r="R61">
        <f>IF($A61="Class of 2022","",IFERROR(INDEX(CAT4_2022_2023!$G:$G,MATCH($B61,CAT4_2022_2023!$A:$A,0)),IFERROR(INDEX(CAT4_2021_2022!$G:$G,MATCH($B61,CAT4_2021_2022!$A:$A,0)),"")))</f>
        <v>86</v>
      </c>
      <c r="S61">
        <f>IF($A61="Class of 2022","",IFERROR(INDEX(CAT4_2022_2023!$H:$H,MATCH($B61,CAT4_2022_2023!$A:$A,0)),IFERROR(INDEX(CAT4_2021_2022!$H:$H,MATCH($B61,CAT4_2021_2022!$A:$A,0)),"")))</f>
        <v>116</v>
      </c>
      <c r="T61">
        <f>IF($A61="Class of 2022","",IFERROR(INDEX(CAT4_2022_2023!$I:$I,MATCH($B61,CAT4_2022_2023!$A:$A,0)),IFERROR(INDEX(CAT4_2021_2022!$I:$I,MATCH($B61,CAT4_2021_2022!$A:$A,0)),"")))</f>
        <v>111</v>
      </c>
      <c r="U61">
        <f>IF($A61="Class of 2022","",IFERROR(INDEX(CAT4_2022_2023!$J:$J,MATCH($B61,CAT4_2022_2023!$A:$A,0)),IFERROR(INDEX(CAT4_2021_2022!$J:$J,MATCH($B61,CAT4_2021_2022!$A:$A,0)),"")))</f>
        <v>107</v>
      </c>
      <c r="W61" t="s">
        <v>561</v>
      </c>
    </row>
    <row r="62" spans="1:23" x14ac:dyDescent="0.3">
      <c r="A62" t="s">
        <v>185</v>
      </c>
      <c r="B62" t="s">
        <v>190</v>
      </c>
      <c r="C62" t="s">
        <v>562</v>
      </c>
      <c r="D62" t="s">
        <v>563</v>
      </c>
      <c r="E62" t="s">
        <v>559</v>
      </c>
      <c r="F62">
        <v>96</v>
      </c>
      <c r="I62" t="s">
        <v>560</v>
      </c>
      <c r="J62">
        <v>127</v>
      </c>
      <c r="K62">
        <f t="shared" si="0"/>
        <v>50.8</v>
      </c>
      <c r="L62">
        <v>75</v>
      </c>
      <c r="M62">
        <f t="shared" si="1"/>
        <v>150</v>
      </c>
      <c r="N62">
        <f t="shared" si="2"/>
        <v>107</v>
      </c>
      <c r="O62">
        <f t="shared" si="3"/>
        <v>75.352112676056336</v>
      </c>
      <c r="P62">
        <f t="shared" si="4"/>
        <v>92.050704225352106</v>
      </c>
      <c r="Q62" t="str">
        <f>IF($A62="Class of 2022","",IFERROR(INDEX(CAT4_2022_2023!$F:$F,MATCH($B62,CAT4_2022_2023!$A:$A,0)),IFERROR(INDEX(CAT4_2021_2022!$F:$F,MATCH($B62,CAT4_2021_2022!$A:$A,0)),"")))</f>
        <v>Extreme spatial bias</v>
      </c>
      <c r="R62">
        <f>IF($A62="Class of 2022","",IFERROR(INDEX(CAT4_2022_2023!$G:$G,MATCH($B62,CAT4_2022_2023!$A:$A,0)),IFERROR(INDEX(CAT4_2021_2022!$G:$G,MATCH($B62,CAT4_2021_2022!$A:$A,0)),"")))</f>
        <v>75</v>
      </c>
      <c r="S62">
        <f>IF($A62="Class of 2022","",IFERROR(INDEX(CAT4_2022_2023!$H:$H,MATCH($B62,CAT4_2022_2023!$A:$A,0)),IFERROR(INDEX(CAT4_2021_2022!$H:$H,MATCH($B62,CAT4_2021_2022!$A:$A,0)),"")))</f>
        <v>112</v>
      </c>
      <c r="T62">
        <f>IF($A62="Class of 2022","",IFERROR(INDEX(CAT4_2022_2023!$I:$I,MATCH($B62,CAT4_2022_2023!$A:$A,0)),IFERROR(INDEX(CAT4_2021_2022!$I:$I,MATCH($B62,CAT4_2021_2022!$A:$A,0)),"")))</f>
        <v>121</v>
      </c>
      <c r="U62">
        <f>IF($A62="Class of 2022","",IFERROR(INDEX(CAT4_2022_2023!$J:$J,MATCH($B62,CAT4_2022_2023!$A:$A,0)),IFERROR(INDEX(CAT4_2021_2022!$J:$J,MATCH($B62,CAT4_2021_2022!$A:$A,0)),"")))</f>
        <v>118</v>
      </c>
      <c r="W62" t="s">
        <v>561</v>
      </c>
    </row>
    <row r="63" spans="1:23" x14ac:dyDescent="0.3">
      <c r="A63" t="s">
        <v>185</v>
      </c>
      <c r="B63" t="s">
        <v>192</v>
      </c>
      <c r="C63" t="s">
        <v>564</v>
      </c>
      <c r="D63" t="s">
        <v>565</v>
      </c>
      <c r="E63" t="s">
        <v>559</v>
      </c>
      <c r="F63">
        <v>91</v>
      </c>
      <c r="I63" t="s">
        <v>566</v>
      </c>
      <c r="J63">
        <v>136</v>
      </c>
      <c r="K63">
        <f t="shared" si="0"/>
        <v>54.400000000000006</v>
      </c>
      <c r="L63">
        <v>40</v>
      </c>
      <c r="M63">
        <f t="shared" si="1"/>
        <v>80</v>
      </c>
      <c r="N63">
        <f t="shared" si="2"/>
        <v>93</v>
      </c>
      <c r="O63">
        <f t="shared" si="3"/>
        <v>65.492957746478879</v>
      </c>
      <c r="P63">
        <f t="shared" si="4"/>
        <v>66.630985915492957</v>
      </c>
      <c r="Q63" t="str">
        <f>IF($A63="Class of 2022","",IFERROR(INDEX(CAT4_2022_2023!$F:$F,MATCH($B63,CAT4_2022_2023!$A:$A,0)),IFERROR(INDEX(CAT4_2021_2022!$F:$F,MATCH($B63,CAT4_2021_2022!$A:$A,0)),"")))</f>
        <v>No bias</v>
      </c>
      <c r="R63">
        <f>IF($A63="Class of 2022","",IFERROR(INDEX(CAT4_2022_2023!$G:$G,MATCH($B63,CAT4_2022_2023!$A:$A,0)),IFERROR(INDEX(CAT4_2021_2022!$G:$G,MATCH($B63,CAT4_2021_2022!$A:$A,0)),"")))</f>
        <v>85</v>
      </c>
      <c r="S63">
        <f>IF($A63="Class of 2022","",IFERROR(INDEX(CAT4_2022_2023!$H:$H,MATCH($B63,CAT4_2022_2023!$A:$A,0)),IFERROR(INDEX(CAT4_2021_2022!$H:$H,MATCH($B63,CAT4_2021_2022!$A:$A,0)),"")))</f>
        <v>101</v>
      </c>
      <c r="T63">
        <f>IF($A63="Class of 2022","",IFERROR(INDEX(CAT4_2022_2023!$I:$I,MATCH($B63,CAT4_2022_2023!$A:$A,0)),IFERROR(INDEX(CAT4_2021_2022!$I:$I,MATCH($B63,CAT4_2021_2022!$A:$A,0)),"")))</f>
        <v>93</v>
      </c>
      <c r="U63">
        <f>IF($A63="Class of 2022","",IFERROR(INDEX(CAT4_2022_2023!$J:$J,MATCH($B63,CAT4_2022_2023!$A:$A,0)),IFERROR(INDEX(CAT4_2021_2022!$J:$J,MATCH($B63,CAT4_2021_2022!$A:$A,0)),"")))</f>
        <v>94</v>
      </c>
      <c r="W63" t="s">
        <v>561</v>
      </c>
    </row>
    <row r="64" spans="1:23" x14ac:dyDescent="0.3">
      <c r="A64" t="s">
        <v>185</v>
      </c>
      <c r="B64" t="s">
        <v>194</v>
      </c>
      <c r="C64" t="s">
        <v>567</v>
      </c>
      <c r="D64" t="s">
        <v>565</v>
      </c>
      <c r="E64" t="s">
        <v>559</v>
      </c>
      <c r="F64">
        <v>95</v>
      </c>
      <c r="I64" t="s">
        <v>560</v>
      </c>
      <c r="J64">
        <v>140</v>
      </c>
      <c r="K64">
        <f t="shared" si="0"/>
        <v>56.000000000000007</v>
      </c>
      <c r="L64">
        <v>83</v>
      </c>
      <c r="M64">
        <f t="shared" si="1"/>
        <v>166</v>
      </c>
      <c r="N64">
        <f t="shared" si="2"/>
        <v>96</v>
      </c>
      <c r="O64">
        <f t="shared" si="3"/>
        <v>67.605633802816897</v>
      </c>
      <c r="P64">
        <f t="shared" si="4"/>
        <v>96.535211267605632</v>
      </c>
      <c r="Q64" t="str">
        <f>IF($A64="Class of 2022","",IFERROR(INDEX(CAT4_2022_2023!$F:$F,MATCH($B64,CAT4_2022_2023!$A:$A,0)),IFERROR(INDEX(CAT4_2021_2022!$F:$F,MATCH($B64,CAT4_2021_2022!$A:$A,0)),"")))</f>
        <v>Mild spatial bias</v>
      </c>
      <c r="R64">
        <f>IF($A64="Class of 2022","",IFERROR(INDEX(CAT4_2022_2023!$G:$G,MATCH($B64,CAT4_2022_2023!$A:$A,0)),IFERROR(INDEX(CAT4_2021_2022!$G:$G,MATCH($B64,CAT4_2021_2022!$A:$A,0)),"")))</f>
        <v>75</v>
      </c>
      <c r="S64">
        <f>IF($A64="Class of 2022","",IFERROR(INDEX(CAT4_2022_2023!$H:$H,MATCH($B64,CAT4_2022_2023!$A:$A,0)),IFERROR(INDEX(CAT4_2021_2022!$H:$H,MATCH($B64,CAT4_2021_2022!$A:$A,0)),"")))</f>
        <v>122</v>
      </c>
      <c r="T64">
        <f>IF($A64="Class of 2022","",IFERROR(INDEX(CAT4_2022_2023!$I:$I,MATCH($B64,CAT4_2022_2023!$A:$A,0)),IFERROR(INDEX(CAT4_2021_2022!$I:$I,MATCH($B64,CAT4_2021_2022!$A:$A,0)),"")))</f>
        <v>93</v>
      </c>
      <c r="U64">
        <f>IF($A64="Class of 2022","",IFERROR(INDEX(CAT4_2022_2023!$J:$J,MATCH($B64,CAT4_2022_2023!$A:$A,0)),IFERROR(INDEX(CAT4_2021_2022!$J:$J,MATCH($B64,CAT4_2021_2022!$A:$A,0)),"")))</f>
        <v>92</v>
      </c>
      <c r="W64" t="s">
        <v>561</v>
      </c>
    </row>
    <row r="65" spans="1:23" x14ac:dyDescent="0.3">
      <c r="A65" t="s">
        <v>185</v>
      </c>
      <c r="B65" t="s">
        <v>196</v>
      </c>
      <c r="C65" t="s">
        <v>568</v>
      </c>
      <c r="D65" t="s">
        <v>558</v>
      </c>
      <c r="E65" t="s">
        <v>559</v>
      </c>
      <c r="F65">
        <v>84</v>
      </c>
      <c r="I65" t="s">
        <v>560</v>
      </c>
      <c r="J65">
        <v>131</v>
      </c>
      <c r="K65">
        <f t="shared" si="0"/>
        <v>52.400000000000006</v>
      </c>
      <c r="L65">
        <v>75</v>
      </c>
      <c r="M65">
        <f t="shared" si="1"/>
        <v>150</v>
      </c>
      <c r="N65">
        <f t="shared" si="2"/>
        <v>96</v>
      </c>
      <c r="O65">
        <f t="shared" si="3"/>
        <v>67.605633802816897</v>
      </c>
      <c r="P65">
        <f t="shared" si="4"/>
        <v>90.001877934272287</v>
      </c>
      <c r="Q65" t="str">
        <f>IF($A65="Class of 2022","",IFERROR(INDEX(CAT4_2022_2023!$F:$F,MATCH($B65,CAT4_2022_2023!$A:$A,0)),IFERROR(INDEX(CAT4_2021_2022!$F:$F,MATCH($B65,CAT4_2021_2022!$A:$A,0)),"")))</f>
        <v>Moderate spatial bias</v>
      </c>
      <c r="R65">
        <f>IF($A65="Class of 2022","",IFERROR(INDEX(CAT4_2022_2023!$G:$G,MATCH($B65,CAT4_2022_2023!$A:$A,0)),IFERROR(INDEX(CAT4_2021_2022!$G:$G,MATCH($B65,CAT4_2021_2022!$A:$A,0)),"")))</f>
        <v>75</v>
      </c>
      <c r="S65">
        <f>IF($A65="Class of 2022","",IFERROR(INDEX(CAT4_2022_2023!$H:$H,MATCH($B65,CAT4_2022_2023!$A:$A,0)),IFERROR(INDEX(CAT4_2021_2022!$H:$H,MATCH($B65,CAT4_2021_2022!$A:$A,0)),"")))</f>
        <v>116</v>
      </c>
      <c r="T65">
        <f>IF($A65="Class of 2022","",IFERROR(INDEX(CAT4_2022_2023!$I:$I,MATCH($B65,CAT4_2022_2023!$A:$A,0)),IFERROR(INDEX(CAT4_2021_2022!$I:$I,MATCH($B65,CAT4_2021_2022!$A:$A,0)),"")))</f>
        <v>91</v>
      </c>
      <c r="U65">
        <f>IF($A65="Class of 2022","",IFERROR(INDEX(CAT4_2022_2023!$J:$J,MATCH($B65,CAT4_2022_2023!$A:$A,0)),IFERROR(INDEX(CAT4_2021_2022!$J:$J,MATCH($B65,CAT4_2021_2022!$A:$A,0)),"")))</f>
        <v>102</v>
      </c>
      <c r="W65" t="s">
        <v>561</v>
      </c>
    </row>
    <row r="66" spans="1:23" x14ac:dyDescent="0.3">
      <c r="A66" t="s">
        <v>185</v>
      </c>
      <c r="B66" t="s">
        <v>198</v>
      </c>
      <c r="C66" t="s">
        <v>569</v>
      </c>
      <c r="D66" t="s">
        <v>570</v>
      </c>
      <c r="E66" t="s">
        <v>571</v>
      </c>
      <c r="F66" t="s">
        <v>572</v>
      </c>
      <c r="I66" t="s">
        <v>566</v>
      </c>
      <c r="J66">
        <v>161</v>
      </c>
      <c r="K66">
        <f t="shared" ref="K66:K129" si="5">IF(J66="","",J66/250*100)</f>
        <v>64.400000000000006</v>
      </c>
      <c r="L66">
        <v>78</v>
      </c>
      <c r="M66">
        <f t="shared" ref="M66:M129" si="6">IF(L66="","",L66/50*100)</f>
        <v>156</v>
      </c>
      <c r="N66">
        <f t="shared" ref="N66:N129" si="7">IF(COUNT(R66:U66)=0,"",ROUND(AVERAGE(R66:U66),0))</f>
        <v>99</v>
      </c>
      <c r="O66">
        <f t="shared" ref="O66:O129" si="8">IF(N66="","",N66/142*100)</f>
        <v>69.718309859154928</v>
      </c>
      <c r="P66">
        <f t="shared" ref="P66:P129" si="9">IF(COUNT(K66,M66,O66)=0,"",AVERAGE(K66,M66,O66))</f>
        <v>96.706103286384973</v>
      </c>
      <c r="Q66" t="str">
        <f>IF($A66="Class of 2022","",IFERROR(INDEX(CAT4_2022_2023!$F:$F,MATCH($B66,CAT4_2022_2023!$A:$A,0)),IFERROR(INDEX(CAT4_2021_2022!$F:$F,MATCH($B66,CAT4_2021_2022!$A:$A,0)),"")))</f>
        <v>Mild verbal bias</v>
      </c>
      <c r="R66">
        <f>IF($A66="Class of 2022","",IFERROR(INDEX(CAT4_2022_2023!$G:$G,MATCH($B66,CAT4_2022_2023!$A:$A,0)),IFERROR(INDEX(CAT4_2021_2022!$G:$G,MATCH($B66,CAT4_2021_2022!$A:$A,0)),"")))</f>
        <v>104</v>
      </c>
      <c r="S66">
        <f>IF($A66="Class of 2022","",IFERROR(INDEX(CAT4_2022_2023!$H:$H,MATCH($B66,CAT4_2022_2023!$A:$A,0)),IFERROR(INDEX(CAT4_2021_2022!$H:$H,MATCH($B66,CAT4_2021_2022!$A:$A,0)),"")))</f>
        <v>95</v>
      </c>
      <c r="T66">
        <f>IF($A66="Class of 2022","",IFERROR(INDEX(CAT4_2022_2023!$I:$I,MATCH($B66,CAT4_2022_2023!$A:$A,0)),IFERROR(INDEX(CAT4_2021_2022!$I:$I,MATCH($B66,CAT4_2021_2022!$A:$A,0)),"")))</f>
        <v>102</v>
      </c>
      <c r="U66">
        <f>IF($A66="Class of 2022","",IFERROR(INDEX(CAT4_2022_2023!$J:$J,MATCH($B66,CAT4_2022_2023!$A:$A,0)),IFERROR(INDEX(CAT4_2021_2022!$J:$J,MATCH($B66,CAT4_2021_2022!$A:$A,0)),"")))</f>
        <v>96</v>
      </c>
      <c r="W66" t="s">
        <v>561</v>
      </c>
    </row>
    <row r="67" spans="1:23" x14ac:dyDescent="0.3">
      <c r="A67" t="s">
        <v>185</v>
      </c>
      <c r="B67" t="s">
        <v>200</v>
      </c>
      <c r="C67" t="s">
        <v>573</v>
      </c>
      <c r="D67" t="s">
        <v>574</v>
      </c>
      <c r="E67" t="s">
        <v>559</v>
      </c>
      <c r="F67">
        <v>89</v>
      </c>
      <c r="I67" t="s">
        <v>560</v>
      </c>
      <c r="J67">
        <v>138</v>
      </c>
      <c r="K67">
        <f t="shared" si="5"/>
        <v>55.2</v>
      </c>
      <c r="L67">
        <v>38</v>
      </c>
      <c r="M67">
        <f t="shared" si="6"/>
        <v>76</v>
      </c>
      <c r="N67">
        <f t="shared" si="7"/>
        <v>95</v>
      </c>
      <c r="O67">
        <f t="shared" si="8"/>
        <v>66.901408450704224</v>
      </c>
      <c r="P67">
        <f t="shared" si="9"/>
        <v>66.0338028169014</v>
      </c>
      <c r="Q67" t="str">
        <f>IF($A67="Class of 2022","",IFERROR(INDEX(CAT4_2022_2023!$F:$F,MATCH($B67,CAT4_2022_2023!$A:$A,0)),IFERROR(INDEX(CAT4_2021_2022!$F:$F,MATCH($B67,CAT4_2021_2022!$A:$A,0)),"")))</f>
        <v>No bias</v>
      </c>
      <c r="R67">
        <f>IF($A67="Class of 2022","",IFERROR(INDEX(CAT4_2022_2023!$G:$G,MATCH($B67,CAT4_2022_2023!$A:$A,0)),IFERROR(INDEX(CAT4_2021_2022!$G:$G,MATCH($B67,CAT4_2021_2022!$A:$A,0)),"")))</f>
        <v>77</v>
      </c>
      <c r="S67">
        <f>IF($A67="Class of 2022","",IFERROR(INDEX(CAT4_2022_2023!$H:$H,MATCH($B67,CAT4_2022_2023!$A:$A,0)),IFERROR(INDEX(CAT4_2021_2022!$H:$H,MATCH($B67,CAT4_2021_2022!$A:$A,0)),"")))</f>
        <v>110</v>
      </c>
      <c r="T67">
        <f>IF($A67="Class of 2022","",IFERROR(INDEX(CAT4_2022_2023!$I:$I,MATCH($B67,CAT4_2022_2023!$A:$A,0)),IFERROR(INDEX(CAT4_2021_2022!$I:$I,MATCH($B67,CAT4_2021_2022!$A:$A,0)),"")))</f>
        <v>105</v>
      </c>
      <c r="U67">
        <f>IF($A67="Class of 2022","",IFERROR(INDEX(CAT4_2022_2023!$J:$J,MATCH($B67,CAT4_2022_2023!$A:$A,0)),IFERROR(INDEX(CAT4_2021_2022!$J:$J,MATCH($B67,CAT4_2021_2022!$A:$A,0)),"")))</f>
        <v>86</v>
      </c>
      <c r="W67" t="s">
        <v>561</v>
      </c>
    </row>
    <row r="68" spans="1:23" x14ac:dyDescent="0.3">
      <c r="A68" t="s">
        <v>185</v>
      </c>
      <c r="B68" t="s">
        <v>202</v>
      </c>
      <c r="C68" t="s">
        <v>575</v>
      </c>
      <c r="D68" t="s">
        <v>576</v>
      </c>
      <c r="E68" t="s">
        <v>559</v>
      </c>
      <c r="F68">
        <v>99</v>
      </c>
      <c r="I68" t="s">
        <v>566</v>
      </c>
      <c r="J68">
        <v>148</v>
      </c>
      <c r="K68">
        <f t="shared" si="5"/>
        <v>59.199999999999996</v>
      </c>
      <c r="L68">
        <v>60</v>
      </c>
      <c r="M68">
        <f t="shared" si="6"/>
        <v>120</v>
      </c>
      <c r="N68">
        <f t="shared" si="7"/>
        <v>104</v>
      </c>
      <c r="O68">
        <f t="shared" si="8"/>
        <v>73.239436619718319</v>
      </c>
      <c r="P68">
        <f t="shared" si="9"/>
        <v>84.146478873239445</v>
      </c>
      <c r="Q68" t="str">
        <f>IF($A68="Class of 2022","",IFERROR(INDEX(CAT4_2022_2023!$F:$F,MATCH($B68,CAT4_2022_2023!$A:$A,0)),IFERROR(INDEX(CAT4_2021_2022!$F:$F,MATCH($B68,CAT4_2021_2022!$A:$A,0)),"")))</f>
        <v>Mild spatial bias</v>
      </c>
      <c r="R68">
        <f>IF($A68="Class of 2022","",IFERROR(INDEX(CAT4_2022_2023!$G:$G,MATCH($B68,CAT4_2022_2023!$A:$A,0)),IFERROR(INDEX(CAT4_2021_2022!$G:$G,MATCH($B68,CAT4_2021_2022!$A:$A,0)),"")))</f>
        <v>93</v>
      </c>
      <c r="S68">
        <f>IF($A68="Class of 2022","",IFERROR(INDEX(CAT4_2022_2023!$H:$H,MATCH($B68,CAT4_2022_2023!$A:$A,0)),IFERROR(INDEX(CAT4_2021_2022!$H:$H,MATCH($B68,CAT4_2021_2022!$A:$A,0)),"")))</f>
        <v>111</v>
      </c>
      <c r="T68">
        <f>IF($A68="Class of 2022","",IFERROR(INDEX(CAT4_2022_2023!$I:$I,MATCH($B68,CAT4_2022_2023!$A:$A,0)),IFERROR(INDEX(CAT4_2021_2022!$I:$I,MATCH($B68,CAT4_2021_2022!$A:$A,0)),"")))</f>
        <v>109</v>
      </c>
      <c r="U68">
        <f>IF($A68="Class of 2022","",IFERROR(INDEX(CAT4_2022_2023!$J:$J,MATCH($B68,CAT4_2022_2023!$A:$A,0)),IFERROR(INDEX(CAT4_2021_2022!$J:$J,MATCH($B68,CAT4_2021_2022!$A:$A,0)),"")))</f>
        <v>104</v>
      </c>
      <c r="W68" t="s">
        <v>561</v>
      </c>
    </row>
    <row r="69" spans="1:23" x14ac:dyDescent="0.3">
      <c r="A69" t="s">
        <v>185</v>
      </c>
      <c r="B69" t="s">
        <v>204</v>
      </c>
      <c r="C69" t="s">
        <v>577</v>
      </c>
      <c r="D69" t="s">
        <v>558</v>
      </c>
      <c r="E69" t="s">
        <v>559</v>
      </c>
      <c r="F69">
        <v>91</v>
      </c>
      <c r="I69" t="s">
        <v>560</v>
      </c>
      <c r="J69">
        <v>131</v>
      </c>
      <c r="K69">
        <f t="shared" si="5"/>
        <v>52.400000000000006</v>
      </c>
      <c r="L69">
        <v>55</v>
      </c>
      <c r="M69">
        <f t="shared" si="6"/>
        <v>110.00000000000001</v>
      </c>
      <c r="N69">
        <f t="shared" si="7"/>
        <v>93</v>
      </c>
      <c r="O69">
        <f t="shared" si="8"/>
        <v>65.492957746478879</v>
      </c>
      <c r="P69">
        <f t="shared" si="9"/>
        <v>75.9643192488263</v>
      </c>
      <c r="Q69" t="str">
        <f>IF($A69="Class of 2022","",IFERROR(INDEX(CAT4_2022_2023!$F:$F,MATCH($B69,CAT4_2022_2023!$A:$A,0)),IFERROR(INDEX(CAT4_2021_2022!$F:$F,MATCH($B69,CAT4_2021_2022!$A:$A,0)),"")))</f>
        <v>Moderate spatial bias</v>
      </c>
      <c r="R69">
        <f>IF($A69="Class of 2022","",IFERROR(INDEX(CAT4_2022_2023!$G:$G,MATCH($B69,CAT4_2022_2023!$A:$A,0)),IFERROR(INDEX(CAT4_2021_2022!$G:$G,MATCH($B69,CAT4_2021_2022!$A:$A,0)),"")))</f>
        <v>69</v>
      </c>
      <c r="S69">
        <f>IF($A69="Class of 2022","",IFERROR(INDEX(CAT4_2022_2023!$H:$H,MATCH($B69,CAT4_2022_2023!$A:$A,0)),IFERROR(INDEX(CAT4_2021_2022!$H:$H,MATCH($B69,CAT4_2021_2022!$A:$A,0)),"")))</f>
        <v>106</v>
      </c>
      <c r="T69">
        <f>IF($A69="Class of 2022","",IFERROR(INDEX(CAT4_2022_2023!$I:$I,MATCH($B69,CAT4_2022_2023!$A:$A,0)),IFERROR(INDEX(CAT4_2021_2022!$I:$I,MATCH($B69,CAT4_2021_2022!$A:$A,0)),"")))</f>
        <v>102</v>
      </c>
      <c r="U69">
        <f>IF($A69="Class of 2022","",IFERROR(INDEX(CAT4_2022_2023!$J:$J,MATCH($B69,CAT4_2022_2023!$A:$A,0)),IFERROR(INDEX(CAT4_2021_2022!$J:$J,MATCH($B69,CAT4_2021_2022!$A:$A,0)),"")))</f>
        <v>94</v>
      </c>
      <c r="W69" t="s">
        <v>561</v>
      </c>
    </row>
    <row r="70" spans="1:23" x14ac:dyDescent="0.3">
      <c r="A70" t="s">
        <v>185</v>
      </c>
      <c r="B70" t="s">
        <v>206</v>
      </c>
      <c r="C70" t="s">
        <v>578</v>
      </c>
      <c r="D70" t="s">
        <v>563</v>
      </c>
      <c r="E70" t="s">
        <v>559</v>
      </c>
      <c r="F70">
        <v>100</v>
      </c>
      <c r="I70" t="s">
        <v>566</v>
      </c>
      <c r="J70">
        <v>167</v>
      </c>
      <c r="K70">
        <f t="shared" si="5"/>
        <v>66.8</v>
      </c>
      <c r="L70">
        <v>63</v>
      </c>
      <c r="M70">
        <f t="shared" si="6"/>
        <v>126</v>
      </c>
      <c r="N70">
        <f t="shared" si="7"/>
        <v>101</v>
      </c>
      <c r="O70">
        <f t="shared" si="8"/>
        <v>71.126760563380287</v>
      </c>
      <c r="P70">
        <f t="shared" si="9"/>
        <v>87.975586854460104</v>
      </c>
      <c r="Q70" t="str">
        <f>IF($A70="Class of 2022","",IFERROR(INDEX(CAT4_2022_2023!$F:$F,MATCH($B70,CAT4_2022_2023!$A:$A,0)),IFERROR(INDEX(CAT4_2021_2022!$F:$F,MATCH($B70,CAT4_2021_2022!$A:$A,0)),"")))</f>
        <v>No bias</v>
      </c>
      <c r="R70">
        <f>IF($A70="Class of 2022","",IFERROR(INDEX(CAT4_2022_2023!$G:$G,MATCH($B70,CAT4_2022_2023!$A:$A,0)),IFERROR(INDEX(CAT4_2021_2022!$G:$G,MATCH($B70,CAT4_2021_2022!$A:$A,0)),"")))</f>
        <v>96</v>
      </c>
      <c r="S70">
        <f>IF($A70="Class of 2022","",IFERROR(INDEX(CAT4_2022_2023!$H:$H,MATCH($B70,CAT4_2022_2023!$A:$A,0)),IFERROR(INDEX(CAT4_2021_2022!$H:$H,MATCH($B70,CAT4_2021_2022!$A:$A,0)),"")))</f>
        <v>100</v>
      </c>
      <c r="T70">
        <f>IF($A70="Class of 2022","",IFERROR(INDEX(CAT4_2022_2023!$I:$I,MATCH($B70,CAT4_2022_2023!$A:$A,0)),IFERROR(INDEX(CAT4_2021_2022!$I:$I,MATCH($B70,CAT4_2021_2022!$A:$A,0)),"")))</f>
        <v>107</v>
      </c>
      <c r="U70">
        <f>IF($A70="Class of 2022","",IFERROR(INDEX(CAT4_2022_2023!$J:$J,MATCH($B70,CAT4_2022_2023!$A:$A,0)),IFERROR(INDEX(CAT4_2021_2022!$J:$J,MATCH($B70,CAT4_2021_2022!$A:$A,0)),"")))</f>
        <v>99</v>
      </c>
      <c r="W70" t="s">
        <v>561</v>
      </c>
    </row>
    <row r="71" spans="1:23" x14ac:dyDescent="0.3">
      <c r="A71" t="s">
        <v>185</v>
      </c>
      <c r="B71" t="s">
        <v>208</v>
      </c>
      <c r="C71" t="s">
        <v>579</v>
      </c>
      <c r="D71" t="s">
        <v>580</v>
      </c>
      <c r="E71" t="s">
        <v>571</v>
      </c>
      <c r="F71">
        <v>70</v>
      </c>
      <c r="I71" t="s">
        <v>560</v>
      </c>
      <c r="J71">
        <v>137</v>
      </c>
      <c r="K71">
        <f t="shared" si="5"/>
        <v>54.800000000000004</v>
      </c>
      <c r="L71">
        <v>55</v>
      </c>
      <c r="M71">
        <f t="shared" si="6"/>
        <v>110.00000000000001</v>
      </c>
      <c r="N71">
        <f t="shared" si="7"/>
        <v>103</v>
      </c>
      <c r="O71">
        <f t="shared" si="8"/>
        <v>72.535211267605632</v>
      </c>
      <c r="P71">
        <f t="shared" si="9"/>
        <v>79.111737089201881</v>
      </c>
      <c r="Q71" t="str">
        <f>IF($A71="Class of 2022","",IFERROR(INDEX(CAT4_2022_2023!$F:$F,MATCH($B71,CAT4_2022_2023!$A:$A,0)),IFERROR(INDEX(CAT4_2021_2022!$F:$F,MATCH($B71,CAT4_2021_2022!$A:$A,0)),"")))</f>
        <v>Moderate spatial bias</v>
      </c>
      <c r="R71">
        <f>IF($A71="Class of 2022","",IFERROR(INDEX(CAT4_2022_2023!$G:$G,MATCH($B71,CAT4_2022_2023!$A:$A,0)),IFERROR(INDEX(CAT4_2021_2022!$G:$G,MATCH($B71,CAT4_2021_2022!$A:$A,0)),"")))</f>
        <v>83</v>
      </c>
      <c r="S71">
        <f>IF($A71="Class of 2022","",IFERROR(INDEX(CAT4_2022_2023!$H:$H,MATCH($B71,CAT4_2022_2023!$A:$A,0)),IFERROR(INDEX(CAT4_2021_2022!$H:$H,MATCH($B71,CAT4_2021_2022!$A:$A,0)),"")))</f>
        <v>118</v>
      </c>
      <c r="T71">
        <f>IF($A71="Class of 2022","",IFERROR(INDEX(CAT4_2022_2023!$I:$I,MATCH($B71,CAT4_2022_2023!$A:$A,0)),IFERROR(INDEX(CAT4_2021_2022!$I:$I,MATCH($B71,CAT4_2021_2022!$A:$A,0)),"")))</f>
        <v>106</v>
      </c>
      <c r="U71">
        <f>IF($A71="Class of 2022","",IFERROR(INDEX(CAT4_2022_2023!$J:$J,MATCH($B71,CAT4_2022_2023!$A:$A,0)),IFERROR(INDEX(CAT4_2021_2022!$J:$J,MATCH($B71,CAT4_2021_2022!$A:$A,0)),"")))</f>
        <v>106</v>
      </c>
      <c r="W71" t="s">
        <v>561</v>
      </c>
    </row>
    <row r="72" spans="1:23" x14ac:dyDescent="0.3">
      <c r="A72" t="s">
        <v>185</v>
      </c>
      <c r="B72" t="s">
        <v>210</v>
      </c>
      <c r="C72" t="s">
        <v>581</v>
      </c>
      <c r="D72" t="s">
        <v>582</v>
      </c>
      <c r="E72" t="s">
        <v>559</v>
      </c>
      <c r="F72">
        <v>94</v>
      </c>
      <c r="I72" t="s">
        <v>560</v>
      </c>
      <c r="J72">
        <v>100</v>
      </c>
      <c r="K72">
        <f t="shared" si="5"/>
        <v>40</v>
      </c>
      <c r="L72">
        <v>73</v>
      </c>
      <c r="M72">
        <f t="shared" si="6"/>
        <v>146</v>
      </c>
      <c r="N72">
        <f t="shared" si="7"/>
        <v>112</v>
      </c>
      <c r="O72">
        <f t="shared" si="8"/>
        <v>78.873239436619713</v>
      </c>
      <c r="P72">
        <f t="shared" si="9"/>
        <v>88.291079812206576</v>
      </c>
      <c r="Q72" t="str">
        <f>IF($A72="Class of 2022","",IFERROR(INDEX(CAT4_2022_2023!$F:$F,MATCH($B72,CAT4_2022_2023!$A:$A,0)),IFERROR(INDEX(CAT4_2021_2022!$F:$F,MATCH($B72,CAT4_2021_2022!$A:$A,0)),"")))</f>
        <v>Extreme spatial bias</v>
      </c>
      <c r="R72">
        <f>IF($A72="Class of 2022","",IFERROR(INDEX(CAT4_2022_2023!$G:$G,MATCH($B72,CAT4_2022_2023!$A:$A,0)),IFERROR(INDEX(CAT4_2021_2022!$G:$G,MATCH($B72,CAT4_2021_2022!$A:$A,0)),"")))</f>
        <v>74</v>
      </c>
      <c r="S72">
        <f>IF($A72="Class of 2022","",IFERROR(INDEX(CAT4_2022_2023!$H:$H,MATCH($B72,CAT4_2022_2023!$A:$A,0)),IFERROR(INDEX(CAT4_2021_2022!$H:$H,MATCH($B72,CAT4_2021_2022!$A:$A,0)),"")))</f>
        <v>127</v>
      </c>
      <c r="T72">
        <f>IF($A72="Class of 2022","",IFERROR(INDEX(CAT4_2022_2023!$I:$I,MATCH($B72,CAT4_2022_2023!$A:$A,0)),IFERROR(INDEX(CAT4_2021_2022!$I:$I,MATCH($B72,CAT4_2021_2022!$A:$A,0)),"")))</f>
        <v>135</v>
      </c>
      <c r="U72">
        <f>IF($A72="Class of 2022","",IFERROR(INDEX(CAT4_2022_2023!$J:$J,MATCH($B72,CAT4_2022_2023!$A:$A,0)),IFERROR(INDEX(CAT4_2021_2022!$J:$J,MATCH($B72,CAT4_2021_2022!$A:$A,0)),"")))</f>
        <v>111</v>
      </c>
      <c r="W72" t="s">
        <v>561</v>
      </c>
    </row>
    <row r="73" spans="1:23" x14ac:dyDescent="0.3">
      <c r="A73" t="s">
        <v>185</v>
      </c>
      <c r="B73" t="s">
        <v>212</v>
      </c>
      <c r="C73" t="s">
        <v>583</v>
      </c>
      <c r="D73" t="s">
        <v>584</v>
      </c>
      <c r="E73" t="s">
        <v>559</v>
      </c>
      <c r="F73">
        <v>94</v>
      </c>
      <c r="I73" t="s">
        <v>560</v>
      </c>
      <c r="J73">
        <v>123</v>
      </c>
      <c r="K73">
        <f t="shared" si="5"/>
        <v>49.2</v>
      </c>
      <c r="L73">
        <v>30</v>
      </c>
      <c r="M73">
        <f t="shared" si="6"/>
        <v>60</v>
      </c>
      <c r="N73">
        <f t="shared" si="7"/>
        <v>101</v>
      </c>
      <c r="O73">
        <f t="shared" si="8"/>
        <v>71.126760563380287</v>
      </c>
      <c r="P73">
        <f t="shared" si="9"/>
        <v>60.108920187793423</v>
      </c>
      <c r="Q73" t="str">
        <f>IF($A73="Class of 2022","",IFERROR(INDEX(CAT4_2022_2023!$F:$F,MATCH($B73,CAT4_2022_2023!$A:$A,0)),IFERROR(INDEX(CAT4_2021_2022!$F:$F,MATCH($B73,CAT4_2021_2022!$A:$A,0)),"")))</f>
        <v>Extreme spatial bias</v>
      </c>
      <c r="R73">
        <f>IF($A73="Class of 2022","",IFERROR(INDEX(CAT4_2022_2023!$G:$G,MATCH($B73,CAT4_2022_2023!$A:$A,0)),IFERROR(INDEX(CAT4_2021_2022!$G:$G,MATCH($B73,CAT4_2021_2022!$A:$A,0)),"")))</f>
        <v>75</v>
      </c>
      <c r="S73">
        <f>IF($A73="Class of 2022","",IFERROR(INDEX(CAT4_2022_2023!$H:$H,MATCH($B73,CAT4_2022_2023!$A:$A,0)),IFERROR(INDEX(CAT4_2021_2022!$H:$H,MATCH($B73,CAT4_2021_2022!$A:$A,0)),"")))</f>
        <v>114</v>
      </c>
      <c r="T73">
        <f>IF($A73="Class of 2022","",IFERROR(INDEX(CAT4_2022_2023!$I:$I,MATCH($B73,CAT4_2022_2023!$A:$A,0)),IFERROR(INDEX(CAT4_2021_2022!$I:$I,MATCH($B73,CAT4_2021_2022!$A:$A,0)),"")))</f>
        <v>98</v>
      </c>
      <c r="U73">
        <f>IF($A73="Class of 2022","",IFERROR(INDEX(CAT4_2022_2023!$J:$J,MATCH($B73,CAT4_2022_2023!$A:$A,0)),IFERROR(INDEX(CAT4_2021_2022!$J:$J,MATCH($B73,CAT4_2021_2022!$A:$A,0)),"")))</f>
        <v>116</v>
      </c>
      <c r="W73" t="s">
        <v>561</v>
      </c>
    </row>
    <row r="74" spans="1:23" x14ac:dyDescent="0.3">
      <c r="A74" t="s">
        <v>185</v>
      </c>
      <c r="B74" t="s">
        <v>214</v>
      </c>
      <c r="C74" t="s">
        <v>585</v>
      </c>
      <c r="D74" t="s">
        <v>563</v>
      </c>
      <c r="E74" t="s">
        <v>559</v>
      </c>
      <c r="F74">
        <v>89</v>
      </c>
      <c r="I74" t="s">
        <v>566</v>
      </c>
      <c r="J74">
        <v>150</v>
      </c>
      <c r="K74">
        <f t="shared" si="5"/>
        <v>60</v>
      </c>
      <c r="L74">
        <v>70</v>
      </c>
      <c r="M74">
        <f t="shared" si="6"/>
        <v>140</v>
      </c>
      <c r="N74">
        <f t="shared" si="7"/>
        <v>108</v>
      </c>
      <c r="O74">
        <f t="shared" si="8"/>
        <v>76.056338028169009</v>
      </c>
      <c r="P74">
        <f t="shared" si="9"/>
        <v>92.018779342723008</v>
      </c>
      <c r="Q74" t="str">
        <f>IF($A74="Class of 2022","",IFERROR(INDEX(CAT4_2022_2023!$F:$F,MATCH($B74,CAT4_2022_2023!$A:$A,0)),IFERROR(INDEX(CAT4_2021_2022!$F:$F,MATCH($B74,CAT4_2021_2022!$A:$A,0)),"")))</f>
        <v>Extreme spatial bias</v>
      </c>
      <c r="R74">
        <f>IF($A74="Class of 2022","",IFERROR(INDEX(CAT4_2022_2023!$G:$G,MATCH($B74,CAT4_2022_2023!$A:$A,0)),IFERROR(INDEX(CAT4_2021_2022!$G:$G,MATCH($B74,CAT4_2021_2022!$A:$A,0)),"")))</f>
        <v>91</v>
      </c>
      <c r="S74">
        <f>IF($A74="Class of 2022","",IFERROR(INDEX(CAT4_2022_2023!$H:$H,MATCH($B74,CAT4_2022_2023!$A:$A,0)),IFERROR(INDEX(CAT4_2021_2022!$H:$H,MATCH($B74,CAT4_2021_2022!$A:$A,0)),"")))</f>
        <v>112</v>
      </c>
      <c r="T74">
        <f>IF($A74="Class of 2022","",IFERROR(INDEX(CAT4_2022_2023!$I:$I,MATCH($B74,CAT4_2022_2023!$A:$A,0)),IFERROR(INDEX(CAT4_2021_2022!$I:$I,MATCH($B74,CAT4_2021_2022!$A:$A,0)),"")))</f>
        <v>107</v>
      </c>
      <c r="U74">
        <f>IF($A74="Class of 2022","",IFERROR(INDEX(CAT4_2022_2023!$J:$J,MATCH($B74,CAT4_2022_2023!$A:$A,0)),IFERROR(INDEX(CAT4_2021_2022!$J:$J,MATCH($B74,CAT4_2021_2022!$A:$A,0)),"")))</f>
        <v>122</v>
      </c>
      <c r="W74" t="s">
        <v>561</v>
      </c>
    </row>
    <row r="75" spans="1:23" x14ac:dyDescent="0.3">
      <c r="A75" t="s">
        <v>185</v>
      </c>
      <c r="B75" t="s">
        <v>216</v>
      </c>
      <c r="C75" t="s">
        <v>586</v>
      </c>
      <c r="D75" t="s">
        <v>580</v>
      </c>
      <c r="E75" t="s">
        <v>571</v>
      </c>
      <c r="F75">
        <v>76</v>
      </c>
      <c r="I75" t="s">
        <v>566</v>
      </c>
      <c r="J75">
        <v>141</v>
      </c>
      <c r="K75">
        <f t="shared" si="5"/>
        <v>56.399999999999991</v>
      </c>
      <c r="L75">
        <v>60</v>
      </c>
      <c r="M75">
        <f t="shared" si="6"/>
        <v>120</v>
      </c>
      <c r="N75">
        <f t="shared" si="7"/>
        <v>85</v>
      </c>
      <c r="O75">
        <f t="shared" si="8"/>
        <v>59.859154929577464</v>
      </c>
      <c r="P75">
        <f t="shared" si="9"/>
        <v>78.753051643192478</v>
      </c>
      <c r="Q75" t="str">
        <f>IF($A75="Class of 2022","",IFERROR(INDEX(CAT4_2022_2023!$F:$F,MATCH($B75,CAT4_2022_2023!$A:$A,0)),IFERROR(INDEX(CAT4_2021_2022!$F:$F,MATCH($B75,CAT4_2021_2022!$A:$A,0)),"")))</f>
        <v>No bias</v>
      </c>
      <c r="R75">
        <f>IF($A75="Class of 2022","",IFERROR(INDEX(CAT4_2022_2023!$G:$G,MATCH($B75,CAT4_2022_2023!$A:$A,0)),IFERROR(INDEX(CAT4_2021_2022!$G:$G,MATCH($B75,CAT4_2021_2022!$A:$A,0)),"")))</f>
        <v>80</v>
      </c>
      <c r="S75">
        <f>IF($A75="Class of 2022","",IFERROR(INDEX(CAT4_2022_2023!$H:$H,MATCH($B75,CAT4_2022_2023!$A:$A,0)),IFERROR(INDEX(CAT4_2021_2022!$H:$H,MATCH($B75,CAT4_2021_2022!$A:$A,0)),"")))</f>
        <v>91</v>
      </c>
      <c r="T75">
        <f>IF($A75="Class of 2022","",IFERROR(INDEX(CAT4_2022_2023!$I:$I,MATCH($B75,CAT4_2022_2023!$A:$A,0)),IFERROR(INDEX(CAT4_2021_2022!$I:$I,MATCH($B75,CAT4_2021_2022!$A:$A,0)),"")))</f>
        <v>82</v>
      </c>
      <c r="U75">
        <f>IF($A75="Class of 2022","",IFERROR(INDEX(CAT4_2022_2023!$J:$J,MATCH($B75,CAT4_2022_2023!$A:$A,0)),IFERROR(INDEX(CAT4_2021_2022!$J:$J,MATCH($B75,CAT4_2021_2022!$A:$A,0)),"")))</f>
        <v>88</v>
      </c>
      <c r="W75" t="s">
        <v>561</v>
      </c>
    </row>
    <row r="76" spans="1:23" x14ac:dyDescent="0.3">
      <c r="A76" t="s">
        <v>185</v>
      </c>
      <c r="B76" t="s">
        <v>218</v>
      </c>
      <c r="C76" t="s">
        <v>587</v>
      </c>
      <c r="D76" t="s">
        <v>563</v>
      </c>
      <c r="E76" t="s">
        <v>559</v>
      </c>
      <c r="F76">
        <v>98</v>
      </c>
      <c r="I76" t="s">
        <v>566</v>
      </c>
      <c r="J76">
        <v>148</v>
      </c>
      <c r="K76">
        <f t="shared" si="5"/>
        <v>59.199999999999996</v>
      </c>
      <c r="L76">
        <v>93</v>
      </c>
      <c r="M76">
        <f t="shared" si="6"/>
        <v>186</v>
      </c>
      <c r="N76">
        <f t="shared" si="7"/>
        <v>112</v>
      </c>
      <c r="O76">
        <f t="shared" si="8"/>
        <v>78.873239436619713</v>
      </c>
      <c r="P76">
        <f t="shared" si="9"/>
        <v>108.0244131455399</v>
      </c>
      <c r="Q76" t="str">
        <f>IF($A76="Class of 2022","",IFERROR(INDEX(CAT4_2022_2023!$F:$F,MATCH($B76,CAT4_2022_2023!$A:$A,0)),IFERROR(INDEX(CAT4_2021_2022!$F:$F,MATCH($B76,CAT4_2021_2022!$A:$A,0)),"")))</f>
        <v>No bias</v>
      </c>
      <c r="R76">
        <f>IF($A76="Class of 2022","",IFERROR(INDEX(CAT4_2022_2023!$G:$G,MATCH($B76,CAT4_2022_2023!$A:$A,0)),IFERROR(INDEX(CAT4_2021_2022!$G:$G,MATCH($B76,CAT4_2021_2022!$A:$A,0)),"")))</f>
        <v>108</v>
      </c>
      <c r="S76">
        <f>IF($A76="Class of 2022","",IFERROR(INDEX(CAT4_2022_2023!$H:$H,MATCH($B76,CAT4_2022_2023!$A:$A,0)),IFERROR(INDEX(CAT4_2021_2022!$H:$H,MATCH($B76,CAT4_2021_2022!$A:$A,0)),"")))</f>
        <v>125</v>
      </c>
      <c r="T76">
        <f>IF($A76="Class of 2022","",IFERROR(INDEX(CAT4_2022_2023!$I:$I,MATCH($B76,CAT4_2022_2023!$A:$A,0)),IFERROR(INDEX(CAT4_2021_2022!$I:$I,MATCH($B76,CAT4_2021_2022!$A:$A,0)),"")))</f>
        <v>105</v>
      </c>
      <c r="U76">
        <f>IF($A76="Class of 2022","",IFERROR(INDEX(CAT4_2022_2023!$J:$J,MATCH($B76,CAT4_2022_2023!$A:$A,0)),IFERROR(INDEX(CAT4_2021_2022!$J:$J,MATCH($B76,CAT4_2021_2022!$A:$A,0)),"")))</f>
        <v>111</v>
      </c>
      <c r="W76" t="s">
        <v>561</v>
      </c>
    </row>
    <row r="77" spans="1:23" x14ac:dyDescent="0.3">
      <c r="A77" t="s">
        <v>185</v>
      </c>
      <c r="B77" t="s">
        <v>220</v>
      </c>
      <c r="C77" t="s">
        <v>588</v>
      </c>
      <c r="D77" t="s">
        <v>558</v>
      </c>
      <c r="E77" t="s">
        <v>559</v>
      </c>
      <c r="F77">
        <v>90</v>
      </c>
      <c r="I77" t="s">
        <v>566</v>
      </c>
      <c r="J77">
        <v>142</v>
      </c>
      <c r="K77">
        <f t="shared" si="5"/>
        <v>56.8</v>
      </c>
      <c r="L77">
        <v>85</v>
      </c>
      <c r="M77">
        <f t="shared" si="6"/>
        <v>170</v>
      </c>
      <c r="N77">
        <f t="shared" si="7"/>
        <v>107</v>
      </c>
      <c r="O77">
        <f t="shared" si="8"/>
        <v>75.352112676056336</v>
      </c>
      <c r="P77">
        <f t="shared" si="9"/>
        <v>100.71737089201878</v>
      </c>
      <c r="Q77" t="str">
        <f>IF($A77="Class of 2022","",IFERROR(INDEX(CAT4_2022_2023!$F:$F,MATCH($B77,CAT4_2022_2023!$A:$A,0)),IFERROR(INDEX(CAT4_2021_2022!$F:$F,MATCH($B77,CAT4_2021_2022!$A:$A,0)),"")))</f>
        <v>No bias</v>
      </c>
      <c r="R77">
        <f>IF($A77="Class of 2022","",IFERROR(INDEX(CAT4_2022_2023!$G:$G,MATCH($B77,CAT4_2022_2023!$A:$A,0)),IFERROR(INDEX(CAT4_2021_2022!$G:$G,MATCH($B77,CAT4_2021_2022!$A:$A,0)),"")))</f>
        <v>101</v>
      </c>
      <c r="S77">
        <f>IF($A77="Class of 2022","",IFERROR(INDEX(CAT4_2022_2023!$H:$H,MATCH($B77,CAT4_2022_2023!$A:$A,0)),IFERROR(INDEX(CAT4_2021_2022!$H:$H,MATCH($B77,CAT4_2021_2022!$A:$A,0)),"")))</f>
        <v>110</v>
      </c>
      <c r="T77">
        <f>IF($A77="Class of 2022","",IFERROR(INDEX(CAT4_2022_2023!$I:$I,MATCH($B77,CAT4_2022_2023!$A:$A,0)),IFERROR(INDEX(CAT4_2021_2022!$I:$I,MATCH($B77,CAT4_2021_2022!$A:$A,0)),"")))</f>
        <v>116</v>
      </c>
      <c r="U77">
        <f>IF($A77="Class of 2022","",IFERROR(INDEX(CAT4_2022_2023!$J:$J,MATCH($B77,CAT4_2022_2023!$A:$A,0)),IFERROR(INDEX(CAT4_2021_2022!$J:$J,MATCH($B77,CAT4_2021_2022!$A:$A,0)),"")))</f>
        <v>100</v>
      </c>
      <c r="W77" t="s">
        <v>561</v>
      </c>
    </row>
    <row r="78" spans="1:23" x14ac:dyDescent="0.3">
      <c r="A78" t="s">
        <v>185</v>
      </c>
      <c r="B78" t="s">
        <v>222</v>
      </c>
      <c r="C78" t="s">
        <v>589</v>
      </c>
      <c r="D78" t="s">
        <v>565</v>
      </c>
      <c r="E78" t="s">
        <v>559</v>
      </c>
      <c r="F78">
        <v>99</v>
      </c>
      <c r="I78" t="s">
        <v>566</v>
      </c>
      <c r="J78">
        <v>136</v>
      </c>
      <c r="K78">
        <f t="shared" si="5"/>
        <v>54.400000000000006</v>
      </c>
      <c r="L78">
        <v>48</v>
      </c>
      <c r="M78">
        <f t="shared" si="6"/>
        <v>96</v>
      </c>
      <c r="N78">
        <f t="shared" si="7"/>
        <v>99</v>
      </c>
      <c r="O78">
        <f t="shared" si="8"/>
        <v>69.718309859154928</v>
      </c>
      <c r="P78">
        <f t="shared" si="9"/>
        <v>73.372769953051645</v>
      </c>
      <c r="Q78" t="str">
        <f>IF($A78="Class of 2022","",IFERROR(INDEX(CAT4_2022_2023!$F:$F,MATCH($B78,CAT4_2022_2023!$A:$A,0)),IFERROR(INDEX(CAT4_2021_2022!$F:$F,MATCH($B78,CAT4_2021_2022!$A:$A,0)),"")))</f>
        <v>Extreme spatial bias</v>
      </c>
      <c r="R78">
        <f>IF($A78="Class of 2022","",IFERROR(INDEX(CAT4_2022_2023!$G:$G,MATCH($B78,CAT4_2022_2023!$A:$A,0)),IFERROR(INDEX(CAT4_2021_2022!$G:$G,MATCH($B78,CAT4_2021_2022!$A:$A,0)),"")))</f>
        <v>81</v>
      </c>
      <c r="S78">
        <f>IF($A78="Class of 2022","",IFERROR(INDEX(CAT4_2022_2023!$H:$H,MATCH($B78,CAT4_2022_2023!$A:$A,0)),IFERROR(INDEX(CAT4_2021_2022!$H:$H,MATCH($B78,CAT4_2021_2022!$A:$A,0)),"")))</f>
        <v>93</v>
      </c>
      <c r="T78">
        <f>IF($A78="Class of 2022","",IFERROR(INDEX(CAT4_2022_2023!$I:$I,MATCH($B78,CAT4_2022_2023!$A:$A,0)),IFERROR(INDEX(CAT4_2021_2022!$I:$I,MATCH($B78,CAT4_2021_2022!$A:$A,0)),"")))</f>
        <v>115</v>
      </c>
      <c r="U78">
        <f>IF($A78="Class of 2022","",IFERROR(INDEX(CAT4_2022_2023!$J:$J,MATCH($B78,CAT4_2022_2023!$A:$A,0)),IFERROR(INDEX(CAT4_2021_2022!$J:$J,MATCH($B78,CAT4_2021_2022!$A:$A,0)),"")))</f>
        <v>105</v>
      </c>
      <c r="W78" t="s">
        <v>561</v>
      </c>
    </row>
    <row r="79" spans="1:23" x14ac:dyDescent="0.3">
      <c r="A79" t="s">
        <v>185</v>
      </c>
      <c r="B79" t="s">
        <v>224</v>
      </c>
      <c r="C79" t="s">
        <v>590</v>
      </c>
      <c r="D79" t="s">
        <v>565</v>
      </c>
      <c r="E79" t="s">
        <v>559</v>
      </c>
      <c r="F79">
        <v>92</v>
      </c>
      <c r="I79" t="s">
        <v>560</v>
      </c>
      <c r="J79">
        <v>124</v>
      </c>
      <c r="K79">
        <f t="shared" si="5"/>
        <v>49.6</v>
      </c>
      <c r="L79">
        <v>48</v>
      </c>
      <c r="M79">
        <f t="shared" si="6"/>
        <v>96</v>
      </c>
      <c r="N79">
        <f t="shared" si="7"/>
        <v>96</v>
      </c>
      <c r="O79">
        <f t="shared" si="8"/>
        <v>67.605633802816897</v>
      </c>
      <c r="P79">
        <f t="shared" si="9"/>
        <v>71.068544600938964</v>
      </c>
      <c r="Q79" t="str">
        <f>IF($A79="Class of 2022","",IFERROR(INDEX(CAT4_2022_2023!$F:$F,MATCH($B79,CAT4_2022_2023!$A:$A,0)),IFERROR(INDEX(CAT4_2021_2022!$F:$F,MATCH($B79,CAT4_2021_2022!$A:$A,0)),"")))</f>
        <v>Moderate spatial bias</v>
      </c>
      <c r="R79">
        <f>IF($A79="Class of 2022","",IFERROR(INDEX(CAT4_2022_2023!$G:$G,MATCH($B79,CAT4_2022_2023!$A:$A,0)),IFERROR(INDEX(CAT4_2021_2022!$G:$G,MATCH($B79,CAT4_2021_2022!$A:$A,0)),"")))</f>
        <v>76</v>
      </c>
      <c r="S79">
        <f>IF($A79="Class of 2022","",IFERROR(INDEX(CAT4_2022_2023!$H:$H,MATCH($B79,CAT4_2022_2023!$A:$A,0)),IFERROR(INDEX(CAT4_2021_2022!$H:$H,MATCH($B79,CAT4_2021_2022!$A:$A,0)),"")))</f>
        <v>113</v>
      </c>
      <c r="T79">
        <f>IF($A79="Class of 2022","",IFERROR(INDEX(CAT4_2022_2023!$I:$I,MATCH($B79,CAT4_2022_2023!$A:$A,0)),IFERROR(INDEX(CAT4_2021_2022!$I:$I,MATCH($B79,CAT4_2021_2022!$A:$A,0)),"")))</f>
        <v>94</v>
      </c>
      <c r="U79">
        <f>IF($A79="Class of 2022","",IFERROR(INDEX(CAT4_2022_2023!$J:$J,MATCH($B79,CAT4_2022_2023!$A:$A,0)),IFERROR(INDEX(CAT4_2021_2022!$J:$J,MATCH($B79,CAT4_2021_2022!$A:$A,0)),"")))</f>
        <v>100</v>
      </c>
      <c r="W79" t="s">
        <v>561</v>
      </c>
    </row>
    <row r="80" spans="1:23" x14ac:dyDescent="0.3">
      <c r="A80" t="s">
        <v>185</v>
      </c>
      <c r="B80" t="s">
        <v>226</v>
      </c>
      <c r="C80" t="s">
        <v>591</v>
      </c>
      <c r="D80" t="s">
        <v>565</v>
      </c>
      <c r="E80" t="s">
        <v>559</v>
      </c>
      <c r="F80">
        <v>91</v>
      </c>
      <c r="I80" t="s">
        <v>566</v>
      </c>
      <c r="J80">
        <v>158</v>
      </c>
      <c r="K80">
        <f t="shared" si="5"/>
        <v>63.2</v>
      </c>
      <c r="L80">
        <v>35</v>
      </c>
      <c r="M80">
        <f t="shared" si="6"/>
        <v>70</v>
      </c>
      <c r="N80">
        <f t="shared" si="7"/>
        <v>90</v>
      </c>
      <c r="O80">
        <f t="shared" si="8"/>
        <v>63.380281690140848</v>
      </c>
      <c r="P80">
        <f t="shared" si="9"/>
        <v>65.526760563380279</v>
      </c>
      <c r="Q80" t="str">
        <f>IF($A80="Class of 2022","",IFERROR(INDEX(CAT4_2022_2023!$F:$F,MATCH($B80,CAT4_2022_2023!$A:$A,0)),IFERROR(INDEX(CAT4_2021_2022!$F:$F,MATCH($B80,CAT4_2021_2022!$A:$A,0)),"")))</f>
        <v>No bias</v>
      </c>
      <c r="R80">
        <f>IF($A80="Class of 2022","",IFERROR(INDEX(CAT4_2022_2023!$G:$G,MATCH($B80,CAT4_2022_2023!$A:$A,0)),IFERROR(INDEX(CAT4_2021_2022!$G:$G,MATCH($B80,CAT4_2021_2022!$A:$A,0)),"")))</f>
        <v>86</v>
      </c>
      <c r="S80">
        <f>IF($A80="Class of 2022","",IFERROR(INDEX(CAT4_2022_2023!$H:$H,MATCH($B80,CAT4_2022_2023!$A:$A,0)),IFERROR(INDEX(CAT4_2021_2022!$H:$H,MATCH($B80,CAT4_2021_2022!$A:$A,0)),"")))</f>
        <v>101</v>
      </c>
      <c r="T80">
        <f>IF($A80="Class of 2022","",IFERROR(INDEX(CAT4_2022_2023!$I:$I,MATCH($B80,CAT4_2022_2023!$A:$A,0)),IFERROR(INDEX(CAT4_2021_2022!$I:$I,MATCH($B80,CAT4_2021_2022!$A:$A,0)),"")))</f>
        <v>86</v>
      </c>
      <c r="U80">
        <f>IF($A80="Class of 2022","",IFERROR(INDEX(CAT4_2022_2023!$J:$J,MATCH($B80,CAT4_2022_2023!$A:$A,0)),IFERROR(INDEX(CAT4_2021_2022!$J:$J,MATCH($B80,CAT4_2021_2022!$A:$A,0)),"")))</f>
        <v>86</v>
      </c>
      <c r="W80" t="s">
        <v>561</v>
      </c>
    </row>
    <row r="81" spans="1:23" x14ac:dyDescent="0.3">
      <c r="A81" t="s">
        <v>185</v>
      </c>
      <c r="B81" t="s">
        <v>228</v>
      </c>
      <c r="C81" t="s">
        <v>592</v>
      </c>
      <c r="D81" t="s">
        <v>593</v>
      </c>
      <c r="E81" t="s">
        <v>571</v>
      </c>
      <c r="F81">
        <v>85</v>
      </c>
      <c r="I81" t="s">
        <v>566</v>
      </c>
      <c r="J81">
        <v>141</v>
      </c>
      <c r="K81">
        <f t="shared" si="5"/>
        <v>56.399999999999991</v>
      </c>
      <c r="L81">
        <v>30</v>
      </c>
      <c r="M81">
        <f t="shared" si="6"/>
        <v>60</v>
      </c>
      <c r="N81">
        <f t="shared" si="7"/>
        <v>96</v>
      </c>
      <c r="O81">
        <f t="shared" si="8"/>
        <v>67.605633802816897</v>
      </c>
      <c r="P81">
        <f t="shared" si="9"/>
        <v>61.335211267605622</v>
      </c>
      <c r="Q81" t="str">
        <f>IF($A81="Class of 2022","",IFERROR(INDEX(CAT4_2022_2023!$F:$F,MATCH($B81,CAT4_2022_2023!$A:$A,0)),IFERROR(INDEX(CAT4_2021_2022!$F:$F,MATCH($B81,CAT4_2021_2022!$A:$A,0)),"")))</f>
        <v>Mild spatial bias</v>
      </c>
      <c r="R81">
        <f>IF($A81="Class of 2022","",IFERROR(INDEX(CAT4_2022_2023!$G:$G,MATCH($B81,CAT4_2022_2023!$A:$A,0)),IFERROR(INDEX(CAT4_2021_2022!$G:$G,MATCH($B81,CAT4_2021_2022!$A:$A,0)),"")))</f>
        <v>86</v>
      </c>
      <c r="S81">
        <f>IF($A81="Class of 2022","",IFERROR(INDEX(CAT4_2022_2023!$H:$H,MATCH($B81,CAT4_2022_2023!$A:$A,0)),IFERROR(INDEX(CAT4_2021_2022!$H:$H,MATCH($B81,CAT4_2021_2022!$A:$A,0)),"")))</f>
        <v>100</v>
      </c>
      <c r="T81">
        <f>IF($A81="Class of 2022","",IFERROR(INDEX(CAT4_2022_2023!$I:$I,MATCH($B81,CAT4_2022_2023!$A:$A,0)),IFERROR(INDEX(CAT4_2021_2022!$I:$I,MATCH($B81,CAT4_2021_2022!$A:$A,0)),"")))</f>
        <v>100</v>
      </c>
      <c r="U81">
        <f>IF($A81="Class of 2022","",IFERROR(INDEX(CAT4_2022_2023!$J:$J,MATCH($B81,CAT4_2022_2023!$A:$A,0)),IFERROR(INDEX(CAT4_2021_2022!$J:$J,MATCH($B81,CAT4_2021_2022!$A:$A,0)),"")))</f>
        <v>98</v>
      </c>
      <c r="W81" t="s">
        <v>561</v>
      </c>
    </row>
    <row r="82" spans="1:23" x14ac:dyDescent="0.3">
      <c r="A82" t="s">
        <v>185</v>
      </c>
      <c r="B82" t="s">
        <v>230</v>
      </c>
      <c r="C82" t="s">
        <v>594</v>
      </c>
      <c r="D82" t="s">
        <v>565</v>
      </c>
      <c r="E82" t="s">
        <v>559</v>
      </c>
      <c r="F82">
        <v>88</v>
      </c>
      <c r="I82" t="s">
        <v>560</v>
      </c>
      <c r="J82">
        <v>124</v>
      </c>
      <c r="K82">
        <f t="shared" si="5"/>
        <v>49.6</v>
      </c>
      <c r="L82">
        <v>53</v>
      </c>
      <c r="M82">
        <f t="shared" si="6"/>
        <v>106</v>
      </c>
      <c r="N82">
        <f t="shared" si="7"/>
        <v>86</v>
      </c>
      <c r="O82">
        <f t="shared" si="8"/>
        <v>60.563380281690137</v>
      </c>
      <c r="P82">
        <f t="shared" si="9"/>
        <v>72.054460093896708</v>
      </c>
      <c r="Q82" t="str">
        <f>IF($A82="Class of 2022","",IFERROR(INDEX(CAT4_2022_2023!$F:$F,MATCH($B82,CAT4_2022_2023!$A:$A,0)),IFERROR(INDEX(CAT4_2021_2022!$F:$F,MATCH($B82,CAT4_2021_2022!$A:$A,0)),"")))</f>
        <v>No bias</v>
      </c>
      <c r="R82">
        <f>IF($A82="Class of 2022","",IFERROR(INDEX(CAT4_2022_2023!$G:$G,MATCH($B82,CAT4_2022_2023!$A:$A,0)),IFERROR(INDEX(CAT4_2021_2022!$G:$G,MATCH($B82,CAT4_2021_2022!$A:$A,0)),"")))</f>
        <v>77</v>
      </c>
      <c r="S82">
        <f>IF($A82="Class of 2022","",IFERROR(INDEX(CAT4_2022_2023!$H:$H,MATCH($B82,CAT4_2022_2023!$A:$A,0)),IFERROR(INDEX(CAT4_2021_2022!$H:$H,MATCH($B82,CAT4_2021_2022!$A:$A,0)),"")))</f>
        <v>96</v>
      </c>
      <c r="T82">
        <f>IF($A82="Class of 2022","",IFERROR(INDEX(CAT4_2022_2023!$I:$I,MATCH($B82,CAT4_2022_2023!$A:$A,0)),IFERROR(INDEX(CAT4_2021_2022!$I:$I,MATCH($B82,CAT4_2021_2022!$A:$A,0)),"")))</f>
        <v>86</v>
      </c>
      <c r="U82">
        <f>IF($A82="Class of 2022","",IFERROR(INDEX(CAT4_2022_2023!$J:$J,MATCH($B82,CAT4_2022_2023!$A:$A,0)),IFERROR(INDEX(CAT4_2021_2022!$J:$J,MATCH($B82,CAT4_2021_2022!$A:$A,0)),"")))</f>
        <v>86</v>
      </c>
      <c r="W82" t="s">
        <v>561</v>
      </c>
    </row>
    <row r="83" spans="1:23" x14ac:dyDescent="0.3">
      <c r="A83" t="s">
        <v>185</v>
      </c>
      <c r="B83" t="s">
        <v>232</v>
      </c>
      <c r="C83" t="s">
        <v>595</v>
      </c>
      <c r="D83" t="s">
        <v>596</v>
      </c>
      <c r="E83" t="s">
        <v>597</v>
      </c>
      <c r="F83" t="s">
        <v>598</v>
      </c>
      <c r="I83" t="s">
        <v>560</v>
      </c>
      <c r="J83">
        <v>123</v>
      </c>
      <c r="K83">
        <f t="shared" si="5"/>
        <v>49.2</v>
      </c>
      <c r="L83">
        <v>53</v>
      </c>
      <c r="M83">
        <f t="shared" si="6"/>
        <v>106</v>
      </c>
      <c r="N83">
        <f t="shared" si="7"/>
        <v>84</v>
      </c>
      <c r="O83">
        <f t="shared" si="8"/>
        <v>59.154929577464785</v>
      </c>
      <c r="P83">
        <f t="shared" si="9"/>
        <v>71.451643192488248</v>
      </c>
      <c r="Q83" t="str">
        <f>IF($A83="Class of 2022","",IFERROR(INDEX(CAT4_2022_2023!$F:$F,MATCH($B83,CAT4_2022_2023!$A:$A,0)),IFERROR(INDEX(CAT4_2021_2022!$F:$F,MATCH($B83,CAT4_2021_2022!$A:$A,0)),"")))</f>
        <v>No bias</v>
      </c>
      <c r="R83">
        <f>IF($A83="Class of 2022","",IFERROR(INDEX(CAT4_2022_2023!$G:$G,MATCH($B83,CAT4_2022_2023!$A:$A,0)),IFERROR(INDEX(CAT4_2021_2022!$G:$G,MATCH($B83,CAT4_2021_2022!$A:$A,0)),"")))</f>
        <v>73</v>
      </c>
      <c r="S83">
        <f>IF($A83="Class of 2022","",IFERROR(INDEX(CAT4_2022_2023!$H:$H,MATCH($B83,CAT4_2022_2023!$A:$A,0)),IFERROR(INDEX(CAT4_2021_2022!$H:$H,MATCH($B83,CAT4_2021_2022!$A:$A,0)),"")))</f>
        <v>101</v>
      </c>
      <c r="T83">
        <f>IF($A83="Class of 2022","",IFERROR(INDEX(CAT4_2022_2023!$I:$I,MATCH($B83,CAT4_2022_2023!$A:$A,0)),IFERROR(INDEX(CAT4_2021_2022!$I:$I,MATCH($B83,CAT4_2021_2022!$A:$A,0)),"")))</f>
        <v>82</v>
      </c>
      <c r="U83">
        <f>IF($A83="Class of 2022","",IFERROR(INDEX(CAT4_2022_2023!$J:$J,MATCH($B83,CAT4_2022_2023!$A:$A,0)),IFERROR(INDEX(CAT4_2021_2022!$J:$J,MATCH($B83,CAT4_2021_2022!$A:$A,0)),"")))</f>
        <v>80</v>
      </c>
      <c r="W83" t="s">
        <v>561</v>
      </c>
    </row>
    <row r="84" spans="1:23" x14ac:dyDescent="0.3">
      <c r="A84" t="s">
        <v>185</v>
      </c>
      <c r="B84" t="s">
        <v>234</v>
      </c>
      <c r="C84" t="s">
        <v>599</v>
      </c>
      <c r="D84" t="s">
        <v>563</v>
      </c>
      <c r="E84" t="s">
        <v>559</v>
      </c>
      <c r="F84">
        <v>95</v>
      </c>
      <c r="I84" t="s">
        <v>560</v>
      </c>
      <c r="J84">
        <v>130</v>
      </c>
      <c r="K84">
        <f t="shared" si="5"/>
        <v>52</v>
      </c>
      <c r="L84">
        <v>58</v>
      </c>
      <c r="M84">
        <f t="shared" si="6"/>
        <v>115.99999999999999</v>
      </c>
      <c r="N84">
        <f t="shared" si="7"/>
        <v>97</v>
      </c>
      <c r="O84">
        <f t="shared" si="8"/>
        <v>68.309859154929569</v>
      </c>
      <c r="P84">
        <f t="shared" si="9"/>
        <v>78.769953051643185</v>
      </c>
      <c r="Q84" t="str">
        <f>IF($A84="Class of 2022","",IFERROR(INDEX(CAT4_2022_2023!$F:$F,MATCH($B84,CAT4_2022_2023!$A:$A,0)),IFERROR(INDEX(CAT4_2021_2022!$F:$F,MATCH($B84,CAT4_2021_2022!$A:$A,0)),"")))</f>
        <v>Mild spatial bias</v>
      </c>
      <c r="R84">
        <f>IF($A84="Class of 2022","",IFERROR(INDEX(CAT4_2022_2023!$G:$G,MATCH($B84,CAT4_2022_2023!$A:$A,0)),IFERROR(INDEX(CAT4_2021_2022!$G:$G,MATCH($B84,CAT4_2021_2022!$A:$A,0)),"")))</f>
        <v>76</v>
      </c>
      <c r="S84">
        <f>IF($A84="Class of 2022","",IFERROR(INDEX(CAT4_2022_2023!$H:$H,MATCH($B84,CAT4_2022_2023!$A:$A,0)),IFERROR(INDEX(CAT4_2021_2022!$H:$H,MATCH($B84,CAT4_2021_2022!$A:$A,0)),"")))</f>
        <v>106</v>
      </c>
      <c r="T84">
        <f>IF($A84="Class of 2022","",IFERROR(INDEX(CAT4_2022_2023!$I:$I,MATCH($B84,CAT4_2022_2023!$A:$A,0)),IFERROR(INDEX(CAT4_2021_2022!$I:$I,MATCH($B84,CAT4_2021_2022!$A:$A,0)),"")))</f>
        <v>112</v>
      </c>
      <c r="U84">
        <f>IF($A84="Class of 2022","",IFERROR(INDEX(CAT4_2022_2023!$J:$J,MATCH($B84,CAT4_2022_2023!$A:$A,0)),IFERROR(INDEX(CAT4_2021_2022!$J:$J,MATCH($B84,CAT4_2021_2022!$A:$A,0)),"")))</f>
        <v>92</v>
      </c>
      <c r="W84" t="s">
        <v>561</v>
      </c>
    </row>
    <row r="85" spans="1:23" x14ac:dyDescent="0.3">
      <c r="A85" t="s">
        <v>185</v>
      </c>
      <c r="B85" t="s">
        <v>236</v>
      </c>
      <c r="C85" t="s">
        <v>600</v>
      </c>
      <c r="D85" t="s">
        <v>563</v>
      </c>
      <c r="E85" t="s">
        <v>559</v>
      </c>
      <c r="F85">
        <v>90</v>
      </c>
      <c r="I85" t="s">
        <v>560</v>
      </c>
      <c r="J85">
        <v>132</v>
      </c>
      <c r="K85">
        <f t="shared" si="5"/>
        <v>52.800000000000004</v>
      </c>
      <c r="L85">
        <v>38</v>
      </c>
      <c r="M85">
        <f t="shared" si="6"/>
        <v>76</v>
      </c>
      <c r="N85">
        <f t="shared" si="7"/>
        <v>96</v>
      </c>
      <c r="O85">
        <f t="shared" si="8"/>
        <v>67.605633802816897</v>
      </c>
      <c r="P85">
        <f t="shared" si="9"/>
        <v>65.468544600938969</v>
      </c>
      <c r="Q85" t="str">
        <f>IF($A85="Class of 2022","",IFERROR(INDEX(CAT4_2022_2023!$F:$F,MATCH($B85,CAT4_2022_2023!$A:$A,0)),IFERROR(INDEX(CAT4_2021_2022!$F:$F,MATCH($B85,CAT4_2021_2022!$A:$A,0)),"")))</f>
        <v>Mild spatial bias</v>
      </c>
      <c r="R85">
        <f>IF($A85="Class of 2022","",IFERROR(INDEX(CAT4_2022_2023!$G:$G,MATCH($B85,CAT4_2022_2023!$A:$A,0)),IFERROR(INDEX(CAT4_2021_2022!$G:$G,MATCH($B85,CAT4_2021_2022!$A:$A,0)),"")))</f>
        <v>86</v>
      </c>
      <c r="S85">
        <f>IF($A85="Class of 2022","",IFERROR(INDEX(CAT4_2022_2023!$H:$H,MATCH($B85,CAT4_2022_2023!$A:$A,0)),IFERROR(INDEX(CAT4_2021_2022!$H:$H,MATCH($B85,CAT4_2021_2022!$A:$A,0)),"")))</f>
        <v>91</v>
      </c>
      <c r="T85">
        <f>IF($A85="Class of 2022","",IFERROR(INDEX(CAT4_2022_2023!$I:$I,MATCH($B85,CAT4_2022_2023!$A:$A,0)),IFERROR(INDEX(CAT4_2021_2022!$I:$I,MATCH($B85,CAT4_2021_2022!$A:$A,0)),"")))</f>
        <v>107</v>
      </c>
      <c r="U85">
        <f>IF($A85="Class of 2022","",IFERROR(INDEX(CAT4_2022_2023!$J:$J,MATCH($B85,CAT4_2022_2023!$A:$A,0)),IFERROR(INDEX(CAT4_2021_2022!$J:$J,MATCH($B85,CAT4_2021_2022!$A:$A,0)),"")))</f>
        <v>98</v>
      </c>
      <c r="W85" t="s">
        <v>561</v>
      </c>
    </row>
    <row r="86" spans="1:23" x14ac:dyDescent="0.3">
      <c r="A86" t="s">
        <v>185</v>
      </c>
      <c r="B86" t="s">
        <v>238</v>
      </c>
      <c r="C86" t="s">
        <v>601</v>
      </c>
      <c r="D86" t="s">
        <v>565</v>
      </c>
      <c r="E86" t="s">
        <v>559</v>
      </c>
      <c r="F86">
        <v>95</v>
      </c>
      <c r="I86" t="s">
        <v>566</v>
      </c>
      <c r="J86">
        <v>147</v>
      </c>
      <c r="K86">
        <f t="shared" si="5"/>
        <v>58.8</v>
      </c>
      <c r="L86">
        <v>38</v>
      </c>
      <c r="M86">
        <f t="shared" si="6"/>
        <v>76</v>
      </c>
      <c r="N86">
        <f t="shared" si="7"/>
        <v>93</v>
      </c>
      <c r="O86">
        <f t="shared" si="8"/>
        <v>65.492957746478879</v>
      </c>
      <c r="P86">
        <f t="shared" si="9"/>
        <v>66.764319248826297</v>
      </c>
      <c r="Q86" t="str">
        <f>IF($A86="Class of 2022","",IFERROR(INDEX(CAT4_2022_2023!$F:$F,MATCH($B86,CAT4_2022_2023!$A:$A,0)),IFERROR(INDEX(CAT4_2021_2022!$F:$F,MATCH($B86,CAT4_2021_2022!$A:$A,0)),"")))</f>
        <v>Extreme spatial bias</v>
      </c>
      <c r="R86">
        <f>IF($A86="Class of 2022","",IFERROR(INDEX(CAT4_2022_2023!$G:$G,MATCH($B86,CAT4_2022_2023!$A:$A,0)),IFERROR(INDEX(CAT4_2021_2022!$G:$G,MATCH($B86,CAT4_2021_2022!$A:$A,0)),"")))</f>
        <v>71</v>
      </c>
      <c r="S86">
        <f>IF($A86="Class of 2022","",IFERROR(INDEX(CAT4_2022_2023!$H:$H,MATCH($B86,CAT4_2022_2023!$A:$A,0)),IFERROR(INDEX(CAT4_2021_2022!$H:$H,MATCH($B86,CAT4_2021_2022!$A:$A,0)),"")))</f>
        <v>107</v>
      </c>
      <c r="T86">
        <f>IF($A86="Class of 2022","",IFERROR(INDEX(CAT4_2022_2023!$I:$I,MATCH($B86,CAT4_2022_2023!$A:$A,0)),IFERROR(INDEX(CAT4_2021_2022!$I:$I,MATCH($B86,CAT4_2021_2022!$A:$A,0)),"")))</f>
        <v>91</v>
      </c>
      <c r="U86">
        <f>IF($A86="Class of 2022","",IFERROR(INDEX(CAT4_2022_2023!$J:$J,MATCH($B86,CAT4_2022_2023!$A:$A,0)),IFERROR(INDEX(CAT4_2021_2022!$J:$J,MATCH($B86,CAT4_2021_2022!$A:$A,0)),"")))</f>
        <v>102</v>
      </c>
      <c r="W86" t="s">
        <v>561</v>
      </c>
    </row>
    <row r="87" spans="1:23" x14ac:dyDescent="0.3">
      <c r="A87" t="s">
        <v>185</v>
      </c>
      <c r="B87" t="s">
        <v>240</v>
      </c>
      <c r="C87" t="s">
        <v>602</v>
      </c>
      <c r="D87" t="s">
        <v>580</v>
      </c>
      <c r="E87" t="s">
        <v>571</v>
      </c>
      <c r="F87">
        <v>79</v>
      </c>
      <c r="I87" t="s">
        <v>566</v>
      </c>
      <c r="J87">
        <v>160</v>
      </c>
      <c r="K87">
        <f t="shared" si="5"/>
        <v>64</v>
      </c>
      <c r="L87">
        <v>68</v>
      </c>
      <c r="M87">
        <f t="shared" si="6"/>
        <v>136</v>
      </c>
      <c r="N87">
        <f t="shared" si="7"/>
        <v>109</v>
      </c>
      <c r="O87">
        <f t="shared" si="8"/>
        <v>76.760563380281681</v>
      </c>
      <c r="P87">
        <f t="shared" si="9"/>
        <v>92.25352112676056</v>
      </c>
      <c r="Q87" t="str">
        <f>IF($A87="Class of 2022","",IFERROR(INDEX(CAT4_2022_2023!$F:$F,MATCH($B87,CAT4_2022_2023!$A:$A,0)),IFERROR(INDEX(CAT4_2021_2022!$F:$F,MATCH($B87,CAT4_2021_2022!$A:$A,0)),"")))</f>
        <v>Extreme spatial bias</v>
      </c>
      <c r="R87">
        <f>IF($A87="Class of 2022","",IFERROR(INDEX(CAT4_2022_2023!$G:$G,MATCH($B87,CAT4_2022_2023!$A:$A,0)),IFERROR(INDEX(CAT4_2021_2022!$G:$G,MATCH($B87,CAT4_2021_2022!$A:$A,0)),"")))</f>
        <v>86</v>
      </c>
      <c r="S87">
        <f>IF($A87="Class of 2022","",IFERROR(INDEX(CAT4_2022_2023!$H:$H,MATCH($B87,CAT4_2022_2023!$A:$A,0)),IFERROR(INDEX(CAT4_2021_2022!$H:$H,MATCH($B87,CAT4_2021_2022!$A:$A,0)),"")))</f>
        <v>114</v>
      </c>
      <c r="T87">
        <f>IF($A87="Class of 2022","",IFERROR(INDEX(CAT4_2022_2023!$I:$I,MATCH($B87,CAT4_2022_2023!$A:$A,0)),IFERROR(INDEX(CAT4_2021_2022!$I:$I,MATCH($B87,CAT4_2021_2022!$A:$A,0)),"")))</f>
        <v>111</v>
      </c>
      <c r="U87">
        <f>IF($A87="Class of 2022","",IFERROR(INDEX(CAT4_2022_2023!$J:$J,MATCH($B87,CAT4_2022_2023!$A:$A,0)),IFERROR(INDEX(CAT4_2021_2022!$J:$J,MATCH($B87,CAT4_2021_2022!$A:$A,0)),"")))</f>
        <v>125</v>
      </c>
      <c r="W87" t="s">
        <v>561</v>
      </c>
    </row>
    <row r="88" spans="1:23" x14ac:dyDescent="0.3">
      <c r="A88" t="s">
        <v>185</v>
      </c>
      <c r="B88" t="s">
        <v>242</v>
      </c>
      <c r="C88" t="s">
        <v>603</v>
      </c>
      <c r="D88" t="s">
        <v>582</v>
      </c>
      <c r="E88" t="s">
        <v>559</v>
      </c>
      <c r="F88">
        <v>96</v>
      </c>
      <c r="I88" t="s">
        <v>604</v>
      </c>
      <c r="J88">
        <v>189</v>
      </c>
      <c r="K88">
        <f t="shared" si="5"/>
        <v>75.599999999999994</v>
      </c>
      <c r="L88">
        <v>83</v>
      </c>
      <c r="M88">
        <f t="shared" si="6"/>
        <v>166</v>
      </c>
      <c r="N88">
        <f t="shared" si="7"/>
        <v>116</v>
      </c>
      <c r="O88">
        <f t="shared" si="8"/>
        <v>81.690140845070431</v>
      </c>
      <c r="P88">
        <f t="shared" si="9"/>
        <v>107.76338028169015</v>
      </c>
      <c r="Q88" t="str">
        <f>IF($A88="Class of 2022","",IFERROR(INDEX(CAT4_2022_2023!$F:$F,MATCH($B88,CAT4_2022_2023!$A:$A,0)),IFERROR(INDEX(CAT4_2021_2022!$F:$F,MATCH($B88,CAT4_2021_2022!$A:$A,0)),"")))</f>
        <v>No bias</v>
      </c>
      <c r="R88">
        <f>IF($A88="Class of 2022","",IFERROR(INDEX(CAT4_2022_2023!$G:$G,MATCH($B88,CAT4_2022_2023!$A:$A,0)),IFERROR(INDEX(CAT4_2021_2022!$G:$G,MATCH($B88,CAT4_2021_2022!$A:$A,0)),"")))</f>
        <v>114</v>
      </c>
      <c r="S88">
        <f>IF($A88="Class of 2022","",IFERROR(INDEX(CAT4_2022_2023!$H:$H,MATCH($B88,CAT4_2022_2023!$A:$A,0)),IFERROR(INDEX(CAT4_2021_2022!$H:$H,MATCH($B88,CAT4_2021_2022!$A:$A,0)),"")))</f>
        <v>117</v>
      </c>
      <c r="T88">
        <f>IF($A88="Class of 2022","",IFERROR(INDEX(CAT4_2022_2023!$I:$I,MATCH($B88,CAT4_2022_2023!$A:$A,0)),IFERROR(INDEX(CAT4_2021_2022!$I:$I,MATCH($B88,CAT4_2021_2022!$A:$A,0)),"")))</f>
        <v>126</v>
      </c>
      <c r="U88">
        <f>IF($A88="Class of 2022","",IFERROR(INDEX(CAT4_2022_2023!$J:$J,MATCH($B88,CAT4_2022_2023!$A:$A,0)),IFERROR(INDEX(CAT4_2021_2022!$J:$J,MATCH($B88,CAT4_2021_2022!$A:$A,0)),"")))</f>
        <v>107</v>
      </c>
      <c r="W88" t="s">
        <v>561</v>
      </c>
    </row>
    <row r="89" spans="1:23" x14ac:dyDescent="0.3">
      <c r="A89" t="s">
        <v>185</v>
      </c>
      <c r="B89" t="s">
        <v>244</v>
      </c>
      <c r="C89" t="s">
        <v>605</v>
      </c>
      <c r="D89" t="s">
        <v>606</v>
      </c>
      <c r="E89" t="s">
        <v>607</v>
      </c>
      <c r="F89">
        <v>100</v>
      </c>
      <c r="I89" t="s">
        <v>566</v>
      </c>
      <c r="J89">
        <v>144</v>
      </c>
      <c r="K89">
        <f t="shared" si="5"/>
        <v>57.599999999999994</v>
      </c>
      <c r="L89">
        <v>73</v>
      </c>
      <c r="M89">
        <f t="shared" si="6"/>
        <v>146</v>
      </c>
      <c r="N89">
        <f t="shared" si="7"/>
        <v>101</v>
      </c>
      <c r="O89">
        <f t="shared" si="8"/>
        <v>71.126760563380287</v>
      </c>
      <c r="P89">
        <f t="shared" si="9"/>
        <v>91.575586854460084</v>
      </c>
      <c r="Q89" t="str">
        <f>IF($A89="Class of 2022","",IFERROR(INDEX(CAT4_2022_2023!$F:$F,MATCH($B89,CAT4_2022_2023!$A:$A,0)),IFERROR(INDEX(CAT4_2021_2022!$F:$F,MATCH($B89,CAT4_2021_2022!$A:$A,0)),"")))</f>
        <v>No bias</v>
      </c>
      <c r="R89">
        <f>IF($A89="Class of 2022","",IFERROR(INDEX(CAT4_2022_2023!$G:$G,MATCH($B89,CAT4_2022_2023!$A:$A,0)),IFERROR(INDEX(CAT4_2021_2022!$G:$G,MATCH($B89,CAT4_2021_2022!$A:$A,0)),"")))</f>
        <v>95</v>
      </c>
      <c r="S89">
        <f>IF($A89="Class of 2022","",IFERROR(INDEX(CAT4_2022_2023!$H:$H,MATCH($B89,CAT4_2022_2023!$A:$A,0)),IFERROR(INDEX(CAT4_2021_2022!$H:$H,MATCH($B89,CAT4_2021_2022!$A:$A,0)),"")))</f>
        <v>113</v>
      </c>
      <c r="T89">
        <f>IF($A89="Class of 2022","",IFERROR(INDEX(CAT4_2022_2023!$I:$I,MATCH($B89,CAT4_2022_2023!$A:$A,0)),IFERROR(INDEX(CAT4_2021_2022!$I:$I,MATCH($B89,CAT4_2021_2022!$A:$A,0)),"")))</f>
        <v>102</v>
      </c>
      <c r="U89">
        <f>IF($A89="Class of 2022","",IFERROR(INDEX(CAT4_2022_2023!$J:$J,MATCH($B89,CAT4_2022_2023!$A:$A,0)),IFERROR(INDEX(CAT4_2021_2022!$J:$J,MATCH($B89,CAT4_2021_2022!$A:$A,0)),"")))</f>
        <v>94</v>
      </c>
      <c r="W89" t="s">
        <v>561</v>
      </c>
    </row>
    <row r="90" spans="1:23" x14ac:dyDescent="0.3">
      <c r="A90" t="s">
        <v>185</v>
      </c>
      <c r="B90" t="s">
        <v>246</v>
      </c>
      <c r="C90" t="s">
        <v>608</v>
      </c>
      <c r="D90" t="s">
        <v>609</v>
      </c>
      <c r="E90" t="s">
        <v>559</v>
      </c>
      <c r="F90">
        <v>99</v>
      </c>
      <c r="I90" t="s">
        <v>560</v>
      </c>
      <c r="J90">
        <v>120</v>
      </c>
      <c r="K90">
        <f t="shared" si="5"/>
        <v>48</v>
      </c>
      <c r="L90">
        <v>43</v>
      </c>
      <c r="M90">
        <f t="shared" si="6"/>
        <v>86</v>
      </c>
      <c r="N90">
        <f t="shared" si="7"/>
        <v>92</v>
      </c>
      <c r="O90">
        <f t="shared" si="8"/>
        <v>64.788732394366207</v>
      </c>
      <c r="P90">
        <f t="shared" si="9"/>
        <v>66.262910798122064</v>
      </c>
      <c r="Q90" t="str">
        <f>IF($A90="Class of 2022","",IFERROR(INDEX(CAT4_2022_2023!$F:$F,MATCH($B90,CAT4_2022_2023!$A:$A,0)),IFERROR(INDEX(CAT4_2021_2022!$F:$F,MATCH($B90,CAT4_2021_2022!$A:$A,0)),"")))</f>
        <v>Moderate spatial bias</v>
      </c>
      <c r="R90">
        <f>IF($A90="Class of 2022","",IFERROR(INDEX(CAT4_2022_2023!$G:$G,MATCH($B90,CAT4_2022_2023!$A:$A,0)),IFERROR(INDEX(CAT4_2021_2022!$G:$G,MATCH($B90,CAT4_2021_2022!$A:$A,0)),"")))</f>
        <v>70</v>
      </c>
      <c r="S90">
        <f>IF($A90="Class of 2022","",IFERROR(INDEX(CAT4_2022_2023!$H:$H,MATCH($B90,CAT4_2022_2023!$A:$A,0)),IFERROR(INDEX(CAT4_2021_2022!$H:$H,MATCH($B90,CAT4_2021_2022!$A:$A,0)),"")))</f>
        <v>102</v>
      </c>
      <c r="T90">
        <f>IF($A90="Class of 2022","",IFERROR(INDEX(CAT4_2022_2023!$I:$I,MATCH($B90,CAT4_2022_2023!$A:$A,0)),IFERROR(INDEX(CAT4_2021_2022!$I:$I,MATCH($B90,CAT4_2021_2022!$A:$A,0)),"")))</f>
        <v>100</v>
      </c>
      <c r="U90">
        <f>IF($A90="Class of 2022","",IFERROR(INDEX(CAT4_2022_2023!$J:$J,MATCH($B90,CAT4_2022_2023!$A:$A,0)),IFERROR(INDEX(CAT4_2021_2022!$J:$J,MATCH($B90,CAT4_2021_2022!$A:$A,0)),"")))</f>
        <v>96</v>
      </c>
      <c r="W90" t="s">
        <v>561</v>
      </c>
    </row>
    <row r="91" spans="1:23" x14ac:dyDescent="0.3">
      <c r="A91" t="s">
        <v>185</v>
      </c>
      <c r="B91" t="s">
        <v>248</v>
      </c>
      <c r="C91" t="s">
        <v>610</v>
      </c>
      <c r="D91" t="s">
        <v>580</v>
      </c>
      <c r="E91" t="s">
        <v>571</v>
      </c>
      <c r="F91">
        <v>90</v>
      </c>
      <c r="I91" t="s">
        <v>604</v>
      </c>
      <c r="J91">
        <v>185</v>
      </c>
      <c r="K91">
        <f t="shared" si="5"/>
        <v>74</v>
      </c>
      <c r="L91">
        <v>78</v>
      </c>
      <c r="M91">
        <f t="shared" si="6"/>
        <v>156</v>
      </c>
      <c r="N91">
        <f t="shared" si="7"/>
        <v>107</v>
      </c>
      <c r="O91">
        <f t="shared" si="8"/>
        <v>75.352112676056336</v>
      </c>
      <c r="P91">
        <f t="shared" si="9"/>
        <v>101.78403755868544</v>
      </c>
      <c r="Q91" t="str">
        <f>IF($A91="Class of 2022","",IFERROR(INDEX(CAT4_2022_2023!$F:$F,MATCH($B91,CAT4_2022_2023!$A:$A,0)),IFERROR(INDEX(CAT4_2021_2022!$F:$F,MATCH($B91,CAT4_2021_2022!$A:$A,0)),"")))</f>
        <v>Mild spatial bias</v>
      </c>
      <c r="R91">
        <f>IF($A91="Class of 2022","",IFERROR(INDEX(CAT4_2022_2023!$G:$G,MATCH($B91,CAT4_2022_2023!$A:$A,0)),IFERROR(INDEX(CAT4_2021_2022!$G:$G,MATCH($B91,CAT4_2021_2022!$A:$A,0)),"")))</f>
        <v>96</v>
      </c>
      <c r="S91">
        <f>IF($A91="Class of 2022","",IFERROR(INDEX(CAT4_2022_2023!$H:$H,MATCH($B91,CAT4_2022_2023!$A:$A,0)),IFERROR(INDEX(CAT4_2021_2022!$H:$H,MATCH($B91,CAT4_2021_2022!$A:$A,0)),"")))</f>
        <v>121</v>
      </c>
      <c r="T91">
        <f>IF($A91="Class of 2022","",IFERROR(INDEX(CAT4_2022_2023!$I:$I,MATCH($B91,CAT4_2022_2023!$A:$A,0)),IFERROR(INDEX(CAT4_2021_2022!$I:$I,MATCH($B91,CAT4_2021_2022!$A:$A,0)),"")))</f>
        <v>103</v>
      </c>
      <c r="U91">
        <f>IF($A91="Class of 2022","",IFERROR(INDEX(CAT4_2022_2023!$J:$J,MATCH($B91,CAT4_2022_2023!$A:$A,0)),IFERROR(INDEX(CAT4_2021_2022!$J:$J,MATCH($B91,CAT4_2021_2022!$A:$A,0)),"")))</f>
        <v>109</v>
      </c>
      <c r="W91" t="s">
        <v>561</v>
      </c>
    </row>
    <row r="92" spans="1:23" x14ac:dyDescent="0.3">
      <c r="A92" t="s">
        <v>185</v>
      </c>
      <c r="B92" t="s">
        <v>250</v>
      </c>
      <c r="C92" t="s">
        <v>611</v>
      </c>
      <c r="D92" t="s">
        <v>558</v>
      </c>
      <c r="E92" t="s">
        <v>559</v>
      </c>
      <c r="F92">
        <v>86</v>
      </c>
      <c r="I92" t="s">
        <v>560</v>
      </c>
      <c r="J92">
        <v>132</v>
      </c>
      <c r="K92">
        <f t="shared" si="5"/>
        <v>52.800000000000004</v>
      </c>
      <c r="L92">
        <v>50</v>
      </c>
      <c r="M92">
        <f t="shared" si="6"/>
        <v>100</v>
      </c>
      <c r="N92">
        <f t="shared" si="7"/>
        <v>101</v>
      </c>
      <c r="O92">
        <f t="shared" si="8"/>
        <v>71.126760563380287</v>
      </c>
      <c r="P92">
        <f t="shared" si="9"/>
        <v>74.642253521126761</v>
      </c>
      <c r="Q92" t="str">
        <f>IF($A92="Class of 2022","",IFERROR(INDEX(CAT4_2022_2023!$F:$F,MATCH($B92,CAT4_2022_2023!$A:$A,0)),IFERROR(INDEX(CAT4_2021_2022!$F:$F,MATCH($B92,CAT4_2021_2022!$A:$A,0)),"")))</f>
        <v>Moderate spatial bias</v>
      </c>
      <c r="R92">
        <f>IF($A92="Class of 2022","",IFERROR(INDEX(CAT4_2022_2023!$G:$G,MATCH($B92,CAT4_2022_2023!$A:$A,0)),IFERROR(INDEX(CAT4_2021_2022!$G:$G,MATCH($B92,CAT4_2021_2022!$A:$A,0)),"")))</f>
        <v>85</v>
      </c>
      <c r="S92">
        <f>IF($A92="Class of 2022","",IFERROR(INDEX(CAT4_2022_2023!$H:$H,MATCH($B92,CAT4_2022_2023!$A:$A,0)),IFERROR(INDEX(CAT4_2021_2022!$H:$H,MATCH($B92,CAT4_2021_2022!$A:$A,0)),"")))</f>
        <v>101</v>
      </c>
      <c r="T92">
        <f>IF($A92="Class of 2022","",IFERROR(INDEX(CAT4_2022_2023!$I:$I,MATCH($B92,CAT4_2022_2023!$A:$A,0)),IFERROR(INDEX(CAT4_2021_2022!$I:$I,MATCH($B92,CAT4_2021_2022!$A:$A,0)),"")))</f>
        <v>113</v>
      </c>
      <c r="U92">
        <f>IF($A92="Class of 2022","",IFERROR(INDEX(CAT4_2022_2023!$J:$J,MATCH($B92,CAT4_2022_2023!$A:$A,0)),IFERROR(INDEX(CAT4_2021_2022!$J:$J,MATCH($B92,CAT4_2021_2022!$A:$A,0)),"")))</f>
        <v>105</v>
      </c>
      <c r="W92" t="s">
        <v>561</v>
      </c>
    </row>
    <row r="93" spans="1:23" x14ac:dyDescent="0.3">
      <c r="A93" t="s">
        <v>185</v>
      </c>
      <c r="B93" t="s">
        <v>252</v>
      </c>
      <c r="C93" t="s">
        <v>612</v>
      </c>
      <c r="D93" t="s">
        <v>582</v>
      </c>
      <c r="E93" t="s">
        <v>559</v>
      </c>
      <c r="F93">
        <v>94</v>
      </c>
      <c r="I93" t="s">
        <v>560</v>
      </c>
      <c r="J93">
        <v>136</v>
      </c>
      <c r="K93">
        <f t="shared" si="5"/>
        <v>54.400000000000006</v>
      </c>
      <c r="L93">
        <v>50</v>
      </c>
      <c r="M93">
        <f t="shared" si="6"/>
        <v>100</v>
      </c>
      <c r="N93">
        <f t="shared" si="7"/>
        <v>95</v>
      </c>
      <c r="O93">
        <f t="shared" si="8"/>
        <v>66.901408450704224</v>
      </c>
      <c r="P93">
        <f t="shared" si="9"/>
        <v>73.767136150234748</v>
      </c>
      <c r="Q93" t="str">
        <f>IF($A93="Class of 2022","",IFERROR(INDEX(CAT4_2022_2023!$F:$F,MATCH($B93,CAT4_2022_2023!$A:$A,0)),IFERROR(INDEX(CAT4_2021_2022!$F:$F,MATCH($B93,CAT4_2021_2022!$A:$A,0)),"")))</f>
        <v>Moderate spatial bias</v>
      </c>
      <c r="R93">
        <f>IF($A93="Class of 2022","",IFERROR(INDEX(CAT4_2022_2023!$G:$G,MATCH($B93,CAT4_2022_2023!$A:$A,0)),IFERROR(INDEX(CAT4_2021_2022!$G:$G,MATCH($B93,CAT4_2021_2022!$A:$A,0)),"")))</f>
        <v>71</v>
      </c>
      <c r="S93">
        <f>IF($A93="Class of 2022","",IFERROR(INDEX(CAT4_2022_2023!$H:$H,MATCH($B93,CAT4_2022_2023!$A:$A,0)),IFERROR(INDEX(CAT4_2021_2022!$H:$H,MATCH($B93,CAT4_2021_2022!$A:$A,0)),"")))</f>
        <v>116</v>
      </c>
      <c r="T93">
        <f>IF($A93="Class of 2022","",IFERROR(INDEX(CAT4_2022_2023!$I:$I,MATCH($B93,CAT4_2022_2023!$A:$A,0)),IFERROR(INDEX(CAT4_2021_2022!$I:$I,MATCH($B93,CAT4_2021_2022!$A:$A,0)),"")))</f>
        <v>96</v>
      </c>
      <c r="U93">
        <f>IF($A93="Class of 2022","",IFERROR(INDEX(CAT4_2022_2023!$J:$J,MATCH($B93,CAT4_2022_2023!$A:$A,0)),IFERROR(INDEX(CAT4_2021_2022!$J:$J,MATCH($B93,CAT4_2021_2022!$A:$A,0)),"")))</f>
        <v>96</v>
      </c>
      <c r="W93" t="s">
        <v>561</v>
      </c>
    </row>
    <row r="94" spans="1:23" x14ac:dyDescent="0.3">
      <c r="A94" t="s">
        <v>185</v>
      </c>
      <c r="B94" t="s">
        <v>254</v>
      </c>
      <c r="C94" t="s">
        <v>613</v>
      </c>
      <c r="D94" t="s">
        <v>582</v>
      </c>
      <c r="E94" t="s">
        <v>559</v>
      </c>
      <c r="F94">
        <v>98</v>
      </c>
      <c r="I94" t="s">
        <v>560</v>
      </c>
      <c r="J94">
        <v>134</v>
      </c>
      <c r="K94">
        <f t="shared" si="5"/>
        <v>53.6</v>
      </c>
      <c r="L94">
        <v>43</v>
      </c>
      <c r="M94">
        <f t="shared" si="6"/>
        <v>86</v>
      </c>
      <c r="N94">
        <f t="shared" si="7"/>
        <v>83</v>
      </c>
      <c r="O94">
        <f t="shared" si="8"/>
        <v>58.450704225352112</v>
      </c>
      <c r="P94">
        <f t="shared" si="9"/>
        <v>66.016901408450693</v>
      </c>
      <c r="Q94" t="str">
        <f>IF($A94="Class of 2022","",IFERROR(INDEX(CAT4_2022_2023!$F:$F,MATCH($B94,CAT4_2022_2023!$A:$A,0)),IFERROR(INDEX(CAT4_2021_2022!$F:$F,MATCH($B94,CAT4_2021_2022!$A:$A,0)),"")))</f>
        <v>Mild spatial bias</v>
      </c>
      <c r="R94">
        <f>IF($A94="Class of 2022","",IFERROR(INDEX(CAT4_2022_2023!$G:$G,MATCH($B94,CAT4_2022_2023!$A:$A,0)),IFERROR(INDEX(CAT4_2021_2022!$G:$G,MATCH($B94,CAT4_2021_2022!$A:$A,0)),"")))</f>
        <v>71</v>
      </c>
      <c r="S94">
        <f>IF($A94="Class of 2022","",IFERROR(INDEX(CAT4_2022_2023!$H:$H,MATCH($B94,CAT4_2022_2023!$A:$A,0)),IFERROR(INDEX(CAT4_2021_2022!$H:$H,MATCH($B94,CAT4_2021_2022!$A:$A,0)),"")))</f>
        <v>101</v>
      </c>
      <c r="T94">
        <f>IF($A94="Class of 2022","",IFERROR(INDEX(CAT4_2022_2023!$I:$I,MATCH($B94,CAT4_2022_2023!$A:$A,0)),IFERROR(INDEX(CAT4_2021_2022!$I:$I,MATCH($B94,CAT4_2021_2022!$A:$A,0)),"")))</f>
        <v>74</v>
      </c>
      <c r="U94">
        <f>IF($A94="Class of 2022","",IFERROR(INDEX(CAT4_2022_2023!$J:$J,MATCH($B94,CAT4_2022_2023!$A:$A,0)),IFERROR(INDEX(CAT4_2021_2022!$J:$J,MATCH($B94,CAT4_2021_2022!$A:$A,0)),"")))</f>
        <v>84</v>
      </c>
      <c r="W94" t="s">
        <v>561</v>
      </c>
    </row>
    <row r="95" spans="1:23" x14ac:dyDescent="0.3">
      <c r="A95" t="s">
        <v>185</v>
      </c>
      <c r="B95" t="s">
        <v>256</v>
      </c>
      <c r="C95" t="s">
        <v>614</v>
      </c>
      <c r="D95" t="s">
        <v>582</v>
      </c>
      <c r="E95" t="s">
        <v>559</v>
      </c>
      <c r="F95">
        <v>90</v>
      </c>
      <c r="I95" t="s">
        <v>560</v>
      </c>
      <c r="J95">
        <v>126</v>
      </c>
      <c r="K95">
        <f t="shared" si="5"/>
        <v>50.4</v>
      </c>
      <c r="L95">
        <v>65</v>
      </c>
      <c r="M95">
        <f t="shared" si="6"/>
        <v>130</v>
      </c>
      <c r="N95">
        <f t="shared" si="7"/>
        <v>94</v>
      </c>
      <c r="O95">
        <f t="shared" si="8"/>
        <v>66.197183098591552</v>
      </c>
      <c r="P95">
        <f t="shared" si="9"/>
        <v>82.199061032863852</v>
      </c>
      <c r="Q95" t="str">
        <f>IF($A95="Class of 2022","",IFERROR(INDEX(CAT4_2022_2023!$F:$F,MATCH($B95,CAT4_2022_2023!$A:$A,0)),IFERROR(INDEX(CAT4_2021_2022!$F:$F,MATCH($B95,CAT4_2021_2022!$A:$A,0)),"")))</f>
        <v>Moderate spatial bias</v>
      </c>
      <c r="R95">
        <f>IF($A95="Class of 2022","",IFERROR(INDEX(CAT4_2022_2023!$G:$G,MATCH($B95,CAT4_2022_2023!$A:$A,0)),IFERROR(INDEX(CAT4_2021_2022!$G:$G,MATCH($B95,CAT4_2021_2022!$A:$A,0)),"")))</f>
        <v>76</v>
      </c>
      <c r="S95">
        <f>IF($A95="Class of 2022","",IFERROR(INDEX(CAT4_2022_2023!$H:$H,MATCH($B95,CAT4_2022_2023!$A:$A,0)),IFERROR(INDEX(CAT4_2021_2022!$H:$H,MATCH($B95,CAT4_2021_2022!$A:$A,0)),"")))</f>
        <v>99</v>
      </c>
      <c r="T95">
        <f>IF($A95="Class of 2022","",IFERROR(INDEX(CAT4_2022_2023!$I:$I,MATCH($B95,CAT4_2022_2023!$A:$A,0)),IFERROR(INDEX(CAT4_2021_2022!$I:$I,MATCH($B95,CAT4_2021_2022!$A:$A,0)),"")))</f>
        <v>101</v>
      </c>
      <c r="U95">
        <f>IF($A95="Class of 2022","",IFERROR(INDEX(CAT4_2022_2023!$J:$J,MATCH($B95,CAT4_2022_2023!$A:$A,0)),IFERROR(INDEX(CAT4_2021_2022!$J:$J,MATCH($B95,CAT4_2021_2022!$A:$A,0)),"")))</f>
        <v>100</v>
      </c>
      <c r="W95" t="s">
        <v>561</v>
      </c>
    </row>
    <row r="96" spans="1:23" x14ac:dyDescent="0.3">
      <c r="A96" t="s">
        <v>185</v>
      </c>
      <c r="B96" t="s">
        <v>258</v>
      </c>
      <c r="C96" t="s">
        <v>615</v>
      </c>
      <c r="D96" t="s">
        <v>582</v>
      </c>
      <c r="E96" t="s">
        <v>559</v>
      </c>
      <c r="F96">
        <v>99</v>
      </c>
      <c r="I96" t="s">
        <v>560</v>
      </c>
      <c r="J96">
        <v>130</v>
      </c>
      <c r="K96">
        <f t="shared" si="5"/>
        <v>52</v>
      </c>
      <c r="L96">
        <v>40</v>
      </c>
      <c r="M96">
        <f t="shared" si="6"/>
        <v>80</v>
      </c>
      <c r="N96">
        <f t="shared" si="7"/>
        <v>96</v>
      </c>
      <c r="O96">
        <f t="shared" si="8"/>
        <v>67.605633802816897</v>
      </c>
      <c r="P96">
        <f t="shared" si="9"/>
        <v>66.535211267605632</v>
      </c>
      <c r="Q96" t="str">
        <f>IF($A96="Class of 2022","",IFERROR(INDEX(CAT4_2022_2023!$F:$F,MATCH($B96,CAT4_2022_2023!$A:$A,0)),IFERROR(INDEX(CAT4_2021_2022!$F:$F,MATCH($B96,CAT4_2021_2022!$A:$A,0)),"")))</f>
        <v>Extreme spatial bias</v>
      </c>
      <c r="R96">
        <f>IF($A96="Class of 2022","",IFERROR(INDEX(CAT4_2022_2023!$G:$G,MATCH($B96,CAT4_2022_2023!$A:$A,0)),IFERROR(INDEX(CAT4_2021_2022!$G:$G,MATCH($B96,CAT4_2021_2022!$A:$A,0)),"")))</f>
        <v>65</v>
      </c>
      <c r="S96">
        <f>IF($A96="Class of 2022","",IFERROR(INDEX(CAT4_2022_2023!$H:$H,MATCH($B96,CAT4_2022_2023!$A:$A,0)),IFERROR(INDEX(CAT4_2021_2022!$H:$H,MATCH($B96,CAT4_2021_2022!$A:$A,0)),"")))</f>
        <v>109</v>
      </c>
      <c r="T96">
        <f>IF($A96="Class of 2022","",IFERROR(INDEX(CAT4_2022_2023!$I:$I,MATCH($B96,CAT4_2022_2023!$A:$A,0)),IFERROR(INDEX(CAT4_2021_2022!$I:$I,MATCH($B96,CAT4_2021_2022!$A:$A,0)),"")))</f>
        <v>100</v>
      </c>
      <c r="U96">
        <f>IF($A96="Class of 2022","",IFERROR(INDEX(CAT4_2022_2023!$J:$J,MATCH($B96,CAT4_2022_2023!$A:$A,0)),IFERROR(INDEX(CAT4_2021_2022!$J:$J,MATCH($B96,CAT4_2021_2022!$A:$A,0)),"")))</f>
        <v>111</v>
      </c>
      <c r="W96" t="s">
        <v>561</v>
      </c>
    </row>
    <row r="97" spans="1:23" x14ac:dyDescent="0.3">
      <c r="A97" t="s">
        <v>185</v>
      </c>
      <c r="B97" t="s">
        <v>260</v>
      </c>
      <c r="C97" t="s">
        <v>616</v>
      </c>
      <c r="D97" t="s">
        <v>617</v>
      </c>
      <c r="E97" t="s">
        <v>559</v>
      </c>
      <c r="F97">
        <v>98</v>
      </c>
      <c r="I97" t="s">
        <v>560</v>
      </c>
      <c r="J97">
        <v>130</v>
      </c>
      <c r="K97">
        <f t="shared" si="5"/>
        <v>52</v>
      </c>
      <c r="L97">
        <v>65</v>
      </c>
      <c r="M97">
        <f t="shared" si="6"/>
        <v>130</v>
      </c>
      <c r="N97">
        <f t="shared" si="7"/>
        <v>93</v>
      </c>
      <c r="O97">
        <f t="shared" si="8"/>
        <v>65.492957746478879</v>
      </c>
      <c r="P97">
        <f t="shared" si="9"/>
        <v>82.497652582159631</v>
      </c>
      <c r="Q97" t="str">
        <f>IF($A97="Class of 2022","",IFERROR(INDEX(CAT4_2022_2023!$F:$F,MATCH($B97,CAT4_2022_2023!$A:$A,0)),IFERROR(INDEX(CAT4_2021_2022!$F:$F,MATCH($B97,CAT4_2021_2022!$A:$A,0)),"")))</f>
        <v>Mild spatial bias</v>
      </c>
      <c r="R97">
        <f>IF($A97="Class of 2022","",IFERROR(INDEX(CAT4_2022_2023!$G:$G,MATCH($B97,CAT4_2022_2023!$A:$A,0)),IFERROR(INDEX(CAT4_2021_2022!$G:$G,MATCH($B97,CAT4_2021_2022!$A:$A,0)),"")))</f>
        <v>75</v>
      </c>
      <c r="S97">
        <f>IF($A97="Class of 2022","",IFERROR(INDEX(CAT4_2022_2023!$H:$H,MATCH($B97,CAT4_2022_2023!$A:$A,0)),IFERROR(INDEX(CAT4_2021_2022!$H:$H,MATCH($B97,CAT4_2021_2022!$A:$A,0)),"")))</f>
        <v>103</v>
      </c>
      <c r="T97">
        <f>IF($A97="Class of 2022","",IFERROR(INDEX(CAT4_2022_2023!$I:$I,MATCH($B97,CAT4_2022_2023!$A:$A,0)),IFERROR(INDEX(CAT4_2021_2022!$I:$I,MATCH($B97,CAT4_2021_2022!$A:$A,0)),"")))</f>
        <v>98</v>
      </c>
      <c r="U97">
        <f>IF($A97="Class of 2022","",IFERROR(INDEX(CAT4_2022_2023!$J:$J,MATCH($B97,CAT4_2022_2023!$A:$A,0)),IFERROR(INDEX(CAT4_2021_2022!$J:$J,MATCH($B97,CAT4_2021_2022!$A:$A,0)),"")))</f>
        <v>94</v>
      </c>
      <c r="W97" t="s">
        <v>561</v>
      </c>
    </row>
    <row r="98" spans="1:23" x14ac:dyDescent="0.3">
      <c r="A98" t="s">
        <v>185</v>
      </c>
      <c r="B98" t="s">
        <v>262</v>
      </c>
      <c r="C98" t="s">
        <v>618</v>
      </c>
      <c r="I98" t="s">
        <v>560</v>
      </c>
      <c r="J98">
        <v>100</v>
      </c>
      <c r="K98">
        <f t="shared" si="5"/>
        <v>40</v>
      </c>
      <c r="L98">
        <v>60</v>
      </c>
      <c r="M98">
        <f t="shared" si="6"/>
        <v>120</v>
      </c>
      <c r="N98">
        <f t="shared" si="7"/>
        <v>100</v>
      </c>
      <c r="O98">
        <f t="shared" si="8"/>
        <v>70.422535211267601</v>
      </c>
      <c r="P98">
        <f t="shared" si="9"/>
        <v>76.8075117370892</v>
      </c>
      <c r="Q98" t="str">
        <f>IF($A98="Class of 2022","",IFERROR(INDEX(CAT4_2022_2023!$F:$F,MATCH($B98,CAT4_2022_2023!$A:$A,0)),IFERROR(INDEX(CAT4_2021_2022!$F:$F,MATCH($B98,CAT4_2021_2022!$A:$A,0)),"")))</f>
        <v>No bias</v>
      </c>
      <c r="R98">
        <f>IF($A98="Class of 2022","",IFERROR(INDEX(CAT4_2022_2023!$G:$G,MATCH($B98,CAT4_2022_2023!$A:$A,0)),IFERROR(INDEX(CAT4_2021_2022!$G:$G,MATCH($B98,CAT4_2021_2022!$A:$A,0)),"")))</f>
        <v>91</v>
      </c>
      <c r="S98">
        <f>IF($A98="Class of 2022","",IFERROR(INDEX(CAT4_2022_2023!$H:$H,MATCH($B98,CAT4_2022_2023!$A:$A,0)),IFERROR(INDEX(CAT4_2021_2022!$H:$H,MATCH($B98,CAT4_2021_2022!$A:$A,0)),"")))</f>
        <v>109</v>
      </c>
      <c r="T98">
        <f>IF($A98="Class of 2022","",IFERROR(INDEX(CAT4_2022_2023!$I:$I,MATCH($B98,CAT4_2022_2023!$A:$A,0)),IFERROR(INDEX(CAT4_2021_2022!$I:$I,MATCH($B98,CAT4_2021_2022!$A:$A,0)),"")))</f>
        <v>96</v>
      </c>
      <c r="U98">
        <f>IF($A98="Class of 2022","",IFERROR(INDEX(CAT4_2022_2023!$J:$J,MATCH($B98,CAT4_2022_2023!$A:$A,0)),IFERROR(INDEX(CAT4_2021_2022!$J:$J,MATCH($B98,CAT4_2021_2022!$A:$A,0)),"")))</f>
        <v>102</v>
      </c>
      <c r="W98" t="s">
        <v>619</v>
      </c>
    </row>
    <row r="99" spans="1:23" x14ac:dyDescent="0.3">
      <c r="A99" t="s">
        <v>185</v>
      </c>
      <c r="B99" t="s">
        <v>264</v>
      </c>
      <c r="C99" t="s">
        <v>620</v>
      </c>
      <c r="D99" t="s">
        <v>565</v>
      </c>
      <c r="E99" t="s">
        <v>559</v>
      </c>
      <c r="F99">
        <v>89</v>
      </c>
      <c r="I99" t="s">
        <v>560</v>
      </c>
      <c r="J99">
        <v>131</v>
      </c>
      <c r="K99">
        <f t="shared" si="5"/>
        <v>52.400000000000006</v>
      </c>
      <c r="L99">
        <v>35</v>
      </c>
      <c r="M99">
        <f t="shared" si="6"/>
        <v>70</v>
      </c>
      <c r="N99">
        <f t="shared" si="7"/>
        <v>86</v>
      </c>
      <c r="O99">
        <f t="shared" si="8"/>
        <v>60.563380281690137</v>
      </c>
      <c r="P99">
        <f t="shared" si="9"/>
        <v>60.987793427230052</v>
      </c>
      <c r="Q99" t="str">
        <f>IF($A99="Class of 2022","",IFERROR(INDEX(CAT4_2022_2023!$F:$F,MATCH($B99,CAT4_2022_2023!$A:$A,0)),IFERROR(INDEX(CAT4_2021_2022!$F:$F,MATCH($B99,CAT4_2021_2022!$A:$A,0)),"")))</f>
        <v>Mild spatial bias</v>
      </c>
      <c r="R99">
        <f>IF($A99="Class of 2022","",IFERROR(INDEX(CAT4_2022_2023!$G:$G,MATCH($B99,CAT4_2022_2023!$A:$A,0)),IFERROR(INDEX(CAT4_2021_2022!$G:$G,MATCH($B99,CAT4_2021_2022!$A:$A,0)),"")))</f>
        <v>76</v>
      </c>
      <c r="S99">
        <f>IF($A99="Class of 2022","",IFERROR(INDEX(CAT4_2022_2023!$H:$H,MATCH($B99,CAT4_2022_2023!$A:$A,0)),IFERROR(INDEX(CAT4_2021_2022!$H:$H,MATCH($B99,CAT4_2021_2022!$A:$A,0)),"")))</f>
        <v>86</v>
      </c>
      <c r="T99">
        <f>IF($A99="Class of 2022","",IFERROR(INDEX(CAT4_2022_2023!$I:$I,MATCH($B99,CAT4_2022_2023!$A:$A,0)),IFERROR(INDEX(CAT4_2021_2022!$I:$I,MATCH($B99,CAT4_2021_2022!$A:$A,0)),"")))</f>
        <v>89</v>
      </c>
      <c r="U99">
        <f>IF($A99="Class of 2022","",IFERROR(INDEX(CAT4_2022_2023!$J:$J,MATCH($B99,CAT4_2022_2023!$A:$A,0)),IFERROR(INDEX(CAT4_2021_2022!$J:$J,MATCH($B99,CAT4_2021_2022!$A:$A,0)),"")))</f>
        <v>92</v>
      </c>
      <c r="W99" t="s">
        <v>561</v>
      </c>
    </row>
    <row r="100" spans="1:23" x14ac:dyDescent="0.3">
      <c r="A100" t="s">
        <v>185</v>
      </c>
      <c r="B100" t="s">
        <v>266</v>
      </c>
      <c r="C100" t="s">
        <v>621</v>
      </c>
      <c r="D100" t="s">
        <v>565</v>
      </c>
      <c r="E100" t="s">
        <v>559</v>
      </c>
      <c r="F100">
        <v>95</v>
      </c>
      <c r="I100" t="s">
        <v>560</v>
      </c>
      <c r="J100">
        <v>134</v>
      </c>
      <c r="K100">
        <f t="shared" si="5"/>
        <v>53.6</v>
      </c>
      <c r="L100">
        <v>45</v>
      </c>
      <c r="M100">
        <f t="shared" si="6"/>
        <v>90</v>
      </c>
      <c r="N100">
        <f t="shared" si="7"/>
        <v>105</v>
      </c>
      <c r="O100">
        <f t="shared" si="8"/>
        <v>73.943661971830991</v>
      </c>
      <c r="P100">
        <f t="shared" si="9"/>
        <v>72.514553990610338</v>
      </c>
      <c r="Q100" t="str">
        <f>IF($A100="Class of 2022","",IFERROR(INDEX(CAT4_2022_2023!$F:$F,MATCH($B100,CAT4_2022_2023!$A:$A,0)),IFERROR(INDEX(CAT4_2021_2022!$F:$F,MATCH($B100,CAT4_2021_2022!$A:$A,0)),"")))</f>
        <v>Moderate spatial bias</v>
      </c>
      <c r="R100">
        <f>IF($A100="Class of 2022","",IFERROR(INDEX(CAT4_2022_2023!$G:$G,MATCH($B100,CAT4_2022_2023!$A:$A,0)),IFERROR(INDEX(CAT4_2021_2022!$G:$G,MATCH($B100,CAT4_2021_2022!$A:$A,0)),"")))</f>
        <v>95</v>
      </c>
      <c r="S100">
        <f>IF($A100="Class of 2022","",IFERROR(INDEX(CAT4_2022_2023!$H:$H,MATCH($B100,CAT4_2022_2023!$A:$A,0)),IFERROR(INDEX(CAT4_2021_2022!$H:$H,MATCH($B100,CAT4_2021_2022!$A:$A,0)),"")))</f>
        <v>103</v>
      </c>
      <c r="T100">
        <f>IF($A100="Class of 2022","",IFERROR(INDEX(CAT4_2022_2023!$I:$I,MATCH($B100,CAT4_2022_2023!$A:$A,0)),IFERROR(INDEX(CAT4_2021_2022!$I:$I,MATCH($B100,CAT4_2021_2022!$A:$A,0)),"")))</f>
        <v>105</v>
      </c>
      <c r="U100">
        <f>IF($A100="Class of 2022","",IFERROR(INDEX(CAT4_2022_2023!$J:$J,MATCH($B100,CAT4_2022_2023!$A:$A,0)),IFERROR(INDEX(CAT4_2021_2022!$J:$J,MATCH($B100,CAT4_2021_2022!$A:$A,0)),"")))</f>
        <v>116</v>
      </c>
      <c r="W100" t="s">
        <v>561</v>
      </c>
    </row>
    <row r="101" spans="1:23" x14ac:dyDescent="0.3">
      <c r="A101" t="s">
        <v>185</v>
      </c>
      <c r="B101" t="s">
        <v>268</v>
      </c>
      <c r="C101" t="s">
        <v>622</v>
      </c>
      <c r="D101" t="s">
        <v>582</v>
      </c>
      <c r="E101" t="s">
        <v>559</v>
      </c>
      <c r="F101">
        <v>100</v>
      </c>
      <c r="I101" t="s">
        <v>560</v>
      </c>
      <c r="J101">
        <v>128</v>
      </c>
      <c r="K101">
        <f t="shared" si="5"/>
        <v>51.2</v>
      </c>
      <c r="L101">
        <v>63</v>
      </c>
      <c r="M101">
        <f t="shared" si="6"/>
        <v>126</v>
      </c>
      <c r="N101">
        <f t="shared" si="7"/>
        <v>99</v>
      </c>
      <c r="O101">
        <f t="shared" si="8"/>
        <v>69.718309859154928</v>
      </c>
      <c r="P101">
        <f t="shared" si="9"/>
        <v>82.306103286384982</v>
      </c>
      <c r="Q101" t="str">
        <f>IF($A101="Class of 2022","",IFERROR(INDEX(CAT4_2022_2023!$F:$F,MATCH($B101,CAT4_2022_2023!$A:$A,0)),IFERROR(INDEX(CAT4_2021_2022!$F:$F,MATCH($B101,CAT4_2021_2022!$A:$A,0)),"")))</f>
        <v>Moderate spatial bias</v>
      </c>
      <c r="R101">
        <f>IF($A101="Class of 2022","",IFERROR(INDEX(CAT4_2022_2023!$G:$G,MATCH($B101,CAT4_2022_2023!$A:$A,0)),IFERROR(INDEX(CAT4_2021_2022!$G:$G,MATCH($B101,CAT4_2021_2022!$A:$A,0)),"")))</f>
        <v>65</v>
      </c>
      <c r="S101">
        <f>IF($A101="Class of 2022","",IFERROR(INDEX(CAT4_2022_2023!$H:$H,MATCH($B101,CAT4_2022_2023!$A:$A,0)),IFERROR(INDEX(CAT4_2021_2022!$H:$H,MATCH($B101,CAT4_2021_2022!$A:$A,0)),"")))</f>
        <v>116</v>
      </c>
      <c r="T101">
        <f>IF($A101="Class of 2022","",IFERROR(INDEX(CAT4_2022_2023!$I:$I,MATCH($B101,CAT4_2022_2023!$A:$A,0)),IFERROR(INDEX(CAT4_2021_2022!$I:$I,MATCH($B101,CAT4_2021_2022!$A:$A,0)),"")))</f>
        <v>117</v>
      </c>
      <c r="U101">
        <f>IF($A101="Class of 2022","",IFERROR(INDEX(CAT4_2022_2023!$J:$J,MATCH($B101,CAT4_2022_2023!$A:$A,0)),IFERROR(INDEX(CAT4_2021_2022!$J:$J,MATCH($B101,CAT4_2021_2022!$A:$A,0)),"")))</f>
        <v>96</v>
      </c>
      <c r="W101" t="s">
        <v>561</v>
      </c>
    </row>
    <row r="102" spans="1:23" x14ac:dyDescent="0.3">
      <c r="A102" t="s">
        <v>185</v>
      </c>
      <c r="B102" t="s">
        <v>270</v>
      </c>
      <c r="C102" t="s">
        <v>623</v>
      </c>
      <c r="D102" t="s">
        <v>624</v>
      </c>
      <c r="E102" t="s">
        <v>559</v>
      </c>
      <c r="F102">
        <v>90</v>
      </c>
      <c r="I102" t="s">
        <v>560</v>
      </c>
      <c r="J102">
        <v>131</v>
      </c>
      <c r="K102">
        <f t="shared" si="5"/>
        <v>52.400000000000006</v>
      </c>
      <c r="L102">
        <v>48</v>
      </c>
      <c r="M102">
        <f t="shared" si="6"/>
        <v>96</v>
      </c>
      <c r="N102">
        <f t="shared" si="7"/>
        <v>93</v>
      </c>
      <c r="O102">
        <f t="shared" si="8"/>
        <v>65.492957746478879</v>
      </c>
      <c r="P102">
        <f t="shared" si="9"/>
        <v>71.297652582159628</v>
      </c>
      <c r="Q102" t="str">
        <f>IF($A102="Class of 2022","",IFERROR(INDEX(CAT4_2022_2023!$F:$F,MATCH($B102,CAT4_2022_2023!$A:$A,0)),IFERROR(INDEX(CAT4_2021_2022!$F:$F,MATCH($B102,CAT4_2021_2022!$A:$A,0)),"")))</f>
        <v>Mild spatial bias</v>
      </c>
      <c r="R102">
        <f>IF($A102="Class of 2022","",IFERROR(INDEX(CAT4_2022_2023!$G:$G,MATCH($B102,CAT4_2022_2023!$A:$A,0)),IFERROR(INDEX(CAT4_2021_2022!$G:$G,MATCH($B102,CAT4_2021_2022!$A:$A,0)),"")))</f>
        <v>74</v>
      </c>
      <c r="S102">
        <f>IF($A102="Class of 2022","",IFERROR(INDEX(CAT4_2022_2023!$H:$H,MATCH($B102,CAT4_2022_2023!$A:$A,0)),IFERROR(INDEX(CAT4_2021_2022!$H:$H,MATCH($B102,CAT4_2021_2022!$A:$A,0)),"")))</f>
        <v>108</v>
      </c>
      <c r="T102">
        <f>IF($A102="Class of 2022","",IFERROR(INDEX(CAT4_2022_2023!$I:$I,MATCH($B102,CAT4_2022_2023!$A:$A,0)),IFERROR(INDEX(CAT4_2021_2022!$I:$I,MATCH($B102,CAT4_2021_2022!$A:$A,0)),"")))</f>
        <v>93</v>
      </c>
      <c r="U102">
        <f>IF($A102="Class of 2022","",IFERROR(INDEX(CAT4_2022_2023!$J:$J,MATCH($B102,CAT4_2022_2023!$A:$A,0)),IFERROR(INDEX(CAT4_2021_2022!$J:$J,MATCH($B102,CAT4_2021_2022!$A:$A,0)),"")))</f>
        <v>96</v>
      </c>
      <c r="W102" t="s">
        <v>561</v>
      </c>
    </row>
    <row r="103" spans="1:23" x14ac:dyDescent="0.3">
      <c r="A103" t="s">
        <v>185</v>
      </c>
      <c r="B103" t="s">
        <v>272</v>
      </c>
      <c r="C103" t="s">
        <v>625</v>
      </c>
      <c r="D103" t="s">
        <v>558</v>
      </c>
      <c r="E103" t="s">
        <v>559</v>
      </c>
      <c r="F103">
        <v>95</v>
      </c>
      <c r="I103" t="s">
        <v>560</v>
      </c>
      <c r="J103">
        <v>132</v>
      </c>
      <c r="K103">
        <f t="shared" si="5"/>
        <v>52.800000000000004</v>
      </c>
      <c r="L103">
        <v>68</v>
      </c>
      <c r="M103">
        <f t="shared" si="6"/>
        <v>136</v>
      </c>
      <c r="N103">
        <f t="shared" si="7"/>
        <v>103</v>
      </c>
      <c r="O103">
        <f t="shared" si="8"/>
        <v>72.535211267605632</v>
      </c>
      <c r="P103">
        <f t="shared" si="9"/>
        <v>87.111737089201881</v>
      </c>
      <c r="Q103" t="str">
        <f>IF($A103="Class of 2022","",IFERROR(INDEX(CAT4_2022_2023!$F:$F,MATCH($B103,CAT4_2022_2023!$A:$A,0)),IFERROR(INDEX(CAT4_2021_2022!$F:$F,MATCH($B103,CAT4_2021_2022!$A:$A,0)),"")))</f>
        <v>Extreme spatial bias</v>
      </c>
      <c r="R103">
        <f>IF($A103="Class of 2022","",IFERROR(INDEX(CAT4_2022_2023!$G:$G,MATCH($B103,CAT4_2022_2023!$A:$A,0)),IFERROR(INDEX(CAT4_2021_2022!$G:$G,MATCH($B103,CAT4_2021_2022!$A:$A,0)),"")))</f>
        <v>80</v>
      </c>
      <c r="S103">
        <f>IF($A103="Class of 2022","",IFERROR(INDEX(CAT4_2022_2023!$H:$H,MATCH($B103,CAT4_2022_2023!$A:$A,0)),IFERROR(INDEX(CAT4_2021_2022!$H:$H,MATCH($B103,CAT4_2021_2022!$A:$A,0)),"")))</f>
        <v>124</v>
      </c>
      <c r="T103">
        <f>IF($A103="Class of 2022","",IFERROR(INDEX(CAT4_2022_2023!$I:$I,MATCH($B103,CAT4_2022_2023!$A:$A,0)),IFERROR(INDEX(CAT4_2021_2022!$I:$I,MATCH($B103,CAT4_2021_2022!$A:$A,0)),"")))</f>
        <v>102</v>
      </c>
      <c r="U103">
        <f>IF($A103="Class of 2022","",IFERROR(INDEX(CAT4_2022_2023!$J:$J,MATCH($B103,CAT4_2022_2023!$A:$A,0)),IFERROR(INDEX(CAT4_2021_2022!$J:$J,MATCH($B103,CAT4_2021_2022!$A:$A,0)),"")))</f>
        <v>105</v>
      </c>
      <c r="W103" t="s">
        <v>561</v>
      </c>
    </row>
    <row r="104" spans="1:23" x14ac:dyDescent="0.3">
      <c r="A104" t="s">
        <v>185</v>
      </c>
      <c r="B104" t="s">
        <v>274</v>
      </c>
      <c r="C104" t="s">
        <v>626</v>
      </c>
      <c r="D104" t="s">
        <v>558</v>
      </c>
      <c r="E104" t="s">
        <v>559</v>
      </c>
      <c r="F104">
        <v>94</v>
      </c>
      <c r="I104" t="s">
        <v>566</v>
      </c>
      <c r="J104">
        <v>154</v>
      </c>
      <c r="K104">
        <f t="shared" si="5"/>
        <v>61.6</v>
      </c>
      <c r="L104">
        <v>55</v>
      </c>
      <c r="M104">
        <f t="shared" si="6"/>
        <v>110.00000000000001</v>
      </c>
      <c r="N104">
        <f t="shared" si="7"/>
        <v>85</v>
      </c>
      <c r="O104">
        <f t="shared" si="8"/>
        <v>59.859154929577464</v>
      </c>
      <c r="P104">
        <f t="shared" si="9"/>
        <v>77.153051643192498</v>
      </c>
      <c r="Q104" t="str">
        <f>IF($A104="Class of 2022","",IFERROR(INDEX(CAT4_2022_2023!$F:$F,MATCH($B104,CAT4_2022_2023!$A:$A,0)),IFERROR(INDEX(CAT4_2021_2022!$F:$F,MATCH($B104,CAT4_2021_2022!$A:$A,0)),"")))</f>
        <v>No bias</v>
      </c>
      <c r="R104">
        <f>IF($A104="Class of 2022","",IFERROR(INDEX(CAT4_2022_2023!$G:$G,MATCH($B104,CAT4_2022_2023!$A:$A,0)),IFERROR(INDEX(CAT4_2021_2022!$G:$G,MATCH($B104,CAT4_2021_2022!$A:$A,0)),"")))</f>
        <v>89</v>
      </c>
      <c r="S104">
        <f>IF($A104="Class of 2022","",IFERROR(INDEX(CAT4_2022_2023!$H:$H,MATCH($B104,CAT4_2022_2023!$A:$A,0)),IFERROR(INDEX(CAT4_2021_2022!$H:$H,MATCH($B104,CAT4_2021_2022!$A:$A,0)),"")))</f>
        <v>88</v>
      </c>
      <c r="T104">
        <f>IF($A104="Class of 2022","",IFERROR(INDEX(CAT4_2022_2023!$I:$I,MATCH($B104,CAT4_2022_2023!$A:$A,0)),IFERROR(INDEX(CAT4_2021_2022!$I:$I,MATCH($B104,CAT4_2021_2022!$A:$A,0)),"")))</f>
        <v>80</v>
      </c>
      <c r="U104">
        <f>IF($A104="Class of 2022","",IFERROR(INDEX(CAT4_2022_2023!$J:$J,MATCH($B104,CAT4_2022_2023!$A:$A,0)),IFERROR(INDEX(CAT4_2021_2022!$J:$J,MATCH($B104,CAT4_2021_2022!$A:$A,0)),"")))</f>
        <v>84</v>
      </c>
      <c r="W104" t="s">
        <v>561</v>
      </c>
    </row>
    <row r="105" spans="1:23" x14ac:dyDescent="0.3">
      <c r="A105" t="s">
        <v>185</v>
      </c>
      <c r="B105" t="s">
        <v>276</v>
      </c>
      <c r="C105" t="s">
        <v>627</v>
      </c>
      <c r="D105" t="s">
        <v>574</v>
      </c>
      <c r="E105" t="s">
        <v>559</v>
      </c>
      <c r="F105">
        <v>95</v>
      </c>
      <c r="I105" t="s">
        <v>560</v>
      </c>
      <c r="J105">
        <v>135</v>
      </c>
      <c r="K105">
        <f t="shared" si="5"/>
        <v>54</v>
      </c>
      <c r="L105">
        <v>40</v>
      </c>
      <c r="M105">
        <f t="shared" si="6"/>
        <v>80</v>
      </c>
      <c r="N105">
        <f t="shared" si="7"/>
        <v>76</v>
      </c>
      <c r="O105">
        <f t="shared" si="8"/>
        <v>53.521126760563376</v>
      </c>
      <c r="P105">
        <f t="shared" si="9"/>
        <v>62.507042253521128</v>
      </c>
      <c r="Q105" t="str">
        <f>IF($A105="Class of 2022","",IFERROR(INDEX(CAT4_2022_2023!$F:$F,MATCH($B105,CAT4_2022_2023!$A:$A,0)),IFERROR(INDEX(CAT4_2021_2022!$F:$F,MATCH($B105,CAT4_2021_2022!$A:$A,0)),"")))</f>
        <v>Mild spatial bias</v>
      </c>
      <c r="R105">
        <f>IF($A105="Class of 2022","",IFERROR(INDEX(CAT4_2022_2023!$G:$G,MATCH($B105,CAT4_2022_2023!$A:$A,0)),IFERROR(INDEX(CAT4_2021_2022!$G:$G,MATCH($B105,CAT4_2021_2022!$A:$A,0)),"")))</f>
        <v>65</v>
      </c>
      <c r="S105">
        <f>IF($A105="Class of 2022","",IFERROR(INDEX(CAT4_2022_2023!$H:$H,MATCH($B105,CAT4_2022_2023!$A:$A,0)),IFERROR(INDEX(CAT4_2021_2022!$H:$H,MATCH($B105,CAT4_2021_2022!$A:$A,0)),"")))</f>
        <v>82</v>
      </c>
      <c r="T105">
        <f>IF($A105="Class of 2022","",IFERROR(INDEX(CAT4_2022_2023!$I:$I,MATCH($B105,CAT4_2022_2023!$A:$A,0)),IFERROR(INDEX(CAT4_2021_2022!$I:$I,MATCH($B105,CAT4_2021_2022!$A:$A,0)),"")))</f>
        <v>69</v>
      </c>
      <c r="U105">
        <f>IF($A105="Class of 2022","",IFERROR(INDEX(CAT4_2022_2023!$J:$J,MATCH($B105,CAT4_2022_2023!$A:$A,0)),IFERROR(INDEX(CAT4_2021_2022!$J:$J,MATCH($B105,CAT4_2021_2022!$A:$A,0)),"")))</f>
        <v>88</v>
      </c>
      <c r="W105" t="s">
        <v>561</v>
      </c>
    </row>
    <row r="106" spans="1:23" x14ac:dyDescent="0.3">
      <c r="A106" t="s">
        <v>185</v>
      </c>
      <c r="B106" t="s">
        <v>278</v>
      </c>
      <c r="C106" t="s">
        <v>628</v>
      </c>
      <c r="D106" t="s">
        <v>629</v>
      </c>
      <c r="E106" t="s">
        <v>630</v>
      </c>
      <c r="F106">
        <v>92</v>
      </c>
      <c r="I106" t="s">
        <v>566</v>
      </c>
      <c r="J106">
        <v>169</v>
      </c>
      <c r="K106">
        <f t="shared" si="5"/>
        <v>67.600000000000009</v>
      </c>
      <c r="L106">
        <v>98</v>
      </c>
      <c r="M106">
        <f t="shared" si="6"/>
        <v>196</v>
      </c>
      <c r="N106">
        <f t="shared" si="7"/>
        <v>110</v>
      </c>
      <c r="O106">
        <f t="shared" si="8"/>
        <v>77.464788732394368</v>
      </c>
      <c r="P106">
        <f t="shared" si="9"/>
        <v>113.68826291079813</v>
      </c>
      <c r="Q106" t="str">
        <f>IF($A106="Class of 2022","",IFERROR(INDEX(CAT4_2022_2023!$F:$F,MATCH($B106,CAT4_2022_2023!$A:$A,0)),IFERROR(INDEX(CAT4_2021_2022!$F:$F,MATCH($B106,CAT4_2021_2022!$A:$A,0)),"")))</f>
        <v>Mild spatial bias</v>
      </c>
      <c r="R106">
        <f>IF($A106="Class of 2022","",IFERROR(INDEX(CAT4_2022_2023!$G:$G,MATCH($B106,CAT4_2022_2023!$A:$A,0)),IFERROR(INDEX(CAT4_2021_2022!$G:$G,MATCH($B106,CAT4_2021_2022!$A:$A,0)),"")))</f>
        <v>92</v>
      </c>
      <c r="S106">
        <f>IF($A106="Class of 2022","",IFERROR(INDEX(CAT4_2022_2023!$H:$H,MATCH($B106,CAT4_2022_2023!$A:$A,0)),IFERROR(INDEX(CAT4_2021_2022!$H:$H,MATCH($B106,CAT4_2021_2022!$A:$A,0)),"")))</f>
        <v>126</v>
      </c>
      <c r="T106">
        <f>IF($A106="Class of 2022","",IFERROR(INDEX(CAT4_2022_2023!$I:$I,MATCH($B106,CAT4_2022_2023!$A:$A,0)),IFERROR(INDEX(CAT4_2021_2022!$I:$I,MATCH($B106,CAT4_2021_2022!$A:$A,0)),"")))</f>
        <v>113</v>
      </c>
      <c r="U106">
        <f>IF($A106="Class of 2022","",IFERROR(INDEX(CAT4_2022_2023!$J:$J,MATCH($B106,CAT4_2022_2023!$A:$A,0)),IFERROR(INDEX(CAT4_2021_2022!$J:$J,MATCH($B106,CAT4_2021_2022!$A:$A,0)),"")))</f>
        <v>109</v>
      </c>
      <c r="W106" t="s">
        <v>561</v>
      </c>
    </row>
    <row r="107" spans="1:23" x14ac:dyDescent="0.3">
      <c r="A107" t="s">
        <v>185</v>
      </c>
      <c r="B107" t="s">
        <v>280</v>
      </c>
      <c r="C107" t="s">
        <v>631</v>
      </c>
      <c r="D107" t="s">
        <v>565</v>
      </c>
      <c r="E107" t="s">
        <v>559</v>
      </c>
      <c r="F107">
        <v>90</v>
      </c>
      <c r="I107" t="s">
        <v>560</v>
      </c>
      <c r="J107">
        <v>123</v>
      </c>
      <c r="K107">
        <f t="shared" si="5"/>
        <v>49.2</v>
      </c>
      <c r="L107">
        <v>55</v>
      </c>
      <c r="M107">
        <f t="shared" si="6"/>
        <v>110.00000000000001</v>
      </c>
      <c r="N107">
        <f t="shared" si="7"/>
        <v>100</v>
      </c>
      <c r="O107">
        <f t="shared" si="8"/>
        <v>70.422535211267601</v>
      </c>
      <c r="P107">
        <f t="shared" si="9"/>
        <v>76.540845070422549</v>
      </c>
      <c r="Q107" t="str">
        <f>IF($A107="Class of 2022","",IFERROR(INDEX(CAT4_2022_2023!$F:$F,MATCH($B107,CAT4_2022_2023!$A:$A,0)),IFERROR(INDEX(CAT4_2021_2022!$F:$F,MATCH($B107,CAT4_2021_2022!$A:$A,0)),"")))</f>
        <v>No bias</v>
      </c>
      <c r="R107">
        <f>IF($A107="Class of 2022","",IFERROR(INDEX(CAT4_2022_2023!$G:$G,MATCH($B107,CAT4_2022_2023!$A:$A,0)),IFERROR(INDEX(CAT4_2021_2022!$G:$G,MATCH($B107,CAT4_2021_2022!$A:$A,0)),"")))</f>
        <v>87</v>
      </c>
      <c r="S107">
        <f>IF($A107="Class of 2022","",IFERROR(INDEX(CAT4_2022_2023!$H:$H,MATCH($B107,CAT4_2022_2023!$A:$A,0)),IFERROR(INDEX(CAT4_2021_2022!$H:$H,MATCH($B107,CAT4_2021_2022!$A:$A,0)),"")))</f>
        <v>107</v>
      </c>
      <c r="T107">
        <f>IF($A107="Class of 2022","",IFERROR(INDEX(CAT4_2022_2023!$I:$I,MATCH($B107,CAT4_2022_2023!$A:$A,0)),IFERROR(INDEX(CAT4_2021_2022!$I:$I,MATCH($B107,CAT4_2021_2022!$A:$A,0)),"")))</f>
        <v>115</v>
      </c>
      <c r="U107">
        <f>IF($A107="Class of 2022","",IFERROR(INDEX(CAT4_2022_2023!$J:$J,MATCH($B107,CAT4_2022_2023!$A:$A,0)),IFERROR(INDEX(CAT4_2021_2022!$J:$J,MATCH($B107,CAT4_2021_2022!$A:$A,0)),"")))</f>
        <v>92</v>
      </c>
      <c r="W107" t="s">
        <v>561</v>
      </c>
    </row>
    <row r="108" spans="1:23" x14ac:dyDescent="0.3">
      <c r="A108" t="s">
        <v>185</v>
      </c>
      <c r="B108" t="s">
        <v>282</v>
      </c>
      <c r="C108" t="s">
        <v>632</v>
      </c>
      <c r="D108" t="s">
        <v>580</v>
      </c>
      <c r="E108" t="s">
        <v>571</v>
      </c>
      <c r="F108">
        <v>74</v>
      </c>
      <c r="I108" t="s">
        <v>560</v>
      </c>
      <c r="J108">
        <v>139</v>
      </c>
      <c r="K108">
        <f t="shared" si="5"/>
        <v>55.600000000000009</v>
      </c>
      <c r="L108">
        <v>63</v>
      </c>
      <c r="M108">
        <f t="shared" si="6"/>
        <v>126</v>
      </c>
      <c r="N108">
        <f t="shared" si="7"/>
        <v>101</v>
      </c>
      <c r="O108">
        <f t="shared" si="8"/>
        <v>71.126760563380287</v>
      </c>
      <c r="P108">
        <f t="shared" si="9"/>
        <v>84.24225352112677</v>
      </c>
      <c r="Q108" t="str">
        <f>IF($A108="Class of 2022","",IFERROR(INDEX(CAT4_2022_2023!$F:$F,MATCH($B108,CAT4_2022_2023!$A:$A,0)),IFERROR(INDEX(CAT4_2021_2022!$F:$F,MATCH($B108,CAT4_2021_2022!$A:$A,0)),"")))</f>
        <v>Extreme spatial bias</v>
      </c>
      <c r="R108">
        <f>IF($A108="Class of 2022","",IFERROR(INDEX(CAT4_2022_2023!$G:$G,MATCH($B108,CAT4_2022_2023!$A:$A,0)),IFERROR(INDEX(CAT4_2021_2022!$G:$G,MATCH($B108,CAT4_2021_2022!$A:$A,0)),"")))</f>
        <v>80</v>
      </c>
      <c r="S108">
        <f>IF($A108="Class of 2022","",IFERROR(INDEX(CAT4_2022_2023!$H:$H,MATCH($B108,CAT4_2022_2023!$A:$A,0)),IFERROR(INDEX(CAT4_2021_2022!$H:$H,MATCH($B108,CAT4_2021_2022!$A:$A,0)),"")))</f>
        <v>105</v>
      </c>
      <c r="T108">
        <f>IF($A108="Class of 2022","",IFERROR(INDEX(CAT4_2022_2023!$I:$I,MATCH($B108,CAT4_2022_2023!$A:$A,0)),IFERROR(INDEX(CAT4_2021_2022!$I:$I,MATCH($B108,CAT4_2021_2022!$A:$A,0)),"")))</f>
        <v>113</v>
      </c>
      <c r="U108">
        <f>IF($A108="Class of 2022","",IFERROR(INDEX(CAT4_2022_2023!$J:$J,MATCH($B108,CAT4_2022_2023!$A:$A,0)),IFERROR(INDEX(CAT4_2021_2022!$J:$J,MATCH($B108,CAT4_2021_2022!$A:$A,0)),"")))</f>
        <v>107</v>
      </c>
      <c r="W108" t="s">
        <v>561</v>
      </c>
    </row>
    <row r="109" spans="1:23" x14ac:dyDescent="0.3">
      <c r="A109" t="s">
        <v>185</v>
      </c>
      <c r="B109" t="s">
        <v>284</v>
      </c>
      <c r="C109" t="s">
        <v>633</v>
      </c>
      <c r="D109" t="s">
        <v>580</v>
      </c>
      <c r="E109" t="s">
        <v>571</v>
      </c>
      <c r="F109">
        <v>87</v>
      </c>
      <c r="I109" t="s">
        <v>566</v>
      </c>
      <c r="J109">
        <v>150</v>
      </c>
      <c r="K109">
        <f t="shared" si="5"/>
        <v>60</v>
      </c>
      <c r="L109">
        <v>63</v>
      </c>
      <c r="M109">
        <f t="shared" si="6"/>
        <v>126</v>
      </c>
      <c r="N109">
        <f t="shared" si="7"/>
        <v>97</v>
      </c>
      <c r="O109">
        <f t="shared" si="8"/>
        <v>68.309859154929569</v>
      </c>
      <c r="P109">
        <f t="shared" si="9"/>
        <v>84.769953051643185</v>
      </c>
      <c r="Q109" t="str">
        <f>IF($A109="Class of 2022","",IFERROR(INDEX(CAT4_2022_2023!$F:$F,MATCH($B109,CAT4_2022_2023!$A:$A,0)),IFERROR(INDEX(CAT4_2021_2022!$F:$F,MATCH($B109,CAT4_2021_2022!$A:$A,0)),"")))</f>
        <v>Moderate spatial bias</v>
      </c>
      <c r="R109">
        <f>IF($A109="Class of 2022","",IFERROR(INDEX(CAT4_2022_2023!$G:$G,MATCH($B109,CAT4_2022_2023!$A:$A,0)),IFERROR(INDEX(CAT4_2021_2022!$G:$G,MATCH($B109,CAT4_2021_2022!$A:$A,0)),"")))</f>
        <v>79</v>
      </c>
      <c r="S109">
        <f>IF($A109="Class of 2022","",IFERROR(INDEX(CAT4_2022_2023!$H:$H,MATCH($B109,CAT4_2022_2023!$A:$A,0)),IFERROR(INDEX(CAT4_2021_2022!$H:$H,MATCH($B109,CAT4_2021_2022!$A:$A,0)),"")))</f>
        <v>114</v>
      </c>
      <c r="T109">
        <f>IF($A109="Class of 2022","",IFERROR(INDEX(CAT4_2022_2023!$I:$I,MATCH($B109,CAT4_2022_2023!$A:$A,0)),IFERROR(INDEX(CAT4_2021_2022!$I:$I,MATCH($B109,CAT4_2021_2022!$A:$A,0)),"")))</f>
        <v>93</v>
      </c>
      <c r="U109">
        <f>IF($A109="Class of 2022","",IFERROR(INDEX(CAT4_2022_2023!$J:$J,MATCH($B109,CAT4_2022_2023!$A:$A,0)),IFERROR(INDEX(CAT4_2021_2022!$J:$J,MATCH($B109,CAT4_2021_2022!$A:$A,0)),"")))</f>
        <v>100</v>
      </c>
      <c r="W109" t="s">
        <v>561</v>
      </c>
    </row>
    <row r="110" spans="1:23" x14ac:dyDescent="0.3">
      <c r="A110" t="s">
        <v>185</v>
      </c>
      <c r="B110" t="s">
        <v>286</v>
      </c>
      <c r="C110" t="s">
        <v>634</v>
      </c>
      <c r="D110" t="s">
        <v>635</v>
      </c>
      <c r="E110" t="s">
        <v>559</v>
      </c>
      <c r="F110">
        <v>91</v>
      </c>
      <c r="I110" t="s">
        <v>560</v>
      </c>
      <c r="J110">
        <v>124</v>
      </c>
      <c r="K110">
        <f t="shared" si="5"/>
        <v>49.6</v>
      </c>
      <c r="L110">
        <v>43</v>
      </c>
      <c r="M110">
        <f t="shared" si="6"/>
        <v>86</v>
      </c>
      <c r="N110">
        <f t="shared" si="7"/>
        <v>92</v>
      </c>
      <c r="O110">
        <f t="shared" si="8"/>
        <v>64.788732394366207</v>
      </c>
      <c r="P110">
        <f t="shared" si="9"/>
        <v>66.796244131455396</v>
      </c>
      <c r="Q110" t="str">
        <f>IF($A110="Class of 2022","",IFERROR(INDEX(CAT4_2022_2023!$F:$F,MATCH($B110,CAT4_2022_2023!$A:$A,0)),IFERROR(INDEX(CAT4_2021_2022!$F:$F,MATCH($B110,CAT4_2021_2022!$A:$A,0)),"")))</f>
        <v>Moderate spatial bias</v>
      </c>
      <c r="R110">
        <f>IF($A110="Class of 2022","",IFERROR(INDEX(CAT4_2022_2023!$G:$G,MATCH($B110,CAT4_2022_2023!$A:$A,0)),IFERROR(INDEX(CAT4_2021_2022!$G:$G,MATCH($B110,CAT4_2021_2022!$A:$A,0)),"")))</f>
        <v>75</v>
      </c>
      <c r="S110">
        <f>IF($A110="Class of 2022","",IFERROR(INDEX(CAT4_2022_2023!$H:$H,MATCH($B110,CAT4_2022_2023!$A:$A,0)),IFERROR(INDEX(CAT4_2021_2022!$H:$H,MATCH($B110,CAT4_2021_2022!$A:$A,0)),"")))</f>
        <v>105</v>
      </c>
      <c r="T110">
        <f>IF($A110="Class of 2022","",IFERROR(INDEX(CAT4_2022_2023!$I:$I,MATCH($B110,CAT4_2022_2023!$A:$A,0)),IFERROR(INDEX(CAT4_2021_2022!$I:$I,MATCH($B110,CAT4_2021_2022!$A:$A,0)),"")))</f>
        <v>86</v>
      </c>
      <c r="U110">
        <f>IF($A110="Class of 2022","",IFERROR(INDEX(CAT4_2022_2023!$J:$J,MATCH($B110,CAT4_2022_2023!$A:$A,0)),IFERROR(INDEX(CAT4_2021_2022!$J:$J,MATCH($B110,CAT4_2021_2022!$A:$A,0)),"")))</f>
        <v>100</v>
      </c>
      <c r="W110" t="s">
        <v>561</v>
      </c>
    </row>
    <row r="111" spans="1:23" x14ac:dyDescent="0.3">
      <c r="A111" t="s">
        <v>185</v>
      </c>
      <c r="B111" t="s">
        <v>288</v>
      </c>
      <c r="C111" t="s">
        <v>636</v>
      </c>
      <c r="D111" t="s">
        <v>624</v>
      </c>
      <c r="E111" t="s">
        <v>559</v>
      </c>
      <c r="F111">
        <v>90</v>
      </c>
      <c r="I111" t="s">
        <v>566</v>
      </c>
      <c r="J111">
        <v>145</v>
      </c>
      <c r="K111">
        <f t="shared" si="5"/>
        <v>57.999999999999993</v>
      </c>
      <c r="L111">
        <v>48</v>
      </c>
      <c r="M111">
        <f t="shared" si="6"/>
        <v>96</v>
      </c>
      <c r="N111">
        <f t="shared" si="7"/>
        <v>103</v>
      </c>
      <c r="O111">
        <f t="shared" si="8"/>
        <v>72.535211267605632</v>
      </c>
      <c r="P111">
        <f t="shared" si="9"/>
        <v>75.511737089201873</v>
      </c>
      <c r="Q111" t="str">
        <f>IF($A111="Class of 2022","",IFERROR(INDEX(CAT4_2022_2023!$F:$F,MATCH($B111,CAT4_2022_2023!$A:$A,0)),IFERROR(INDEX(CAT4_2021_2022!$F:$F,MATCH($B111,CAT4_2021_2022!$A:$A,0)),"")))</f>
        <v>Mild spatial bias</v>
      </c>
      <c r="R111">
        <f>IF($A111="Class of 2022","",IFERROR(INDEX(CAT4_2022_2023!$G:$G,MATCH($B111,CAT4_2022_2023!$A:$A,0)),IFERROR(INDEX(CAT4_2021_2022!$G:$G,MATCH($B111,CAT4_2021_2022!$A:$A,0)),"")))</f>
        <v>85</v>
      </c>
      <c r="S111">
        <f>IF($A111="Class of 2022","",IFERROR(INDEX(CAT4_2022_2023!$H:$H,MATCH($B111,CAT4_2022_2023!$A:$A,0)),IFERROR(INDEX(CAT4_2021_2022!$H:$H,MATCH($B111,CAT4_2021_2022!$A:$A,0)),"")))</f>
        <v>116</v>
      </c>
      <c r="T111">
        <f>IF($A111="Class of 2022","",IFERROR(INDEX(CAT4_2022_2023!$I:$I,MATCH($B111,CAT4_2022_2023!$A:$A,0)),IFERROR(INDEX(CAT4_2021_2022!$I:$I,MATCH($B111,CAT4_2021_2022!$A:$A,0)),"")))</f>
        <v>111</v>
      </c>
      <c r="U111">
        <f>IF($A111="Class of 2022","",IFERROR(INDEX(CAT4_2022_2023!$J:$J,MATCH($B111,CAT4_2022_2023!$A:$A,0)),IFERROR(INDEX(CAT4_2021_2022!$J:$J,MATCH($B111,CAT4_2021_2022!$A:$A,0)),"")))</f>
        <v>98</v>
      </c>
      <c r="W111" t="s">
        <v>561</v>
      </c>
    </row>
    <row r="112" spans="1:23" x14ac:dyDescent="0.3">
      <c r="A112" t="s">
        <v>185</v>
      </c>
      <c r="B112" t="s">
        <v>290</v>
      </c>
      <c r="C112" t="s">
        <v>637</v>
      </c>
      <c r="D112" t="s">
        <v>635</v>
      </c>
      <c r="E112" t="s">
        <v>559</v>
      </c>
      <c r="F112">
        <v>100</v>
      </c>
      <c r="I112" t="s">
        <v>566</v>
      </c>
      <c r="J112">
        <v>151</v>
      </c>
      <c r="K112">
        <f t="shared" si="5"/>
        <v>60.4</v>
      </c>
      <c r="L112">
        <v>70</v>
      </c>
      <c r="M112">
        <f t="shared" si="6"/>
        <v>140</v>
      </c>
      <c r="N112">
        <f t="shared" si="7"/>
        <v>103</v>
      </c>
      <c r="O112">
        <f t="shared" si="8"/>
        <v>72.535211267605632</v>
      </c>
      <c r="P112">
        <f t="shared" si="9"/>
        <v>90.978403755868541</v>
      </c>
      <c r="Q112" t="str">
        <f>IF($A112="Class of 2022","",IFERROR(INDEX(CAT4_2022_2023!$F:$F,MATCH($B112,CAT4_2022_2023!$A:$A,0)),IFERROR(INDEX(CAT4_2021_2022!$F:$F,MATCH($B112,CAT4_2021_2022!$A:$A,0)),"")))</f>
        <v>No bias</v>
      </c>
      <c r="R112">
        <f>IF($A112="Class of 2022","",IFERROR(INDEX(CAT4_2022_2023!$G:$G,MATCH($B112,CAT4_2022_2023!$A:$A,0)),IFERROR(INDEX(CAT4_2021_2022!$G:$G,MATCH($B112,CAT4_2021_2022!$A:$A,0)),"")))</f>
        <v>94</v>
      </c>
      <c r="S112">
        <f>IF($A112="Class of 2022","",IFERROR(INDEX(CAT4_2022_2023!$H:$H,MATCH($B112,CAT4_2022_2023!$A:$A,0)),IFERROR(INDEX(CAT4_2021_2022!$H:$H,MATCH($B112,CAT4_2021_2022!$A:$A,0)),"")))</f>
        <v>116</v>
      </c>
      <c r="T112">
        <f>IF($A112="Class of 2022","",IFERROR(INDEX(CAT4_2022_2023!$I:$I,MATCH($B112,CAT4_2022_2023!$A:$A,0)),IFERROR(INDEX(CAT4_2021_2022!$I:$I,MATCH($B112,CAT4_2021_2022!$A:$A,0)),"")))</f>
        <v>100</v>
      </c>
      <c r="U112">
        <f>IF($A112="Class of 2022","",IFERROR(INDEX(CAT4_2022_2023!$J:$J,MATCH($B112,CAT4_2022_2023!$A:$A,0)),IFERROR(INDEX(CAT4_2021_2022!$J:$J,MATCH($B112,CAT4_2021_2022!$A:$A,0)),"")))</f>
        <v>100</v>
      </c>
      <c r="W112" t="s">
        <v>561</v>
      </c>
    </row>
    <row r="113" spans="1:23" x14ac:dyDescent="0.3">
      <c r="A113" t="s">
        <v>185</v>
      </c>
      <c r="B113" t="s">
        <v>292</v>
      </c>
      <c r="C113" t="s">
        <v>638</v>
      </c>
      <c r="D113" t="s">
        <v>639</v>
      </c>
      <c r="E113" t="s">
        <v>559</v>
      </c>
      <c r="F113">
        <v>99</v>
      </c>
      <c r="I113" t="s">
        <v>566</v>
      </c>
      <c r="J113">
        <v>142</v>
      </c>
      <c r="K113">
        <f t="shared" si="5"/>
        <v>56.8</v>
      </c>
      <c r="L113">
        <v>50</v>
      </c>
      <c r="M113">
        <f t="shared" si="6"/>
        <v>100</v>
      </c>
      <c r="N113">
        <f t="shared" si="7"/>
        <v>84</v>
      </c>
      <c r="O113">
        <f t="shared" si="8"/>
        <v>59.154929577464785</v>
      </c>
      <c r="P113">
        <f t="shared" si="9"/>
        <v>71.984976525821594</v>
      </c>
      <c r="Q113" t="str">
        <f>IF($A113="Class of 2022","",IFERROR(INDEX(CAT4_2022_2023!$F:$F,MATCH($B113,CAT4_2022_2023!$A:$A,0)),IFERROR(INDEX(CAT4_2021_2022!$F:$F,MATCH($B113,CAT4_2021_2022!$A:$A,0)),"")))</f>
        <v>No bias</v>
      </c>
      <c r="R113">
        <f>IF($A113="Class of 2022","",IFERROR(INDEX(CAT4_2022_2023!$G:$G,MATCH($B113,CAT4_2022_2023!$A:$A,0)),IFERROR(INDEX(CAT4_2021_2022!$G:$G,MATCH($B113,CAT4_2021_2022!$A:$A,0)),"")))</f>
        <v>75</v>
      </c>
      <c r="S113">
        <f>IF($A113="Class of 2022","",IFERROR(INDEX(CAT4_2022_2023!$H:$H,MATCH($B113,CAT4_2022_2023!$A:$A,0)),IFERROR(INDEX(CAT4_2021_2022!$H:$H,MATCH($B113,CAT4_2021_2022!$A:$A,0)),"")))</f>
        <v>86</v>
      </c>
      <c r="T113">
        <f>IF($A113="Class of 2022","",IFERROR(INDEX(CAT4_2022_2023!$I:$I,MATCH($B113,CAT4_2022_2023!$A:$A,0)),IFERROR(INDEX(CAT4_2021_2022!$I:$I,MATCH($B113,CAT4_2021_2022!$A:$A,0)),"")))</f>
        <v>102</v>
      </c>
      <c r="U113">
        <f>IF($A113="Class of 2022","",IFERROR(INDEX(CAT4_2022_2023!$J:$J,MATCH($B113,CAT4_2022_2023!$A:$A,0)),IFERROR(INDEX(CAT4_2021_2022!$J:$J,MATCH($B113,CAT4_2021_2022!$A:$A,0)),"")))</f>
        <v>73</v>
      </c>
      <c r="W113" t="s">
        <v>561</v>
      </c>
    </row>
    <row r="114" spans="1:23" x14ac:dyDescent="0.3">
      <c r="A114" t="s">
        <v>185</v>
      </c>
      <c r="B114" t="s">
        <v>294</v>
      </c>
      <c r="C114" t="s">
        <v>640</v>
      </c>
      <c r="D114" t="s">
        <v>596</v>
      </c>
      <c r="E114" t="s">
        <v>597</v>
      </c>
      <c r="F114" t="s">
        <v>598</v>
      </c>
      <c r="I114" t="s">
        <v>566</v>
      </c>
      <c r="J114">
        <v>150</v>
      </c>
      <c r="K114">
        <f t="shared" si="5"/>
        <v>60</v>
      </c>
      <c r="L114">
        <v>75</v>
      </c>
      <c r="M114">
        <f t="shared" si="6"/>
        <v>150</v>
      </c>
      <c r="N114">
        <f t="shared" si="7"/>
        <v>107</v>
      </c>
      <c r="O114">
        <f t="shared" si="8"/>
        <v>75.352112676056336</v>
      </c>
      <c r="P114">
        <f t="shared" si="9"/>
        <v>95.117370892018769</v>
      </c>
      <c r="Q114" t="str">
        <f>IF($A114="Class of 2022","",IFERROR(INDEX(CAT4_2022_2023!$F:$F,MATCH($B114,CAT4_2022_2023!$A:$A,0)),IFERROR(INDEX(CAT4_2021_2022!$F:$F,MATCH($B114,CAT4_2021_2022!$A:$A,0)),"")))</f>
        <v>No bias</v>
      </c>
      <c r="R114">
        <f>IF($A114="Class of 2022","",IFERROR(INDEX(CAT4_2022_2023!$G:$G,MATCH($B114,CAT4_2022_2023!$A:$A,0)),IFERROR(INDEX(CAT4_2021_2022!$G:$G,MATCH($B114,CAT4_2021_2022!$A:$A,0)),"")))</f>
        <v>94</v>
      </c>
      <c r="S114">
        <f>IF($A114="Class of 2022","",IFERROR(INDEX(CAT4_2022_2023!$H:$H,MATCH($B114,CAT4_2022_2023!$A:$A,0)),IFERROR(INDEX(CAT4_2021_2022!$H:$H,MATCH($B114,CAT4_2021_2022!$A:$A,0)),"")))</f>
        <v>130</v>
      </c>
      <c r="T114">
        <f>IF($A114="Class of 2022","",IFERROR(INDEX(CAT4_2022_2023!$I:$I,MATCH($B114,CAT4_2022_2023!$A:$A,0)),IFERROR(INDEX(CAT4_2021_2022!$I:$I,MATCH($B114,CAT4_2021_2022!$A:$A,0)),"")))</f>
        <v>106</v>
      </c>
      <c r="U114">
        <f>IF($A114="Class of 2022","",IFERROR(INDEX(CAT4_2022_2023!$J:$J,MATCH($B114,CAT4_2022_2023!$A:$A,0)),IFERROR(INDEX(CAT4_2021_2022!$J:$J,MATCH($B114,CAT4_2021_2022!$A:$A,0)),"")))</f>
        <v>98</v>
      </c>
      <c r="W114" t="s">
        <v>561</v>
      </c>
    </row>
    <row r="115" spans="1:23" x14ac:dyDescent="0.3">
      <c r="A115" t="s">
        <v>185</v>
      </c>
      <c r="B115" t="s">
        <v>296</v>
      </c>
      <c r="C115" t="s">
        <v>641</v>
      </c>
      <c r="D115" t="s">
        <v>642</v>
      </c>
      <c r="E115" t="s">
        <v>559</v>
      </c>
      <c r="F115">
        <v>98</v>
      </c>
      <c r="I115" t="s">
        <v>566</v>
      </c>
      <c r="J115">
        <v>152</v>
      </c>
      <c r="K115">
        <f t="shared" si="5"/>
        <v>60.8</v>
      </c>
      <c r="L115">
        <v>58</v>
      </c>
      <c r="M115">
        <f t="shared" si="6"/>
        <v>115.99999999999999</v>
      </c>
      <c r="N115">
        <f t="shared" si="7"/>
        <v>102</v>
      </c>
      <c r="O115">
        <f t="shared" si="8"/>
        <v>71.83098591549296</v>
      </c>
      <c r="P115">
        <f t="shared" si="9"/>
        <v>82.876995305164314</v>
      </c>
      <c r="Q115" t="str">
        <f>IF($A115="Class of 2022","",IFERROR(INDEX(CAT4_2022_2023!$F:$F,MATCH($B115,CAT4_2022_2023!$A:$A,0)),IFERROR(INDEX(CAT4_2021_2022!$F:$F,MATCH($B115,CAT4_2021_2022!$A:$A,0)),"")))</f>
        <v>Mild spatial bias</v>
      </c>
      <c r="R115">
        <f>IF($A115="Class of 2022","",IFERROR(INDEX(CAT4_2022_2023!$G:$G,MATCH($B115,CAT4_2022_2023!$A:$A,0)),IFERROR(INDEX(CAT4_2021_2022!$G:$G,MATCH($B115,CAT4_2021_2022!$A:$A,0)),"")))</f>
        <v>89</v>
      </c>
      <c r="S115">
        <f>IF($A115="Class of 2022","",IFERROR(INDEX(CAT4_2022_2023!$H:$H,MATCH($B115,CAT4_2022_2023!$A:$A,0)),IFERROR(INDEX(CAT4_2021_2022!$H:$H,MATCH($B115,CAT4_2021_2022!$A:$A,0)),"")))</f>
        <v>118</v>
      </c>
      <c r="T115">
        <f>IF($A115="Class of 2022","",IFERROR(INDEX(CAT4_2022_2023!$I:$I,MATCH($B115,CAT4_2022_2023!$A:$A,0)),IFERROR(INDEX(CAT4_2021_2022!$I:$I,MATCH($B115,CAT4_2021_2022!$A:$A,0)),"")))</f>
        <v>98</v>
      </c>
      <c r="U115">
        <f>IF($A115="Class of 2022","",IFERROR(INDEX(CAT4_2022_2023!$J:$J,MATCH($B115,CAT4_2022_2023!$A:$A,0)),IFERROR(INDEX(CAT4_2021_2022!$J:$J,MATCH($B115,CAT4_2021_2022!$A:$A,0)),"")))</f>
        <v>104</v>
      </c>
      <c r="W115" t="s">
        <v>561</v>
      </c>
    </row>
    <row r="116" spans="1:23" x14ac:dyDescent="0.3">
      <c r="A116" t="s">
        <v>298</v>
      </c>
      <c r="B116" t="s">
        <v>299</v>
      </c>
      <c r="C116" t="s">
        <v>643</v>
      </c>
      <c r="I116" t="s">
        <v>566</v>
      </c>
      <c r="J116">
        <v>161</v>
      </c>
      <c r="K116">
        <f t="shared" si="5"/>
        <v>64.400000000000006</v>
      </c>
      <c r="L116">
        <v>21</v>
      </c>
      <c r="M116">
        <f t="shared" si="6"/>
        <v>42</v>
      </c>
      <c r="N116">
        <f t="shared" si="7"/>
        <v>103</v>
      </c>
      <c r="O116">
        <f t="shared" si="8"/>
        <v>72.535211267605632</v>
      </c>
      <c r="P116">
        <f t="shared" si="9"/>
        <v>59.645070422535213</v>
      </c>
      <c r="Q116" t="str">
        <f>IF($A116="Class of 2022","",IFERROR(INDEX(CAT4_2022_2023!$F:$F,MATCH($B116,CAT4_2022_2023!$A:$A,0)),IFERROR(INDEX(CAT4_2021_2022!$F:$F,MATCH($B116,CAT4_2021_2022!$A:$A,0)),"")))</f>
        <v>Mild spatial bias</v>
      </c>
      <c r="R116">
        <f>IF($A116="Class of 2022","",IFERROR(INDEX(CAT4_2022_2023!$G:$G,MATCH($B116,CAT4_2022_2023!$A:$A,0)),IFERROR(INDEX(CAT4_2021_2022!$G:$G,MATCH($B116,CAT4_2021_2022!$A:$A,0)),"")))</f>
        <v>86</v>
      </c>
      <c r="S116">
        <f>IF($A116="Class of 2022","",IFERROR(INDEX(CAT4_2022_2023!$H:$H,MATCH($B116,CAT4_2022_2023!$A:$A,0)),IFERROR(INDEX(CAT4_2021_2022!$H:$H,MATCH($B116,CAT4_2021_2022!$A:$A,0)),"")))</f>
        <v>114</v>
      </c>
      <c r="T116">
        <f>IF($A116="Class of 2022","",IFERROR(INDEX(CAT4_2022_2023!$I:$I,MATCH($B116,CAT4_2022_2023!$A:$A,0)),IFERROR(INDEX(CAT4_2021_2022!$I:$I,MATCH($B116,CAT4_2021_2022!$A:$A,0)),"")))</f>
        <v>108</v>
      </c>
      <c r="U116">
        <f>IF($A116="Class of 2022","",IFERROR(INDEX(CAT4_2022_2023!$J:$J,MATCH($B116,CAT4_2022_2023!$A:$A,0)),IFERROR(INDEX(CAT4_2021_2022!$J:$J,MATCH($B116,CAT4_2021_2022!$A:$A,0)),"")))</f>
        <v>102</v>
      </c>
      <c r="W116" t="s">
        <v>644</v>
      </c>
    </row>
    <row r="117" spans="1:23" x14ac:dyDescent="0.3">
      <c r="A117" t="s">
        <v>298</v>
      </c>
      <c r="B117" t="s">
        <v>303</v>
      </c>
      <c r="C117" t="s">
        <v>645</v>
      </c>
      <c r="I117" t="s">
        <v>560</v>
      </c>
      <c r="J117">
        <v>116</v>
      </c>
      <c r="K117">
        <f t="shared" si="5"/>
        <v>46.400000000000006</v>
      </c>
      <c r="L117">
        <v>25</v>
      </c>
      <c r="M117">
        <f t="shared" si="6"/>
        <v>50</v>
      </c>
      <c r="N117">
        <f t="shared" si="7"/>
        <v>99</v>
      </c>
      <c r="O117">
        <f t="shared" si="8"/>
        <v>69.718309859154928</v>
      </c>
      <c r="P117">
        <f t="shared" si="9"/>
        <v>55.372769953051638</v>
      </c>
      <c r="Q117" t="str">
        <f>IF($A117="Class of 2022","",IFERROR(INDEX(CAT4_2022_2023!$F:$F,MATCH($B117,CAT4_2022_2023!$A:$A,0)),IFERROR(INDEX(CAT4_2021_2022!$F:$F,MATCH($B117,CAT4_2021_2022!$A:$A,0)),"")))</f>
        <v>Extreme spatial bias</v>
      </c>
      <c r="R117">
        <f>IF($A117="Class of 2022","",IFERROR(INDEX(CAT4_2022_2023!$G:$G,MATCH($B117,CAT4_2022_2023!$A:$A,0)),IFERROR(INDEX(CAT4_2021_2022!$G:$G,MATCH($B117,CAT4_2021_2022!$A:$A,0)),"")))</f>
        <v>68</v>
      </c>
      <c r="S117">
        <f>IF($A117="Class of 2022","",IFERROR(INDEX(CAT4_2022_2023!$H:$H,MATCH($B117,CAT4_2022_2023!$A:$A,0)),IFERROR(INDEX(CAT4_2021_2022!$H:$H,MATCH($B117,CAT4_2021_2022!$A:$A,0)),"")))</f>
        <v>103</v>
      </c>
      <c r="T117">
        <f>IF($A117="Class of 2022","",IFERROR(INDEX(CAT4_2022_2023!$I:$I,MATCH($B117,CAT4_2022_2023!$A:$A,0)),IFERROR(INDEX(CAT4_2021_2022!$I:$I,MATCH($B117,CAT4_2021_2022!$A:$A,0)),"")))</f>
        <v>119</v>
      </c>
      <c r="U117">
        <f>IF($A117="Class of 2022","",IFERROR(INDEX(CAT4_2022_2023!$J:$J,MATCH($B117,CAT4_2022_2023!$A:$A,0)),IFERROR(INDEX(CAT4_2021_2022!$J:$J,MATCH($B117,CAT4_2021_2022!$A:$A,0)),"")))</f>
        <v>104</v>
      </c>
      <c r="W117" t="s">
        <v>644</v>
      </c>
    </row>
    <row r="118" spans="1:23" x14ac:dyDescent="0.3">
      <c r="A118" t="s">
        <v>298</v>
      </c>
      <c r="B118" t="s">
        <v>305</v>
      </c>
      <c r="C118" t="s">
        <v>646</v>
      </c>
      <c r="I118" t="s">
        <v>566</v>
      </c>
      <c r="J118">
        <v>159</v>
      </c>
      <c r="K118">
        <f t="shared" si="5"/>
        <v>63.6</v>
      </c>
      <c r="L118">
        <v>28</v>
      </c>
      <c r="M118">
        <f t="shared" si="6"/>
        <v>56.000000000000007</v>
      </c>
      <c r="N118">
        <f t="shared" si="7"/>
        <v>104</v>
      </c>
      <c r="O118">
        <f t="shared" si="8"/>
        <v>73.239436619718319</v>
      </c>
      <c r="P118">
        <f t="shared" si="9"/>
        <v>64.279812206572771</v>
      </c>
      <c r="Q118" t="str">
        <f>IF($A118="Class of 2022","",IFERROR(INDEX(CAT4_2022_2023!$F:$F,MATCH($B118,CAT4_2022_2023!$A:$A,0)),IFERROR(INDEX(CAT4_2021_2022!$F:$F,MATCH($B118,CAT4_2021_2022!$A:$A,0)),"")))</f>
        <v>No bias</v>
      </c>
      <c r="R118">
        <f>IF($A118="Class of 2022","",IFERROR(INDEX(CAT4_2022_2023!$G:$G,MATCH($B118,CAT4_2022_2023!$A:$A,0)),IFERROR(INDEX(CAT4_2021_2022!$G:$G,MATCH($B118,CAT4_2021_2022!$A:$A,0)),"")))</f>
        <v>109</v>
      </c>
      <c r="S118">
        <f>IF($A118="Class of 2022","",IFERROR(INDEX(CAT4_2022_2023!$H:$H,MATCH($B118,CAT4_2022_2023!$A:$A,0)),IFERROR(INDEX(CAT4_2021_2022!$H:$H,MATCH($B118,CAT4_2021_2022!$A:$A,0)),"")))</f>
        <v>103</v>
      </c>
      <c r="T118">
        <f>IF($A118="Class of 2022","",IFERROR(INDEX(CAT4_2022_2023!$I:$I,MATCH($B118,CAT4_2022_2023!$A:$A,0)),IFERROR(INDEX(CAT4_2021_2022!$I:$I,MATCH($B118,CAT4_2021_2022!$A:$A,0)),"")))</f>
        <v>105</v>
      </c>
      <c r="U118">
        <f>IF($A118="Class of 2022","",IFERROR(INDEX(CAT4_2022_2023!$J:$J,MATCH($B118,CAT4_2022_2023!$A:$A,0)),IFERROR(INDEX(CAT4_2021_2022!$J:$J,MATCH($B118,CAT4_2021_2022!$A:$A,0)),"")))</f>
        <v>100</v>
      </c>
      <c r="W118" t="s">
        <v>644</v>
      </c>
    </row>
    <row r="119" spans="1:23" x14ac:dyDescent="0.3">
      <c r="A119" t="s">
        <v>298</v>
      </c>
      <c r="B119" t="s">
        <v>307</v>
      </c>
      <c r="C119" t="s">
        <v>647</v>
      </c>
      <c r="I119" t="s">
        <v>560</v>
      </c>
      <c r="J119">
        <v>113</v>
      </c>
      <c r="K119">
        <f t="shared" si="5"/>
        <v>45.2</v>
      </c>
      <c r="L119">
        <v>22</v>
      </c>
      <c r="M119">
        <f t="shared" si="6"/>
        <v>44</v>
      </c>
      <c r="N119">
        <f t="shared" si="7"/>
        <v>97</v>
      </c>
      <c r="O119">
        <f t="shared" si="8"/>
        <v>68.309859154929569</v>
      </c>
      <c r="P119">
        <f t="shared" si="9"/>
        <v>52.503286384976526</v>
      </c>
      <c r="Q119" t="str">
        <f>IF($A119="Class of 2022","",IFERROR(INDEX(CAT4_2022_2023!$F:$F,MATCH($B119,CAT4_2022_2023!$A:$A,0)),IFERROR(INDEX(CAT4_2021_2022!$F:$F,MATCH($B119,CAT4_2021_2022!$A:$A,0)),"")))</f>
        <v>Extreme spatial bias</v>
      </c>
      <c r="R119">
        <f>IF($A119="Class of 2022","",IFERROR(INDEX(CAT4_2022_2023!$G:$G,MATCH($B119,CAT4_2022_2023!$A:$A,0)),IFERROR(INDEX(CAT4_2021_2022!$G:$G,MATCH($B119,CAT4_2021_2022!$A:$A,0)),"")))</f>
        <v>75</v>
      </c>
      <c r="S119">
        <f>IF($A119="Class of 2022","",IFERROR(INDEX(CAT4_2022_2023!$H:$H,MATCH($B119,CAT4_2022_2023!$A:$A,0)),IFERROR(INDEX(CAT4_2021_2022!$H:$H,MATCH($B119,CAT4_2021_2022!$A:$A,0)),"")))</f>
        <v>114</v>
      </c>
      <c r="T119">
        <f>IF($A119="Class of 2022","",IFERROR(INDEX(CAT4_2022_2023!$I:$I,MATCH($B119,CAT4_2022_2023!$A:$A,0)),IFERROR(INDEX(CAT4_2021_2022!$I:$I,MATCH($B119,CAT4_2021_2022!$A:$A,0)),"")))</f>
        <v>94</v>
      </c>
      <c r="U119">
        <f>IF($A119="Class of 2022","",IFERROR(INDEX(CAT4_2022_2023!$J:$J,MATCH($B119,CAT4_2022_2023!$A:$A,0)),IFERROR(INDEX(CAT4_2021_2022!$J:$J,MATCH($B119,CAT4_2021_2022!$A:$A,0)),"")))</f>
        <v>104</v>
      </c>
      <c r="W119" t="s">
        <v>644</v>
      </c>
    </row>
    <row r="120" spans="1:23" x14ac:dyDescent="0.3">
      <c r="A120" t="s">
        <v>298</v>
      </c>
      <c r="B120" t="s">
        <v>309</v>
      </c>
      <c r="C120" t="s">
        <v>648</v>
      </c>
      <c r="I120" t="s">
        <v>566</v>
      </c>
      <c r="J120">
        <v>161</v>
      </c>
      <c r="K120">
        <f t="shared" si="5"/>
        <v>64.400000000000006</v>
      </c>
      <c r="L120">
        <v>26</v>
      </c>
      <c r="M120">
        <f t="shared" si="6"/>
        <v>52</v>
      </c>
      <c r="N120">
        <f t="shared" si="7"/>
        <v>100</v>
      </c>
      <c r="O120">
        <f t="shared" si="8"/>
        <v>70.422535211267601</v>
      </c>
      <c r="P120">
        <f t="shared" si="9"/>
        <v>62.274178403755876</v>
      </c>
      <c r="Q120" t="str">
        <f>IF($A120="Class of 2022","",IFERROR(INDEX(CAT4_2022_2023!$F:$F,MATCH($B120,CAT4_2022_2023!$A:$A,0)),IFERROR(INDEX(CAT4_2021_2022!$F:$F,MATCH($B120,CAT4_2021_2022!$A:$A,0)),"")))</f>
        <v>Moderate spatial bias</v>
      </c>
      <c r="R120">
        <f>IF($A120="Class of 2022","",IFERROR(INDEX(CAT4_2022_2023!$G:$G,MATCH($B120,CAT4_2022_2023!$A:$A,0)),IFERROR(INDEX(CAT4_2021_2022!$G:$G,MATCH($B120,CAT4_2021_2022!$A:$A,0)),"")))</f>
        <v>86</v>
      </c>
      <c r="S120">
        <f>IF($A120="Class of 2022","",IFERROR(INDEX(CAT4_2022_2023!$H:$H,MATCH($B120,CAT4_2022_2023!$A:$A,0)),IFERROR(INDEX(CAT4_2021_2022!$H:$H,MATCH($B120,CAT4_2021_2022!$A:$A,0)),"")))</f>
        <v>103</v>
      </c>
      <c r="T120">
        <f>IF($A120="Class of 2022","",IFERROR(INDEX(CAT4_2022_2023!$I:$I,MATCH($B120,CAT4_2022_2023!$A:$A,0)),IFERROR(INDEX(CAT4_2021_2022!$I:$I,MATCH($B120,CAT4_2021_2022!$A:$A,0)),"")))</f>
        <v>108</v>
      </c>
      <c r="U120">
        <f>IF($A120="Class of 2022","",IFERROR(INDEX(CAT4_2022_2023!$J:$J,MATCH($B120,CAT4_2022_2023!$A:$A,0)),IFERROR(INDEX(CAT4_2021_2022!$J:$J,MATCH($B120,CAT4_2021_2022!$A:$A,0)),"")))</f>
        <v>104</v>
      </c>
      <c r="W120" t="s">
        <v>644</v>
      </c>
    </row>
    <row r="121" spans="1:23" x14ac:dyDescent="0.3">
      <c r="A121" t="s">
        <v>298</v>
      </c>
      <c r="B121" t="s">
        <v>311</v>
      </c>
      <c r="C121" t="s">
        <v>649</v>
      </c>
      <c r="I121" t="s">
        <v>566</v>
      </c>
      <c r="J121">
        <v>145</v>
      </c>
      <c r="K121">
        <f t="shared" si="5"/>
        <v>57.999999999999993</v>
      </c>
      <c r="L121">
        <v>18</v>
      </c>
      <c r="M121">
        <f t="shared" si="6"/>
        <v>36</v>
      </c>
      <c r="N121">
        <f t="shared" si="7"/>
        <v>98</v>
      </c>
      <c r="O121">
        <f t="shared" si="8"/>
        <v>69.014084507042256</v>
      </c>
      <c r="P121">
        <f t="shared" si="9"/>
        <v>54.338028169014081</v>
      </c>
      <c r="Q121" t="str">
        <f>IF($A121="Class of 2022","",IFERROR(INDEX(CAT4_2022_2023!$F:$F,MATCH($B121,CAT4_2022_2023!$A:$A,0)),IFERROR(INDEX(CAT4_2021_2022!$F:$F,MATCH($B121,CAT4_2021_2022!$A:$A,0)),"")))</f>
        <v>Extreme spatial bias</v>
      </c>
      <c r="R121">
        <f>IF($A121="Class of 2022","",IFERROR(INDEX(CAT4_2022_2023!$G:$G,MATCH($B121,CAT4_2022_2023!$A:$A,0)),IFERROR(INDEX(CAT4_2021_2022!$G:$G,MATCH($B121,CAT4_2021_2022!$A:$A,0)),"")))</f>
        <v>80</v>
      </c>
      <c r="S121">
        <f>IF($A121="Class of 2022","",IFERROR(INDEX(CAT4_2022_2023!$H:$H,MATCH($B121,CAT4_2022_2023!$A:$A,0)),IFERROR(INDEX(CAT4_2021_2022!$H:$H,MATCH($B121,CAT4_2021_2022!$A:$A,0)),"")))</f>
        <v>106</v>
      </c>
      <c r="T121">
        <f>IF($A121="Class of 2022","",IFERROR(INDEX(CAT4_2022_2023!$I:$I,MATCH($B121,CAT4_2022_2023!$A:$A,0)),IFERROR(INDEX(CAT4_2021_2022!$I:$I,MATCH($B121,CAT4_2021_2022!$A:$A,0)),"")))</f>
        <v>101</v>
      </c>
      <c r="U121">
        <f>IF($A121="Class of 2022","",IFERROR(INDEX(CAT4_2022_2023!$J:$J,MATCH($B121,CAT4_2022_2023!$A:$A,0)),IFERROR(INDEX(CAT4_2021_2022!$J:$J,MATCH($B121,CAT4_2021_2022!$A:$A,0)),"")))</f>
        <v>105</v>
      </c>
      <c r="W121" t="s">
        <v>644</v>
      </c>
    </row>
    <row r="122" spans="1:23" x14ac:dyDescent="0.3">
      <c r="A122" t="s">
        <v>298</v>
      </c>
      <c r="B122" t="s">
        <v>313</v>
      </c>
      <c r="C122" t="s">
        <v>650</v>
      </c>
      <c r="I122" t="s">
        <v>560</v>
      </c>
      <c r="J122">
        <v>125</v>
      </c>
      <c r="K122">
        <f t="shared" si="5"/>
        <v>50</v>
      </c>
      <c r="L122">
        <v>22</v>
      </c>
      <c r="M122">
        <f t="shared" si="6"/>
        <v>44</v>
      </c>
      <c r="N122">
        <f t="shared" si="7"/>
        <v>92</v>
      </c>
      <c r="O122">
        <f t="shared" si="8"/>
        <v>64.788732394366207</v>
      </c>
      <c r="P122">
        <f t="shared" si="9"/>
        <v>52.929577464788736</v>
      </c>
      <c r="Q122" t="str">
        <f>IF($A122="Class of 2022","",IFERROR(INDEX(CAT4_2022_2023!$F:$F,MATCH($B122,CAT4_2022_2023!$A:$A,0)),IFERROR(INDEX(CAT4_2021_2022!$F:$F,MATCH($B122,CAT4_2021_2022!$A:$A,0)),"")))</f>
        <v>Moderate spatial bias</v>
      </c>
      <c r="R122">
        <f>IF($A122="Class of 2022","",IFERROR(INDEX(CAT4_2022_2023!$G:$G,MATCH($B122,CAT4_2022_2023!$A:$A,0)),IFERROR(INDEX(CAT4_2021_2022!$G:$G,MATCH($B122,CAT4_2021_2022!$A:$A,0)),"")))</f>
        <v>78</v>
      </c>
      <c r="S122">
        <f>IF($A122="Class of 2022","",IFERROR(INDEX(CAT4_2022_2023!$H:$H,MATCH($B122,CAT4_2022_2023!$A:$A,0)),IFERROR(INDEX(CAT4_2021_2022!$H:$H,MATCH($B122,CAT4_2021_2022!$A:$A,0)),"")))</f>
        <v>98</v>
      </c>
      <c r="T122">
        <f>IF($A122="Class of 2022","",IFERROR(INDEX(CAT4_2022_2023!$I:$I,MATCH($B122,CAT4_2022_2023!$A:$A,0)),IFERROR(INDEX(CAT4_2021_2022!$I:$I,MATCH($B122,CAT4_2021_2022!$A:$A,0)),"")))</f>
        <v>92</v>
      </c>
      <c r="U122">
        <f>IF($A122="Class of 2022","",IFERROR(INDEX(CAT4_2022_2023!$J:$J,MATCH($B122,CAT4_2022_2023!$A:$A,0)),IFERROR(INDEX(CAT4_2021_2022!$J:$J,MATCH($B122,CAT4_2021_2022!$A:$A,0)),"")))</f>
        <v>100</v>
      </c>
      <c r="W122" t="s">
        <v>644</v>
      </c>
    </row>
    <row r="123" spans="1:23" x14ac:dyDescent="0.3">
      <c r="A123" t="s">
        <v>298</v>
      </c>
      <c r="B123" t="s">
        <v>315</v>
      </c>
      <c r="C123" t="s">
        <v>651</v>
      </c>
      <c r="I123" t="s">
        <v>566</v>
      </c>
      <c r="J123">
        <v>147</v>
      </c>
      <c r="K123">
        <f t="shared" si="5"/>
        <v>58.8</v>
      </c>
      <c r="L123">
        <v>19</v>
      </c>
      <c r="M123">
        <f t="shared" si="6"/>
        <v>38</v>
      </c>
      <c r="N123">
        <f t="shared" si="7"/>
        <v>96</v>
      </c>
      <c r="O123">
        <f t="shared" si="8"/>
        <v>67.605633802816897</v>
      </c>
      <c r="P123">
        <f t="shared" si="9"/>
        <v>54.801877934272305</v>
      </c>
      <c r="Q123" t="str">
        <f>IF($A123="Class of 2022","",IFERROR(INDEX(CAT4_2022_2023!$F:$F,MATCH($B123,CAT4_2022_2023!$A:$A,0)),IFERROR(INDEX(CAT4_2021_2022!$F:$F,MATCH($B123,CAT4_2021_2022!$A:$A,0)),"")))</f>
        <v>No bias</v>
      </c>
      <c r="R123">
        <f>IF($A123="Class of 2022","",IFERROR(INDEX(CAT4_2022_2023!$G:$G,MATCH($B123,CAT4_2022_2023!$A:$A,0)),IFERROR(INDEX(CAT4_2021_2022!$G:$G,MATCH($B123,CAT4_2021_2022!$A:$A,0)),"")))</f>
        <v>89</v>
      </c>
      <c r="S123">
        <f>IF($A123="Class of 2022","",IFERROR(INDEX(CAT4_2022_2023!$H:$H,MATCH($B123,CAT4_2022_2023!$A:$A,0)),IFERROR(INDEX(CAT4_2021_2022!$H:$H,MATCH($B123,CAT4_2021_2022!$A:$A,0)),"")))</f>
        <v>100</v>
      </c>
      <c r="T123">
        <f>IF($A123="Class of 2022","",IFERROR(INDEX(CAT4_2022_2023!$I:$I,MATCH($B123,CAT4_2022_2023!$A:$A,0)),IFERROR(INDEX(CAT4_2021_2022!$I:$I,MATCH($B123,CAT4_2021_2022!$A:$A,0)),"")))</f>
        <v>92</v>
      </c>
      <c r="U123">
        <f>IF($A123="Class of 2022","",IFERROR(INDEX(CAT4_2022_2023!$J:$J,MATCH($B123,CAT4_2022_2023!$A:$A,0)),IFERROR(INDEX(CAT4_2021_2022!$J:$J,MATCH($B123,CAT4_2021_2022!$A:$A,0)),"")))</f>
        <v>102</v>
      </c>
      <c r="W123" t="s">
        <v>644</v>
      </c>
    </row>
    <row r="124" spans="1:23" x14ac:dyDescent="0.3">
      <c r="A124" t="s">
        <v>298</v>
      </c>
      <c r="B124" t="s">
        <v>317</v>
      </c>
      <c r="C124" t="s">
        <v>652</v>
      </c>
      <c r="I124" t="s">
        <v>560</v>
      </c>
      <c r="J124">
        <v>140</v>
      </c>
      <c r="K124">
        <f t="shared" si="5"/>
        <v>56.000000000000007</v>
      </c>
      <c r="L124">
        <v>23</v>
      </c>
      <c r="M124">
        <f t="shared" si="6"/>
        <v>46</v>
      </c>
      <c r="N124">
        <f t="shared" si="7"/>
        <v>102</v>
      </c>
      <c r="O124">
        <f t="shared" si="8"/>
        <v>71.83098591549296</v>
      </c>
      <c r="P124">
        <f t="shared" si="9"/>
        <v>57.943661971830984</v>
      </c>
      <c r="Q124" t="str">
        <f>IF($A124="Class of 2022","",IFERROR(INDEX(CAT4_2022_2023!$F:$F,MATCH($B124,CAT4_2022_2023!$A:$A,0)),IFERROR(INDEX(CAT4_2021_2022!$F:$F,MATCH($B124,CAT4_2021_2022!$A:$A,0)),"")))</f>
        <v>Moderate spatial bias</v>
      </c>
      <c r="R124">
        <f>IF($A124="Class of 2022","",IFERROR(INDEX(CAT4_2022_2023!$G:$G,MATCH($B124,CAT4_2022_2023!$A:$A,0)),IFERROR(INDEX(CAT4_2021_2022!$G:$G,MATCH($B124,CAT4_2021_2022!$A:$A,0)),"")))</f>
        <v>83</v>
      </c>
      <c r="S124">
        <f>IF($A124="Class of 2022","",IFERROR(INDEX(CAT4_2022_2023!$H:$H,MATCH($B124,CAT4_2022_2023!$A:$A,0)),IFERROR(INDEX(CAT4_2021_2022!$H:$H,MATCH($B124,CAT4_2021_2022!$A:$A,0)),"")))</f>
        <v>106</v>
      </c>
      <c r="T124">
        <f>IF($A124="Class of 2022","",IFERROR(INDEX(CAT4_2022_2023!$I:$I,MATCH($B124,CAT4_2022_2023!$A:$A,0)),IFERROR(INDEX(CAT4_2021_2022!$I:$I,MATCH($B124,CAT4_2021_2022!$A:$A,0)),"")))</f>
        <v>110</v>
      </c>
      <c r="U124">
        <f>IF($A124="Class of 2022","",IFERROR(INDEX(CAT4_2022_2023!$J:$J,MATCH($B124,CAT4_2022_2023!$A:$A,0)),IFERROR(INDEX(CAT4_2021_2022!$J:$J,MATCH($B124,CAT4_2021_2022!$A:$A,0)),"")))</f>
        <v>107</v>
      </c>
      <c r="W124" t="s">
        <v>644</v>
      </c>
    </row>
    <row r="125" spans="1:23" x14ac:dyDescent="0.3">
      <c r="A125" t="s">
        <v>298</v>
      </c>
      <c r="B125" t="s">
        <v>319</v>
      </c>
      <c r="C125" t="s">
        <v>653</v>
      </c>
      <c r="I125" t="s">
        <v>566</v>
      </c>
      <c r="J125">
        <v>162</v>
      </c>
      <c r="K125">
        <f t="shared" si="5"/>
        <v>64.8</v>
      </c>
      <c r="L125">
        <v>30</v>
      </c>
      <c r="M125">
        <f t="shared" si="6"/>
        <v>60</v>
      </c>
      <c r="N125">
        <f t="shared" si="7"/>
        <v>100</v>
      </c>
      <c r="O125">
        <f t="shared" si="8"/>
        <v>70.422535211267601</v>
      </c>
      <c r="P125">
        <f t="shared" si="9"/>
        <v>65.074178403755866</v>
      </c>
      <c r="Q125" t="str">
        <f>IF($A125="Class of 2022","",IFERROR(INDEX(CAT4_2022_2023!$F:$F,MATCH($B125,CAT4_2022_2023!$A:$A,0)),IFERROR(INDEX(CAT4_2021_2022!$F:$F,MATCH($B125,CAT4_2021_2022!$A:$A,0)),"")))</f>
        <v>No bias</v>
      </c>
      <c r="R125">
        <f>IF($A125="Class of 2022","",IFERROR(INDEX(CAT4_2022_2023!$G:$G,MATCH($B125,CAT4_2022_2023!$A:$A,0)),IFERROR(INDEX(CAT4_2021_2022!$G:$G,MATCH($B125,CAT4_2021_2022!$A:$A,0)),"")))</f>
        <v>95</v>
      </c>
      <c r="S125">
        <f>IF($A125="Class of 2022","",IFERROR(INDEX(CAT4_2022_2023!$H:$H,MATCH($B125,CAT4_2022_2023!$A:$A,0)),IFERROR(INDEX(CAT4_2021_2022!$H:$H,MATCH($B125,CAT4_2021_2022!$A:$A,0)),"")))</f>
        <v>106</v>
      </c>
      <c r="T125">
        <f>IF($A125="Class of 2022","",IFERROR(INDEX(CAT4_2022_2023!$I:$I,MATCH($B125,CAT4_2022_2023!$A:$A,0)),IFERROR(INDEX(CAT4_2021_2022!$I:$I,MATCH($B125,CAT4_2021_2022!$A:$A,0)),"")))</f>
        <v>101</v>
      </c>
      <c r="U125">
        <f>IF($A125="Class of 2022","",IFERROR(INDEX(CAT4_2022_2023!$J:$J,MATCH($B125,CAT4_2022_2023!$A:$A,0)),IFERROR(INDEX(CAT4_2021_2022!$J:$J,MATCH($B125,CAT4_2021_2022!$A:$A,0)),"")))</f>
        <v>97</v>
      </c>
      <c r="W125" t="s">
        <v>644</v>
      </c>
    </row>
    <row r="126" spans="1:23" x14ac:dyDescent="0.3">
      <c r="A126" t="s">
        <v>298</v>
      </c>
      <c r="B126" t="s">
        <v>321</v>
      </c>
      <c r="C126" t="s">
        <v>654</v>
      </c>
      <c r="I126" t="s">
        <v>566</v>
      </c>
      <c r="J126">
        <v>159</v>
      </c>
      <c r="K126">
        <f t="shared" si="5"/>
        <v>63.6</v>
      </c>
      <c r="L126">
        <v>26</v>
      </c>
      <c r="M126">
        <f t="shared" si="6"/>
        <v>52</v>
      </c>
      <c r="N126">
        <f t="shared" si="7"/>
        <v>110</v>
      </c>
      <c r="O126">
        <f t="shared" si="8"/>
        <v>77.464788732394368</v>
      </c>
      <c r="P126">
        <f t="shared" si="9"/>
        <v>64.354929577464787</v>
      </c>
      <c r="Q126" t="str">
        <f>IF($A126="Class of 2022","",IFERROR(INDEX(CAT4_2022_2023!$F:$F,MATCH($B126,CAT4_2022_2023!$A:$A,0)),IFERROR(INDEX(CAT4_2021_2022!$F:$F,MATCH($B126,CAT4_2021_2022!$A:$A,0)),"")))</f>
        <v>No bias</v>
      </c>
      <c r="R126">
        <f>IF($A126="Class of 2022","",IFERROR(INDEX(CAT4_2022_2023!$G:$G,MATCH($B126,CAT4_2022_2023!$A:$A,0)),IFERROR(INDEX(CAT4_2021_2022!$G:$G,MATCH($B126,CAT4_2021_2022!$A:$A,0)),"")))</f>
        <v>98</v>
      </c>
      <c r="S126">
        <f>IF($A126="Class of 2022","",IFERROR(INDEX(CAT4_2022_2023!$H:$H,MATCH($B126,CAT4_2022_2023!$A:$A,0)),IFERROR(INDEX(CAT4_2021_2022!$H:$H,MATCH($B126,CAT4_2021_2022!$A:$A,0)),"")))</f>
        <v>128</v>
      </c>
      <c r="T126">
        <f>IF($A126="Class of 2022","",IFERROR(INDEX(CAT4_2022_2023!$I:$I,MATCH($B126,CAT4_2022_2023!$A:$A,0)),IFERROR(INDEX(CAT4_2021_2022!$I:$I,MATCH($B126,CAT4_2021_2022!$A:$A,0)),"")))</f>
        <v>119</v>
      </c>
      <c r="U126">
        <f>IF($A126="Class of 2022","",IFERROR(INDEX(CAT4_2022_2023!$J:$J,MATCH($B126,CAT4_2022_2023!$A:$A,0)),IFERROR(INDEX(CAT4_2021_2022!$J:$J,MATCH($B126,CAT4_2021_2022!$A:$A,0)),"")))</f>
        <v>95</v>
      </c>
      <c r="W126" t="s">
        <v>644</v>
      </c>
    </row>
    <row r="127" spans="1:23" x14ac:dyDescent="0.3">
      <c r="A127" t="s">
        <v>298</v>
      </c>
      <c r="B127" t="s">
        <v>323</v>
      </c>
      <c r="C127" t="s">
        <v>655</v>
      </c>
      <c r="I127" t="s">
        <v>560</v>
      </c>
      <c r="J127">
        <v>134</v>
      </c>
      <c r="K127">
        <f t="shared" si="5"/>
        <v>53.6</v>
      </c>
      <c r="L127">
        <v>19</v>
      </c>
      <c r="M127">
        <f t="shared" si="6"/>
        <v>38</v>
      </c>
      <c r="N127">
        <f t="shared" si="7"/>
        <v>91</v>
      </c>
      <c r="O127">
        <f t="shared" si="8"/>
        <v>64.08450704225352</v>
      </c>
      <c r="P127">
        <f t="shared" si="9"/>
        <v>51.894835680751179</v>
      </c>
      <c r="Q127" t="str">
        <f>IF($A127="Class of 2022","",IFERROR(INDEX(CAT4_2022_2023!$F:$F,MATCH($B127,CAT4_2022_2023!$A:$A,0)),IFERROR(INDEX(CAT4_2021_2022!$F:$F,MATCH($B127,CAT4_2021_2022!$A:$A,0)),"")))</f>
        <v>No bias</v>
      </c>
      <c r="R127">
        <f>IF($A127="Class of 2022","",IFERROR(INDEX(CAT4_2022_2023!$G:$G,MATCH($B127,CAT4_2022_2023!$A:$A,0)),IFERROR(INDEX(CAT4_2021_2022!$G:$G,MATCH($B127,CAT4_2021_2022!$A:$A,0)),"")))</f>
        <v>78</v>
      </c>
      <c r="S127">
        <f>IF($A127="Class of 2022","",IFERROR(INDEX(CAT4_2022_2023!$H:$H,MATCH($B127,CAT4_2022_2023!$A:$A,0)),IFERROR(INDEX(CAT4_2021_2022!$H:$H,MATCH($B127,CAT4_2021_2022!$A:$A,0)),"")))</f>
        <v>92</v>
      </c>
      <c r="T127">
        <f>IF($A127="Class of 2022","",IFERROR(INDEX(CAT4_2022_2023!$I:$I,MATCH($B127,CAT4_2022_2023!$A:$A,0)),IFERROR(INDEX(CAT4_2021_2022!$I:$I,MATCH($B127,CAT4_2021_2022!$A:$A,0)),"")))</f>
        <v>112</v>
      </c>
      <c r="U127">
        <f>IF($A127="Class of 2022","",IFERROR(INDEX(CAT4_2022_2023!$J:$J,MATCH($B127,CAT4_2022_2023!$A:$A,0)),IFERROR(INDEX(CAT4_2021_2022!$J:$J,MATCH($B127,CAT4_2021_2022!$A:$A,0)),"")))</f>
        <v>80</v>
      </c>
      <c r="W127" t="s">
        <v>644</v>
      </c>
    </row>
    <row r="128" spans="1:23" x14ac:dyDescent="0.3">
      <c r="A128" t="s">
        <v>298</v>
      </c>
      <c r="B128" t="s">
        <v>325</v>
      </c>
      <c r="C128" t="s">
        <v>656</v>
      </c>
      <c r="I128" t="s">
        <v>566</v>
      </c>
      <c r="J128">
        <v>160</v>
      </c>
      <c r="K128">
        <f t="shared" si="5"/>
        <v>64</v>
      </c>
      <c r="L128">
        <v>26</v>
      </c>
      <c r="M128">
        <f t="shared" si="6"/>
        <v>52</v>
      </c>
      <c r="N128">
        <f t="shared" si="7"/>
        <v>101</v>
      </c>
      <c r="O128">
        <f t="shared" si="8"/>
        <v>71.126760563380287</v>
      </c>
      <c r="P128">
        <f t="shared" si="9"/>
        <v>62.375586854460096</v>
      </c>
      <c r="Q128" t="str">
        <f>IF($A128="Class of 2022","",IFERROR(INDEX(CAT4_2022_2023!$F:$F,MATCH($B128,CAT4_2022_2023!$A:$A,0)),IFERROR(INDEX(CAT4_2021_2022!$F:$F,MATCH($B128,CAT4_2021_2022!$A:$A,0)),"")))</f>
        <v>Mild spatial bias</v>
      </c>
      <c r="R128">
        <f>IF($A128="Class of 2022","",IFERROR(INDEX(CAT4_2022_2023!$G:$G,MATCH($B128,CAT4_2022_2023!$A:$A,0)),IFERROR(INDEX(CAT4_2021_2022!$G:$G,MATCH($B128,CAT4_2021_2022!$A:$A,0)),"")))</f>
        <v>82</v>
      </c>
      <c r="S128">
        <f>IF($A128="Class of 2022","",IFERROR(INDEX(CAT4_2022_2023!$H:$H,MATCH($B128,CAT4_2022_2023!$A:$A,0)),IFERROR(INDEX(CAT4_2021_2022!$H:$H,MATCH($B128,CAT4_2021_2022!$A:$A,0)),"")))</f>
        <v>114</v>
      </c>
      <c r="T128">
        <f>IF($A128="Class of 2022","",IFERROR(INDEX(CAT4_2022_2023!$I:$I,MATCH($B128,CAT4_2022_2023!$A:$A,0)),IFERROR(INDEX(CAT4_2021_2022!$I:$I,MATCH($B128,CAT4_2021_2022!$A:$A,0)),"")))</f>
        <v>105</v>
      </c>
      <c r="U128">
        <f>IF($A128="Class of 2022","",IFERROR(INDEX(CAT4_2022_2023!$J:$J,MATCH($B128,CAT4_2022_2023!$A:$A,0)),IFERROR(INDEX(CAT4_2021_2022!$J:$J,MATCH($B128,CAT4_2021_2022!$A:$A,0)),"")))</f>
        <v>102</v>
      </c>
      <c r="W128" t="s">
        <v>644</v>
      </c>
    </row>
    <row r="129" spans="1:23" x14ac:dyDescent="0.3">
      <c r="A129" t="s">
        <v>298</v>
      </c>
      <c r="B129" t="s">
        <v>327</v>
      </c>
      <c r="C129" t="s">
        <v>657</v>
      </c>
      <c r="I129" t="s">
        <v>566</v>
      </c>
      <c r="J129">
        <v>140</v>
      </c>
      <c r="K129">
        <f t="shared" si="5"/>
        <v>56.000000000000007</v>
      </c>
      <c r="L129">
        <v>21</v>
      </c>
      <c r="M129">
        <f t="shared" si="6"/>
        <v>42</v>
      </c>
      <c r="N129">
        <f t="shared" si="7"/>
        <v>98</v>
      </c>
      <c r="O129">
        <f t="shared" si="8"/>
        <v>69.014084507042256</v>
      </c>
      <c r="P129">
        <f t="shared" si="9"/>
        <v>55.671361502347416</v>
      </c>
      <c r="Q129" t="str">
        <f>IF($A129="Class of 2022","",IFERROR(INDEX(CAT4_2022_2023!$F:$F,MATCH($B129,CAT4_2022_2023!$A:$A,0)),IFERROR(INDEX(CAT4_2021_2022!$F:$F,MATCH($B129,CAT4_2021_2022!$A:$A,0)),"")))</f>
        <v>Mild spatial bias</v>
      </c>
      <c r="R129">
        <f>IF($A129="Class of 2022","",IFERROR(INDEX(CAT4_2022_2023!$G:$G,MATCH($B129,CAT4_2022_2023!$A:$A,0)),IFERROR(INDEX(CAT4_2021_2022!$G:$G,MATCH($B129,CAT4_2021_2022!$A:$A,0)),"")))</f>
        <v>83</v>
      </c>
      <c r="S129">
        <f>IF($A129="Class of 2022","",IFERROR(INDEX(CAT4_2022_2023!$H:$H,MATCH($B129,CAT4_2022_2023!$A:$A,0)),IFERROR(INDEX(CAT4_2021_2022!$H:$H,MATCH($B129,CAT4_2021_2022!$A:$A,0)),"")))</f>
        <v>103</v>
      </c>
      <c r="T129">
        <f>IF($A129="Class of 2022","",IFERROR(INDEX(CAT4_2022_2023!$I:$I,MATCH($B129,CAT4_2022_2023!$A:$A,0)),IFERROR(INDEX(CAT4_2021_2022!$I:$I,MATCH($B129,CAT4_2021_2022!$A:$A,0)),"")))</f>
        <v>108</v>
      </c>
      <c r="U129">
        <f>IF($A129="Class of 2022","",IFERROR(INDEX(CAT4_2022_2023!$J:$J,MATCH($B129,CAT4_2022_2023!$A:$A,0)),IFERROR(INDEX(CAT4_2021_2022!$J:$J,MATCH($B129,CAT4_2021_2022!$A:$A,0)),"")))</f>
        <v>98</v>
      </c>
      <c r="W129" t="s">
        <v>644</v>
      </c>
    </row>
    <row r="130" spans="1:23" x14ac:dyDescent="0.3">
      <c r="A130" t="s">
        <v>298</v>
      </c>
      <c r="B130" t="s">
        <v>329</v>
      </c>
      <c r="C130" t="s">
        <v>658</v>
      </c>
      <c r="I130" t="s">
        <v>560</v>
      </c>
      <c r="J130">
        <v>138</v>
      </c>
      <c r="K130">
        <f t="shared" ref="K130:K193" si="10">IF(J130="","",J130/250*100)</f>
        <v>55.2</v>
      </c>
      <c r="L130">
        <v>18</v>
      </c>
      <c r="M130">
        <f t="shared" ref="M130:M193" si="11">IF(L130="","",L130/50*100)</f>
        <v>36</v>
      </c>
      <c r="N130">
        <f t="shared" ref="N130:N193" si="12">IF(COUNT(R130:U130)=0,"",ROUND(AVERAGE(R130:U130),0))</f>
        <v>98</v>
      </c>
      <c r="O130">
        <f t="shared" ref="O130:O193" si="13">IF(N130="","",N130/142*100)</f>
        <v>69.014084507042256</v>
      </c>
      <c r="P130">
        <f t="shared" ref="P130:P193" si="14">IF(COUNT(K130,M130,O130)=0,"",AVERAGE(K130,M130,O130))</f>
        <v>53.40469483568075</v>
      </c>
      <c r="Q130" t="str">
        <f>IF($A130="Class of 2022","",IFERROR(INDEX(CAT4_2022_2023!$F:$F,MATCH($B130,CAT4_2022_2023!$A:$A,0)),IFERROR(INDEX(CAT4_2021_2022!$F:$F,MATCH($B130,CAT4_2021_2022!$A:$A,0)),"")))</f>
        <v>Extreme spatial bias</v>
      </c>
      <c r="R130">
        <f>IF($A130="Class of 2022","",IFERROR(INDEX(CAT4_2022_2023!$G:$G,MATCH($B130,CAT4_2022_2023!$A:$A,0)),IFERROR(INDEX(CAT4_2021_2022!$G:$G,MATCH($B130,CAT4_2021_2022!$A:$A,0)),"")))</f>
        <v>80</v>
      </c>
      <c r="S130">
        <f>IF($A130="Class of 2022","",IFERROR(INDEX(CAT4_2022_2023!$H:$H,MATCH($B130,CAT4_2022_2023!$A:$A,0)),IFERROR(INDEX(CAT4_2021_2022!$H:$H,MATCH($B130,CAT4_2021_2022!$A:$A,0)),"")))</f>
        <v>106</v>
      </c>
      <c r="T130">
        <f>IF($A130="Class of 2022","",IFERROR(INDEX(CAT4_2022_2023!$I:$I,MATCH($B130,CAT4_2022_2023!$A:$A,0)),IFERROR(INDEX(CAT4_2021_2022!$I:$I,MATCH($B130,CAT4_2021_2022!$A:$A,0)),"")))</f>
        <v>90</v>
      </c>
      <c r="U130">
        <f>IF($A130="Class of 2022","",IFERROR(INDEX(CAT4_2022_2023!$J:$J,MATCH($B130,CAT4_2022_2023!$A:$A,0)),IFERROR(INDEX(CAT4_2021_2022!$J:$J,MATCH($B130,CAT4_2021_2022!$A:$A,0)),"")))</f>
        <v>114</v>
      </c>
      <c r="W130" t="s">
        <v>644</v>
      </c>
    </row>
    <row r="131" spans="1:23" x14ac:dyDescent="0.3">
      <c r="A131" t="s">
        <v>298</v>
      </c>
      <c r="B131" t="s">
        <v>331</v>
      </c>
      <c r="C131" t="s">
        <v>659</v>
      </c>
      <c r="I131" t="s">
        <v>560</v>
      </c>
      <c r="J131">
        <v>130</v>
      </c>
      <c r="K131">
        <f t="shared" si="10"/>
        <v>52</v>
      </c>
      <c r="L131">
        <v>16</v>
      </c>
      <c r="M131">
        <f t="shared" si="11"/>
        <v>32</v>
      </c>
      <c r="N131">
        <f t="shared" si="12"/>
        <v>90</v>
      </c>
      <c r="O131">
        <f t="shared" si="13"/>
        <v>63.380281690140848</v>
      </c>
      <c r="P131">
        <f t="shared" si="14"/>
        <v>49.126760563380287</v>
      </c>
      <c r="Q131" t="str">
        <f>IF($A131="Class of 2022","",IFERROR(INDEX(CAT4_2022_2023!$F:$F,MATCH($B131,CAT4_2022_2023!$A:$A,0)),IFERROR(INDEX(CAT4_2021_2022!$F:$F,MATCH($B131,CAT4_2021_2022!$A:$A,0)),"")))</f>
        <v>No bias</v>
      </c>
      <c r="R131">
        <f>IF($A131="Class of 2022","",IFERROR(INDEX(CAT4_2022_2023!$G:$G,MATCH($B131,CAT4_2022_2023!$A:$A,0)),IFERROR(INDEX(CAT4_2021_2022!$G:$G,MATCH($B131,CAT4_2021_2022!$A:$A,0)),"")))</f>
        <v>76</v>
      </c>
      <c r="S131">
        <f>IF($A131="Class of 2022","",IFERROR(INDEX(CAT4_2022_2023!$H:$H,MATCH($B131,CAT4_2022_2023!$A:$A,0)),IFERROR(INDEX(CAT4_2021_2022!$H:$H,MATCH($B131,CAT4_2021_2022!$A:$A,0)),"")))</f>
        <v>105</v>
      </c>
      <c r="T131">
        <f>IF($A131="Class of 2022","",IFERROR(INDEX(CAT4_2022_2023!$I:$I,MATCH($B131,CAT4_2022_2023!$A:$A,0)),IFERROR(INDEX(CAT4_2021_2022!$I:$I,MATCH($B131,CAT4_2021_2022!$A:$A,0)),"")))</f>
        <v>106</v>
      </c>
      <c r="U131">
        <f>IF($A131="Class of 2022","",IFERROR(INDEX(CAT4_2022_2023!$J:$J,MATCH($B131,CAT4_2022_2023!$A:$A,0)),IFERROR(INDEX(CAT4_2021_2022!$J:$J,MATCH($B131,CAT4_2021_2022!$A:$A,0)),"")))</f>
        <v>72</v>
      </c>
      <c r="W131" t="s">
        <v>644</v>
      </c>
    </row>
    <row r="132" spans="1:23" x14ac:dyDescent="0.3">
      <c r="A132" t="s">
        <v>298</v>
      </c>
      <c r="B132" t="s">
        <v>333</v>
      </c>
      <c r="C132" t="s">
        <v>660</v>
      </c>
      <c r="I132" t="s">
        <v>560</v>
      </c>
      <c r="J132">
        <v>127</v>
      </c>
      <c r="K132">
        <f t="shared" si="10"/>
        <v>50.8</v>
      </c>
      <c r="L132">
        <v>23</v>
      </c>
      <c r="M132">
        <f t="shared" si="11"/>
        <v>46</v>
      </c>
      <c r="N132">
        <f t="shared" si="12"/>
        <v>98</v>
      </c>
      <c r="O132">
        <f t="shared" si="13"/>
        <v>69.014084507042256</v>
      </c>
      <c r="P132">
        <f t="shared" si="14"/>
        <v>55.271361502347418</v>
      </c>
      <c r="Q132" t="str">
        <f>IF($A132="Class of 2022","",IFERROR(INDEX(CAT4_2022_2023!$F:$F,MATCH($B132,CAT4_2022_2023!$A:$A,0)),IFERROR(INDEX(CAT4_2021_2022!$F:$F,MATCH($B132,CAT4_2021_2022!$A:$A,0)),"")))</f>
        <v>Moderate spatial bias</v>
      </c>
      <c r="R132">
        <f>IF($A132="Class of 2022","",IFERROR(INDEX(CAT4_2022_2023!$G:$G,MATCH($B132,CAT4_2022_2023!$A:$A,0)),IFERROR(INDEX(CAT4_2021_2022!$G:$G,MATCH($B132,CAT4_2021_2022!$A:$A,0)),"")))</f>
        <v>75</v>
      </c>
      <c r="S132">
        <f>IF($A132="Class of 2022","",IFERROR(INDEX(CAT4_2022_2023!$H:$H,MATCH($B132,CAT4_2022_2023!$A:$A,0)),IFERROR(INDEX(CAT4_2021_2022!$H:$H,MATCH($B132,CAT4_2021_2022!$A:$A,0)),"")))</f>
        <v>118</v>
      </c>
      <c r="T132">
        <f>IF($A132="Class of 2022","",IFERROR(INDEX(CAT4_2022_2023!$I:$I,MATCH($B132,CAT4_2022_2023!$A:$A,0)),IFERROR(INDEX(CAT4_2021_2022!$I:$I,MATCH($B132,CAT4_2021_2022!$A:$A,0)),"")))</f>
        <v>95</v>
      </c>
      <c r="U132">
        <f>IF($A132="Class of 2022","",IFERROR(INDEX(CAT4_2022_2023!$J:$J,MATCH($B132,CAT4_2022_2023!$A:$A,0)),IFERROR(INDEX(CAT4_2021_2022!$J:$J,MATCH($B132,CAT4_2021_2022!$A:$A,0)),"")))</f>
        <v>102</v>
      </c>
      <c r="W132" t="s">
        <v>644</v>
      </c>
    </row>
    <row r="133" spans="1:23" x14ac:dyDescent="0.3">
      <c r="A133" t="s">
        <v>298</v>
      </c>
      <c r="B133" t="s">
        <v>335</v>
      </c>
      <c r="C133" t="s">
        <v>661</v>
      </c>
      <c r="I133" t="s">
        <v>560</v>
      </c>
      <c r="J133">
        <v>141</v>
      </c>
      <c r="K133">
        <f t="shared" si="10"/>
        <v>56.399999999999991</v>
      </c>
      <c r="L133">
        <v>24</v>
      </c>
      <c r="M133">
        <f t="shared" si="11"/>
        <v>48</v>
      </c>
      <c r="N133">
        <f t="shared" si="12"/>
        <v>92</v>
      </c>
      <c r="O133">
        <f t="shared" si="13"/>
        <v>64.788732394366207</v>
      </c>
      <c r="P133">
        <f t="shared" si="14"/>
        <v>56.396244131455397</v>
      </c>
      <c r="Q133" t="str">
        <f>IF($A133="Class of 2022","",IFERROR(INDEX(CAT4_2022_2023!$F:$F,MATCH($B133,CAT4_2022_2023!$A:$A,0)),IFERROR(INDEX(CAT4_2021_2022!$F:$F,MATCH($B133,CAT4_2021_2022!$A:$A,0)),"")))</f>
        <v>No bias</v>
      </c>
      <c r="R133">
        <f>IF($A133="Class of 2022","",IFERROR(INDEX(CAT4_2022_2023!$G:$G,MATCH($B133,CAT4_2022_2023!$A:$A,0)),IFERROR(INDEX(CAT4_2021_2022!$G:$G,MATCH($B133,CAT4_2021_2022!$A:$A,0)),"")))</f>
        <v>82</v>
      </c>
      <c r="S133">
        <f>IF($A133="Class of 2022","",IFERROR(INDEX(CAT4_2022_2023!$H:$H,MATCH($B133,CAT4_2022_2023!$A:$A,0)),IFERROR(INDEX(CAT4_2021_2022!$H:$H,MATCH($B133,CAT4_2021_2022!$A:$A,0)),"")))</f>
        <v>103</v>
      </c>
      <c r="T133">
        <f>IF($A133="Class of 2022","",IFERROR(INDEX(CAT4_2022_2023!$I:$I,MATCH($B133,CAT4_2022_2023!$A:$A,0)),IFERROR(INDEX(CAT4_2021_2022!$I:$I,MATCH($B133,CAT4_2021_2022!$A:$A,0)),"")))</f>
        <v>88</v>
      </c>
      <c r="U133">
        <f>IF($A133="Class of 2022","",IFERROR(INDEX(CAT4_2022_2023!$J:$J,MATCH($B133,CAT4_2022_2023!$A:$A,0)),IFERROR(INDEX(CAT4_2021_2022!$J:$J,MATCH($B133,CAT4_2021_2022!$A:$A,0)),"")))</f>
        <v>95</v>
      </c>
      <c r="W133" t="s">
        <v>644</v>
      </c>
    </row>
    <row r="134" spans="1:23" x14ac:dyDescent="0.3">
      <c r="A134" t="s">
        <v>298</v>
      </c>
      <c r="B134" t="s">
        <v>337</v>
      </c>
      <c r="C134" t="s">
        <v>662</v>
      </c>
      <c r="I134" t="s">
        <v>560</v>
      </c>
      <c r="J134">
        <v>128</v>
      </c>
      <c r="K134">
        <f t="shared" si="10"/>
        <v>51.2</v>
      </c>
      <c r="L134">
        <v>19</v>
      </c>
      <c r="M134">
        <f t="shared" si="11"/>
        <v>38</v>
      </c>
      <c r="N134">
        <f t="shared" si="12"/>
        <v>92</v>
      </c>
      <c r="O134">
        <f t="shared" si="13"/>
        <v>64.788732394366207</v>
      </c>
      <c r="P134">
        <f t="shared" si="14"/>
        <v>51.329577464788734</v>
      </c>
      <c r="Q134" t="str">
        <f>IF($A134="Class of 2022","",IFERROR(INDEX(CAT4_2022_2023!$F:$F,MATCH($B134,CAT4_2022_2023!$A:$A,0)),IFERROR(INDEX(CAT4_2021_2022!$F:$F,MATCH($B134,CAT4_2021_2022!$A:$A,0)),"")))</f>
        <v>Moderate spatial bias</v>
      </c>
      <c r="R134">
        <f>IF($A134="Class of 2022","",IFERROR(INDEX(CAT4_2022_2023!$G:$G,MATCH($B134,CAT4_2022_2023!$A:$A,0)),IFERROR(INDEX(CAT4_2021_2022!$G:$G,MATCH($B134,CAT4_2021_2022!$A:$A,0)),"")))</f>
        <v>76</v>
      </c>
      <c r="S134">
        <f>IF($A134="Class of 2022","",IFERROR(INDEX(CAT4_2022_2023!$H:$H,MATCH($B134,CAT4_2022_2023!$A:$A,0)),IFERROR(INDEX(CAT4_2021_2022!$H:$H,MATCH($B134,CAT4_2021_2022!$A:$A,0)),"")))</f>
        <v>103</v>
      </c>
      <c r="T134">
        <f>IF($A134="Class of 2022","",IFERROR(INDEX(CAT4_2022_2023!$I:$I,MATCH($B134,CAT4_2022_2023!$A:$A,0)),IFERROR(INDEX(CAT4_2021_2022!$I:$I,MATCH($B134,CAT4_2021_2022!$A:$A,0)),"")))</f>
        <v>90</v>
      </c>
      <c r="U134">
        <f>IF($A134="Class of 2022","",IFERROR(INDEX(CAT4_2022_2023!$J:$J,MATCH($B134,CAT4_2022_2023!$A:$A,0)),IFERROR(INDEX(CAT4_2021_2022!$J:$J,MATCH($B134,CAT4_2021_2022!$A:$A,0)),"")))</f>
        <v>97</v>
      </c>
      <c r="W134" t="s">
        <v>644</v>
      </c>
    </row>
    <row r="135" spans="1:23" x14ac:dyDescent="0.3">
      <c r="A135" t="s">
        <v>298</v>
      </c>
      <c r="B135" t="s">
        <v>339</v>
      </c>
      <c r="C135" t="s">
        <v>663</v>
      </c>
      <c r="I135" t="s">
        <v>566</v>
      </c>
      <c r="J135">
        <v>149</v>
      </c>
      <c r="K135">
        <f t="shared" si="10"/>
        <v>59.599999999999994</v>
      </c>
      <c r="L135">
        <v>26</v>
      </c>
      <c r="M135">
        <f t="shared" si="11"/>
        <v>52</v>
      </c>
      <c r="N135">
        <f t="shared" si="12"/>
        <v>101</v>
      </c>
      <c r="O135">
        <f t="shared" si="13"/>
        <v>71.126760563380287</v>
      </c>
      <c r="P135">
        <f t="shared" si="14"/>
        <v>60.908920187793427</v>
      </c>
      <c r="Q135" t="str">
        <f>IF($A135="Class of 2022","",IFERROR(INDEX(CAT4_2022_2023!$F:$F,MATCH($B135,CAT4_2022_2023!$A:$A,0)),IFERROR(INDEX(CAT4_2021_2022!$F:$F,MATCH($B135,CAT4_2021_2022!$A:$A,0)),"")))</f>
        <v>No bias</v>
      </c>
      <c r="R135">
        <f>IF($A135="Class of 2022","",IFERROR(INDEX(CAT4_2022_2023!$G:$G,MATCH($B135,CAT4_2022_2023!$A:$A,0)),IFERROR(INDEX(CAT4_2021_2022!$G:$G,MATCH($B135,CAT4_2021_2022!$A:$A,0)),"")))</f>
        <v>95</v>
      </c>
      <c r="S135">
        <f>IF($A135="Class of 2022","",IFERROR(INDEX(CAT4_2022_2023!$H:$H,MATCH($B135,CAT4_2022_2023!$A:$A,0)),IFERROR(INDEX(CAT4_2021_2022!$H:$H,MATCH($B135,CAT4_2021_2022!$A:$A,0)),"")))</f>
        <v>100</v>
      </c>
      <c r="T135">
        <f>IF($A135="Class of 2022","",IFERROR(INDEX(CAT4_2022_2023!$I:$I,MATCH($B135,CAT4_2022_2023!$A:$A,0)),IFERROR(INDEX(CAT4_2021_2022!$I:$I,MATCH($B135,CAT4_2021_2022!$A:$A,0)),"")))</f>
        <v>110</v>
      </c>
      <c r="U135">
        <f>IF($A135="Class of 2022","",IFERROR(INDEX(CAT4_2022_2023!$J:$J,MATCH($B135,CAT4_2022_2023!$A:$A,0)),IFERROR(INDEX(CAT4_2021_2022!$J:$J,MATCH($B135,CAT4_2021_2022!$A:$A,0)),"")))</f>
        <v>97</v>
      </c>
      <c r="W135" t="s">
        <v>644</v>
      </c>
    </row>
    <row r="136" spans="1:23" x14ac:dyDescent="0.3">
      <c r="A136" t="s">
        <v>298</v>
      </c>
      <c r="B136" t="s">
        <v>341</v>
      </c>
      <c r="C136" t="s">
        <v>664</v>
      </c>
      <c r="I136" t="s">
        <v>566</v>
      </c>
      <c r="J136">
        <v>151</v>
      </c>
      <c r="K136">
        <f t="shared" si="10"/>
        <v>60.4</v>
      </c>
      <c r="L136">
        <v>13</v>
      </c>
      <c r="M136">
        <f t="shared" si="11"/>
        <v>26</v>
      </c>
      <c r="N136">
        <f t="shared" si="12"/>
        <v>90</v>
      </c>
      <c r="O136">
        <f t="shared" si="13"/>
        <v>63.380281690140848</v>
      </c>
      <c r="P136">
        <f t="shared" si="14"/>
        <v>49.926760563380277</v>
      </c>
      <c r="Q136" t="str">
        <f>IF($A136="Class of 2022","",IFERROR(INDEX(CAT4_2022_2023!$F:$F,MATCH($B136,CAT4_2022_2023!$A:$A,0)),IFERROR(INDEX(CAT4_2021_2022!$F:$F,MATCH($B136,CAT4_2021_2022!$A:$A,0)),"")))</f>
        <v>No bias</v>
      </c>
      <c r="R136">
        <f>IF($A136="Class of 2022","",IFERROR(INDEX(CAT4_2022_2023!$G:$G,MATCH($B136,CAT4_2022_2023!$A:$A,0)),IFERROR(INDEX(CAT4_2021_2022!$G:$G,MATCH($B136,CAT4_2021_2022!$A:$A,0)),"")))</f>
        <v>87</v>
      </c>
      <c r="S136">
        <f>IF($A136="Class of 2022","",IFERROR(INDEX(CAT4_2022_2023!$H:$H,MATCH($B136,CAT4_2022_2023!$A:$A,0)),IFERROR(INDEX(CAT4_2021_2022!$H:$H,MATCH($B136,CAT4_2021_2022!$A:$A,0)),"")))</f>
        <v>75</v>
      </c>
      <c r="T136">
        <f>IF($A136="Class of 2022","",IFERROR(INDEX(CAT4_2022_2023!$I:$I,MATCH($B136,CAT4_2022_2023!$A:$A,0)),IFERROR(INDEX(CAT4_2021_2022!$I:$I,MATCH($B136,CAT4_2021_2022!$A:$A,0)),"")))</f>
        <v>108</v>
      </c>
      <c r="U136">
        <f>IF($A136="Class of 2022","",IFERROR(INDEX(CAT4_2022_2023!$J:$J,MATCH($B136,CAT4_2022_2023!$A:$A,0)),IFERROR(INDEX(CAT4_2021_2022!$J:$J,MATCH($B136,CAT4_2021_2022!$A:$A,0)),"")))</f>
        <v>90</v>
      </c>
      <c r="W136" t="s">
        <v>644</v>
      </c>
    </row>
    <row r="137" spans="1:23" x14ac:dyDescent="0.3">
      <c r="A137" t="s">
        <v>298</v>
      </c>
      <c r="B137" t="s">
        <v>343</v>
      </c>
      <c r="C137" t="s">
        <v>665</v>
      </c>
      <c r="I137" t="s">
        <v>566</v>
      </c>
      <c r="J137">
        <v>159</v>
      </c>
      <c r="K137">
        <f t="shared" si="10"/>
        <v>63.6</v>
      </c>
      <c r="L137">
        <v>25</v>
      </c>
      <c r="M137">
        <f t="shared" si="11"/>
        <v>50</v>
      </c>
      <c r="N137">
        <f t="shared" si="12"/>
        <v>109</v>
      </c>
      <c r="O137">
        <f t="shared" si="13"/>
        <v>76.760563380281681</v>
      </c>
      <c r="P137">
        <f t="shared" si="14"/>
        <v>63.453521126760563</v>
      </c>
      <c r="Q137" t="str">
        <f>IF($A137="Class of 2022","",IFERROR(INDEX(CAT4_2022_2023!$F:$F,MATCH($B137,CAT4_2022_2023!$A:$A,0)),IFERROR(INDEX(CAT4_2021_2022!$F:$F,MATCH($B137,CAT4_2021_2022!$A:$A,0)),"")))</f>
        <v>Mild spatial bias</v>
      </c>
      <c r="R137">
        <f>IF($A137="Class of 2022","",IFERROR(INDEX(CAT4_2022_2023!$G:$G,MATCH($B137,CAT4_2022_2023!$A:$A,0)),IFERROR(INDEX(CAT4_2021_2022!$G:$G,MATCH($B137,CAT4_2021_2022!$A:$A,0)),"")))</f>
        <v>97</v>
      </c>
      <c r="S137">
        <f>IF($A137="Class of 2022","",IFERROR(INDEX(CAT4_2022_2023!$H:$H,MATCH($B137,CAT4_2022_2023!$A:$A,0)),IFERROR(INDEX(CAT4_2021_2022!$H:$H,MATCH($B137,CAT4_2021_2022!$A:$A,0)),"")))</f>
        <v>114</v>
      </c>
      <c r="T137">
        <f>IF($A137="Class of 2022","",IFERROR(INDEX(CAT4_2022_2023!$I:$I,MATCH($B137,CAT4_2022_2023!$A:$A,0)),IFERROR(INDEX(CAT4_2021_2022!$I:$I,MATCH($B137,CAT4_2021_2022!$A:$A,0)),"")))</f>
        <v>110</v>
      </c>
      <c r="U137">
        <f>IF($A137="Class of 2022","",IFERROR(INDEX(CAT4_2022_2023!$J:$J,MATCH($B137,CAT4_2022_2023!$A:$A,0)),IFERROR(INDEX(CAT4_2021_2022!$J:$J,MATCH($B137,CAT4_2021_2022!$A:$A,0)),"")))</f>
        <v>116</v>
      </c>
      <c r="W137" t="s">
        <v>644</v>
      </c>
    </row>
    <row r="138" spans="1:23" x14ac:dyDescent="0.3">
      <c r="A138" t="s">
        <v>298</v>
      </c>
      <c r="B138" t="s">
        <v>345</v>
      </c>
      <c r="C138" t="s">
        <v>666</v>
      </c>
      <c r="I138" t="s">
        <v>560</v>
      </c>
      <c r="J138">
        <v>114</v>
      </c>
      <c r="K138">
        <f t="shared" si="10"/>
        <v>45.6</v>
      </c>
      <c r="L138">
        <v>27</v>
      </c>
      <c r="M138">
        <f t="shared" si="11"/>
        <v>54</v>
      </c>
      <c r="N138">
        <f t="shared" si="12"/>
        <v>103</v>
      </c>
      <c r="O138">
        <f t="shared" si="13"/>
        <v>72.535211267605632</v>
      </c>
      <c r="P138">
        <f t="shared" si="14"/>
        <v>57.37840375586854</v>
      </c>
      <c r="Q138" t="str">
        <f>IF($A138="Class of 2022","",IFERROR(INDEX(CAT4_2022_2023!$F:$F,MATCH($B138,CAT4_2022_2023!$A:$A,0)),IFERROR(INDEX(CAT4_2021_2022!$F:$F,MATCH($B138,CAT4_2021_2022!$A:$A,0)),"")))</f>
        <v>Extreme spatial bias</v>
      </c>
      <c r="R138">
        <f>IF($A138="Class of 2022","",IFERROR(INDEX(CAT4_2022_2023!$G:$G,MATCH($B138,CAT4_2022_2023!$A:$A,0)),IFERROR(INDEX(CAT4_2021_2022!$G:$G,MATCH($B138,CAT4_2021_2022!$A:$A,0)),"")))</f>
        <v>78</v>
      </c>
      <c r="S138">
        <f>IF($A138="Class of 2022","",IFERROR(INDEX(CAT4_2022_2023!$H:$H,MATCH($B138,CAT4_2022_2023!$A:$A,0)),IFERROR(INDEX(CAT4_2021_2022!$H:$H,MATCH($B138,CAT4_2021_2022!$A:$A,0)),"")))</f>
        <v>120</v>
      </c>
      <c r="T138">
        <f>IF($A138="Class of 2022","",IFERROR(INDEX(CAT4_2022_2023!$I:$I,MATCH($B138,CAT4_2022_2023!$A:$A,0)),IFERROR(INDEX(CAT4_2021_2022!$I:$I,MATCH($B138,CAT4_2021_2022!$A:$A,0)),"")))</f>
        <v>99</v>
      </c>
      <c r="U138">
        <f>IF($A138="Class of 2022","",IFERROR(INDEX(CAT4_2022_2023!$J:$J,MATCH($B138,CAT4_2022_2023!$A:$A,0)),IFERROR(INDEX(CAT4_2021_2022!$J:$J,MATCH($B138,CAT4_2021_2022!$A:$A,0)),"")))</f>
        <v>116</v>
      </c>
      <c r="W138" t="s">
        <v>644</v>
      </c>
    </row>
    <row r="139" spans="1:23" x14ac:dyDescent="0.3">
      <c r="A139" t="s">
        <v>298</v>
      </c>
      <c r="B139" t="s">
        <v>347</v>
      </c>
      <c r="C139" t="s">
        <v>667</v>
      </c>
      <c r="I139" t="s">
        <v>566</v>
      </c>
      <c r="J139">
        <v>159</v>
      </c>
      <c r="K139">
        <f t="shared" si="10"/>
        <v>63.6</v>
      </c>
      <c r="L139">
        <v>23</v>
      </c>
      <c r="M139">
        <f t="shared" si="11"/>
        <v>46</v>
      </c>
      <c r="N139">
        <f t="shared" si="12"/>
        <v>96</v>
      </c>
      <c r="O139">
        <f t="shared" si="13"/>
        <v>67.605633802816897</v>
      </c>
      <c r="P139">
        <f t="shared" si="14"/>
        <v>59.068544600938964</v>
      </c>
      <c r="Q139" t="str">
        <f>IF($A139="Class of 2022","",IFERROR(INDEX(CAT4_2022_2023!$F:$F,MATCH($B139,CAT4_2022_2023!$A:$A,0)),IFERROR(INDEX(CAT4_2021_2022!$F:$F,MATCH($B139,CAT4_2021_2022!$A:$A,0)),"")))</f>
        <v>Mild spatial bias</v>
      </c>
      <c r="R139">
        <f>IF($A139="Class of 2022","",IFERROR(INDEX(CAT4_2022_2023!$G:$G,MATCH($B139,CAT4_2022_2023!$A:$A,0)),IFERROR(INDEX(CAT4_2021_2022!$G:$G,MATCH($B139,CAT4_2021_2022!$A:$A,0)),"")))</f>
        <v>83</v>
      </c>
      <c r="S139">
        <f>IF($A139="Class of 2022","",IFERROR(INDEX(CAT4_2022_2023!$H:$H,MATCH($B139,CAT4_2022_2023!$A:$A,0)),IFERROR(INDEX(CAT4_2021_2022!$H:$H,MATCH($B139,CAT4_2021_2022!$A:$A,0)),"")))</f>
        <v>106</v>
      </c>
      <c r="T139">
        <f>IF($A139="Class of 2022","",IFERROR(INDEX(CAT4_2022_2023!$I:$I,MATCH($B139,CAT4_2022_2023!$A:$A,0)),IFERROR(INDEX(CAT4_2021_2022!$I:$I,MATCH($B139,CAT4_2021_2022!$A:$A,0)),"")))</f>
        <v>97</v>
      </c>
      <c r="U139">
        <f>IF($A139="Class of 2022","",IFERROR(INDEX(CAT4_2022_2023!$J:$J,MATCH($B139,CAT4_2022_2023!$A:$A,0)),IFERROR(INDEX(CAT4_2021_2022!$J:$J,MATCH($B139,CAT4_2021_2022!$A:$A,0)),"")))</f>
        <v>98</v>
      </c>
      <c r="W139" t="s">
        <v>644</v>
      </c>
    </row>
    <row r="140" spans="1:23" x14ac:dyDescent="0.3">
      <c r="A140" t="s">
        <v>298</v>
      </c>
      <c r="B140" t="s">
        <v>349</v>
      </c>
      <c r="C140" t="s">
        <v>668</v>
      </c>
      <c r="I140" t="s">
        <v>560</v>
      </c>
      <c r="J140">
        <v>139</v>
      </c>
      <c r="K140">
        <f t="shared" si="10"/>
        <v>55.600000000000009</v>
      </c>
      <c r="L140">
        <v>16</v>
      </c>
      <c r="M140">
        <f t="shared" si="11"/>
        <v>32</v>
      </c>
      <c r="N140">
        <f t="shared" si="12"/>
        <v>104</v>
      </c>
      <c r="O140">
        <f t="shared" si="13"/>
        <v>73.239436619718319</v>
      </c>
      <c r="P140">
        <f t="shared" si="14"/>
        <v>53.613145539906107</v>
      </c>
      <c r="Q140" t="str">
        <f>IF($A140="Class of 2022","",IFERROR(INDEX(CAT4_2022_2023!$F:$F,MATCH($B140,CAT4_2022_2023!$A:$A,0)),IFERROR(INDEX(CAT4_2021_2022!$F:$F,MATCH($B140,CAT4_2021_2022!$A:$A,0)),"")))</f>
        <v>Extreme spatial bias</v>
      </c>
      <c r="R140">
        <f>IF($A140="Class of 2022","",IFERROR(INDEX(CAT4_2022_2023!$G:$G,MATCH($B140,CAT4_2022_2023!$A:$A,0)),IFERROR(INDEX(CAT4_2021_2022!$G:$G,MATCH($B140,CAT4_2021_2022!$A:$A,0)),"")))</f>
        <v>85</v>
      </c>
      <c r="S140">
        <f>IF($A140="Class of 2022","",IFERROR(INDEX(CAT4_2022_2023!$H:$H,MATCH($B140,CAT4_2022_2023!$A:$A,0)),IFERROR(INDEX(CAT4_2021_2022!$H:$H,MATCH($B140,CAT4_2021_2022!$A:$A,0)),"")))</f>
        <v>105</v>
      </c>
      <c r="T140">
        <f>IF($A140="Class of 2022","",IFERROR(INDEX(CAT4_2022_2023!$I:$I,MATCH($B140,CAT4_2022_2023!$A:$A,0)),IFERROR(INDEX(CAT4_2021_2022!$I:$I,MATCH($B140,CAT4_2021_2022!$A:$A,0)),"")))</f>
        <v>112</v>
      </c>
      <c r="U140">
        <f>IF($A140="Class of 2022","",IFERROR(INDEX(CAT4_2022_2023!$J:$J,MATCH($B140,CAT4_2022_2023!$A:$A,0)),IFERROR(INDEX(CAT4_2021_2022!$J:$J,MATCH($B140,CAT4_2021_2022!$A:$A,0)),"")))</f>
        <v>112</v>
      </c>
      <c r="W140" t="s">
        <v>644</v>
      </c>
    </row>
    <row r="141" spans="1:23" x14ac:dyDescent="0.3">
      <c r="A141" t="s">
        <v>298</v>
      </c>
      <c r="B141" t="s">
        <v>351</v>
      </c>
      <c r="C141" t="s">
        <v>669</v>
      </c>
      <c r="I141" t="s">
        <v>560</v>
      </c>
      <c r="J141">
        <v>112</v>
      </c>
      <c r="K141">
        <f t="shared" si="10"/>
        <v>44.800000000000004</v>
      </c>
      <c r="L141">
        <v>26</v>
      </c>
      <c r="M141">
        <f t="shared" si="11"/>
        <v>52</v>
      </c>
      <c r="N141">
        <f t="shared" si="12"/>
        <v>97</v>
      </c>
      <c r="O141">
        <f t="shared" si="13"/>
        <v>68.309859154929569</v>
      </c>
      <c r="P141">
        <f t="shared" si="14"/>
        <v>55.036619718309858</v>
      </c>
      <c r="Q141" t="str">
        <f>IF($A141="Class of 2022","",IFERROR(INDEX(CAT4_2022_2023!$F:$F,MATCH($B141,CAT4_2022_2023!$A:$A,0)),IFERROR(INDEX(CAT4_2021_2022!$F:$F,MATCH($B141,CAT4_2021_2022!$A:$A,0)),"")))</f>
        <v>Moderate spatial bias</v>
      </c>
      <c r="R141">
        <f>IF($A141="Class of 2022","",IFERROR(INDEX(CAT4_2022_2023!$G:$G,MATCH($B141,CAT4_2022_2023!$A:$A,0)),IFERROR(INDEX(CAT4_2021_2022!$G:$G,MATCH($B141,CAT4_2021_2022!$A:$A,0)),"")))</f>
        <v>80</v>
      </c>
      <c r="S141">
        <f>IF($A141="Class of 2022","",IFERROR(INDEX(CAT4_2022_2023!$H:$H,MATCH($B141,CAT4_2022_2023!$A:$A,0)),IFERROR(INDEX(CAT4_2021_2022!$H:$H,MATCH($B141,CAT4_2021_2022!$A:$A,0)),"")))</f>
        <v>106</v>
      </c>
      <c r="T141">
        <f>IF($A141="Class of 2022","",IFERROR(INDEX(CAT4_2022_2023!$I:$I,MATCH($B141,CAT4_2022_2023!$A:$A,0)),IFERROR(INDEX(CAT4_2021_2022!$I:$I,MATCH($B141,CAT4_2021_2022!$A:$A,0)),"")))</f>
        <v>103</v>
      </c>
      <c r="U141">
        <f>IF($A141="Class of 2022","",IFERROR(INDEX(CAT4_2022_2023!$J:$J,MATCH($B141,CAT4_2022_2023!$A:$A,0)),IFERROR(INDEX(CAT4_2021_2022!$J:$J,MATCH($B141,CAT4_2021_2022!$A:$A,0)),"")))</f>
        <v>98</v>
      </c>
      <c r="W141" t="s">
        <v>644</v>
      </c>
    </row>
    <row r="142" spans="1:23" x14ac:dyDescent="0.3">
      <c r="A142" t="s">
        <v>298</v>
      </c>
      <c r="B142" t="s">
        <v>353</v>
      </c>
      <c r="C142" t="s">
        <v>670</v>
      </c>
      <c r="I142" t="s">
        <v>566</v>
      </c>
      <c r="J142">
        <v>140</v>
      </c>
      <c r="K142">
        <f t="shared" si="10"/>
        <v>56.000000000000007</v>
      </c>
      <c r="L142">
        <v>25</v>
      </c>
      <c r="M142">
        <f t="shared" si="11"/>
        <v>50</v>
      </c>
      <c r="N142">
        <f t="shared" si="12"/>
        <v>86</v>
      </c>
      <c r="O142">
        <f t="shared" si="13"/>
        <v>60.563380281690137</v>
      </c>
      <c r="P142">
        <f t="shared" si="14"/>
        <v>55.521126760563384</v>
      </c>
      <c r="Q142" t="str">
        <f>IF($A142="Class of 2022","",IFERROR(INDEX(CAT4_2022_2023!$F:$F,MATCH($B142,CAT4_2022_2023!$A:$A,0)),IFERROR(INDEX(CAT4_2021_2022!$F:$F,MATCH($B142,CAT4_2021_2022!$A:$A,0)),"")))</f>
        <v>No bias</v>
      </c>
      <c r="R142">
        <f>IF($A142="Class of 2022","",IFERROR(INDEX(CAT4_2022_2023!$G:$G,MATCH($B142,CAT4_2022_2023!$A:$A,0)),IFERROR(INDEX(CAT4_2021_2022!$G:$G,MATCH($B142,CAT4_2021_2022!$A:$A,0)),"")))</f>
        <v>83</v>
      </c>
      <c r="S142">
        <f>IF($A142="Class of 2022","",IFERROR(INDEX(CAT4_2022_2023!$H:$H,MATCH($B142,CAT4_2022_2023!$A:$A,0)),IFERROR(INDEX(CAT4_2021_2022!$H:$H,MATCH($B142,CAT4_2021_2022!$A:$A,0)),"")))</f>
        <v>90</v>
      </c>
      <c r="T142">
        <f>IF($A142="Class of 2022","",IFERROR(INDEX(CAT4_2022_2023!$I:$I,MATCH($B142,CAT4_2022_2023!$A:$A,0)),IFERROR(INDEX(CAT4_2021_2022!$I:$I,MATCH($B142,CAT4_2021_2022!$A:$A,0)),"")))</f>
        <v>90</v>
      </c>
      <c r="U142">
        <f>IF($A142="Class of 2022","",IFERROR(INDEX(CAT4_2022_2023!$J:$J,MATCH($B142,CAT4_2022_2023!$A:$A,0)),IFERROR(INDEX(CAT4_2021_2022!$J:$J,MATCH($B142,CAT4_2021_2022!$A:$A,0)),"")))</f>
        <v>80</v>
      </c>
      <c r="W142" t="s">
        <v>644</v>
      </c>
    </row>
    <row r="143" spans="1:23" x14ac:dyDescent="0.3">
      <c r="A143" t="s">
        <v>298</v>
      </c>
      <c r="B143" t="s">
        <v>355</v>
      </c>
      <c r="C143" t="s">
        <v>671</v>
      </c>
      <c r="I143" t="s">
        <v>560</v>
      </c>
      <c r="J143">
        <v>140</v>
      </c>
      <c r="K143">
        <f t="shared" si="10"/>
        <v>56.000000000000007</v>
      </c>
      <c r="L143">
        <v>14</v>
      </c>
      <c r="M143">
        <f t="shared" si="11"/>
        <v>28.000000000000004</v>
      </c>
      <c r="N143">
        <f t="shared" si="12"/>
        <v>96</v>
      </c>
      <c r="O143">
        <f t="shared" si="13"/>
        <v>67.605633802816897</v>
      </c>
      <c r="P143">
        <f t="shared" si="14"/>
        <v>50.535211267605632</v>
      </c>
      <c r="Q143" t="str">
        <f>IF($A143="Class of 2022","",IFERROR(INDEX(CAT4_2022_2023!$F:$F,MATCH($B143,CAT4_2022_2023!$A:$A,0)),IFERROR(INDEX(CAT4_2021_2022!$F:$F,MATCH($B143,CAT4_2021_2022!$A:$A,0)),"")))</f>
        <v>Moderate spatial bias</v>
      </c>
      <c r="R143">
        <f>IF($A143="Class of 2022","",IFERROR(INDEX(CAT4_2022_2023!$G:$G,MATCH($B143,CAT4_2022_2023!$A:$A,0)),IFERROR(INDEX(CAT4_2021_2022!$G:$G,MATCH($B143,CAT4_2021_2022!$A:$A,0)),"")))</f>
        <v>85</v>
      </c>
      <c r="S143">
        <f>IF($A143="Class of 2022","",IFERROR(INDEX(CAT4_2022_2023!$H:$H,MATCH($B143,CAT4_2022_2023!$A:$A,0)),IFERROR(INDEX(CAT4_2021_2022!$H:$H,MATCH($B143,CAT4_2021_2022!$A:$A,0)),"")))</f>
        <v>90</v>
      </c>
      <c r="T143">
        <f>IF($A143="Class of 2022","",IFERROR(INDEX(CAT4_2022_2023!$I:$I,MATCH($B143,CAT4_2022_2023!$A:$A,0)),IFERROR(INDEX(CAT4_2021_2022!$I:$I,MATCH($B143,CAT4_2021_2022!$A:$A,0)),"")))</f>
        <v>97</v>
      </c>
      <c r="U143">
        <f>IF($A143="Class of 2022","",IFERROR(INDEX(CAT4_2022_2023!$J:$J,MATCH($B143,CAT4_2022_2023!$A:$A,0)),IFERROR(INDEX(CAT4_2021_2022!$J:$J,MATCH($B143,CAT4_2021_2022!$A:$A,0)),"")))</f>
        <v>111</v>
      </c>
      <c r="W143" t="s">
        <v>644</v>
      </c>
    </row>
    <row r="144" spans="1:23" x14ac:dyDescent="0.3">
      <c r="A144" t="s">
        <v>298</v>
      </c>
      <c r="B144" t="s">
        <v>357</v>
      </c>
      <c r="C144" t="s">
        <v>672</v>
      </c>
      <c r="I144" t="s">
        <v>560</v>
      </c>
      <c r="J144">
        <v>132</v>
      </c>
      <c r="K144">
        <f t="shared" si="10"/>
        <v>52.800000000000004</v>
      </c>
      <c r="L144">
        <v>13</v>
      </c>
      <c r="M144">
        <f t="shared" si="11"/>
        <v>26</v>
      </c>
      <c r="N144">
        <f t="shared" si="12"/>
        <v>93</v>
      </c>
      <c r="O144">
        <f t="shared" si="13"/>
        <v>65.492957746478879</v>
      </c>
      <c r="P144">
        <f t="shared" si="14"/>
        <v>48.097652582159633</v>
      </c>
      <c r="Q144" t="str">
        <f>IF($A144="Class of 2022","",IFERROR(INDEX(CAT4_2022_2023!$F:$F,MATCH($B144,CAT4_2022_2023!$A:$A,0)),IFERROR(INDEX(CAT4_2021_2022!$F:$F,MATCH($B144,CAT4_2021_2022!$A:$A,0)),"")))</f>
        <v>Extreme spatial bias</v>
      </c>
      <c r="R144">
        <f>IF($A144="Class of 2022","",IFERROR(INDEX(CAT4_2022_2023!$G:$G,MATCH($B144,CAT4_2022_2023!$A:$A,0)),IFERROR(INDEX(CAT4_2021_2022!$G:$G,MATCH($B144,CAT4_2021_2022!$A:$A,0)),"")))</f>
        <v>72</v>
      </c>
      <c r="S144">
        <f>IF($A144="Class of 2022","",IFERROR(INDEX(CAT4_2022_2023!$H:$H,MATCH($B144,CAT4_2022_2023!$A:$A,0)),IFERROR(INDEX(CAT4_2021_2022!$H:$H,MATCH($B144,CAT4_2021_2022!$A:$A,0)),"")))</f>
        <v>103</v>
      </c>
      <c r="T144">
        <f>IF($A144="Class of 2022","",IFERROR(INDEX(CAT4_2022_2023!$I:$I,MATCH($B144,CAT4_2022_2023!$A:$A,0)),IFERROR(INDEX(CAT4_2021_2022!$I:$I,MATCH($B144,CAT4_2021_2022!$A:$A,0)),"")))</f>
        <v>101</v>
      </c>
      <c r="U144">
        <f>IF($A144="Class of 2022","",IFERROR(INDEX(CAT4_2022_2023!$J:$J,MATCH($B144,CAT4_2022_2023!$A:$A,0)),IFERROR(INDEX(CAT4_2021_2022!$J:$J,MATCH($B144,CAT4_2021_2022!$A:$A,0)),"")))</f>
        <v>97</v>
      </c>
      <c r="W144" t="s">
        <v>644</v>
      </c>
    </row>
    <row r="145" spans="1:23" x14ac:dyDescent="0.3">
      <c r="A145" t="s">
        <v>298</v>
      </c>
      <c r="B145" t="s">
        <v>359</v>
      </c>
      <c r="C145" t="s">
        <v>673</v>
      </c>
      <c r="I145" t="s">
        <v>566</v>
      </c>
      <c r="J145">
        <v>161</v>
      </c>
      <c r="K145">
        <f t="shared" si="10"/>
        <v>64.400000000000006</v>
      </c>
      <c r="L145">
        <v>19</v>
      </c>
      <c r="M145">
        <f t="shared" si="11"/>
        <v>38</v>
      </c>
      <c r="N145">
        <f t="shared" si="12"/>
        <v>92</v>
      </c>
      <c r="O145">
        <f t="shared" si="13"/>
        <v>64.788732394366207</v>
      </c>
      <c r="P145">
        <f t="shared" si="14"/>
        <v>55.72957746478874</v>
      </c>
      <c r="Q145" t="str">
        <f>IF($A145="Class of 2022","",IFERROR(INDEX(CAT4_2022_2023!$F:$F,MATCH($B145,CAT4_2022_2023!$A:$A,0)),IFERROR(INDEX(CAT4_2021_2022!$F:$F,MATCH($B145,CAT4_2021_2022!$A:$A,0)),"")))</f>
        <v>Mild spatial bias</v>
      </c>
      <c r="R145">
        <f>IF($A145="Class of 2022","",IFERROR(INDEX(CAT4_2022_2023!$G:$G,MATCH($B145,CAT4_2022_2023!$A:$A,0)),IFERROR(INDEX(CAT4_2021_2022!$G:$G,MATCH($B145,CAT4_2021_2022!$A:$A,0)),"")))</f>
        <v>83</v>
      </c>
      <c r="S145">
        <f>IF($A145="Class of 2022","",IFERROR(INDEX(CAT4_2022_2023!$H:$H,MATCH($B145,CAT4_2022_2023!$A:$A,0)),IFERROR(INDEX(CAT4_2021_2022!$H:$H,MATCH($B145,CAT4_2021_2022!$A:$A,0)),"")))</f>
        <v>87</v>
      </c>
      <c r="T145">
        <f>IF($A145="Class of 2022","",IFERROR(INDEX(CAT4_2022_2023!$I:$I,MATCH($B145,CAT4_2022_2023!$A:$A,0)),IFERROR(INDEX(CAT4_2021_2022!$I:$I,MATCH($B145,CAT4_2021_2022!$A:$A,0)),"")))</f>
        <v>101</v>
      </c>
      <c r="U145">
        <f>IF($A145="Class of 2022","",IFERROR(INDEX(CAT4_2022_2023!$J:$J,MATCH($B145,CAT4_2022_2023!$A:$A,0)),IFERROR(INDEX(CAT4_2021_2022!$J:$J,MATCH($B145,CAT4_2021_2022!$A:$A,0)),"")))</f>
        <v>98</v>
      </c>
      <c r="W145" t="s">
        <v>644</v>
      </c>
    </row>
    <row r="146" spans="1:23" x14ac:dyDescent="0.3">
      <c r="A146" t="s">
        <v>298</v>
      </c>
      <c r="B146" t="s">
        <v>361</v>
      </c>
      <c r="C146" t="s">
        <v>674</v>
      </c>
      <c r="I146" t="s">
        <v>560</v>
      </c>
      <c r="J146">
        <v>136</v>
      </c>
      <c r="K146">
        <f t="shared" si="10"/>
        <v>54.400000000000006</v>
      </c>
      <c r="L146">
        <v>13</v>
      </c>
      <c r="M146">
        <f t="shared" si="11"/>
        <v>26</v>
      </c>
      <c r="N146">
        <f t="shared" si="12"/>
        <v>89</v>
      </c>
      <c r="O146">
        <f t="shared" si="13"/>
        <v>62.676056338028175</v>
      </c>
      <c r="P146">
        <f t="shared" si="14"/>
        <v>47.692018779342732</v>
      </c>
      <c r="Q146" t="str">
        <f>IF($A146="Class of 2022","",IFERROR(INDEX(CAT4_2022_2023!$F:$F,MATCH($B146,CAT4_2022_2023!$A:$A,0)),IFERROR(INDEX(CAT4_2021_2022!$F:$F,MATCH($B146,CAT4_2021_2022!$A:$A,0)),"")))</f>
        <v>Extreme spatial bias</v>
      </c>
      <c r="R146">
        <f>IF($A146="Class of 2022","",IFERROR(INDEX(CAT4_2022_2023!$G:$G,MATCH($B146,CAT4_2022_2023!$A:$A,0)),IFERROR(INDEX(CAT4_2021_2022!$G:$G,MATCH($B146,CAT4_2021_2022!$A:$A,0)),"")))</f>
        <v>68</v>
      </c>
      <c r="S146">
        <f>IF($A146="Class of 2022","",IFERROR(INDEX(CAT4_2022_2023!$H:$H,MATCH($B146,CAT4_2022_2023!$A:$A,0)),IFERROR(INDEX(CAT4_2021_2022!$H:$H,MATCH($B146,CAT4_2021_2022!$A:$A,0)),"")))</f>
        <v>87</v>
      </c>
      <c r="T146">
        <f>IF($A146="Class of 2022","",IFERROR(INDEX(CAT4_2022_2023!$I:$I,MATCH($B146,CAT4_2022_2023!$A:$A,0)),IFERROR(INDEX(CAT4_2021_2022!$I:$I,MATCH($B146,CAT4_2021_2022!$A:$A,0)),"")))</f>
        <v>103</v>
      </c>
      <c r="U146">
        <f>IF($A146="Class of 2022","",IFERROR(INDEX(CAT4_2022_2023!$J:$J,MATCH($B146,CAT4_2022_2023!$A:$A,0)),IFERROR(INDEX(CAT4_2021_2022!$J:$J,MATCH($B146,CAT4_2021_2022!$A:$A,0)),"")))</f>
        <v>98</v>
      </c>
      <c r="W146" t="s">
        <v>644</v>
      </c>
    </row>
    <row r="147" spans="1:23" x14ac:dyDescent="0.3">
      <c r="A147" t="s">
        <v>298</v>
      </c>
      <c r="B147" t="s">
        <v>363</v>
      </c>
      <c r="C147" t="s">
        <v>675</v>
      </c>
      <c r="I147" t="s">
        <v>560</v>
      </c>
      <c r="J147">
        <v>121</v>
      </c>
      <c r="K147">
        <f t="shared" si="10"/>
        <v>48.4</v>
      </c>
      <c r="L147">
        <v>22</v>
      </c>
      <c r="M147">
        <f t="shared" si="11"/>
        <v>44</v>
      </c>
      <c r="N147">
        <f t="shared" si="12"/>
        <v>97</v>
      </c>
      <c r="O147">
        <f t="shared" si="13"/>
        <v>68.309859154929569</v>
      </c>
      <c r="P147">
        <f t="shared" si="14"/>
        <v>53.569953051643189</v>
      </c>
      <c r="Q147" t="str">
        <f>IF($A147="Class of 2022","",IFERROR(INDEX(CAT4_2022_2023!$F:$F,MATCH($B147,CAT4_2022_2023!$A:$A,0)),IFERROR(INDEX(CAT4_2021_2022!$F:$F,MATCH($B147,CAT4_2021_2022!$A:$A,0)),"")))</f>
        <v>Mild spatial bias</v>
      </c>
      <c r="R147">
        <f>IF($A147="Class of 2022","",IFERROR(INDEX(CAT4_2022_2023!$G:$G,MATCH($B147,CAT4_2022_2023!$A:$A,0)),IFERROR(INDEX(CAT4_2021_2022!$G:$G,MATCH($B147,CAT4_2021_2022!$A:$A,0)),"")))</f>
        <v>83</v>
      </c>
      <c r="S147">
        <f>IF($A147="Class of 2022","",IFERROR(INDEX(CAT4_2022_2023!$H:$H,MATCH($B147,CAT4_2022_2023!$A:$A,0)),IFERROR(INDEX(CAT4_2021_2022!$H:$H,MATCH($B147,CAT4_2021_2022!$A:$A,0)),"")))</f>
        <v>103</v>
      </c>
      <c r="T147">
        <f>IF($A147="Class of 2022","",IFERROR(INDEX(CAT4_2022_2023!$I:$I,MATCH($B147,CAT4_2022_2023!$A:$A,0)),IFERROR(INDEX(CAT4_2021_2022!$I:$I,MATCH($B147,CAT4_2021_2022!$A:$A,0)),"")))</f>
        <v>106</v>
      </c>
      <c r="U147">
        <f>IF($A147="Class of 2022","",IFERROR(INDEX(CAT4_2022_2023!$J:$J,MATCH($B147,CAT4_2022_2023!$A:$A,0)),IFERROR(INDEX(CAT4_2021_2022!$J:$J,MATCH($B147,CAT4_2021_2022!$A:$A,0)),"")))</f>
        <v>97</v>
      </c>
      <c r="W147" t="s">
        <v>644</v>
      </c>
    </row>
    <row r="148" spans="1:23" x14ac:dyDescent="0.3">
      <c r="A148" t="s">
        <v>298</v>
      </c>
      <c r="B148" t="s">
        <v>365</v>
      </c>
      <c r="C148" t="s">
        <v>676</v>
      </c>
      <c r="I148" t="s">
        <v>566</v>
      </c>
      <c r="J148">
        <v>146</v>
      </c>
      <c r="K148">
        <f t="shared" si="10"/>
        <v>58.4</v>
      </c>
      <c r="L148">
        <v>27</v>
      </c>
      <c r="M148">
        <f t="shared" si="11"/>
        <v>54</v>
      </c>
      <c r="N148">
        <f t="shared" si="12"/>
        <v>98</v>
      </c>
      <c r="O148">
        <f t="shared" si="13"/>
        <v>69.014084507042256</v>
      </c>
      <c r="P148">
        <f t="shared" si="14"/>
        <v>60.471361502347428</v>
      </c>
      <c r="Q148" t="str">
        <f>IF($A148="Class of 2022","",IFERROR(INDEX(CAT4_2022_2023!$F:$F,MATCH($B148,CAT4_2022_2023!$A:$A,0)),IFERROR(INDEX(CAT4_2021_2022!$F:$F,MATCH($B148,CAT4_2021_2022!$A:$A,0)),"")))</f>
        <v>No bias</v>
      </c>
      <c r="R148">
        <f>IF($A148="Class of 2022","",IFERROR(INDEX(CAT4_2022_2023!$G:$G,MATCH($B148,CAT4_2022_2023!$A:$A,0)),IFERROR(INDEX(CAT4_2021_2022!$G:$G,MATCH($B148,CAT4_2021_2022!$A:$A,0)),"")))</f>
        <v>92</v>
      </c>
      <c r="S148">
        <f>IF($A148="Class of 2022","",IFERROR(INDEX(CAT4_2022_2023!$H:$H,MATCH($B148,CAT4_2022_2023!$A:$A,0)),IFERROR(INDEX(CAT4_2021_2022!$H:$H,MATCH($B148,CAT4_2021_2022!$A:$A,0)),"")))</f>
        <v>105</v>
      </c>
      <c r="T148">
        <f>IF($A148="Class of 2022","",IFERROR(INDEX(CAT4_2022_2023!$I:$I,MATCH($B148,CAT4_2022_2023!$A:$A,0)),IFERROR(INDEX(CAT4_2021_2022!$I:$I,MATCH($B148,CAT4_2021_2022!$A:$A,0)),"")))</f>
        <v>103</v>
      </c>
      <c r="U148">
        <f>IF($A148="Class of 2022","",IFERROR(INDEX(CAT4_2022_2023!$J:$J,MATCH($B148,CAT4_2022_2023!$A:$A,0)),IFERROR(INDEX(CAT4_2021_2022!$J:$J,MATCH($B148,CAT4_2021_2022!$A:$A,0)),"")))</f>
        <v>93</v>
      </c>
      <c r="W148" t="s">
        <v>644</v>
      </c>
    </row>
    <row r="149" spans="1:23" x14ac:dyDescent="0.3">
      <c r="A149" t="s">
        <v>298</v>
      </c>
      <c r="B149" t="s">
        <v>367</v>
      </c>
      <c r="C149" t="s">
        <v>677</v>
      </c>
      <c r="I149" t="s">
        <v>566</v>
      </c>
      <c r="J149">
        <v>137</v>
      </c>
      <c r="K149">
        <f t="shared" si="10"/>
        <v>54.800000000000004</v>
      </c>
      <c r="L149">
        <v>24</v>
      </c>
      <c r="M149">
        <f t="shared" si="11"/>
        <v>48</v>
      </c>
      <c r="N149">
        <f t="shared" si="12"/>
        <v>106</v>
      </c>
      <c r="O149">
        <f t="shared" si="13"/>
        <v>74.647887323943664</v>
      </c>
      <c r="P149">
        <f t="shared" si="14"/>
        <v>59.149295774647896</v>
      </c>
      <c r="Q149" t="str">
        <f>IF($A149="Class of 2022","",IFERROR(INDEX(CAT4_2022_2023!$F:$F,MATCH($B149,CAT4_2022_2023!$A:$A,0)),IFERROR(INDEX(CAT4_2021_2022!$F:$F,MATCH($B149,CAT4_2021_2022!$A:$A,0)),"")))</f>
        <v>Mild spatial bias</v>
      </c>
      <c r="R149">
        <f>IF($A149="Class of 2022","",IFERROR(INDEX(CAT4_2022_2023!$G:$G,MATCH($B149,CAT4_2022_2023!$A:$A,0)),IFERROR(INDEX(CAT4_2021_2022!$G:$G,MATCH($B149,CAT4_2021_2022!$A:$A,0)),"")))</f>
        <v>102</v>
      </c>
      <c r="S149">
        <f>IF($A149="Class of 2022","",IFERROR(INDEX(CAT4_2022_2023!$H:$H,MATCH($B149,CAT4_2022_2023!$A:$A,0)),IFERROR(INDEX(CAT4_2021_2022!$H:$H,MATCH($B149,CAT4_2021_2022!$A:$A,0)),"")))</f>
        <v>108</v>
      </c>
      <c r="T149">
        <f>IF($A149="Class of 2022","",IFERROR(INDEX(CAT4_2022_2023!$I:$I,MATCH($B149,CAT4_2022_2023!$A:$A,0)),IFERROR(INDEX(CAT4_2021_2022!$I:$I,MATCH($B149,CAT4_2021_2022!$A:$A,0)),"")))</f>
        <v>101</v>
      </c>
      <c r="U149">
        <f>IF($A149="Class of 2022","",IFERROR(INDEX(CAT4_2022_2023!$J:$J,MATCH($B149,CAT4_2022_2023!$A:$A,0)),IFERROR(INDEX(CAT4_2021_2022!$J:$J,MATCH($B149,CAT4_2021_2022!$A:$A,0)),"")))</f>
        <v>114</v>
      </c>
      <c r="W149" t="s">
        <v>644</v>
      </c>
    </row>
    <row r="150" spans="1:23" x14ac:dyDescent="0.3">
      <c r="A150" t="s">
        <v>298</v>
      </c>
      <c r="B150" t="s">
        <v>369</v>
      </c>
      <c r="C150" t="s">
        <v>678</v>
      </c>
      <c r="I150" t="s">
        <v>566</v>
      </c>
      <c r="J150">
        <v>152</v>
      </c>
      <c r="K150">
        <f t="shared" si="10"/>
        <v>60.8</v>
      </c>
      <c r="L150">
        <v>26</v>
      </c>
      <c r="M150">
        <f t="shared" si="11"/>
        <v>52</v>
      </c>
      <c r="N150">
        <f t="shared" si="12"/>
        <v>112</v>
      </c>
      <c r="O150">
        <f t="shared" si="13"/>
        <v>78.873239436619713</v>
      </c>
      <c r="P150">
        <f t="shared" si="14"/>
        <v>63.891079812206577</v>
      </c>
      <c r="Q150" t="str">
        <f>IF($A150="Class of 2022","",IFERROR(INDEX(CAT4_2022_2023!$F:$F,MATCH($B150,CAT4_2022_2023!$A:$A,0)),IFERROR(INDEX(CAT4_2021_2022!$F:$F,MATCH($B150,CAT4_2021_2022!$A:$A,0)),"")))</f>
        <v>Extreme spatial bias</v>
      </c>
      <c r="R150">
        <f>IF($A150="Class of 2022","",IFERROR(INDEX(CAT4_2022_2023!$G:$G,MATCH($B150,CAT4_2022_2023!$A:$A,0)),IFERROR(INDEX(CAT4_2021_2022!$G:$G,MATCH($B150,CAT4_2021_2022!$A:$A,0)),"")))</f>
        <v>90</v>
      </c>
      <c r="S150">
        <f>IF($A150="Class of 2022","",IFERROR(INDEX(CAT4_2022_2023!$H:$H,MATCH($B150,CAT4_2022_2023!$A:$A,0)),IFERROR(INDEX(CAT4_2021_2022!$H:$H,MATCH($B150,CAT4_2021_2022!$A:$A,0)),"")))</f>
        <v>116</v>
      </c>
      <c r="T150">
        <f>IF($A150="Class of 2022","",IFERROR(INDEX(CAT4_2022_2023!$I:$I,MATCH($B150,CAT4_2022_2023!$A:$A,0)),IFERROR(INDEX(CAT4_2021_2022!$I:$I,MATCH($B150,CAT4_2021_2022!$A:$A,0)),"")))</f>
        <v>124</v>
      </c>
      <c r="U150">
        <f>IF($A150="Class of 2022","",IFERROR(INDEX(CAT4_2022_2023!$J:$J,MATCH($B150,CAT4_2022_2023!$A:$A,0)),IFERROR(INDEX(CAT4_2021_2022!$J:$J,MATCH($B150,CAT4_2021_2022!$A:$A,0)),"")))</f>
        <v>119</v>
      </c>
      <c r="W150" t="s">
        <v>644</v>
      </c>
    </row>
    <row r="151" spans="1:23" x14ac:dyDescent="0.3">
      <c r="A151" t="s">
        <v>298</v>
      </c>
      <c r="B151" t="s">
        <v>371</v>
      </c>
      <c r="C151" t="s">
        <v>679</v>
      </c>
      <c r="I151" t="s">
        <v>560</v>
      </c>
      <c r="J151">
        <v>136</v>
      </c>
      <c r="K151">
        <f t="shared" si="10"/>
        <v>54.400000000000006</v>
      </c>
      <c r="L151">
        <v>25</v>
      </c>
      <c r="M151">
        <f t="shared" si="11"/>
        <v>50</v>
      </c>
      <c r="N151">
        <f t="shared" si="12"/>
        <v>98</v>
      </c>
      <c r="O151">
        <f t="shared" si="13"/>
        <v>69.014084507042256</v>
      </c>
      <c r="P151">
        <f t="shared" si="14"/>
        <v>57.804694835680756</v>
      </c>
      <c r="Q151" t="str">
        <f>IF($A151="Class of 2022","",IFERROR(INDEX(CAT4_2022_2023!$F:$F,MATCH($B151,CAT4_2022_2023!$A:$A,0)),IFERROR(INDEX(CAT4_2021_2022!$F:$F,MATCH($B151,CAT4_2021_2022!$A:$A,0)),"")))</f>
        <v>Mild spatial bias</v>
      </c>
      <c r="R151">
        <f>IF($A151="Class of 2022","",IFERROR(INDEX(CAT4_2022_2023!$G:$G,MATCH($B151,CAT4_2022_2023!$A:$A,0)),IFERROR(INDEX(CAT4_2021_2022!$G:$G,MATCH($B151,CAT4_2021_2022!$A:$A,0)),"")))</f>
        <v>92</v>
      </c>
      <c r="S151">
        <f>IF($A151="Class of 2022","",IFERROR(INDEX(CAT4_2022_2023!$H:$H,MATCH($B151,CAT4_2022_2023!$A:$A,0)),IFERROR(INDEX(CAT4_2021_2022!$H:$H,MATCH($B151,CAT4_2021_2022!$A:$A,0)),"")))</f>
        <v>103</v>
      </c>
      <c r="T151">
        <f>IF($A151="Class of 2022","",IFERROR(INDEX(CAT4_2022_2023!$I:$I,MATCH($B151,CAT4_2022_2023!$A:$A,0)),IFERROR(INDEX(CAT4_2021_2022!$I:$I,MATCH($B151,CAT4_2021_2022!$A:$A,0)),"")))</f>
        <v>90</v>
      </c>
      <c r="U151">
        <f>IF($A151="Class of 2022","",IFERROR(INDEX(CAT4_2022_2023!$J:$J,MATCH($B151,CAT4_2022_2023!$A:$A,0)),IFERROR(INDEX(CAT4_2021_2022!$J:$J,MATCH($B151,CAT4_2021_2022!$A:$A,0)),"")))</f>
        <v>107</v>
      </c>
      <c r="W151" t="s">
        <v>644</v>
      </c>
    </row>
    <row r="152" spans="1:23" x14ac:dyDescent="0.3">
      <c r="A152" t="s">
        <v>298</v>
      </c>
      <c r="B152" t="s">
        <v>373</v>
      </c>
      <c r="C152" t="s">
        <v>680</v>
      </c>
      <c r="I152" t="s">
        <v>560</v>
      </c>
      <c r="J152">
        <v>118</v>
      </c>
      <c r="K152">
        <f t="shared" si="10"/>
        <v>47.199999999999996</v>
      </c>
      <c r="L152">
        <v>25</v>
      </c>
      <c r="M152">
        <f t="shared" si="11"/>
        <v>50</v>
      </c>
      <c r="N152">
        <f t="shared" si="12"/>
        <v>105</v>
      </c>
      <c r="O152">
        <f t="shared" si="13"/>
        <v>73.943661971830991</v>
      </c>
      <c r="P152">
        <f t="shared" si="14"/>
        <v>57.047887323943655</v>
      </c>
      <c r="Q152" t="str">
        <f>IF($A152="Class of 2022","",IFERROR(INDEX(CAT4_2022_2023!$F:$F,MATCH($B152,CAT4_2022_2023!$A:$A,0)),IFERROR(INDEX(CAT4_2021_2022!$F:$F,MATCH($B152,CAT4_2021_2022!$A:$A,0)),"")))</f>
        <v>Mild spatial bias</v>
      </c>
      <c r="R152">
        <f>IF($A152="Class of 2022","",IFERROR(INDEX(CAT4_2022_2023!$G:$G,MATCH($B152,CAT4_2022_2023!$A:$A,0)),IFERROR(INDEX(CAT4_2021_2022!$G:$G,MATCH($B152,CAT4_2021_2022!$A:$A,0)),"")))</f>
        <v>83</v>
      </c>
      <c r="S152">
        <f>IF($A152="Class of 2022","",IFERROR(INDEX(CAT4_2022_2023!$H:$H,MATCH($B152,CAT4_2022_2023!$A:$A,0)),IFERROR(INDEX(CAT4_2021_2022!$H:$H,MATCH($B152,CAT4_2021_2022!$A:$A,0)),"")))</f>
        <v>118</v>
      </c>
      <c r="T152">
        <f>IF($A152="Class of 2022","",IFERROR(INDEX(CAT4_2022_2023!$I:$I,MATCH($B152,CAT4_2022_2023!$A:$A,0)),IFERROR(INDEX(CAT4_2021_2022!$I:$I,MATCH($B152,CAT4_2021_2022!$A:$A,0)),"")))</f>
        <v>121</v>
      </c>
      <c r="U152">
        <f>IF($A152="Class of 2022","",IFERROR(INDEX(CAT4_2022_2023!$J:$J,MATCH($B152,CAT4_2022_2023!$A:$A,0)),IFERROR(INDEX(CAT4_2021_2022!$J:$J,MATCH($B152,CAT4_2021_2022!$A:$A,0)),"")))</f>
        <v>98</v>
      </c>
      <c r="W152" t="s">
        <v>644</v>
      </c>
    </row>
    <row r="153" spans="1:23" x14ac:dyDescent="0.3">
      <c r="A153" t="s">
        <v>298</v>
      </c>
      <c r="B153" t="s">
        <v>375</v>
      </c>
      <c r="C153" t="s">
        <v>681</v>
      </c>
      <c r="I153" t="s">
        <v>560</v>
      </c>
      <c r="J153">
        <v>139</v>
      </c>
      <c r="K153">
        <f t="shared" si="10"/>
        <v>55.600000000000009</v>
      </c>
      <c r="L153">
        <v>14</v>
      </c>
      <c r="M153">
        <f t="shared" si="11"/>
        <v>28.000000000000004</v>
      </c>
      <c r="N153">
        <f t="shared" si="12"/>
        <v>98</v>
      </c>
      <c r="O153">
        <f t="shared" si="13"/>
        <v>69.014084507042256</v>
      </c>
      <c r="P153">
        <f t="shared" si="14"/>
        <v>50.871361502347419</v>
      </c>
      <c r="Q153" t="str">
        <f>IF($A153="Class of 2022","",IFERROR(INDEX(CAT4_2022_2023!$F:$F,MATCH($B153,CAT4_2022_2023!$A:$A,0)),IFERROR(INDEX(CAT4_2021_2022!$F:$F,MATCH($B153,CAT4_2021_2022!$A:$A,0)),"")))</f>
        <v>Extreme spatial bias</v>
      </c>
      <c r="R153">
        <f>IF($A153="Class of 2022","",IFERROR(INDEX(CAT4_2022_2023!$G:$G,MATCH($B153,CAT4_2022_2023!$A:$A,0)),IFERROR(INDEX(CAT4_2021_2022!$G:$G,MATCH($B153,CAT4_2021_2022!$A:$A,0)),"")))</f>
        <v>78</v>
      </c>
      <c r="S153">
        <f>IF($A153="Class of 2022","",IFERROR(INDEX(CAT4_2022_2023!$H:$H,MATCH($B153,CAT4_2022_2023!$A:$A,0)),IFERROR(INDEX(CAT4_2021_2022!$H:$H,MATCH($B153,CAT4_2021_2022!$A:$A,0)),"")))</f>
        <v>92</v>
      </c>
      <c r="T153">
        <f>IF($A153="Class of 2022","",IFERROR(INDEX(CAT4_2022_2023!$I:$I,MATCH($B153,CAT4_2022_2023!$A:$A,0)),IFERROR(INDEX(CAT4_2021_2022!$I:$I,MATCH($B153,CAT4_2021_2022!$A:$A,0)),"")))</f>
        <v>108</v>
      </c>
      <c r="U153">
        <f>IF($A153="Class of 2022","",IFERROR(INDEX(CAT4_2022_2023!$J:$J,MATCH($B153,CAT4_2022_2023!$A:$A,0)),IFERROR(INDEX(CAT4_2021_2022!$J:$J,MATCH($B153,CAT4_2021_2022!$A:$A,0)),"")))</f>
        <v>112</v>
      </c>
      <c r="W153" t="s">
        <v>644</v>
      </c>
    </row>
    <row r="154" spans="1:23" x14ac:dyDescent="0.3">
      <c r="A154" t="s">
        <v>298</v>
      </c>
      <c r="B154" t="s">
        <v>377</v>
      </c>
      <c r="C154" t="s">
        <v>682</v>
      </c>
      <c r="I154" t="s">
        <v>566</v>
      </c>
      <c r="J154">
        <v>144</v>
      </c>
      <c r="K154">
        <f t="shared" si="10"/>
        <v>57.599999999999994</v>
      </c>
      <c r="L154">
        <v>24</v>
      </c>
      <c r="M154">
        <f t="shared" si="11"/>
        <v>48</v>
      </c>
      <c r="N154">
        <f t="shared" si="12"/>
        <v>103</v>
      </c>
      <c r="O154">
        <f t="shared" si="13"/>
        <v>72.535211267605632</v>
      </c>
      <c r="P154">
        <f t="shared" si="14"/>
        <v>59.37840375586854</v>
      </c>
      <c r="Q154" t="str">
        <f>IF($A154="Class of 2022","",IFERROR(INDEX(CAT4_2022_2023!$F:$F,MATCH($B154,CAT4_2022_2023!$A:$A,0)),IFERROR(INDEX(CAT4_2021_2022!$F:$F,MATCH($B154,CAT4_2021_2022!$A:$A,0)),"")))</f>
        <v>No bias</v>
      </c>
      <c r="R154">
        <f>IF($A154="Class of 2022","",IFERROR(INDEX(CAT4_2022_2023!$G:$G,MATCH($B154,CAT4_2022_2023!$A:$A,0)),IFERROR(INDEX(CAT4_2021_2022!$G:$G,MATCH($B154,CAT4_2021_2022!$A:$A,0)),"")))</f>
        <v>86</v>
      </c>
      <c r="S154">
        <f>IF($A154="Class of 2022","",IFERROR(INDEX(CAT4_2022_2023!$H:$H,MATCH($B154,CAT4_2022_2023!$A:$A,0)),IFERROR(INDEX(CAT4_2021_2022!$H:$H,MATCH($B154,CAT4_2021_2022!$A:$A,0)),"")))</f>
        <v>112</v>
      </c>
      <c r="T154">
        <f>IF($A154="Class of 2022","",IFERROR(INDEX(CAT4_2022_2023!$I:$I,MATCH($B154,CAT4_2022_2023!$A:$A,0)),IFERROR(INDEX(CAT4_2021_2022!$I:$I,MATCH($B154,CAT4_2021_2022!$A:$A,0)),"")))</f>
        <v>117</v>
      </c>
      <c r="U154">
        <f>IF($A154="Class of 2022","",IFERROR(INDEX(CAT4_2022_2023!$J:$J,MATCH($B154,CAT4_2022_2023!$A:$A,0)),IFERROR(INDEX(CAT4_2021_2022!$J:$J,MATCH($B154,CAT4_2021_2022!$A:$A,0)),"")))</f>
        <v>95</v>
      </c>
      <c r="W154" t="s">
        <v>644</v>
      </c>
    </row>
    <row r="155" spans="1:23" x14ac:dyDescent="0.3">
      <c r="A155" t="s">
        <v>298</v>
      </c>
      <c r="B155" t="s">
        <v>379</v>
      </c>
      <c r="C155" t="s">
        <v>683</v>
      </c>
      <c r="J155">
        <v>186</v>
      </c>
      <c r="K155">
        <f t="shared" si="10"/>
        <v>74.400000000000006</v>
      </c>
      <c r="L155">
        <v>18</v>
      </c>
      <c r="M155">
        <f t="shared" si="11"/>
        <v>36</v>
      </c>
      <c r="N155">
        <f t="shared" si="12"/>
        <v>100</v>
      </c>
      <c r="O155">
        <f t="shared" si="13"/>
        <v>70.422535211267601</v>
      </c>
      <c r="P155">
        <f t="shared" si="14"/>
        <v>60.274178403755876</v>
      </c>
      <c r="Q155" t="str">
        <f>IF($A155="Class of 2022","",IFERROR(INDEX(CAT4_2022_2023!$F:$F,MATCH($B155,CAT4_2022_2023!$A:$A,0)),IFERROR(INDEX(CAT4_2021_2022!$F:$F,MATCH($B155,CAT4_2021_2022!$A:$A,0)),"")))</f>
        <v>No bias</v>
      </c>
      <c r="R155">
        <f>IF($A155="Class of 2022","",IFERROR(INDEX(CAT4_2022_2023!$G:$G,MATCH($B155,CAT4_2022_2023!$A:$A,0)),IFERROR(INDEX(CAT4_2021_2022!$G:$G,MATCH($B155,CAT4_2021_2022!$A:$A,0)),"")))</f>
        <v>86</v>
      </c>
      <c r="S155">
        <f>IF($A155="Class of 2022","",IFERROR(INDEX(CAT4_2022_2023!$H:$H,MATCH($B155,CAT4_2022_2023!$A:$A,0)),IFERROR(INDEX(CAT4_2021_2022!$H:$H,MATCH($B155,CAT4_2021_2022!$A:$A,0)),"")))</f>
        <v>104</v>
      </c>
      <c r="T155">
        <f>IF($A155="Class of 2022","",IFERROR(INDEX(CAT4_2022_2023!$I:$I,MATCH($B155,CAT4_2022_2023!$A:$A,0)),IFERROR(INDEX(CAT4_2021_2022!$I:$I,MATCH($B155,CAT4_2021_2022!$A:$A,0)),"")))</f>
        <v>114</v>
      </c>
      <c r="U155">
        <f>IF($A155="Class of 2022","",IFERROR(INDEX(CAT4_2022_2023!$J:$J,MATCH($B155,CAT4_2022_2023!$A:$A,0)),IFERROR(INDEX(CAT4_2021_2022!$J:$J,MATCH($B155,CAT4_2021_2022!$A:$A,0)),"")))</f>
        <v>95</v>
      </c>
      <c r="W155" t="s">
        <v>644</v>
      </c>
    </row>
    <row r="156" spans="1:23" x14ac:dyDescent="0.3">
      <c r="A156" t="s">
        <v>298</v>
      </c>
      <c r="B156" t="s">
        <v>381</v>
      </c>
      <c r="C156" t="s">
        <v>684</v>
      </c>
      <c r="I156" t="s">
        <v>566</v>
      </c>
      <c r="J156">
        <v>171</v>
      </c>
      <c r="K156">
        <f t="shared" si="10"/>
        <v>68.400000000000006</v>
      </c>
      <c r="L156">
        <v>30</v>
      </c>
      <c r="M156">
        <f t="shared" si="11"/>
        <v>60</v>
      </c>
      <c r="N156">
        <f t="shared" si="12"/>
        <v>112</v>
      </c>
      <c r="O156">
        <f t="shared" si="13"/>
        <v>78.873239436619713</v>
      </c>
      <c r="P156">
        <f t="shared" si="14"/>
        <v>69.091079812206573</v>
      </c>
      <c r="Q156" t="str">
        <f>IF($A156="Class of 2022","",IFERROR(INDEX(CAT4_2022_2023!$F:$F,MATCH($B156,CAT4_2022_2023!$A:$A,0)),IFERROR(INDEX(CAT4_2021_2022!$F:$F,MATCH($B156,CAT4_2021_2022!$A:$A,0)),"")))</f>
        <v>Moderate spatial bias</v>
      </c>
      <c r="R156">
        <f>IF($A156="Class of 2022","",IFERROR(INDEX(CAT4_2022_2023!$G:$G,MATCH($B156,CAT4_2022_2023!$A:$A,0)),IFERROR(INDEX(CAT4_2021_2022!$G:$G,MATCH($B156,CAT4_2021_2022!$A:$A,0)),"")))</f>
        <v>102</v>
      </c>
      <c r="S156">
        <f>IF($A156="Class of 2022","",IFERROR(INDEX(CAT4_2022_2023!$H:$H,MATCH($B156,CAT4_2022_2023!$A:$A,0)),IFERROR(INDEX(CAT4_2021_2022!$H:$H,MATCH($B156,CAT4_2021_2022!$A:$A,0)),"")))</f>
        <v>106</v>
      </c>
      <c r="T156">
        <f>IF($A156="Class of 2022","",IFERROR(INDEX(CAT4_2022_2023!$I:$I,MATCH($B156,CAT4_2022_2023!$A:$A,0)),IFERROR(INDEX(CAT4_2021_2022!$I:$I,MATCH($B156,CAT4_2021_2022!$A:$A,0)),"")))</f>
        <v>117</v>
      </c>
      <c r="U156">
        <f>IF($A156="Class of 2022","",IFERROR(INDEX(CAT4_2022_2023!$J:$J,MATCH($B156,CAT4_2022_2023!$A:$A,0)),IFERROR(INDEX(CAT4_2021_2022!$J:$J,MATCH($B156,CAT4_2021_2022!$A:$A,0)),"")))</f>
        <v>121</v>
      </c>
      <c r="W156" t="s">
        <v>644</v>
      </c>
    </row>
    <row r="157" spans="1:23" x14ac:dyDescent="0.3">
      <c r="A157" t="s">
        <v>298</v>
      </c>
      <c r="B157" t="s">
        <v>383</v>
      </c>
      <c r="C157" t="s">
        <v>685</v>
      </c>
      <c r="I157" t="s">
        <v>560</v>
      </c>
      <c r="J157">
        <v>120</v>
      </c>
      <c r="K157">
        <f t="shared" si="10"/>
        <v>48</v>
      </c>
      <c r="L157">
        <v>24</v>
      </c>
      <c r="M157">
        <f t="shared" si="11"/>
        <v>48</v>
      </c>
      <c r="N157">
        <f t="shared" si="12"/>
        <v>108</v>
      </c>
      <c r="O157">
        <f t="shared" si="13"/>
        <v>76.056338028169009</v>
      </c>
      <c r="P157">
        <f t="shared" si="14"/>
        <v>57.352112676056343</v>
      </c>
      <c r="Q157" t="str">
        <f>IF($A157="Class of 2022","",IFERROR(INDEX(CAT4_2022_2023!$F:$F,MATCH($B157,CAT4_2022_2023!$A:$A,0)),IFERROR(INDEX(CAT4_2021_2022!$F:$F,MATCH($B157,CAT4_2021_2022!$A:$A,0)),"")))</f>
        <v>Extreme spatial bias</v>
      </c>
      <c r="R157">
        <f>IF($A157="Class of 2022","",IFERROR(INDEX(CAT4_2022_2023!$G:$G,MATCH($B157,CAT4_2022_2023!$A:$A,0)),IFERROR(INDEX(CAT4_2021_2022!$G:$G,MATCH($B157,CAT4_2021_2022!$A:$A,0)),"")))</f>
        <v>80</v>
      </c>
      <c r="S157">
        <f>IF($A157="Class of 2022","",IFERROR(INDEX(CAT4_2022_2023!$H:$H,MATCH($B157,CAT4_2022_2023!$A:$A,0)),IFERROR(INDEX(CAT4_2021_2022!$H:$H,MATCH($B157,CAT4_2021_2022!$A:$A,0)),"")))</f>
        <v>122</v>
      </c>
      <c r="T157">
        <f>IF($A157="Class of 2022","",IFERROR(INDEX(CAT4_2022_2023!$I:$I,MATCH($B157,CAT4_2022_2023!$A:$A,0)),IFERROR(INDEX(CAT4_2021_2022!$I:$I,MATCH($B157,CAT4_2021_2022!$A:$A,0)),"")))</f>
        <v>112</v>
      </c>
      <c r="U157">
        <f>IF($A157="Class of 2022","",IFERROR(INDEX(CAT4_2022_2023!$J:$J,MATCH($B157,CAT4_2022_2023!$A:$A,0)),IFERROR(INDEX(CAT4_2021_2022!$J:$J,MATCH($B157,CAT4_2021_2022!$A:$A,0)),"")))</f>
        <v>119</v>
      </c>
      <c r="W157" t="s">
        <v>644</v>
      </c>
    </row>
    <row r="158" spans="1:23" x14ac:dyDescent="0.3">
      <c r="A158" t="s">
        <v>298</v>
      </c>
      <c r="B158" t="s">
        <v>385</v>
      </c>
      <c r="C158" t="s">
        <v>686</v>
      </c>
      <c r="I158" t="s">
        <v>566</v>
      </c>
      <c r="J158">
        <v>152</v>
      </c>
      <c r="K158">
        <f t="shared" si="10"/>
        <v>60.8</v>
      </c>
      <c r="L158">
        <v>24</v>
      </c>
      <c r="M158">
        <f t="shared" si="11"/>
        <v>48</v>
      </c>
      <c r="N158">
        <f t="shared" si="12"/>
        <v>106</v>
      </c>
      <c r="O158">
        <f t="shared" si="13"/>
        <v>74.647887323943664</v>
      </c>
      <c r="P158">
        <f t="shared" si="14"/>
        <v>61.149295774647889</v>
      </c>
      <c r="Q158" t="str">
        <f>IF($A158="Class of 2022","",IFERROR(INDEX(CAT4_2022_2023!$F:$F,MATCH($B158,CAT4_2022_2023!$A:$A,0)),IFERROR(INDEX(CAT4_2021_2022!$F:$F,MATCH($B158,CAT4_2021_2022!$A:$A,0)),"")))</f>
        <v>No bias</v>
      </c>
      <c r="R158">
        <f>IF($A158="Class of 2022","",IFERROR(INDEX(CAT4_2022_2023!$G:$G,MATCH($B158,CAT4_2022_2023!$A:$A,0)),IFERROR(INDEX(CAT4_2021_2022!$G:$G,MATCH($B158,CAT4_2021_2022!$A:$A,0)),"")))</f>
        <v>114</v>
      </c>
      <c r="S158">
        <f>IF($A158="Class of 2022","",IFERROR(INDEX(CAT4_2022_2023!$H:$H,MATCH($B158,CAT4_2022_2023!$A:$A,0)),IFERROR(INDEX(CAT4_2021_2022!$H:$H,MATCH($B158,CAT4_2021_2022!$A:$A,0)),"")))</f>
        <v>94</v>
      </c>
      <c r="T158">
        <f>IF($A158="Class of 2022","",IFERROR(INDEX(CAT4_2022_2023!$I:$I,MATCH($B158,CAT4_2022_2023!$A:$A,0)),IFERROR(INDEX(CAT4_2021_2022!$I:$I,MATCH($B158,CAT4_2021_2022!$A:$A,0)),"")))</f>
        <v>106</v>
      </c>
      <c r="U158">
        <f>IF($A158="Class of 2022","",IFERROR(INDEX(CAT4_2022_2023!$J:$J,MATCH($B158,CAT4_2022_2023!$A:$A,0)),IFERROR(INDEX(CAT4_2021_2022!$J:$J,MATCH($B158,CAT4_2021_2022!$A:$A,0)),"")))</f>
        <v>111</v>
      </c>
      <c r="W158" t="s">
        <v>644</v>
      </c>
    </row>
    <row r="159" spans="1:23" x14ac:dyDescent="0.3">
      <c r="A159" t="s">
        <v>298</v>
      </c>
      <c r="B159" t="s">
        <v>387</v>
      </c>
      <c r="C159" t="s">
        <v>687</v>
      </c>
      <c r="I159" t="s">
        <v>560</v>
      </c>
      <c r="J159">
        <v>119</v>
      </c>
      <c r="K159">
        <f t="shared" si="10"/>
        <v>47.599999999999994</v>
      </c>
      <c r="L159">
        <v>22</v>
      </c>
      <c r="M159">
        <f t="shared" si="11"/>
        <v>44</v>
      </c>
      <c r="N159">
        <f t="shared" si="12"/>
        <v>93</v>
      </c>
      <c r="O159">
        <f t="shared" si="13"/>
        <v>65.492957746478879</v>
      </c>
      <c r="P159">
        <f t="shared" si="14"/>
        <v>52.364319248826291</v>
      </c>
      <c r="Q159" t="str">
        <f>IF($A159="Class of 2022","",IFERROR(INDEX(CAT4_2022_2023!$F:$F,MATCH($B159,CAT4_2022_2023!$A:$A,0)),IFERROR(INDEX(CAT4_2021_2022!$F:$F,MATCH($B159,CAT4_2021_2022!$A:$A,0)),"")))</f>
        <v>Extreme spatial bias</v>
      </c>
      <c r="R159">
        <f>IF($A159="Class of 2022","",IFERROR(INDEX(CAT4_2022_2023!$G:$G,MATCH($B159,CAT4_2022_2023!$A:$A,0)),IFERROR(INDEX(CAT4_2021_2022!$G:$G,MATCH($B159,CAT4_2021_2022!$A:$A,0)),"")))</f>
        <v>72</v>
      </c>
      <c r="S159">
        <f>IF($A159="Class of 2022","",IFERROR(INDEX(CAT4_2022_2023!$H:$H,MATCH($B159,CAT4_2022_2023!$A:$A,0)),IFERROR(INDEX(CAT4_2021_2022!$H:$H,MATCH($B159,CAT4_2021_2022!$A:$A,0)),"")))</f>
        <v>103</v>
      </c>
      <c r="T159">
        <f>IF($A159="Class of 2022","",IFERROR(INDEX(CAT4_2022_2023!$I:$I,MATCH($B159,CAT4_2022_2023!$A:$A,0)),IFERROR(INDEX(CAT4_2021_2022!$I:$I,MATCH($B159,CAT4_2021_2022!$A:$A,0)),"")))</f>
        <v>101</v>
      </c>
      <c r="U159">
        <f>IF($A159="Class of 2022","",IFERROR(INDEX(CAT4_2022_2023!$J:$J,MATCH($B159,CAT4_2022_2023!$A:$A,0)),IFERROR(INDEX(CAT4_2021_2022!$J:$J,MATCH($B159,CAT4_2021_2022!$A:$A,0)),"")))</f>
        <v>97</v>
      </c>
      <c r="W159" t="s">
        <v>644</v>
      </c>
    </row>
    <row r="160" spans="1:23" x14ac:dyDescent="0.3">
      <c r="A160" t="s">
        <v>298</v>
      </c>
      <c r="B160" t="s">
        <v>389</v>
      </c>
      <c r="C160" t="s">
        <v>688</v>
      </c>
      <c r="I160" t="s">
        <v>560</v>
      </c>
      <c r="J160">
        <v>132</v>
      </c>
      <c r="K160">
        <f t="shared" si="10"/>
        <v>52.800000000000004</v>
      </c>
      <c r="L160">
        <v>22</v>
      </c>
      <c r="M160">
        <f t="shared" si="11"/>
        <v>44</v>
      </c>
      <c r="N160">
        <f t="shared" si="12"/>
        <v>90</v>
      </c>
      <c r="O160">
        <f t="shared" si="13"/>
        <v>63.380281690140848</v>
      </c>
      <c r="P160">
        <f t="shared" si="14"/>
        <v>53.39342723004696</v>
      </c>
      <c r="Q160" t="str">
        <f>IF($A160="Class of 2022","",IFERROR(INDEX(CAT4_2022_2023!$F:$F,MATCH($B160,CAT4_2022_2023!$A:$A,0)),IFERROR(INDEX(CAT4_2021_2022!$F:$F,MATCH($B160,CAT4_2021_2022!$A:$A,0)),"")))</f>
        <v>Moderate spatial bias</v>
      </c>
      <c r="R160">
        <f>IF($A160="Class of 2022","",IFERROR(INDEX(CAT4_2022_2023!$G:$G,MATCH($B160,CAT4_2022_2023!$A:$A,0)),IFERROR(INDEX(CAT4_2021_2022!$G:$G,MATCH($B160,CAT4_2021_2022!$A:$A,0)),"")))</f>
        <v>70</v>
      </c>
      <c r="S160">
        <f>IF($A160="Class of 2022","",IFERROR(INDEX(CAT4_2022_2023!$H:$H,MATCH($B160,CAT4_2022_2023!$A:$A,0)),IFERROR(INDEX(CAT4_2021_2022!$H:$H,MATCH($B160,CAT4_2021_2022!$A:$A,0)),"")))</f>
        <v>96</v>
      </c>
      <c r="T160">
        <f>IF($A160="Class of 2022","",IFERROR(INDEX(CAT4_2022_2023!$I:$I,MATCH($B160,CAT4_2022_2023!$A:$A,0)),IFERROR(INDEX(CAT4_2021_2022!$I:$I,MATCH($B160,CAT4_2021_2022!$A:$A,0)),"")))</f>
        <v>105</v>
      </c>
      <c r="U160">
        <f>IF($A160="Class of 2022","",IFERROR(INDEX(CAT4_2022_2023!$J:$J,MATCH($B160,CAT4_2022_2023!$A:$A,0)),IFERROR(INDEX(CAT4_2021_2022!$J:$J,MATCH($B160,CAT4_2021_2022!$A:$A,0)),"")))</f>
        <v>90</v>
      </c>
      <c r="W160" t="s">
        <v>644</v>
      </c>
    </row>
    <row r="161" spans="1:23" x14ac:dyDescent="0.3">
      <c r="A161" t="s">
        <v>298</v>
      </c>
      <c r="B161" t="s">
        <v>391</v>
      </c>
      <c r="C161" t="s">
        <v>689</v>
      </c>
      <c r="I161" t="s">
        <v>566</v>
      </c>
      <c r="J161">
        <v>152</v>
      </c>
      <c r="K161">
        <f t="shared" si="10"/>
        <v>60.8</v>
      </c>
      <c r="L161">
        <v>26</v>
      </c>
      <c r="M161">
        <f t="shared" si="11"/>
        <v>52</v>
      </c>
      <c r="N161">
        <f t="shared" si="12"/>
        <v>92</v>
      </c>
      <c r="O161">
        <f t="shared" si="13"/>
        <v>64.788732394366207</v>
      </c>
      <c r="P161">
        <f t="shared" si="14"/>
        <v>59.196244131455408</v>
      </c>
      <c r="Q161" t="str">
        <f>IF($A161="Class of 2022","",IFERROR(INDEX(CAT4_2022_2023!$F:$F,MATCH($B161,CAT4_2022_2023!$A:$A,0)),IFERROR(INDEX(CAT4_2021_2022!$F:$F,MATCH($B161,CAT4_2021_2022!$A:$A,0)),"")))</f>
        <v>No bias</v>
      </c>
      <c r="R161">
        <f>IF($A161="Class of 2022","",IFERROR(INDEX(CAT4_2022_2023!$G:$G,MATCH($B161,CAT4_2022_2023!$A:$A,0)),IFERROR(INDEX(CAT4_2021_2022!$G:$G,MATCH($B161,CAT4_2021_2022!$A:$A,0)),"")))</f>
        <v>89</v>
      </c>
      <c r="S161">
        <f>IF($A161="Class of 2022","",IFERROR(INDEX(CAT4_2022_2023!$H:$H,MATCH($B161,CAT4_2022_2023!$A:$A,0)),IFERROR(INDEX(CAT4_2021_2022!$H:$H,MATCH($B161,CAT4_2021_2022!$A:$A,0)),"")))</f>
        <v>94</v>
      </c>
      <c r="T161">
        <f>IF($A161="Class of 2022","",IFERROR(INDEX(CAT4_2022_2023!$I:$I,MATCH($B161,CAT4_2022_2023!$A:$A,0)),IFERROR(INDEX(CAT4_2021_2022!$I:$I,MATCH($B161,CAT4_2021_2022!$A:$A,0)),"")))</f>
        <v>97</v>
      </c>
      <c r="U161">
        <f>IF($A161="Class of 2022","",IFERROR(INDEX(CAT4_2022_2023!$J:$J,MATCH($B161,CAT4_2022_2023!$A:$A,0)),IFERROR(INDEX(CAT4_2021_2022!$J:$J,MATCH($B161,CAT4_2021_2022!$A:$A,0)),"")))</f>
        <v>86</v>
      </c>
      <c r="W161" t="s">
        <v>644</v>
      </c>
    </row>
    <row r="162" spans="1:23" x14ac:dyDescent="0.3">
      <c r="A162" t="s">
        <v>298</v>
      </c>
      <c r="B162" t="s">
        <v>393</v>
      </c>
      <c r="C162" t="s">
        <v>690</v>
      </c>
      <c r="I162" t="s">
        <v>560</v>
      </c>
      <c r="J162">
        <v>130</v>
      </c>
      <c r="K162">
        <f t="shared" si="10"/>
        <v>52</v>
      </c>
      <c r="L162">
        <v>16</v>
      </c>
      <c r="M162">
        <f t="shared" si="11"/>
        <v>32</v>
      </c>
      <c r="N162">
        <f t="shared" si="12"/>
        <v>103</v>
      </c>
      <c r="O162">
        <f t="shared" si="13"/>
        <v>72.535211267605632</v>
      </c>
      <c r="P162">
        <f t="shared" si="14"/>
        <v>52.178403755868544</v>
      </c>
      <c r="Q162" t="str">
        <f>IF($A162="Class of 2022","",IFERROR(INDEX(CAT4_2022_2023!$F:$F,MATCH($B162,CAT4_2022_2023!$A:$A,0)),IFERROR(INDEX(CAT4_2021_2022!$F:$F,MATCH($B162,CAT4_2021_2022!$A:$A,0)),"")))</f>
        <v>Extreme spatial bias</v>
      </c>
      <c r="R162">
        <f>IF($A162="Class of 2022","",IFERROR(INDEX(CAT4_2022_2023!$G:$G,MATCH($B162,CAT4_2022_2023!$A:$A,0)),IFERROR(INDEX(CAT4_2021_2022!$G:$G,MATCH($B162,CAT4_2021_2022!$A:$A,0)),"")))</f>
        <v>82</v>
      </c>
      <c r="S162">
        <f>IF($A162="Class of 2022","",IFERROR(INDEX(CAT4_2022_2023!$H:$H,MATCH($B162,CAT4_2022_2023!$A:$A,0)),IFERROR(INDEX(CAT4_2021_2022!$H:$H,MATCH($B162,CAT4_2021_2022!$A:$A,0)),"")))</f>
        <v>105</v>
      </c>
      <c r="T162">
        <f>IF($A162="Class of 2022","",IFERROR(INDEX(CAT4_2022_2023!$I:$I,MATCH($B162,CAT4_2022_2023!$A:$A,0)),IFERROR(INDEX(CAT4_2021_2022!$I:$I,MATCH($B162,CAT4_2021_2022!$A:$A,0)),"")))</f>
        <v>110</v>
      </c>
      <c r="U162">
        <f>IF($A162="Class of 2022","",IFERROR(INDEX(CAT4_2022_2023!$J:$J,MATCH($B162,CAT4_2022_2023!$A:$A,0)),IFERROR(INDEX(CAT4_2021_2022!$J:$J,MATCH($B162,CAT4_2021_2022!$A:$A,0)),"")))</f>
        <v>116</v>
      </c>
      <c r="W162" t="s">
        <v>644</v>
      </c>
    </row>
    <row r="163" spans="1:23" x14ac:dyDescent="0.3">
      <c r="A163" t="s">
        <v>298</v>
      </c>
      <c r="B163" t="s">
        <v>395</v>
      </c>
      <c r="C163" t="s">
        <v>691</v>
      </c>
      <c r="I163" t="s">
        <v>560</v>
      </c>
      <c r="J163">
        <v>144</v>
      </c>
      <c r="K163">
        <f t="shared" si="10"/>
        <v>57.599999999999994</v>
      </c>
      <c r="L163">
        <v>21</v>
      </c>
      <c r="M163">
        <f t="shared" si="11"/>
        <v>42</v>
      </c>
      <c r="N163">
        <f t="shared" si="12"/>
        <v>92</v>
      </c>
      <c r="O163">
        <f t="shared" si="13"/>
        <v>64.788732394366207</v>
      </c>
      <c r="P163">
        <f t="shared" si="14"/>
        <v>54.796244131455403</v>
      </c>
      <c r="Q163" t="str">
        <f>IF($A163="Class of 2022","",IFERROR(INDEX(CAT4_2022_2023!$F:$F,MATCH($B163,CAT4_2022_2023!$A:$A,0)),IFERROR(INDEX(CAT4_2021_2022!$F:$F,MATCH($B163,CAT4_2021_2022!$A:$A,0)),"")))</f>
        <v>Mild spatial bias</v>
      </c>
      <c r="R163">
        <f>IF($A163="Class of 2022","",IFERROR(INDEX(CAT4_2022_2023!$G:$G,MATCH($B163,CAT4_2022_2023!$A:$A,0)),IFERROR(INDEX(CAT4_2021_2022!$G:$G,MATCH($B163,CAT4_2021_2022!$A:$A,0)),"")))</f>
        <v>78</v>
      </c>
      <c r="S163">
        <f>IF($A163="Class of 2022","",IFERROR(INDEX(CAT4_2022_2023!$H:$H,MATCH($B163,CAT4_2022_2023!$A:$A,0)),IFERROR(INDEX(CAT4_2021_2022!$H:$H,MATCH($B163,CAT4_2021_2022!$A:$A,0)),"")))</f>
        <v>110</v>
      </c>
      <c r="T163">
        <f>IF($A163="Class of 2022","",IFERROR(INDEX(CAT4_2022_2023!$I:$I,MATCH($B163,CAT4_2022_2023!$A:$A,0)),IFERROR(INDEX(CAT4_2021_2022!$I:$I,MATCH($B163,CAT4_2021_2022!$A:$A,0)),"")))</f>
        <v>88</v>
      </c>
      <c r="U163">
        <f>IF($A163="Class of 2022","",IFERROR(INDEX(CAT4_2022_2023!$J:$J,MATCH($B163,CAT4_2022_2023!$A:$A,0)),IFERROR(INDEX(CAT4_2021_2022!$J:$J,MATCH($B163,CAT4_2021_2022!$A:$A,0)),"")))</f>
        <v>93</v>
      </c>
      <c r="W163" t="s">
        <v>644</v>
      </c>
    </row>
    <row r="164" spans="1:23" x14ac:dyDescent="0.3">
      <c r="A164" t="s">
        <v>298</v>
      </c>
      <c r="B164" t="s">
        <v>397</v>
      </c>
      <c r="C164" t="s">
        <v>692</v>
      </c>
      <c r="I164" t="s">
        <v>560</v>
      </c>
      <c r="J164">
        <v>139</v>
      </c>
      <c r="K164">
        <f t="shared" si="10"/>
        <v>55.600000000000009</v>
      </c>
      <c r="L164">
        <v>27</v>
      </c>
      <c r="M164">
        <f t="shared" si="11"/>
        <v>54</v>
      </c>
      <c r="N164">
        <f t="shared" si="12"/>
        <v>104</v>
      </c>
      <c r="O164">
        <f t="shared" si="13"/>
        <v>73.239436619718319</v>
      </c>
      <c r="P164">
        <f t="shared" si="14"/>
        <v>60.946478873239442</v>
      </c>
      <c r="Q164" t="str">
        <f>IF($A164="Class of 2022","",IFERROR(INDEX(CAT4_2022_2023!$F:$F,MATCH($B164,CAT4_2022_2023!$A:$A,0)),IFERROR(INDEX(CAT4_2021_2022!$F:$F,MATCH($B164,CAT4_2021_2022!$A:$A,0)),"")))</f>
        <v>Extreme spatial bias</v>
      </c>
      <c r="R164">
        <f>IF($A164="Class of 2022","",IFERROR(INDEX(CAT4_2022_2023!$G:$G,MATCH($B164,CAT4_2022_2023!$A:$A,0)),IFERROR(INDEX(CAT4_2021_2022!$G:$G,MATCH($B164,CAT4_2021_2022!$A:$A,0)),"")))</f>
        <v>90</v>
      </c>
      <c r="S164">
        <f>IF($A164="Class of 2022","",IFERROR(INDEX(CAT4_2022_2023!$H:$H,MATCH($B164,CAT4_2022_2023!$A:$A,0)),IFERROR(INDEX(CAT4_2021_2022!$H:$H,MATCH($B164,CAT4_2021_2022!$A:$A,0)),"")))</f>
        <v>101</v>
      </c>
      <c r="T164">
        <f>IF($A164="Class of 2022","",IFERROR(INDEX(CAT4_2022_2023!$I:$I,MATCH($B164,CAT4_2022_2023!$A:$A,0)),IFERROR(INDEX(CAT4_2021_2022!$I:$I,MATCH($B164,CAT4_2021_2022!$A:$A,0)),"")))</f>
        <v>105</v>
      </c>
      <c r="U164">
        <f>IF($A164="Class of 2022","",IFERROR(INDEX(CAT4_2022_2023!$J:$J,MATCH($B164,CAT4_2022_2023!$A:$A,0)),IFERROR(INDEX(CAT4_2021_2022!$J:$J,MATCH($B164,CAT4_2021_2022!$A:$A,0)),"")))</f>
        <v>121</v>
      </c>
      <c r="W164" t="s">
        <v>644</v>
      </c>
    </row>
    <row r="165" spans="1:23" x14ac:dyDescent="0.3">
      <c r="A165" t="s">
        <v>298</v>
      </c>
      <c r="B165" t="s">
        <v>399</v>
      </c>
      <c r="C165" t="s">
        <v>693</v>
      </c>
      <c r="I165" t="s">
        <v>566</v>
      </c>
      <c r="J165">
        <v>146</v>
      </c>
      <c r="K165">
        <f t="shared" si="10"/>
        <v>58.4</v>
      </c>
      <c r="L165">
        <v>19</v>
      </c>
      <c r="M165">
        <f t="shared" si="11"/>
        <v>38</v>
      </c>
      <c r="N165">
        <f t="shared" si="12"/>
        <v>103</v>
      </c>
      <c r="O165">
        <f t="shared" si="13"/>
        <v>72.535211267605632</v>
      </c>
      <c r="P165">
        <f t="shared" si="14"/>
        <v>56.311737089201877</v>
      </c>
      <c r="Q165" t="str">
        <f>IF($A165="Class of 2022","",IFERROR(INDEX(CAT4_2022_2023!$F:$F,MATCH($B165,CAT4_2022_2023!$A:$A,0)),IFERROR(INDEX(CAT4_2021_2022!$F:$F,MATCH($B165,CAT4_2021_2022!$A:$A,0)),"")))</f>
        <v>Moderate spatial bias</v>
      </c>
      <c r="R165">
        <f>IF($A165="Class of 2022","",IFERROR(INDEX(CAT4_2022_2023!$G:$G,MATCH($B165,CAT4_2022_2023!$A:$A,0)),IFERROR(INDEX(CAT4_2021_2022!$G:$G,MATCH($B165,CAT4_2021_2022!$A:$A,0)),"")))</f>
        <v>82</v>
      </c>
      <c r="S165">
        <f>IF($A165="Class of 2022","",IFERROR(INDEX(CAT4_2022_2023!$H:$H,MATCH($B165,CAT4_2022_2023!$A:$A,0)),IFERROR(INDEX(CAT4_2021_2022!$H:$H,MATCH($B165,CAT4_2021_2022!$A:$A,0)),"")))</f>
        <v>105</v>
      </c>
      <c r="T165">
        <f>IF($A165="Class of 2022","",IFERROR(INDEX(CAT4_2022_2023!$I:$I,MATCH($B165,CAT4_2022_2023!$A:$A,0)),IFERROR(INDEX(CAT4_2021_2022!$I:$I,MATCH($B165,CAT4_2021_2022!$A:$A,0)),"")))</f>
        <v>121</v>
      </c>
      <c r="U165">
        <f>IF($A165="Class of 2022","",IFERROR(INDEX(CAT4_2022_2023!$J:$J,MATCH($B165,CAT4_2022_2023!$A:$A,0)),IFERROR(INDEX(CAT4_2021_2022!$J:$J,MATCH($B165,CAT4_2021_2022!$A:$A,0)),"")))</f>
        <v>105</v>
      </c>
      <c r="W165" t="s">
        <v>644</v>
      </c>
    </row>
    <row r="166" spans="1:23" x14ac:dyDescent="0.3">
      <c r="A166" t="s">
        <v>298</v>
      </c>
      <c r="B166" t="s">
        <v>401</v>
      </c>
      <c r="C166" t="s">
        <v>694</v>
      </c>
      <c r="I166" t="s">
        <v>560</v>
      </c>
      <c r="J166">
        <v>140</v>
      </c>
      <c r="K166">
        <f t="shared" si="10"/>
        <v>56.000000000000007</v>
      </c>
      <c r="L166">
        <v>22</v>
      </c>
      <c r="M166">
        <f t="shared" si="11"/>
        <v>44</v>
      </c>
      <c r="N166">
        <f t="shared" si="12"/>
        <v>87</v>
      </c>
      <c r="O166">
        <f t="shared" si="13"/>
        <v>61.267605633802816</v>
      </c>
      <c r="P166">
        <f t="shared" si="14"/>
        <v>53.755868544600936</v>
      </c>
      <c r="Q166" t="str">
        <f>IF($A166="Class of 2022","",IFERROR(INDEX(CAT4_2022_2023!$F:$F,MATCH($B166,CAT4_2022_2023!$A:$A,0)),IFERROR(INDEX(CAT4_2021_2022!$F:$F,MATCH($B166,CAT4_2021_2022!$A:$A,0)),"")))</f>
        <v>No bias</v>
      </c>
      <c r="R166">
        <f>IF($A166="Class of 2022","",IFERROR(INDEX(CAT4_2022_2023!$G:$G,MATCH($B166,CAT4_2022_2023!$A:$A,0)),IFERROR(INDEX(CAT4_2021_2022!$G:$G,MATCH($B166,CAT4_2021_2022!$A:$A,0)),"")))</f>
        <v>76</v>
      </c>
      <c r="S166">
        <f>IF($A166="Class of 2022","",IFERROR(INDEX(CAT4_2022_2023!$H:$H,MATCH($B166,CAT4_2022_2023!$A:$A,0)),IFERROR(INDEX(CAT4_2021_2022!$H:$H,MATCH($B166,CAT4_2021_2022!$A:$A,0)),"")))</f>
        <v>94</v>
      </c>
      <c r="T166">
        <f>IF($A166="Class of 2022","",IFERROR(INDEX(CAT4_2022_2023!$I:$I,MATCH($B166,CAT4_2022_2023!$A:$A,0)),IFERROR(INDEX(CAT4_2021_2022!$I:$I,MATCH($B166,CAT4_2021_2022!$A:$A,0)),"")))</f>
        <v>90</v>
      </c>
      <c r="U166">
        <f>IF($A166="Class of 2022","",IFERROR(INDEX(CAT4_2022_2023!$J:$J,MATCH($B166,CAT4_2022_2023!$A:$A,0)),IFERROR(INDEX(CAT4_2021_2022!$J:$J,MATCH($B166,CAT4_2021_2022!$A:$A,0)),"")))</f>
        <v>86</v>
      </c>
      <c r="W166" t="s">
        <v>644</v>
      </c>
    </row>
    <row r="167" spans="1:23" x14ac:dyDescent="0.3">
      <c r="A167" t="s">
        <v>298</v>
      </c>
      <c r="B167" t="s">
        <v>403</v>
      </c>
      <c r="C167" t="s">
        <v>695</v>
      </c>
      <c r="I167" t="s">
        <v>560</v>
      </c>
      <c r="J167">
        <v>134</v>
      </c>
      <c r="K167">
        <f t="shared" si="10"/>
        <v>53.6</v>
      </c>
      <c r="L167">
        <v>18</v>
      </c>
      <c r="M167">
        <f t="shared" si="11"/>
        <v>36</v>
      </c>
      <c r="N167">
        <f t="shared" si="12"/>
        <v>101</v>
      </c>
      <c r="O167">
        <f t="shared" si="13"/>
        <v>71.126760563380287</v>
      </c>
      <c r="P167">
        <f t="shared" si="14"/>
        <v>53.575586854460092</v>
      </c>
      <c r="Q167" t="str">
        <f>IF($A167="Class of 2022","",IFERROR(INDEX(CAT4_2022_2023!$F:$F,MATCH($B167,CAT4_2022_2023!$A:$A,0)),IFERROR(INDEX(CAT4_2021_2022!$F:$F,MATCH($B167,CAT4_2021_2022!$A:$A,0)),"")))</f>
        <v>Mild spatial bias</v>
      </c>
      <c r="R167">
        <f>IF($A167="Class of 2022","",IFERROR(INDEX(CAT4_2022_2023!$G:$G,MATCH($B167,CAT4_2022_2023!$A:$A,0)),IFERROR(INDEX(CAT4_2021_2022!$G:$G,MATCH($B167,CAT4_2021_2022!$A:$A,0)),"")))</f>
        <v>82</v>
      </c>
      <c r="S167">
        <f>IF($A167="Class of 2022","",IFERROR(INDEX(CAT4_2022_2023!$H:$H,MATCH($B167,CAT4_2022_2023!$A:$A,0)),IFERROR(INDEX(CAT4_2021_2022!$H:$H,MATCH($B167,CAT4_2021_2022!$A:$A,0)),"")))</f>
        <v>106</v>
      </c>
      <c r="T167">
        <f>IF($A167="Class of 2022","",IFERROR(INDEX(CAT4_2022_2023!$I:$I,MATCH($B167,CAT4_2022_2023!$A:$A,0)),IFERROR(INDEX(CAT4_2021_2022!$I:$I,MATCH($B167,CAT4_2021_2022!$A:$A,0)),"")))</f>
        <v>116</v>
      </c>
      <c r="U167">
        <f>IF($A167="Class of 2022","",IFERROR(INDEX(CAT4_2022_2023!$J:$J,MATCH($B167,CAT4_2022_2023!$A:$A,0)),IFERROR(INDEX(CAT4_2021_2022!$J:$J,MATCH($B167,CAT4_2021_2022!$A:$A,0)),"")))</f>
        <v>98</v>
      </c>
      <c r="W167" t="s">
        <v>644</v>
      </c>
    </row>
    <row r="168" spans="1:23" x14ac:dyDescent="0.3">
      <c r="A168" t="s">
        <v>298</v>
      </c>
      <c r="B168" t="s">
        <v>405</v>
      </c>
      <c r="C168" t="s">
        <v>696</v>
      </c>
      <c r="I168" t="s">
        <v>566</v>
      </c>
      <c r="J168">
        <v>175</v>
      </c>
      <c r="K168">
        <f t="shared" si="10"/>
        <v>70</v>
      </c>
      <c r="L168">
        <v>30</v>
      </c>
      <c r="M168">
        <f t="shared" si="11"/>
        <v>60</v>
      </c>
      <c r="N168">
        <f t="shared" si="12"/>
        <v>117</v>
      </c>
      <c r="O168">
        <f t="shared" si="13"/>
        <v>82.394366197183103</v>
      </c>
      <c r="P168">
        <f t="shared" si="14"/>
        <v>70.798122065727696</v>
      </c>
      <c r="Q168" t="str">
        <f>IF($A168="Class of 2022","",IFERROR(INDEX(CAT4_2022_2023!$F:$F,MATCH($B168,CAT4_2022_2023!$A:$A,0)),IFERROR(INDEX(CAT4_2021_2022!$F:$F,MATCH($B168,CAT4_2021_2022!$A:$A,0)),"")))</f>
        <v>Moderate spatial bias</v>
      </c>
      <c r="R168">
        <f>IF($A168="Class of 2022","",IFERROR(INDEX(CAT4_2022_2023!$G:$G,MATCH($B168,CAT4_2022_2023!$A:$A,0)),IFERROR(INDEX(CAT4_2021_2022!$G:$G,MATCH($B168,CAT4_2021_2022!$A:$A,0)),"")))</f>
        <v>94</v>
      </c>
      <c r="S168">
        <f>IF($A168="Class of 2022","",IFERROR(INDEX(CAT4_2022_2023!$H:$H,MATCH($B168,CAT4_2022_2023!$A:$A,0)),IFERROR(INDEX(CAT4_2021_2022!$H:$H,MATCH($B168,CAT4_2021_2022!$A:$A,0)),"")))</f>
        <v>128</v>
      </c>
      <c r="T168">
        <f>IF($A168="Class of 2022","",IFERROR(INDEX(CAT4_2022_2023!$I:$I,MATCH($B168,CAT4_2022_2023!$A:$A,0)),IFERROR(INDEX(CAT4_2021_2022!$I:$I,MATCH($B168,CAT4_2021_2022!$A:$A,0)),"")))</f>
        <v>129</v>
      </c>
      <c r="U168">
        <f>IF($A168="Class of 2022","",IFERROR(INDEX(CAT4_2022_2023!$J:$J,MATCH($B168,CAT4_2022_2023!$A:$A,0)),IFERROR(INDEX(CAT4_2021_2022!$J:$J,MATCH($B168,CAT4_2021_2022!$A:$A,0)),"")))</f>
        <v>116</v>
      </c>
      <c r="W168" t="s">
        <v>644</v>
      </c>
    </row>
    <row r="169" spans="1:23" x14ac:dyDescent="0.3">
      <c r="A169" t="s">
        <v>298</v>
      </c>
      <c r="B169" t="s">
        <v>407</v>
      </c>
      <c r="C169" t="s">
        <v>697</v>
      </c>
      <c r="I169" t="s">
        <v>560</v>
      </c>
      <c r="J169">
        <v>138</v>
      </c>
      <c r="K169">
        <f t="shared" si="10"/>
        <v>55.2</v>
      </c>
      <c r="L169">
        <v>27</v>
      </c>
      <c r="M169">
        <f t="shared" si="11"/>
        <v>54</v>
      </c>
      <c r="N169">
        <f t="shared" si="12"/>
        <v>97</v>
      </c>
      <c r="O169">
        <f t="shared" si="13"/>
        <v>68.309859154929569</v>
      </c>
      <c r="P169">
        <f t="shared" si="14"/>
        <v>59.169953051643198</v>
      </c>
      <c r="Q169" t="str">
        <f>IF($A169="Class of 2022","",IFERROR(INDEX(CAT4_2022_2023!$F:$F,MATCH($B169,CAT4_2022_2023!$A:$A,0)),IFERROR(INDEX(CAT4_2021_2022!$F:$F,MATCH($B169,CAT4_2021_2022!$A:$A,0)),"")))</f>
        <v>Extreme spatial bias</v>
      </c>
      <c r="R169">
        <f>IF($A169="Class of 2022","",IFERROR(INDEX(CAT4_2022_2023!$G:$G,MATCH($B169,CAT4_2022_2023!$A:$A,0)),IFERROR(INDEX(CAT4_2021_2022!$G:$G,MATCH($B169,CAT4_2021_2022!$A:$A,0)),"")))</f>
        <v>65</v>
      </c>
      <c r="S169">
        <f>IF($A169="Class of 2022","",IFERROR(INDEX(CAT4_2022_2023!$H:$H,MATCH($B169,CAT4_2022_2023!$A:$A,0)),IFERROR(INDEX(CAT4_2021_2022!$H:$H,MATCH($B169,CAT4_2021_2022!$A:$A,0)),"")))</f>
        <v>110</v>
      </c>
      <c r="T169">
        <f>IF($A169="Class of 2022","",IFERROR(INDEX(CAT4_2022_2023!$I:$I,MATCH($B169,CAT4_2022_2023!$A:$A,0)),IFERROR(INDEX(CAT4_2021_2022!$I:$I,MATCH($B169,CAT4_2021_2022!$A:$A,0)),"")))</f>
        <v>108</v>
      </c>
      <c r="U169">
        <f>IF($A169="Class of 2022","",IFERROR(INDEX(CAT4_2022_2023!$J:$J,MATCH($B169,CAT4_2022_2023!$A:$A,0)),IFERROR(INDEX(CAT4_2021_2022!$J:$J,MATCH($B169,CAT4_2021_2022!$A:$A,0)),"")))</f>
        <v>105</v>
      </c>
      <c r="W169" t="s">
        <v>644</v>
      </c>
    </row>
    <row r="170" spans="1:23" x14ac:dyDescent="0.3">
      <c r="A170" t="s">
        <v>298</v>
      </c>
      <c r="B170" t="s">
        <v>409</v>
      </c>
      <c r="C170" t="s">
        <v>698</v>
      </c>
      <c r="I170" t="s">
        <v>560</v>
      </c>
      <c r="J170">
        <v>122</v>
      </c>
      <c r="K170">
        <f t="shared" si="10"/>
        <v>48.8</v>
      </c>
      <c r="L170">
        <v>20</v>
      </c>
      <c r="M170">
        <f t="shared" si="11"/>
        <v>40</v>
      </c>
      <c r="N170">
        <f t="shared" si="12"/>
        <v>104</v>
      </c>
      <c r="O170">
        <f t="shared" si="13"/>
        <v>73.239436619718319</v>
      </c>
      <c r="P170">
        <f t="shared" si="14"/>
        <v>54.013145539906105</v>
      </c>
      <c r="Q170" t="str">
        <f>IF($A170="Class of 2022","",IFERROR(INDEX(CAT4_2022_2023!$F:$F,MATCH($B170,CAT4_2022_2023!$A:$A,0)),IFERROR(INDEX(CAT4_2021_2022!$F:$F,MATCH($B170,CAT4_2021_2022!$A:$A,0)),"")))</f>
        <v>Extreme spatial bias</v>
      </c>
      <c r="R170">
        <f>IF($A170="Class of 2022","",IFERROR(INDEX(CAT4_2022_2023!$G:$G,MATCH($B170,CAT4_2022_2023!$A:$A,0)),IFERROR(INDEX(CAT4_2021_2022!$G:$G,MATCH($B170,CAT4_2021_2022!$A:$A,0)),"")))</f>
        <v>80</v>
      </c>
      <c r="S170">
        <f>IF($A170="Class of 2022","",IFERROR(INDEX(CAT4_2022_2023!$H:$H,MATCH($B170,CAT4_2022_2023!$A:$A,0)),IFERROR(INDEX(CAT4_2021_2022!$H:$H,MATCH($B170,CAT4_2021_2022!$A:$A,0)),"")))</f>
        <v>116</v>
      </c>
      <c r="T170">
        <f>IF($A170="Class of 2022","",IFERROR(INDEX(CAT4_2022_2023!$I:$I,MATCH($B170,CAT4_2022_2023!$A:$A,0)),IFERROR(INDEX(CAT4_2021_2022!$I:$I,MATCH($B170,CAT4_2021_2022!$A:$A,0)),"")))</f>
        <v>110</v>
      </c>
      <c r="U170">
        <f>IF($A170="Class of 2022","",IFERROR(INDEX(CAT4_2022_2023!$J:$J,MATCH($B170,CAT4_2022_2023!$A:$A,0)),IFERROR(INDEX(CAT4_2021_2022!$J:$J,MATCH($B170,CAT4_2021_2022!$A:$A,0)),"")))</f>
        <v>111</v>
      </c>
      <c r="W170" t="s">
        <v>644</v>
      </c>
    </row>
    <row r="171" spans="1:23" x14ac:dyDescent="0.3">
      <c r="A171" t="s">
        <v>298</v>
      </c>
      <c r="B171" t="s">
        <v>411</v>
      </c>
      <c r="C171" t="s">
        <v>699</v>
      </c>
      <c r="I171" t="s">
        <v>566</v>
      </c>
      <c r="J171">
        <v>163</v>
      </c>
      <c r="K171">
        <f t="shared" si="10"/>
        <v>65.2</v>
      </c>
      <c r="L171">
        <v>19</v>
      </c>
      <c r="M171">
        <f t="shared" si="11"/>
        <v>38</v>
      </c>
      <c r="N171">
        <f t="shared" si="12"/>
        <v>94</v>
      </c>
      <c r="O171">
        <f t="shared" si="13"/>
        <v>66.197183098591552</v>
      </c>
      <c r="P171">
        <f t="shared" si="14"/>
        <v>56.465727699530511</v>
      </c>
      <c r="Q171" t="str">
        <f>IF($A171="Class of 2022","",IFERROR(INDEX(CAT4_2022_2023!$F:$F,MATCH($B171,CAT4_2022_2023!$A:$A,0)),IFERROR(INDEX(CAT4_2021_2022!$F:$F,MATCH($B171,CAT4_2021_2022!$A:$A,0)),"")))</f>
        <v>No bias</v>
      </c>
      <c r="R171">
        <f>IF($A171="Class of 2022","",IFERROR(INDEX(CAT4_2022_2023!$G:$G,MATCH($B171,CAT4_2022_2023!$A:$A,0)),IFERROR(INDEX(CAT4_2021_2022!$G:$G,MATCH($B171,CAT4_2021_2022!$A:$A,0)),"")))</f>
        <v>97</v>
      </c>
      <c r="S171">
        <f>IF($A171="Class of 2022","",IFERROR(INDEX(CAT4_2022_2023!$H:$H,MATCH($B171,CAT4_2022_2023!$A:$A,0)),IFERROR(INDEX(CAT4_2021_2022!$H:$H,MATCH($B171,CAT4_2021_2022!$A:$A,0)),"")))</f>
        <v>94</v>
      </c>
      <c r="T171">
        <f>IF($A171="Class of 2022","",IFERROR(INDEX(CAT4_2022_2023!$I:$I,MATCH($B171,CAT4_2022_2023!$A:$A,0)),IFERROR(INDEX(CAT4_2021_2022!$I:$I,MATCH($B171,CAT4_2021_2022!$A:$A,0)),"")))</f>
        <v>86</v>
      </c>
      <c r="U171">
        <f>IF($A171="Class of 2022","",IFERROR(INDEX(CAT4_2022_2023!$J:$J,MATCH($B171,CAT4_2022_2023!$A:$A,0)),IFERROR(INDEX(CAT4_2021_2022!$J:$J,MATCH($B171,CAT4_2021_2022!$A:$A,0)),"")))</f>
        <v>100</v>
      </c>
      <c r="W171" t="s">
        <v>644</v>
      </c>
    </row>
    <row r="172" spans="1:23" x14ac:dyDescent="0.3">
      <c r="A172" t="s">
        <v>298</v>
      </c>
      <c r="B172" t="s">
        <v>413</v>
      </c>
      <c r="C172" t="s">
        <v>700</v>
      </c>
      <c r="I172" t="s">
        <v>560</v>
      </c>
      <c r="J172">
        <v>137</v>
      </c>
      <c r="K172">
        <f t="shared" si="10"/>
        <v>54.800000000000004</v>
      </c>
      <c r="L172">
        <v>16</v>
      </c>
      <c r="M172">
        <f t="shared" si="11"/>
        <v>32</v>
      </c>
      <c r="N172">
        <f t="shared" si="12"/>
        <v>94</v>
      </c>
      <c r="O172">
        <f t="shared" si="13"/>
        <v>66.197183098591552</v>
      </c>
      <c r="P172">
        <f t="shared" si="14"/>
        <v>50.999061032863857</v>
      </c>
      <c r="Q172" t="str">
        <f>IF($A172="Class of 2022","",IFERROR(INDEX(CAT4_2022_2023!$F:$F,MATCH($B172,CAT4_2022_2023!$A:$A,0)),IFERROR(INDEX(CAT4_2021_2022!$F:$F,MATCH($B172,CAT4_2021_2022!$A:$A,0)),"")))</f>
        <v>Moderate spatial bias</v>
      </c>
      <c r="R172">
        <f>IF($A172="Class of 2022","",IFERROR(INDEX(CAT4_2022_2023!$G:$G,MATCH($B172,CAT4_2022_2023!$A:$A,0)),IFERROR(INDEX(CAT4_2021_2022!$G:$G,MATCH($B172,CAT4_2021_2022!$A:$A,0)),"")))</f>
        <v>76</v>
      </c>
      <c r="S172">
        <f>IF($A172="Class of 2022","",IFERROR(INDEX(CAT4_2022_2023!$H:$H,MATCH($B172,CAT4_2022_2023!$A:$A,0)),IFERROR(INDEX(CAT4_2021_2022!$H:$H,MATCH($B172,CAT4_2021_2022!$A:$A,0)),"")))</f>
        <v>100</v>
      </c>
      <c r="T172">
        <f>IF($A172="Class of 2022","",IFERROR(INDEX(CAT4_2022_2023!$I:$I,MATCH($B172,CAT4_2022_2023!$A:$A,0)),IFERROR(INDEX(CAT4_2021_2022!$I:$I,MATCH($B172,CAT4_2021_2022!$A:$A,0)),"")))</f>
        <v>101</v>
      </c>
      <c r="U172">
        <f>IF($A172="Class of 2022","",IFERROR(INDEX(CAT4_2022_2023!$J:$J,MATCH($B172,CAT4_2022_2023!$A:$A,0)),IFERROR(INDEX(CAT4_2021_2022!$J:$J,MATCH($B172,CAT4_2021_2022!$A:$A,0)),"")))</f>
        <v>97</v>
      </c>
      <c r="W172" t="s">
        <v>644</v>
      </c>
    </row>
    <row r="173" spans="1:23" x14ac:dyDescent="0.3">
      <c r="A173" t="s">
        <v>298</v>
      </c>
      <c r="B173" t="s">
        <v>415</v>
      </c>
      <c r="C173" t="s">
        <v>701</v>
      </c>
      <c r="I173" t="s">
        <v>560</v>
      </c>
      <c r="J173">
        <v>142</v>
      </c>
      <c r="K173">
        <f t="shared" si="10"/>
        <v>56.8</v>
      </c>
      <c r="L173">
        <v>32</v>
      </c>
      <c r="M173">
        <f t="shared" si="11"/>
        <v>64</v>
      </c>
      <c r="N173">
        <f t="shared" si="12"/>
        <v>102</v>
      </c>
      <c r="O173">
        <f t="shared" si="13"/>
        <v>71.83098591549296</v>
      </c>
      <c r="P173">
        <f t="shared" si="14"/>
        <v>64.210328638497643</v>
      </c>
      <c r="Q173" t="str">
        <f>IF($A173="Class of 2022","",IFERROR(INDEX(CAT4_2022_2023!$F:$F,MATCH($B173,CAT4_2022_2023!$A:$A,0)),IFERROR(INDEX(CAT4_2021_2022!$F:$F,MATCH($B173,CAT4_2021_2022!$A:$A,0)),"")))</f>
        <v>Extreme spatial bias</v>
      </c>
      <c r="R173">
        <f>IF($A173="Class of 2022","",IFERROR(INDEX(CAT4_2022_2023!$G:$G,MATCH($B173,CAT4_2022_2023!$A:$A,0)),IFERROR(INDEX(CAT4_2021_2022!$G:$G,MATCH($B173,CAT4_2021_2022!$A:$A,0)),"")))</f>
        <v>78</v>
      </c>
      <c r="S173">
        <f>IF($A173="Class of 2022","",IFERROR(INDEX(CAT4_2022_2023!$H:$H,MATCH($B173,CAT4_2022_2023!$A:$A,0)),IFERROR(INDEX(CAT4_2021_2022!$H:$H,MATCH($B173,CAT4_2021_2022!$A:$A,0)),"")))</f>
        <v>108</v>
      </c>
      <c r="T173">
        <f>IF($A173="Class of 2022","",IFERROR(INDEX(CAT4_2022_2023!$I:$I,MATCH($B173,CAT4_2022_2023!$A:$A,0)),IFERROR(INDEX(CAT4_2021_2022!$I:$I,MATCH($B173,CAT4_2021_2022!$A:$A,0)),"")))</f>
        <v>105</v>
      </c>
      <c r="U173">
        <f>IF($A173="Class of 2022","",IFERROR(INDEX(CAT4_2022_2023!$J:$J,MATCH($B173,CAT4_2022_2023!$A:$A,0)),IFERROR(INDEX(CAT4_2021_2022!$J:$J,MATCH($B173,CAT4_2021_2022!$A:$A,0)),"")))</f>
        <v>117</v>
      </c>
      <c r="W173" t="s">
        <v>644</v>
      </c>
    </row>
    <row r="174" spans="1:23" x14ac:dyDescent="0.3">
      <c r="A174" t="s">
        <v>298</v>
      </c>
      <c r="B174" t="s">
        <v>417</v>
      </c>
      <c r="C174" t="s">
        <v>702</v>
      </c>
      <c r="I174" t="s">
        <v>566</v>
      </c>
      <c r="J174">
        <v>142</v>
      </c>
      <c r="K174">
        <f t="shared" si="10"/>
        <v>56.8</v>
      </c>
      <c r="L174">
        <v>25</v>
      </c>
      <c r="M174">
        <f t="shared" si="11"/>
        <v>50</v>
      </c>
      <c r="N174">
        <f t="shared" si="12"/>
        <v>104</v>
      </c>
      <c r="O174">
        <f t="shared" si="13"/>
        <v>73.239436619718319</v>
      </c>
      <c r="P174">
        <f t="shared" si="14"/>
        <v>60.013145539906105</v>
      </c>
      <c r="Q174" t="str">
        <f>IF($A174="Class of 2022","",IFERROR(INDEX(CAT4_2022_2023!$F:$F,MATCH($B174,CAT4_2022_2023!$A:$A,0)),IFERROR(INDEX(CAT4_2021_2022!$F:$F,MATCH($B174,CAT4_2021_2022!$A:$A,0)),"")))</f>
        <v>Moderate spatial bias</v>
      </c>
      <c r="R174">
        <f>IF($A174="Class of 2022","",IFERROR(INDEX(CAT4_2022_2023!$G:$G,MATCH($B174,CAT4_2022_2023!$A:$A,0)),IFERROR(INDEX(CAT4_2021_2022!$G:$G,MATCH($B174,CAT4_2021_2022!$A:$A,0)),"")))</f>
        <v>85</v>
      </c>
      <c r="S174">
        <f>IF($A174="Class of 2022","",IFERROR(INDEX(CAT4_2022_2023!$H:$H,MATCH($B174,CAT4_2022_2023!$A:$A,0)),IFERROR(INDEX(CAT4_2021_2022!$H:$H,MATCH($B174,CAT4_2021_2022!$A:$A,0)),"")))</f>
        <v>120</v>
      </c>
      <c r="T174">
        <f>IF($A174="Class of 2022","",IFERROR(INDEX(CAT4_2022_2023!$I:$I,MATCH($B174,CAT4_2022_2023!$A:$A,0)),IFERROR(INDEX(CAT4_2021_2022!$I:$I,MATCH($B174,CAT4_2021_2022!$A:$A,0)),"")))</f>
        <v>105</v>
      </c>
      <c r="U174">
        <f>IF($A174="Class of 2022","",IFERROR(INDEX(CAT4_2022_2023!$J:$J,MATCH($B174,CAT4_2022_2023!$A:$A,0)),IFERROR(INDEX(CAT4_2021_2022!$J:$J,MATCH($B174,CAT4_2021_2022!$A:$A,0)),"")))</f>
        <v>107</v>
      </c>
      <c r="W174" t="s">
        <v>644</v>
      </c>
    </row>
    <row r="175" spans="1:23" x14ac:dyDescent="0.3">
      <c r="A175" t="s">
        <v>419</v>
      </c>
      <c r="B175" t="s">
        <v>420</v>
      </c>
      <c r="C175" t="s">
        <v>703</v>
      </c>
      <c r="D175" t="s">
        <v>704</v>
      </c>
      <c r="E175" t="s">
        <v>705</v>
      </c>
      <c r="F175">
        <v>74</v>
      </c>
      <c r="G175">
        <v>70</v>
      </c>
      <c r="H175">
        <v>64</v>
      </c>
      <c r="J175">
        <v>155</v>
      </c>
      <c r="K175">
        <f t="shared" si="10"/>
        <v>62</v>
      </c>
      <c r="L175">
        <v>19</v>
      </c>
      <c r="M175">
        <f t="shared" si="11"/>
        <v>38</v>
      </c>
      <c r="N175">
        <f t="shared" si="12"/>
        <v>95</v>
      </c>
      <c r="O175">
        <f t="shared" si="13"/>
        <v>66.901408450704224</v>
      </c>
      <c r="P175">
        <f t="shared" si="14"/>
        <v>55.633802816901408</v>
      </c>
      <c r="Q175" t="str">
        <f>IF($A175="Class of 2022","",IFERROR(INDEX(CAT4_2022_2023!$F:$F,MATCH($B175,CAT4_2022_2023!$A:$A,0)),IFERROR(INDEX(CAT4_2021_2022!$F:$F,MATCH($B175,CAT4_2021_2022!$A:$A,0)),"")))</f>
        <v>No bias</v>
      </c>
      <c r="R175">
        <f>IF($A175="Class of 2022","",IFERROR(INDEX(CAT4_2022_2023!$G:$G,MATCH($B175,CAT4_2022_2023!$A:$A,0)),IFERROR(INDEX(CAT4_2021_2022!$G:$G,MATCH($B175,CAT4_2021_2022!$A:$A,0)),"")))</f>
        <v>88</v>
      </c>
      <c r="S175">
        <f>IF($A175="Class of 2022","",IFERROR(INDEX(CAT4_2022_2023!$H:$H,MATCH($B175,CAT4_2022_2023!$A:$A,0)),IFERROR(INDEX(CAT4_2021_2022!$H:$H,MATCH($B175,CAT4_2021_2022!$A:$A,0)),"")))</f>
        <v>111</v>
      </c>
      <c r="T175">
        <f>IF($A175="Class of 2022","",IFERROR(INDEX(CAT4_2022_2023!$I:$I,MATCH($B175,CAT4_2022_2023!$A:$A,0)),IFERROR(INDEX(CAT4_2021_2022!$I:$I,MATCH($B175,CAT4_2021_2022!$A:$A,0)),"")))</f>
        <v>102</v>
      </c>
      <c r="U175">
        <f>IF($A175="Class of 2022","",IFERROR(INDEX(CAT4_2022_2023!$J:$J,MATCH($B175,CAT4_2022_2023!$A:$A,0)),IFERROR(INDEX(CAT4_2021_2022!$J:$J,MATCH($B175,CAT4_2021_2022!$A:$A,0)),"")))</f>
        <v>80</v>
      </c>
      <c r="V175" t="s">
        <v>706</v>
      </c>
      <c r="W175" t="s">
        <v>707</v>
      </c>
    </row>
    <row r="176" spans="1:23" x14ac:dyDescent="0.3">
      <c r="A176" t="s">
        <v>419</v>
      </c>
      <c r="B176" t="s">
        <v>423</v>
      </c>
      <c r="C176" t="s">
        <v>708</v>
      </c>
      <c r="D176" t="s">
        <v>704</v>
      </c>
      <c r="E176" t="s">
        <v>705</v>
      </c>
      <c r="F176">
        <v>8</v>
      </c>
      <c r="G176">
        <v>7</v>
      </c>
      <c r="H176">
        <v>8</v>
      </c>
      <c r="J176">
        <v>152</v>
      </c>
      <c r="K176">
        <f t="shared" si="10"/>
        <v>60.8</v>
      </c>
      <c r="L176">
        <v>25</v>
      </c>
      <c r="M176">
        <f t="shared" si="11"/>
        <v>50</v>
      </c>
      <c r="N176">
        <f t="shared" si="12"/>
        <v>102</v>
      </c>
      <c r="O176">
        <f t="shared" si="13"/>
        <v>71.83098591549296</v>
      </c>
      <c r="P176">
        <f t="shared" si="14"/>
        <v>60.876995305164314</v>
      </c>
      <c r="Q176" t="str">
        <f>IF($A176="Class of 2022","",IFERROR(INDEX(CAT4_2022_2023!$F:$F,MATCH($B176,CAT4_2022_2023!$A:$A,0)),IFERROR(INDEX(CAT4_2021_2022!$F:$F,MATCH($B176,CAT4_2021_2022!$A:$A,0)),"")))</f>
        <v>Moderate spatial bias</v>
      </c>
      <c r="R176">
        <f>IF($A176="Class of 2022","",IFERROR(INDEX(CAT4_2022_2023!$G:$G,MATCH($B176,CAT4_2022_2023!$A:$A,0)),IFERROR(INDEX(CAT4_2021_2022!$G:$G,MATCH($B176,CAT4_2021_2022!$A:$A,0)),"")))</f>
        <v>83</v>
      </c>
      <c r="S176">
        <f>IF($A176="Class of 2022","",IFERROR(INDEX(CAT4_2022_2023!$H:$H,MATCH($B176,CAT4_2022_2023!$A:$A,0)),IFERROR(INDEX(CAT4_2021_2022!$H:$H,MATCH($B176,CAT4_2021_2022!$A:$A,0)),"")))</f>
        <v>102</v>
      </c>
      <c r="T176">
        <f>IF($A176="Class of 2022","",IFERROR(INDEX(CAT4_2022_2023!$I:$I,MATCH($B176,CAT4_2022_2023!$A:$A,0)),IFERROR(INDEX(CAT4_2021_2022!$I:$I,MATCH($B176,CAT4_2021_2022!$A:$A,0)),"")))</f>
        <v>118</v>
      </c>
      <c r="U176">
        <f>IF($A176="Class of 2022","",IFERROR(INDEX(CAT4_2022_2023!$J:$J,MATCH($B176,CAT4_2022_2023!$A:$A,0)),IFERROR(INDEX(CAT4_2021_2022!$J:$J,MATCH($B176,CAT4_2021_2022!$A:$A,0)),"")))</f>
        <v>104</v>
      </c>
      <c r="V176" t="s">
        <v>709</v>
      </c>
      <c r="W176" t="s">
        <v>707</v>
      </c>
    </row>
    <row r="177" spans="1:23" x14ac:dyDescent="0.3">
      <c r="A177" t="s">
        <v>419</v>
      </c>
      <c r="B177" t="s">
        <v>425</v>
      </c>
      <c r="C177" t="s">
        <v>710</v>
      </c>
      <c r="D177" t="s">
        <v>711</v>
      </c>
      <c r="E177" t="s">
        <v>705</v>
      </c>
      <c r="J177">
        <v>138</v>
      </c>
      <c r="K177">
        <f t="shared" si="10"/>
        <v>55.2</v>
      </c>
      <c r="L177">
        <v>31</v>
      </c>
      <c r="M177">
        <f t="shared" si="11"/>
        <v>62</v>
      </c>
      <c r="N177">
        <f t="shared" si="12"/>
        <v>115</v>
      </c>
      <c r="O177">
        <f t="shared" si="13"/>
        <v>80.985915492957744</v>
      </c>
      <c r="P177">
        <f t="shared" si="14"/>
        <v>66.061971830985911</v>
      </c>
      <c r="Q177" t="str">
        <f>IF($A177="Class of 2022","",IFERROR(INDEX(CAT4_2022_2023!$F:$F,MATCH($B177,CAT4_2022_2023!$A:$A,0)),IFERROR(INDEX(CAT4_2021_2022!$F:$F,MATCH($B177,CAT4_2021_2022!$A:$A,0)),"")))</f>
        <v>Mild spatial bias</v>
      </c>
      <c r="R177">
        <f>IF($A177="Class of 2022","",IFERROR(INDEX(CAT4_2022_2023!$G:$G,MATCH($B177,CAT4_2022_2023!$A:$A,0)),IFERROR(INDEX(CAT4_2021_2022!$G:$G,MATCH($B177,CAT4_2021_2022!$A:$A,0)),"")))</f>
        <v>96</v>
      </c>
      <c r="S177">
        <f>IF($A177="Class of 2022","",IFERROR(INDEX(CAT4_2022_2023!$H:$H,MATCH($B177,CAT4_2022_2023!$A:$A,0)),IFERROR(INDEX(CAT4_2021_2022!$H:$H,MATCH($B177,CAT4_2021_2022!$A:$A,0)),"")))</f>
        <v>131</v>
      </c>
      <c r="T177">
        <f>IF($A177="Class of 2022","",IFERROR(INDEX(CAT4_2022_2023!$I:$I,MATCH($B177,CAT4_2022_2023!$A:$A,0)),IFERROR(INDEX(CAT4_2021_2022!$I:$I,MATCH($B177,CAT4_2021_2022!$A:$A,0)),"")))</f>
        <v>122</v>
      </c>
      <c r="U177">
        <f>IF($A177="Class of 2022","",IFERROR(INDEX(CAT4_2022_2023!$J:$J,MATCH($B177,CAT4_2022_2023!$A:$A,0)),IFERROR(INDEX(CAT4_2021_2022!$J:$J,MATCH($B177,CAT4_2021_2022!$A:$A,0)),"")))</f>
        <v>111</v>
      </c>
      <c r="V177" t="s">
        <v>712</v>
      </c>
      <c r="W177" t="s">
        <v>707</v>
      </c>
    </row>
    <row r="178" spans="1:23" x14ac:dyDescent="0.3">
      <c r="A178" t="s">
        <v>419</v>
      </c>
      <c r="B178" t="s">
        <v>427</v>
      </c>
      <c r="C178" t="s">
        <v>713</v>
      </c>
      <c r="D178" t="s">
        <v>558</v>
      </c>
      <c r="E178" t="s">
        <v>714</v>
      </c>
      <c r="F178">
        <v>99</v>
      </c>
      <c r="G178">
        <v>100</v>
      </c>
      <c r="H178">
        <v>96</v>
      </c>
      <c r="J178">
        <v>140</v>
      </c>
      <c r="K178">
        <f t="shared" si="10"/>
        <v>56.000000000000007</v>
      </c>
      <c r="L178">
        <v>23</v>
      </c>
      <c r="M178">
        <f t="shared" si="11"/>
        <v>46</v>
      </c>
      <c r="N178">
        <f t="shared" si="12"/>
        <v>97</v>
      </c>
      <c r="O178">
        <f t="shared" si="13"/>
        <v>68.309859154929569</v>
      </c>
      <c r="P178">
        <f t="shared" si="14"/>
        <v>56.769953051643192</v>
      </c>
      <c r="Q178" t="str">
        <f>IF($A178="Class of 2022","",IFERROR(INDEX(CAT4_2022_2023!$F:$F,MATCH($B178,CAT4_2022_2023!$A:$A,0)),IFERROR(INDEX(CAT4_2021_2022!$F:$F,MATCH($B178,CAT4_2021_2022!$A:$A,0)),"")))</f>
        <v>Moderate spatial bias</v>
      </c>
      <c r="R178">
        <f>IF($A178="Class of 2022","",IFERROR(INDEX(CAT4_2022_2023!$G:$G,MATCH($B178,CAT4_2022_2023!$A:$A,0)),IFERROR(INDEX(CAT4_2021_2022!$G:$G,MATCH($B178,CAT4_2021_2022!$A:$A,0)),"")))</f>
        <v>85</v>
      </c>
      <c r="S178">
        <f>IF($A178="Class of 2022","",IFERROR(INDEX(CAT4_2022_2023!$H:$H,MATCH($B178,CAT4_2022_2023!$A:$A,0)),IFERROR(INDEX(CAT4_2021_2022!$H:$H,MATCH($B178,CAT4_2021_2022!$A:$A,0)),"")))</f>
        <v>100</v>
      </c>
      <c r="T178">
        <f>IF($A178="Class of 2022","",IFERROR(INDEX(CAT4_2022_2023!$I:$I,MATCH($B178,CAT4_2022_2023!$A:$A,0)),IFERROR(INDEX(CAT4_2021_2022!$I:$I,MATCH($B178,CAT4_2021_2022!$A:$A,0)),"")))</f>
        <v>96</v>
      </c>
      <c r="U178">
        <f>IF($A178="Class of 2022","",IFERROR(INDEX(CAT4_2022_2023!$J:$J,MATCH($B178,CAT4_2022_2023!$A:$A,0)),IFERROR(INDEX(CAT4_2021_2022!$J:$J,MATCH($B178,CAT4_2021_2022!$A:$A,0)),"")))</f>
        <v>105</v>
      </c>
      <c r="V178" t="s">
        <v>715</v>
      </c>
      <c r="W178" t="s">
        <v>707</v>
      </c>
    </row>
    <row r="179" spans="1:23" x14ac:dyDescent="0.3">
      <c r="A179" t="s">
        <v>419</v>
      </c>
      <c r="B179" t="s">
        <v>429</v>
      </c>
      <c r="C179" t="s">
        <v>716</v>
      </c>
      <c r="D179" t="s">
        <v>624</v>
      </c>
      <c r="E179" t="s">
        <v>714</v>
      </c>
      <c r="F179">
        <v>100</v>
      </c>
      <c r="G179">
        <v>100</v>
      </c>
      <c r="H179">
        <v>99</v>
      </c>
      <c r="J179">
        <v>154</v>
      </c>
      <c r="K179">
        <f t="shared" si="10"/>
        <v>61.6</v>
      </c>
      <c r="L179">
        <v>15</v>
      </c>
      <c r="M179">
        <f t="shared" si="11"/>
        <v>30</v>
      </c>
      <c r="N179">
        <f t="shared" si="12"/>
        <v>95</v>
      </c>
      <c r="O179">
        <f t="shared" si="13"/>
        <v>66.901408450704224</v>
      </c>
      <c r="P179">
        <f t="shared" si="14"/>
        <v>52.833802816901404</v>
      </c>
      <c r="Q179" t="str">
        <f>IF($A179="Class of 2022","",IFERROR(INDEX(CAT4_2022_2023!$F:$F,MATCH($B179,CAT4_2022_2023!$A:$A,0)),IFERROR(INDEX(CAT4_2021_2022!$F:$F,MATCH($B179,CAT4_2021_2022!$A:$A,0)),"")))</f>
        <v>No bias</v>
      </c>
      <c r="R179">
        <f>IF($A179="Class of 2022","",IFERROR(INDEX(CAT4_2022_2023!$G:$G,MATCH($B179,CAT4_2022_2023!$A:$A,0)),IFERROR(INDEX(CAT4_2021_2022!$G:$G,MATCH($B179,CAT4_2021_2022!$A:$A,0)),"")))</f>
        <v>95</v>
      </c>
      <c r="S179">
        <f>IF($A179="Class of 2022","",IFERROR(INDEX(CAT4_2022_2023!$H:$H,MATCH($B179,CAT4_2022_2023!$A:$A,0)),IFERROR(INDEX(CAT4_2021_2022!$H:$H,MATCH($B179,CAT4_2021_2022!$A:$A,0)),"")))</f>
        <v>89</v>
      </c>
      <c r="T179">
        <f>IF($A179="Class of 2022","",IFERROR(INDEX(CAT4_2022_2023!$I:$I,MATCH($B179,CAT4_2022_2023!$A:$A,0)),IFERROR(INDEX(CAT4_2021_2022!$I:$I,MATCH($B179,CAT4_2021_2022!$A:$A,0)),"")))</f>
        <v>100</v>
      </c>
      <c r="U179">
        <f>IF($A179="Class of 2022","",IFERROR(INDEX(CAT4_2022_2023!$J:$J,MATCH($B179,CAT4_2022_2023!$A:$A,0)),IFERROR(INDEX(CAT4_2021_2022!$J:$J,MATCH($B179,CAT4_2021_2022!$A:$A,0)),"")))</f>
        <v>97</v>
      </c>
      <c r="V179" t="s">
        <v>706</v>
      </c>
      <c r="W179" t="s">
        <v>707</v>
      </c>
    </row>
    <row r="180" spans="1:23" x14ac:dyDescent="0.3">
      <c r="A180" t="s">
        <v>419</v>
      </c>
      <c r="B180" t="s">
        <v>431</v>
      </c>
      <c r="C180" t="s">
        <v>717</v>
      </c>
      <c r="D180" t="s">
        <v>718</v>
      </c>
      <c r="E180" t="s">
        <v>705</v>
      </c>
      <c r="J180">
        <v>152</v>
      </c>
      <c r="K180">
        <f t="shared" si="10"/>
        <v>60.8</v>
      </c>
      <c r="L180">
        <v>11</v>
      </c>
      <c r="M180">
        <f t="shared" si="11"/>
        <v>22</v>
      </c>
      <c r="N180">
        <f t="shared" si="12"/>
        <v>110</v>
      </c>
      <c r="O180">
        <f t="shared" si="13"/>
        <v>77.464788732394368</v>
      </c>
      <c r="P180">
        <f t="shared" si="14"/>
        <v>53.421596244131457</v>
      </c>
      <c r="Q180" t="str">
        <f>IF($A180="Class of 2022","",IFERROR(INDEX(CAT4_2022_2023!$F:$F,MATCH($B180,CAT4_2022_2023!$A:$A,0)),IFERROR(INDEX(CAT4_2021_2022!$F:$F,MATCH($B180,CAT4_2021_2022!$A:$A,0)),"")))</f>
        <v>Moderate verbal bias</v>
      </c>
      <c r="R180">
        <f>IF($A180="Class of 2022","",IFERROR(INDEX(CAT4_2022_2023!$G:$G,MATCH($B180,CAT4_2022_2023!$A:$A,0)),IFERROR(INDEX(CAT4_2021_2022!$G:$G,MATCH($B180,CAT4_2021_2022!$A:$A,0)),"")))</f>
        <v>112</v>
      </c>
      <c r="S180">
        <f>IF($A180="Class of 2022","",IFERROR(INDEX(CAT4_2022_2023!$H:$H,MATCH($B180,CAT4_2022_2023!$A:$A,0)),IFERROR(INDEX(CAT4_2021_2022!$H:$H,MATCH($B180,CAT4_2021_2022!$A:$A,0)),"")))</f>
        <v>106</v>
      </c>
      <c r="T180">
        <f>IF($A180="Class of 2022","",IFERROR(INDEX(CAT4_2022_2023!$I:$I,MATCH($B180,CAT4_2022_2023!$A:$A,0)),IFERROR(INDEX(CAT4_2021_2022!$I:$I,MATCH($B180,CAT4_2021_2022!$A:$A,0)),"")))</f>
        <v>126</v>
      </c>
      <c r="U180">
        <f>IF($A180="Class of 2022","",IFERROR(INDEX(CAT4_2022_2023!$J:$J,MATCH($B180,CAT4_2022_2023!$A:$A,0)),IFERROR(INDEX(CAT4_2021_2022!$J:$J,MATCH($B180,CAT4_2021_2022!$A:$A,0)),"")))</f>
        <v>95</v>
      </c>
      <c r="V180" t="s">
        <v>709</v>
      </c>
      <c r="W180" t="s">
        <v>707</v>
      </c>
    </row>
    <row r="181" spans="1:23" x14ac:dyDescent="0.3">
      <c r="A181" t="s">
        <v>419</v>
      </c>
      <c r="B181" t="s">
        <v>433</v>
      </c>
      <c r="C181" t="s">
        <v>719</v>
      </c>
      <c r="D181" t="s">
        <v>704</v>
      </c>
      <c r="E181" t="s">
        <v>705</v>
      </c>
      <c r="F181">
        <v>0</v>
      </c>
      <c r="G181">
        <v>75</v>
      </c>
      <c r="H181">
        <v>80</v>
      </c>
      <c r="J181">
        <v>148</v>
      </c>
      <c r="K181">
        <f t="shared" si="10"/>
        <v>59.199999999999996</v>
      </c>
      <c r="L181">
        <v>28</v>
      </c>
      <c r="M181">
        <f t="shared" si="11"/>
        <v>56.000000000000007</v>
      </c>
      <c r="N181">
        <f t="shared" si="12"/>
        <v>111</v>
      </c>
      <c r="O181">
        <f t="shared" si="13"/>
        <v>78.16901408450704</v>
      </c>
      <c r="P181">
        <f t="shared" si="14"/>
        <v>64.456338028169014</v>
      </c>
      <c r="Q181" t="str">
        <f>IF($A181="Class of 2022","",IFERROR(INDEX(CAT4_2022_2023!$F:$F,MATCH($B181,CAT4_2022_2023!$A:$A,0)),IFERROR(INDEX(CAT4_2021_2022!$F:$F,MATCH($B181,CAT4_2021_2022!$A:$A,0)),"")))</f>
        <v>Extreme spatial bias</v>
      </c>
      <c r="R181">
        <f>IF($A181="Class of 2022","",IFERROR(INDEX(CAT4_2022_2023!$G:$G,MATCH($B181,CAT4_2022_2023!$A:$A,0)),IFERROR(INDEX(CAT4_2021_2022!$G:$G,MATCH($B181,CAT4_2021_2022!$A:$A,0)),"")))</f>
        <v>85</v>
      </c>
      <c r="S181">
        <f>IF($A181="Class of 2022","",IFERROR(INDEX(CAT4_2022_2023!$H:$H,MATCH($B181,CAT4_2022_2023!$A:$A,0)),IFERROR(INDEX(CAT4_2021_2022!$H:$H,MATCH($B181,CAT4_2021_2022!$A:$A,0)),"")))</f>
        <v>110</v>
      </c>
      <c r="T181">
        <f>IF($A181="Class of 2022","",IFERROR(INDEX(CAT4_2022_2023!$I:$I,MATCH($B181,CAT4_2022_2023!$A:$A,0)),IFERROR(INDEX(CAT4_2021_2022!$I:$I,MATCH($B181,CAT4_2021_2022!$A:$A,0)),"")))</f>
        <v>131</v>
      </c>
      <c r="U181">
        <f>IF($A181="Class of 2022","",IFERROR(INDEX(CAT4_2022_2023!$J:$J,MATCH($B181,CAT4_2022_2023!$A:$A,0)),IFERROR(INDEX(CAT4_2021_2022!$J:$J,MATCH($B181,CAT4_2021_2022!$A:$A,0)),"")))</f>
        <v>119</v>
      </c>
      <c r="V181" t="s">
        <v>715</v>
      </c>
      <c r="W181" t="s">
        <v>707</v>
      </c>
    </row>
    <row r="182" spans="1:23" x14ac:dyDescent="0.3">
      <c r="A182" t="s">
        <v>419</v>
      </c>
      <c r="B182" t="s">
        <v>435</v>
      </c>
      <c r="C182" t="s">
        <v>720</v>
      </c>
      <c r="D182" t="s">
        <v>580</v>
      </c>
      <c r="E182" t="s">
        <v>705</v>
      </c>
      <c r="J182">
        <v>165</v>
      </c>
      <c r="K182">
        <f t="shared" si="10"/>
        <v>66</v>
      </c>
      <c r="L182">
        <v>33</v>
      </c>
      <c r="M182">
        <f t="shared" si="11"/>
        <v>66</v>
      </c>
      <c r="N182">
        <f t="shared" si="12"/>
        <v>109</v>
      </c>
      <c r="O182">
        <f t="shared" si="13"/>
        <v>76.760563380281681</v>
      </c>
      <c r="P182">
        <f t="shared" si="14"/>
        <v>69.586854460093889</v>
      </c>
      <c r="Q182" t="str">
        <f>IF($A182="Class of 2022","",IFERROR(INDEX(CAT4_2022_2023!$F:$F,MATCH($B182,CAT4_2022_2023!$A:$A,0)),IFERROR(INDEX(CAT4_2021_2022!$F:$F,MATCH($B182,CAT4_2021_2022!$A:$A,0)),"")))</f>
        <v>No bias</v>
      </c>
      <c r="R182">
        <f>IF($A182="Class of 2022","",IFERROR(INDEX(CAT4_2022_2023!$G:$G,MATCH($B182,CAT4_2022_2023!$A:$A,0)),IFERROR(INDEX(CAT4_2021_2022!$G:$G,MATCH($B182,CAT4_2021_2022!$A:$A,0)),"")))</f>
        <v>100</v>
      </c>
      <c r="S182">
        <f>IF($A182="Class of 2022","",IFERROR(INDEX(CAT4_2022_2023!$H:$H,MATCH($B182,CAT4_2022_2023!$A:$A,0)),IFERROR(INDEX(CAT4_2021_2022!$H:$H,MATCH($B182,CAT4_2021_2022!$A:$A,0)),"")))</f>
        <v>115</v>
      </c>
      <c r="T182">
        <f>IF($A182="Class of 2022","",IFERROR(INDEX(CAT4_2022_2023!$I:$I,MATCH($B182,CAT4_2022_2023!$A:$A,0)),IFERROR(INDEX(CAT4_2021_2022!$I:$I,MATCH($B182,CAT4_2021_2022!$A:$A,0)),"")))</f>
        <v>111</v>
      </c>
      <c r="U182">
        <f>IF($A182="Class of 2022","",IFERROR(INDEX(CAT4_2022_2023!$J:$J,MATCH($B182,CAT4_2022_2023!$A:$A,0)),IFERROR(INDEX(CAT4_2021_2022!$J:$J,MATCH($B182,CAT4_2021_2022!$A:$A,0)),"")))</f>
        <v>109</v>
      </c>
      <c r="V182" t="s">
        <v>709</v>
      </c>
      <c r="W182" t="s">
        <v>707</v>
      </c>
    </row>
    <row r="183" spans="1:23" x14ac:dyDescent="0.3">
      <c r="A183" t="s">
        <v>419</v>
      </c>
      <c r="B183" t="s">
        <v>437</v>
      </c>
      <c r="C183" t="s">
        <v>721</v>
      </c>
      <c r="D183" t="s">
        <v>593</v>
      </c>
      <c r="E183" t="s">
        <v>705</v>
      </c>
      <c r="J183">
        <v>155</v>
      </c>
      <c r="K183">
        <f t="shared" si="10"/>
        <v>62</v>
      </c>
      <c r="L183">
        <v>23</v>
      </c>
      <c r="M183">
        <f t="shared" si="11"/>
        <v>46</v>
      </c>
      <c r="N183">
        <f t="shared" si="12"/>
        <v>102</v>
      </c>
      <c r="O183">
        <f t="shared" si="13"/>
        <v>71.83098591549296</v>
      </c>
      <c r="P183">
        <f t="shared" si="14"/>
        <v>59.943661971830984</v>
      </c>
      <c r="Q183" t="str">
        <f>IF($A183="Class of 2022","",IFERROR(INDEX(CAT4_2022_2023!$F:$F,MATCH($B183,CAT4_2022_2023!$A:$A,0)),IFERROR(INDEX(CAT4_2021_2022!$F:$F,MATCH($B183,CAT4_2021_2022!$A:$A,0)),"")))</f>
        <v>No bias</v>
      </c>
      <c r="R183">
        <f>IF($A183="Class of 2022","",IFERROR(INDEX(CAT4_2022_2023!$G:$G,MATCH($B183,CAT4_2022_2023!$A:$A,0)),IFERROR(INDEX(CAT4_2021_2022!$G:$G,MATCH($B183,CAT4_2021_2022!$A:$A,0)),"")))</f>
        <v>105</v>
      </c>
      <c r="S183">
        <f>IF($A183="Class of 2022","",IFERROR(INDEX(CAT4_2022_2023!$H:$H,MATCH($B183,CAT4_2022_2023!$A:$A,0)),IFERROR(INDEX(CAT4_2021_2022!$H:$H,MATCH($B183,CAT4_2021_2022!$A:$A,0)),"")))</f>
        <v>97</v>
      </c>
      <c r="T183">
        <f>IF($A183="Class of 2022","",IFERROR(INDEX(CAT4_2022_2023!$I:$I,MATCH($B183,CAT4_2022_2023!$A:$A,0)),IFERROR(INDEX(CAT4_2021_2022!$I:$I,MATCH($B183,CAT4_2021_2022!$A:$A,0)),"")))</f>
        <v>105</v>
      </c>
      <c r="U183">
        <f>IF($A183="Class of 2022","",IFERROR(INDEX(CAT4_2022_2023!$J:$J,MATCH($B183,CAT4_2022_2023!$A:$A,0)),IFERROR(INDEX(CAT4_2021_2022!$J:$J,MATCH($B183,CAT4_2021_2022!$A:$A,0)),"")))</f>
        <v>99</v>
      </c>
      <c r="V183" t="s">
        <v>706</v>
      </c>
      <c r="W183" t="s">
        <v>707</v>
      </c>
    </row>
    <row r="184" spans="1:23" x14ac:dyDescent="0.3">
      <c r="A184" t="s">
        <v>419</v>
      </c>
      <c r="B184" t="s">
        <v>439</v>
      </c>
      <c r="C184" t="s">
        <v>440</v>
      </c>
      <c r="K184" t="str">
        <f t="shared" si="10"/>
        <v/>
      </c>
      <c r="M184" t="str">
        <f t="shared" si="11"/>
        <v/>
      </c>
      <c r="N184">
        <f t="shared" si="12"/>
        <v>93</v>
      </c>
      <c r="O184">
        <f t="shared" si="13"/>
        <v>65.492957746478879</v>
      </c>
      <c r="P184">
        <f t="shared" si="14"/>
        <v>65.492957746478879</v>
      </c>
      <c r="Q184" t="str">
        <f>IF($A184="Class of 2022","",IFERROR(INDEX(CAT4_2022_2023!$F:$F,MATCH($B184,CAT4_2022_2023!$A:$A,0)),IFERROR(INDEX(CAT4_2021_2022!$F:$F,MATCH($B184,CAT4_2021_2022!$A:$A,0)),"")))</f>
        <v>No bias</v>
      </c>
      <c r="R184">
        <f>IF($A184="Class of 2022","",IFERROR(INDEX(CAT4_2022_2023!$G:$G,MATCH($B184,CAT4_2022_2023!$A:$A,0)),IFERROR(INDEX(CAT4_2021_2022!$G:$G,MATCH($B184,CAT4_2021_2022!$A:$A,0)),"")))</f>
        <v>87</v>
      </c>
      <c r="S184">
        <f>IF($A184="Class of 2022","",IFERROR(INDEX(CAT4_2022_2023!$H:$H,MATCH($B184,CAT4_2022_2023!$A:$A,0)),IFERROR(INDEX(CAT4_2021_2022!$H:$H,MATCH($B184,CAT4_2021_2022!$A:$A,0)),"")))</f>
        <v>101</v>
      </c>
      <c r="T184">
        <f>IF($A184="Class of 2022","",IFERROR(INDEX(CAT4_2022_2023!$I:$I,MATCH($B184,CAT4_2022_2023!$A:$A,0)),IFERROR(INDEX(CAT4_2021_2022!$I:$I,MATCH($B184,CAT4_2021_2022!$A:$A,0)),"")))</f>
        <v>102</v>
      </c>
      <c r="U184">
        <f>IF($A184="Class of 2022","",IFERROR(INDEX(CAT4_2022_2023!$J:$J,MATCH($B184,CAT4_2022_2023!$A:$A,0)),IFERROR(INDEX(CAT4_2021_2022!$J:$J,MATCH($B184,CAT4_2021_2022!$A:$A,0)),"")))</f>
        <v>80</v>
      </c>
      <c r="W184" t="s">
        <v>722</v>
      </c>
    </row>
    <row r="185" spans="1:23" x14ac:dyDescent="0.3">
      <c r="A185" t="s">
        <v>419</v>
      </c>
      <c r="B185" t="s">
        <v>441</v>
      </c>
      <c r="C185" t="s">
        <v>723</v>
      </c>
      <c r="D185" t="s">
        <v>558</v>
      </c>
      <c r="E185" t="s">
        <v>714</v>
      </c>
      <c r="F185">
        <v>98</v>
      </c>
      <c r="G185">
        <v>98</v>
      </c>
      <c r="H185">
        <v>90</v>
      </c>
      <c r="J185">
        <v>138</v>
      </c>
      <c r="K185">
        <f t="shared" si="10"/>
        <v>55.2</v>
      </c>
      <c r="L185">
        <v>23</v>
      </c>
      <c r="M185">
        <f t="shared" si="11"/>
        <v>46</v>
      </c>
      <c r="N185">
        <f t="shared" si="12"/>
        <v>101</v>
      </c>
      <c r="O185">
        <f t="shared" si="13"/>
        <v>71.126760563380287</v>
      </c>
      <c r="P185">
        <f t="shared" si="14"/>
        <v>57.442253521126759</v>
      </c>
      <c r="Q185" t="str">
        <f>IF($A185="Class of 2022","",IFERROR(INDEX(CAT4_2022_2023!$F:$F,MATCH($B185,CAT4_2022_2023!$A:$A,0)),IFERROR(INDEX(CAT4_2021_2022!$F:$F,MATCH($B185,CAT4_2021_2022!$A:$A,0)),"")))</f>
        <v>Extreme spatial bias</v>
      </c>
      <c r="R185">
        <f>IF($A185="Class of 2022","",IFERROR(INDEX(CAT4_2022_2023!$G:$G,MATCH($B185,CAT4_2022_2023!$A:$A,0)),IFERROR(INDEX(CAT4_2021_2022!$G:$G,MATCH($B185,CAT4_2021_2022!$A:$A,0)),"")))</f>
        <v>85</v>
      </c>
      <c r="S185">
        <f>IF($A185="Class of 2022","",IFERROR(INDEX(CAT4_2022_2023!$H:$H,MATCH($B185,CAT4_2022_2023!$A:$A,0)),IFERROR(INDEX(CAT4_2021_2022!$H:$H,MATCH($B185,CAT4_2021_2022!$A:$A,0)),"")))</f>
        <v>96</v>
      </c>
      <c r="T185">
        <f>IF($A185="Class of 2022","",IFERROR(INDEX(CAT4_2022_2023!$I:$I,MATCH($B185,CAT4_2022_2023!$A:$A,0)),IFERROR(INDEX(CAT4_2021_2022!$I:$I,MATCH($B185,CAT4_2021_2022!$A:$A,0)),"")))</f>
        <v>108</v>
      </c>
      <c r="U185">
        <f>IF($A185="Class of 2022","",IFERROR(INDEX(CAT4_2022_2023!$J:$J,MATCH($B185,CAT4_2022_2023!$A:$A,0)),IFERROR(INDEX(CAT4_2021_2022!$J:$J,MATCH($B185,CAT4_2021_2022!$A:$A,0)),"")))</f>
        <v>116</v>
      </c>
      <c r="V185" t="s">
        <v>715</v>
      </c>
      <c r="W185" t="s">
        <v>707</v>
      </c>
    </row>
    <row r="186" spans="1:23" x14ac:dyDescent="0.3">
      <c r="A186" t="s">
        <v>419</v>
      </c>
      <c r="B186" t="s">
        <v>443</v>
      </c>
      <c r="C186" t="s">
        <v>724</v>
      </c>
      <c r="D186" t="s">
        <v>725</v>
      </c>
      <c r="E186" t="s">
        <v>714</v>
      </c>
      <c r="F186">
        <v>99</v>
      </c>
      <c r="G186">
        <v>95</v>
      </c>
      <c r="H186">
        <v>98</v>
      </c>
      <c r="J186">
        <v>142</v>
      </c>
      <c r="K186">
        <f t="shared" si="10"/>
        <v>56.8</v>
      </c>
      <c r="L186">
        <v>23</v>
      </c>
      <c r="M186">
        <f t="shared" si="11"/>
        <v>46</v>
      </c>
      <c r="N186">
        <f t="shared" si="12"/>
        <v>93</v>
      </c>
      <c r="O186">
        <f t="shared" si="13"/>
        <v>65.492957746478879</v>
      </c>
      <c r="P186">
        <f t="shared" si="14"/>
        <v>56.097652582159618</v>
      </c>
      <c r="Q186" t="str">
        <f>IF($A186="Class of 2022","",IFERROR(INDEX(CAT4_2022_2023!$F:$F,MATCH($B186,CAT4_2022_2023!$A:$A,0)),IFERROR(INDEX(CAT4_2021_2022!$F:$F,MATCH($B186,CAT4_2021_2022!$A:$A,0)),"")))</f>
        <v>Mild spatial bias</v>
      </c>
      <c r="R186">
        <f>IF($A186="Class of 2022","",IFERROR(INDEX(CAT4_2022_2023!$G:$G,MATCH($B186,CAT4_2022_2023!$A:$A,0)),IFERROR(INDEX(CAT4_2021_2022!$G:$G,MATCH($B186,CAT4_2021_2022!$A:$A,0)),"")))</f>
        <v>75</v>
      </c>
      <c r="S186">
        <f>IF($A186="Class of 2022","",IFERROR(INDEX(CAT4_2022_2023!$H:$H,MATCH($B186,CAT4_2022_2023!$A:$A,0)),IFERROR(INDEX(CAT4_2021_2022!$H:$H,MATCH($B186,CAT4_2021_2022!$A:$A,0)),"")))</f>
        <v>110</v>
      </c>
      <c r="T186">
        <f>IF($A186="Class of 2022","",IFERROR(INDEX(CAT4_2022_2023!$I:$I,MATCH($B186,CAT4_2022_2023!$A:$A,0)),IFERROR(INDEX(CAT4_2021_2022!$I:$I,MATCH($B186,CAT4_2021_2022!$A:$A,0)),"")))</f>
        <v>91</v>
      </c>
      <c r="U186">
        <f>IF($A186="Class of 2022","",IFERROR(INDEX(CAT4_2022_2023!$J:$J,MATCH($B186,CAT4_2022_2023!$A:$A,0)),IFERROR(INDEX(CAT4_2021_2022!$J:$J,MATCH($B186,CAT4_2021_2022!$A:$A,0)),"")))</f>
        <v>95</v>
      </c>
      <c r="V186" t="s">
        <v>715</v>
      </c>
      <c r="W186" t="s">
        <v>707</v>
      </c>
    </row>
    <row r="187" spans="1:23" x14ac:dyDescent="0.3">
      <c r="A187" t="s">
        <v>419</v>
      </c>
      <c r="B187" t="s">
        <v>445</v>
      </c>
      <c r="C187" t="s">
        <v>726</v>
      </c>
      <c r="D187" t="s">
        <v>727</v>
      </c>
      <c r="E187" t="s">
        <v>705</v>
      </c>
      <c r="J187">
        <v>158</v>
      </c>
      <c r="K187">
        <f t="shared" si="10"/>
        <v>63.2</v>
      </c>
      <c r="L187">
        <v>25</v>
      </c>
      <c r="M187">
        <f t="shared" si="11"/>
        <v>50</v>
      </c>
      <c r="N187">
        <f t="shared" si="12"/>
        <v>99</v>
      </c>
      <c r="O187">
        <f t="shared" si="13"/>
        <v>69.718309859154928</v>
      </c>
      <c r="P187">
        <f t="shared" si="14"/>
        <v>60.972769953051646</v>
      </c>
      <c r="Q187" t="str">
        <f>IF($A187="Class of 2022","",IFERROR(INDEX(CAT4_2022_2023!$F:$F,MATCH($B187,CAT4_2022_2023!$A:$A,0)),IFERROR(INDEX(CAT4_2021_2022!$F:$F,MATCH($B187,CAT4_2021_2022!$A:$A,0)),"")))</f>
        <v>Mild verbal bias</v>
      </c>
      <c r="R187">
        <f>IF($A187="Class of 2022","",IFERROR(INDEX(CAT4_2022_2023!$G:$G,MATCH($B187,CAT4_2022_2023!$A:$A,0)),IFERROR(INDEX(CAT4_2021_2022!$G:$G,MATCH($B187,CAT4_2021_2022!$A:$A,0)),"")))</f>
        <v>97</v>
      </c>
      <c r="S187">
        <f>IF($A187="Class of 2022","",IFERROR(INDEX(CAT4_2022_2023!$H:$H,MATCH($B187,CAT4_2022_2023!$A:$A,0)),IFERROR(INDEX(CAT4_2021_2022!$H:$H,MATCH($B187,CAT4_2021_2022!$A:$A,0)),"")))</f>
        <v>107</v>
      </c>
      <c r="T187">
        <f>IF($A187="Class of 2022","",IFERROR(INDEX(CAT4_2022_2023!$I:$I,MATCH($B187,CAT4_2022_2023!$A:$A,0)),IFERROR(INDEX(CAT4_2021_2022!$I:$I,MATCH($B187,CAT4_2021_2022!$A:$A,0)),"")))</f>
        <v>105</v>
      </c>
      <c r="U187">
        <f>IF($A187="Class of 2022","",IFERROR(INDEX(CAT4_2022_2023!$J:$J,MATCH($B187,CAT4_2022_2023!$A:$A,0)),IFERROR(INDEX(CAT4_2021_2022!$J:$J,MATCH($B187,CAT4_2021_2022!$A:$A,0)),"")))</f>
        <v>88</v>
      </c>
      <c r="V187" t="s">
        <v>709</v>
      </c>
      <c r="W187" t="s">
        <v>707</v>
      </c>
    </row>
    <row r="188" spans="1:23" x14ac:dyDescent="0.3">
      <c r="A188" t="s">
        <v>419</v>
      </c>
      <c r="B188" t="s">
        <v>447</v>
      </c>
      <c r="C188" t="s">
        <v>728</v>
      </c>
      <c r="D188" t="s">
        <v>580</v>
      </c>
      <c r="E188" t="s">
        <v>705</v>
      </c>
      <c r="F188">
        <v>87</v>
      </c>
      <c r="G188">
        <v>94</v>
      </c>
      <c r="H188">
        <v>98</v>
      </c>
      <c r="J188">
        <v>157</v>
      </c>
      <c r="K188">
        <f t="shared" si="10"/>
        <v>62.8</v>
      </c>
      <c r="L188">
        <v>28</v>
      </c>
      <c r="M188">
        <f t="shared" si="11"/>
        <v>56.000000000000007</v>
      </c>
      <c r="N188">
        <f t="shared" si="12"/>
        <v>112</v>
      </c>
      <c r="O188">
        <f t="shared" si="13"/>
        <v>78.873239436619713</v>
      </c>
      <c r="P188">
        <f t="shared" si="14"/>
        <v>65.89107981220657</v>
      </c>
      <c r="Q188" t="str">
        <f>IF($A188="Class of 2022","",IFERROR(INDEX(CAT4_2022_2023!$F:$F,MATCH($B188,CAT4_2022_2023!$A:$A,0)),IFERROR(INDEX(CAT4_2021_2022!$F:$F,MATCH($B188,CAT4_2021_2022!$A:$A,0)),"")))</f>
        <v>Extreme spatial bias</v>
      </c>
      <c r="R188">
        <f>IF($A188="Class of 2022","",IFERROR(INDEX(CAT4_2022_2023!$G:$G,MATCH($B188,CAT4_2022_2023!$A:$A,0)),IFERROR(INDEX(CAT4_2021_2022!$G:$G,MATCH($B188,CAT4_2021_2022!$A:$A,0)),"")))</f>
        <v>88</v>
      </c>
      <c r="S188">
        <f>IF($A188="Class of 2022","",IFERROR(INDEX(CAT4_2022_2023!$H:$H,MATCH($B188,CAT4_2022_2023!$A:$A,0)),IFERROR(INDEX(CAT4_2021_2022!$H:$H,MATCH($B188,CAT4_2021_2022!$A:$A,0)),"")))</f>
        <v>123</v>
      </c>
      <c r="T188">
        <f>IF($A188="Class of 2022","",IFERROR(INDEX(CAT4_2022_2023!$I:$I,MATCH($B188,CAT4_2022_2023!$A:$A,0)),IFERROR(INDEX(CAT4_2021_2022!$I:$I,MATCH($B188,CAT4_2021_2022!$A:$A,0)),"")))</f>
        <v>120</v>
      </c>
      <c r="U188">
        <f>IF($A188="Class of 2022","",IFERROR(INDEX(CAT4_2022_2023!$J:$J,MATCH($B188,CAT4_2022_2023!$A:$A,0)),IFERROR(INDEX(CAT4_2021_2022!$J:$J,MATCH($B188,CAT4_2021_2022!$A:$A,0)),"")))</f>
        <v>118</v>
      </c>
      <c r="V188" t="s">
        <v>706</v>
      </c>
      <c r="W188" t="s">
        <v>707</v>
      </c>
    </row>
    <row r="189" spans="1:23" x14ac:dyDescent="0.3">
      <c r="A189" t="s">
        <v>419</v>
      </c>
      <c r="B189" t="s">
        <v>449</v>
      </c>
      <c r="C189" t="s">
        <v>450</v>
      </c>
      <c r="K189" t="str">
        <f t="shared" si="10"/>
        <v/>
      </c>
      <c r="M189" t="str">
        <f t="shared" si="11"/>
        <v/>
      </c>
      <c r="N189">
        <f t="shared" si="12"/>
        <v>96</v>
      </c>
      <c r="O189">
        <f t="shared" si="13"/>
        <v>67.605633802816897</v>
      </c>
      <c r="P189">
        <f t="shared" si="14"/>
        <v>67.605633802816897</v>
      </c>
      <c r="Q189" t="str">
        <f>IF($A189="Class of 2022","",IFERROR(INDEX(CAT4_2022_2023!$F:$F,MATCH($B189,CAT4_2022_2023!$A:$A,0)),IFERROR(INDEX(CAT4_2021_2022!$F:$F,MATCH($B189,CAT4_2021_2022!$A:$A,0)),"")))</f>
        <v>No bias</v>
      </c>
      <c r="R189">
        <f>IF($A189="Class of 2022","",IFERROR(INDEX(CAT4_2022_2023!$G:$G,MATCH($B189,CAT4_2022_2023!$A:$A,0)),IFERROR(INDEX(CAT4_2021_2022!$G:$G,MATCH($B189,CAT4_2021_2022!$A:$A,0)),"")))</f>
        <v>85</v>
      </c>
      <c r="S189">
        <f>IF($A189="Class of 2022","",IFERROR(INDEX(CAT4_2022_2023!$H:$H,MATCH($B189,CAT4_2022_2023!$A:$A,0)),IFERROR(INDEX(CAT4_2021_2022!$H:$H,MATCH($B189,CAT4_2021_2022!$A:$A,0)),"")))</f>
        <v>98</v>
      </c>
      <c r="T189">
        <f>IF($A189="Class of 2022","",IFERROR(INDEX(CAT4_2022_2023!$I:$I,MATCH($B189,CAT4_2022_2023!$A:$A,0)),IFERROR(INDEX(CAT4_2021_2022!$I:$I,MATCH($B189,CAT4_2021_2022!$A:$A,0)),"")))</f>
        <v>105</v>
      </c>
      <c r="U189">
        <f>IF($A189="Class of 2022","",IFERROR(INDEX(CAT4_2022_2023!$J:$J,MATCH($B189,CAT4_2022_2023!$A:$A,0)),IFERROR(INDEX(CAT4_2021_2022!$J:$J,MATCH($B189,CAT4_2021_2022!$A:$A,0)),"")))</f>
        <v>95</v>
      </c>
      <c r="W189" t="s">
        <v>722</v>
      </c>
    </row>
    <row r="190" spans="1:23" x14ac:dyDescent="0.3">
      <c r="A190" t="s">
        <v>419</v>
      </c>
      <c r="B190" t="s">
        <v>451</v>
      </c>
      <c r="C190" t="s">
        <v>729</v>
      </c>
      <c r="D190" t="s">
        <v>730</v>
      </c>
      <c r="E190" t="s">
        <v>705</v>
      </c>
      <c r="J190">
        <v>148</v>
      </c>
      <c r="K190">
        <f t="shared" si="10"/>
        <v>59.199999999999996</v>
      </c>
      <c r="L190">
        <v>19</v>
      </c>
      <c r="M190">
        <f t="shared" si="11"/>
        <v>38</v>
      </c>
      <c r="N190">
        <f t="shared" si="12"/>
        <v>93</v>
      </c>
      <c r="O190">
        <f t="shared" si="13"/>
        <v>65.492957746478879</v>
      </c>
      <c r="P190">
        <f t="shared" si="14"/>
        <v>54.230985915492958</v>
      </c>
      <c r="Q190" t="str">
        <f>IF($A190="Class of 2022","",IFERROR(INDEX(CAT4_2022_2023!$F:$F,MATCH($B190,CAT4_2022_2023!$A:$A,0)),IFERROR(INDEX(CAT4_2021_2022!$F:$F,MATCH($B190,CAT4_2021_2022!$A:$A,0)),"")))</f>
        <v>Mild spatial bias</v>
      </c>
      <c r="R190">
        <f>IF($A190="Class of 2022","",IFERROR(INDEX(CAT4_2022_2023!$G:$G,MATCH($B190,CAT4_2022_2023!$A:$A,0)),IFERROR(INDEX(CAT4_2021_2022!$G:$G,MATCH($B190,CAT4_2021_2022!$A:$A,0)),"")))</f>
        <v>86</v>
      </c>
      <c r="S190">
        <f>IF($A190="Class of 2022","",IFERROR(INDEX(CAT4_2022_2023!$H:$H,MATCH($B190,CAT4_2022_2023!$A:$A,0)),IFERROR(INDEX(CAT4_2021_2022!$H:$H,MATCH($B190,CAT4_2021_2022!$A:$A,0)),"")))</f>
        <v>101</v>
      </c>
      <c r="T190">
        <f>IF($A190="Class of 2022","",IFERROR(INDEX(CAT4_2022_2023!$I:$I,MATCH($B190,CAT4_2022_2023!$A:$A,0)),IFERROR(INDEX(CAT4_2021_2022!$I:$I,MATCH($B190,CAT4_2021_2022!$A:$A,0)),"")))</f>
        <v>87</v>
      </c>
      <c r="U190">
        <f>IF($A190="Class of 2022","",IFERROR(INDEX(CAT4_2022_2023!$J:$J,MATCH($B190,CAT4_2022_2023!$A:$A,0)),IFERROR(INDEX(CAT4_2021_2022!$J:$J,MATCH($B190,CAT4_2021_2022!$A:$A,0)),"")))</f>
        <v>99</v>
      </c>
      <c r="V190" t="s">
        <v>715</v>
      </c>
      <c r="W190" t="s">
        <v>707</v>
      </c>
    </row>
    <row r="191" spans="1:23" x14ac:dyDescent="0.3">
      <c r="A191" t="s">
        <v>419</v>
      </c>
      <c r="B191" t="s">
        <v>453</v>
      </c>
      <c r="C191" t="s">
        <v>731</v>
      </c>
      <c r="D191" t="s">
        <v>732</v>
      </c>
      <c r="E191" t="s">
        <v>705</v>
      </c>
      <c r="J191">
        <v>173</v>
      </c>
      <c r="K191">
        <f t="shared" si="10"/>
        <v>69.199999999999989</v>
      </c>
      <c r="L191">
        <v>33</v>
      </c>
      <c r="M191">
        <f t="shared" si="11"/>
        <v>66</v>
      </c>
      <c r="N191">
        <f t="shared" si="12"/>
        <v>104</v>
      </c>
      <c r="O191">
        <f t="shared" si="13"/>
        <v>73.239436619718319</v>
      </c>
      <c r="P191">
        <f t="shared" si="14"/>
        <v>69.479812206572774</v>
      </c>
      <c r="Q191" t="str">
        <f>IF($A191="Class of 2022","",IFERROR(INDEX(CAT4_2022_2023!$F:$F,MATCH($B191,CAT4_2022_2023!$A:$A,0)),IFERROR(INDEX(CAT4_2021_2022!$F:$F,MATCH($B191,CAT4_2021_2022!$A:$A,0)),"")))</f>
        <v>No bias</v>
      </c>
      <c r="R191">
        <f>IF($A191="Class of 2022","",IFERROR(INDEX(CAT4_2022_2023!$G:$G,MATCH($B191,CAT4_2022_2023!$A:$A,0)),IFERROR(INDEX(CAT4_2021_2022!$G:$G,MATCH($B191,CAT4_2021_2022!$A:$A,0)),"")))</f>
        <v>90</v>
      </c>
      <c r="S191">
        <f>IF($A191="Class of 2022","",IFERROR(INDEX(CAT4_2022_2023!$H:$H,MATCH($B191,CAT4_2022_2023!$A:$A,0)),IFERROR(INDEX(CAT4_2021_2022!$H:$H,MATCH($B191,CAT4_2021_2022!$A:$A,0)),"")))</f>
        <v>119</v>
      </c>
      <c r="T191">
        <f>IF($A191="Class of 2022","",IFERROR(INDEX(CAT4_2022_2023!$I:$I,MATCH($B191,CAT4_2022_2023!$A:$A,0)),IFERROR(INDEX(CAT4_2021_2022!$I:$I,MATCH($B191,CAT4_2021_2022!$A:$A,0)),"")))</f>
        <v>105</v>
      </c>
      <c r="U191">
        <f>IF($A191="Class of 2022","",IFERROR(INDEX(CAT4_2022_2023!$J:$J,MATCH($B191,CAT4_2022_2023!$A:$A,0)),IFERROR(INDEX(CAT4_2021_2022!$J:$J,MATCH($B191,CAT4_2021_2022!$A:$A,0)),"")))</f>
        <v>100</v>
      </c>
      <c r="V191" t="s">
        <v>706</v>
      </c>
      <c r="W191" t="s">
        <v>707</v>
      </c>
    </row>
    <row r="192" spans="1:23" x14ac:dyDescent="0.3">
      <c r="A192" t="s">
        <v>419</v>
      </c>
      <c r="B192" t="s">
        <v>455</v>
      </c>
      <c r="C192" t="s">
        <v>733</v>
      </c>
      <c r="D192" t="s">
        <v>580</v>
      </c>
      <c r="E192" t="s">
        <v>705</v>
      </c>
      <c r="F192">
        <v>92</v>
      </c>
      <c r="G192">
        <v>96</v>
      </c>
      <c r="H192">
        <v>96</v>
      </c>
      <c r="J192">
        <v>152</v>
      </c>
      <c r="K192">
        <f t="shared" si="10"/>
        <v>60.8</v>
      </c>
      <c r="L192">
        <v>26</v>
      </c>
      <c r="M192">
        <f t="shared" si="11"/>
        <v>52</v>
      </c>
      <c r="N192">
        <f t="shared" si="12"/>
        <v>100</v>
      </c>
      <c r="O192">
        <f t="shared" si="13"/>
        <v>70.422535211267601</v>
      </c>
      <c r="P192">
        <f t="shared" si="14"/>
        <v>61.074178403755866</v>
      </c>
      <c r="Q192" t="str">
        <f>IF($A192="Class of 2022","",IFERROR(INDEX(CAT4_2022_2023!$F:$F,MATCH($B192,CAT4_2022_2023!$A:$A,0)),IFERROR(INDEX(CAT4_2021_2022!$F:$F,MATCH($B192,CAT4_2021_2022!$A:$A,0)),"")))</f>
        <v>Mild spatial bias</v>
      </c>
      <c r="R192">
        <f>IF($A192="Class of 2022","",IFERROR(INDEX(CAT4_2022_2023!$G:$G,MATCH($B192,CAT4_2022_2023!$A:$A,0)),IFERROR(INDEX(CAT4_2021_2022!$G:$G,MATCH($B192,CAT4_2021_2022!$A:$A,0)),"")))</f>
        <v>93</v>
      </c>
      <c r="S192">
        <f>IF($A192="Class of 2022","",IFERROR(INDEX(CAT4_2022_2023!$H:$H,MATCH($B192,CAT4_2022_2023!$A:$A,0)),IFERROR(INDEX(CAT4_2021_2022!$H:$H,MATCH($B192,CAT4_2021_2022!$A:$A,0)),"")))</f>
        <v>93</v>
      </c>
      <c r="T192">
        <f>IF($A192="Class of 2022","",IFERROR(INDEX(CAT4_2022_2023!$I:$I,MATCH($B192,CAT4_2022_2023!$A:$A,0)),IFERROR(INDEX(CAT4_2021_2022!$I:$I,MATCH($B192,CAT4_2021_2022!$A:$A,0)),"")))</f>
        <v>105</v>
      </c>
      <c r="U192">
        <f>IF($A192="Class of 2022","",IFERROR(INDEX(CAT4_2022_2023!$J:$J,MATCH($B192,CAT4_2022_2023!$A:$A,0)),IFERROR(INDEX(CAT4_2021_2022!$J:$J,MATCH($B192,CAT4_2021_2022!$A:$A,0)),"")))</f>
        <v>108</v>
      </c>
      <c r="V192" t="s">
        <v>706</v>
      </c>
      <c r="W192" t="s">
        <v>707</v>
      </c>
    </row>
    <row r="193" spans="1:23" x14ac:dyDescent="0.3">
      <c r="A193" t="s">
        <v>419</v>
      </c>
      <c r="B193" t="s">
        <v>457</v>
      </c>
      <c r="C193" t="s">
        <v>734</v>
      </c>
      <c r="D193" t="s">
        <v>704</v>
      </c>
      <c r="E193" t="s">
        <v>705</v>
      </c>
      <c r="F193">
        <v>63</v>
      </c>
      <c r="G193">
        <v>78</v>
      </c>
      <c r="H193">
        <v>79</v>
      </c>
      <c r="J193">
        <v>125</v>
      </c>
      <c r="K193">
        <f t="shared" si="10"/>
        <v>50</v>
      </c>
      <c r="L193">
        <v>30</v>
      </c>
      <c r="M193">
        <f t="shared" si="11"/>
        <v>60</v>
      </c>
      <c r="N193">
        <f t="shared" si="12"/>
        <v>103</v>
      </c>
      <c r="O193">
        <f t="shared" si="13"/>
        <v>72.535211267605632</v>
      </c>
      <c r="P193">
        <f t="shared" si="14"/>
        <v>60.845070422535208</v>
      </c>
      <c r="Q193" t="str">
        <f>IF($A193="Class of 2022","",IFERROR(INDEX(CAT4_2022_2023!$F:$F,MATCH($B193,CAT4_2022_2023!$A:$A,0)),IFERROR(INDEX(CAT4_2021_2022!$F:$F,MATCH($B193,CAT4_2021_2022!$A:$A,0)),"")))</f>
        <v>Extreme spatial bias</v>
      </c>
      <c r="R193">
        <f>IF($A193="Class of 2022","",IFERROR(INDEX(CAT4_2022_2023!$G:$G,MATCH($B193,CAT4_2022_2023!$A:$A,0)),IFERROR(INDEX(CAT4_2021_2022!$G:$G,MATCH($B193,CAT4_2021_2022!$A:$A,0)),"")))</f>
        <v>81</v>
      </c>
      <c r="S193">
        <f>IF($A193="Class of 2022","",IFERROR(INDEX(CAT4_2022_2023!$H:$H,MATCH($B193,CAT4_2022_2023!$A:$A,0)),IFERROR(INDEX(CAT4_2021_2022!$H:$H,MATCH($B193,CAT4_2021_2022!$A:$A,0)),"")))</f>
        <v>121</v>
      </c>
      <c r="T193">
        <f>IF($A193="Class of 2022","",IFERROR(INDEX(CAT4_2022_2023!$I:$I,MATCH($B193,CAT4_2022_2023!$A:$A,0)),IFERROR(INDEX(CAT4_2021_2022!$I:$I,MATCH($B193,CAT4_2021_2022!$A:$A,0)),"")))</f>
        <v>99</v>
      </c>
      <c r="U193">
        <f>IF($A193="Class of 2022","",IFERROR(INDEX(CAT4_2022_2023!$J:$J,MATCH($B193,CAT4_2022_2023!$A:$A,0)),IFERROR(INDEX(CAT4_2021_2022!$J:$J,MATCH($B193,CAT4_2021_2022!$A:$A,0)),"")))</f>
        <v>111</v>
      </c>
      <c r="V193" t="s">
        <v>712</v>
      </c>
      <c r="W193" t="s">
        <v>707</v>
      </c>
    </row>
    <row r="194" spans="1:23" x14ac:dyDescent="0.3">
      <c r="A194" t="s">
        <v>419</v>
      </c>
      <c r="B194" t="s">
        <v>459</v>
      </c>
      <c r="C194" t="s">
        <v>735</v>
      </c>
      <c r="D194" t="s">
        <v>736</v>
      </c>
      <c r="E194" t="s">
        <v>705</v>
      </c>
      <c r="F194">
        <v>96.7</v>
      </c>
      <c r="G194">
        <v>86.7</v>
      </c>
      <c r="H194">
        <v>76.7</v>
      </c>
      <c r="J194">
        <v>140</v>
      </c>
      <c r="K194">
        <f t="shared" ref="K194:K257" si="15">IF(J194="","",J194/250*100)</f>
        <v>56.000000000000007</v>
      </c>
      <c r="L194">
        <v>19</v>
      </c>
      <c r="M194">
        <f t="shared" ref="M194:M257" si="16">IF(L194="","",L194/50*100)</f>
        <v>38</v>
      </c>
      <c r="N194">
        <f t="shared" ref="N194:N232" si="17">IF(COUNT(R194:U194)=0,"",ROUND(AVERAGE(R194:U194),0))</f>
        <v>100</v>
      </c>
      <c r="O194">
        <f t="shared" ref="O194:O257" si="18">IF(N194="","",N194/142*100)</f>
        <v>70.422535211267601</v>
      </c>
      <c r="P194">
        <f t="shared" ref="P194:P257" si="19">IF(COUNT(K194,M194,O194)=0,"",AVERAGE(K194,M194,O194))</f>
        <v>54.807511737089193</v>
      </c>
      <c r="Q194" t="str">
        <f>IF($A194="Class of 2022","",IFERROR(INDEX(CAT4_2022_2023!$F:$F,MATCH($B194,CAT4_2022_2023!$A:$A,0)),IFERROR(INDEX(CAT4_2021_2022!$F:$F,MATCH($B194,CAT4_2021_2022!$A:$A,0)),"")))</f>
        <v>Mild spatial bias</v>
      </c>
      <c r="R194">
        <f>IF($A194="Class of 2022","",IFERROR(INDEX(CAT4_2022_2023!$G:$G,MATCH($B194,CAT4_2022_2023!$A:$A,0)),IFERROR(INDEX(CAT4_2021_2022!$G:$G,MATCH($B194,CAT4_2021_2022!$A:$A,0)),"")))</f>
        <v>88</v>
      </c>
      <c r="S194">
        <f>IF($A194="Class of 2022","",IFERROR(INDEX(CAT4_2022_2023!$H:$H,MATCH($B194,CAT4_2022_2023!$A:$A,0)),IFERROR(INDEX(CAT4_2021_2022!$H:$H,MATCH($B194,CAT4_2021_2022!$A:$A,0)),"")))</f>
        <v>107</v>
      </c>
      <c r="T194">
        <f>IF($A194="Class of 2022","",IFERROR(INDEX(CAT4_2022_2023!$I:$I,MATCH($B194,CAT4_2022_2023!$A:$A,0)),IFERROR(INDEX(CAT4_2021_2022!$I:$I,MATCH($B194,CAT4_2021_2022!$A:$A,0)),"")))</f>
        <v>105</v>
      </c>
      <c r="U194">
        <f>IF($A194="Class of 2022","",IFERROR(INDEX(CAT4_2022_2023!$J:$J,MATCH($B194,CAT4_2022_2023!$A:$A,0)),IFERROR(INDEX(CAT4_2021_2022!$J:$J,MATCH($B194,CAT4_2021_2022!$A:$A,0)),"")))</f>
        <v>100</v>
      </c>
      <c r="V194" t="s">
        <v>712</v>
      </c>
      <c r="W194" t="s">
        <v>707</v>
      </c>
    </row>
    <row r="195" spans="1:23" x14ac:dyDescent="0.3">
      <c r="A195" t="s">
        <v>419</v>
      </c>
      <c r="B195" t="s">
        <v>461</v>
      </c>
      <c r="C195" t="s">
        <v>737</v>
      </c>
      <c r="D195" t="s">
        <v>738</v>
      </c>
      <c r="E195" t="s">
        <v>705</v>
      </c>
      <c r="F195">
        <v>6</v>
      </c>
      <c r="G195">
        <v>6</v>
      </c>
      <c r="H195">
        <v>5</v>
      </c>
      <c r="J195">
        <v>179</v>
      </c>
      <c r="K195">
        <f t="shared" si="15"/>
        <v>71.599999999999994</v>
      </c>
      <c r="L195">
        <v>21</v>
      </c>
      <c r="M195">
        <f t="shared" si="16"/>
        <v>42</v>
      </c>
      <c r="N195">
        <f t="shared" si="17"/>
        <v>105</v>
      </c>
      <c r="O195">
        <f t="shared" si="18"/>
        <v>73.943661971830991</v>
      </c>
      <c r="P195">
        <f t="shared" si="19"/>
        <v>62.514553990610331</v>
      </c>
      <c r="Q195" t="str">
        <f>IF($A195="Class of 2022","",IFERROR(INDEX(CAT4_2022_2023!$F:$F,MATCH($B195,CAT4_2022_2023!$A:$A,0)),IFERROR(INDEX(CAT4_2021_2022!$F:$F,MATCH($B195,CAT4_2021_2022!$A:$A,0)),"")))</f>
        <v>Mild verbal bias</v>
      </c>
      <c r="R195">
        <f>IF($A195="Class of 2022","",IFERROR(INDEX(CAT4_2022_2023!$G:$G,MATCH($B195,CAT4_2022_2023!$A:$A,0)),IFERROR(INDEX(CAT4_2021_2022!$G:$G,MATCH($B195,CAT4_2021_2022!$A:$A,0)),"")))</f>
        <v>110</v>
      </c>
      <c r="S195">
        <f>IF($A195="Class of 2022","",IFERROR(INDEX(CAT4_2022_2023!$H:$H,MATCH($B195,CAT4_2022_2023!$A:$A,0)),IFERROR(INDEX(CAT4_2021_2022!$H:$H,MATCH($B195,CAT4_2021_2022!$A:$A,0)),"")))</f>
        <v>113</v>
      </c>
      <c r="T195">
        <f>IF($A195="Class of 2022","",IFERROR(INDEX(CAT4_2022_2023!$I:$I,MATCH($B195,CAT4_2022_2023!$A:$A,0)),IFERROR(INDEX(CAT4_2021_2022!$I:$I,MATCH($B195,CAT4_2021_2022!$A:$A,0)),"")))</f>
        <v>105</v>
      </c>
      <c r="U195">
        <f>IF($A195="Class of 2022","",IFERROR(INDEX(CAT4_2022_2023!$J:$J,MATCH($B195,CAT4_2022_2023!$A:$A,0)),IFERROR(INDEX(CAT4_2021_2022!$J:$J,MATCH($B195,CAT4_2021_2022!$A:$A,0)),"")))</f>
        <v>93</v>
      </c>
      <c r="V195" t="s">
        <v>706</v>
      </c>
      <c r="W195" t="s">
        <v>707</v>
      </c>
    </row>
    <row r="196" spans="1:23" x14ac:dyDescent="0.3">
      <c r="A196" t="s">
        <v>419</v>
      </c>
      <c r="B196" t="s">
        <v>463</v>
      </c>
      <c r="C196" t="s">
        <v>739</v>
      </c>
      <c r="D196" t="s">
        <v>740</v>
      </c>
      <c r="E196" t="s">
        <v>714</v>
      </c>
      <c r="F196">
        <v>94</v>
      </c>
      <c r="G196">
        <v>95</v>
      </c>
      <c r="H196">
        <v>94</v>
      </c>
      <c r="J196">
        <v>163</v>
      </c>
      <c r="K196">
        <f t="shared" si="15"/>
        <v>65.2</v>
      </c>
      <c r="L196">
        <v>30</v>
      </c>
      <c r="M196">
        <f t="shared" si="16"/>
        <v>60</v>
      </c>
      <c r="N196">
        <f t="shared" si="17"/>
        <v>110</v>
      </c>
      <c r="O196">
        <f t="shared" si="18"/>
        <v>77.464788732394368</v>
      </c>
      <c r="P196">
        <f t="shared" si="19"/>
        <v>67.55492957746479</v>
      </c>
      <c r="Q196" t="str">
        <f>IF($A196="Class of 2022","",IFERROR(INDEX(CAT4_2022_2023!$F:$F,MATCH($B196,CAT4_2022_2023!$A:$A,0)),IFERROR(INDEX(CAT4_2021_2022!$F:$F,MATCH($B196,CAT4_2021_2022!$A:$A,0)),"")))</f>
        <v>Moderate spatial bias</v>
      </c>
      <c r="R196">
        <f>IF($A196="Class of 2022","",IFERROR(INDEX(CAT4_2022_2023!$G:$G,MATCH($B196,CAT4_2022_2023!$A:$A,0)),IFERROR(INDEX(CAT4_2021_2022!$G:$G,MATCH($B196,CAT4_2021_2022!$A:$A,0)),"")))</f>
        <v>98</v>
      </c>
      <c r="S196">
        <f>IF($A196="Class of 2022","",IFERROR(INDEX(CAT4_2022_2023!$H:$H,MATCH($B196,CAT4_2022_2023!$A:$A,0)),IFERROR(INDEX(CAT4_2021_2022!$H:$H,MATCH($B196,CAT4_2021_2022!$A:$A,0)),"")))</f>
        <v>106</v>
      </c>
      <c r="T196">
        <f>IF($A196="Class of 2022","",IFERROR(INDEX(CAT4_2022_2023!$I:$I,MATCH($B196,CAT4_2022_2023!$A:$A,0)),IFERROR(INDEX(CAT4_2021_2022!$I:$I,MATCH($B196,CAT4_2021_2022!$A:$A,0)),"")))</f>
        <v>114</v>
      </c>
      <c r="U196">
        <f>IF($A196="Class of 2022","",IFERROR(INDEX(CAT4_2022_2023!$J:$J,MATCH($B196,CAT4_2022_2023!$A:$A,0)),IFERROR(INDEX(CAT4_2021_2022!$J:$J,MATCH($B196,CAT4_2021_2022!$A:$A,0)),"")))</f>
        <v>120</v>
      </c>
      <c r="V196" t="s">
        <v>709</v>
      </c>
      <c r="W196" t="s">
        <v>707</v>
      </c>
    </row>
    <row r="197" spans="1:23" x14ac:dyDescent="0.3">
      <c r="A197" t="s">
        <v>419</v>
      </c>
      <c r="B197" t="s">
        <v>465</v>
      </c>
      <c r="C197" t="s">
        <v>741</v>
      </c>
      <c r="E197" t="s">
        <v>705</v>
      </c>
      <c r="J197">
        <v>168</v>
      </c>
      <c r="K197">
        <f t="shared" si="15"/>
        <v>67.2</v>
      </c>
      <c r="L197">
        <v>24</v>
      </c>
      <c r="M197">
        <f t="shared" si="16"/>
        <v>48</v>
      </c>
      <c r="N197">
        <f t="shared" si="17"/>
        <v>100</v>
      </c>
      <c r="O197">
        <f t="shared" si="18"/>
        <v>70.422535211267601</v>
      </c>
      <c r="P197">
        <f t="shared" si="19"/>
        <v>61.87417840375587</v>
      </c>
      <c r="Q197" t="str">
        <f>IF($A197="Class of 2022","",IFERROR(INDEX(CAT4_2022_2023!$F:$F,MATCH($B197,CAT4_2022_2023!$A:$A,0)),IFERROR(INDEX(CAT4_2021_2022!$F:$F,MATCH($B197,CAT4_2021_2022!$A:$A,0)),"")))</f>
        <v>Moderate verbal bias</v>
      </c>
      <c r="R197">
        <f>IF($A197="Class of 2022","",IFERROR(INDEX(CAT4_2022_2023!$G:$G,MATCH($B197,CAT4_2022_2023!$A:$A,0)),IFERROR(INDEX(CAT4_2021_2022!$G:$G,MATCH($B197,CAT4_2021_2022!$A:$A,0)),"")))</f>
        <v>109</v>
      </c>
      <c r="S197">
        <f>IF($A197="Class of 2022","",IFERROR(INDEX(CAT4_2022_2023!$H:$H,MATCH($B197,CAT4_2022_2023!$A:$A,0)),IFERROR(INDEX(CAT4_2021_2022!$H:$H,MATCH($B197,CAT4_2021_2022!$A:$A,0)),"")))</f>
        <v>98</v>
      </c>
      <c r="T197">
        <f>IF($A197="Class of 2022","",IFERROR(INDEX(CAT4_2022_2023!$I:$I,MATCH($B197,CAT4_2022_2023!$A:$A,0)),IFERROR(INDEX(CAT4_2021_2022!$I:$I,MATCH($B197,CAT4_2021_2022!$A:$A,0)),"")))</f>
        <v>105</v>
      </c>
      <c r="U197">
        <f>IF($A197="Class of 2022","",IFERROR(INDEX(CAT4_2022_2023!$J:$J,MATCH($B197,CAT4_2022_2023!$A:$A,0)),IFERROR(INDEX(CAT4_2021_2022!$J:$J,MATCH($B197,CAT4_2021_2022!$A:$A,0)),"")))</f>
        <v>88</v>
      </c>
      <c r="V197" t="s">
        <v>706</v>
      </c>
      <c r="W197" t="s">
        <v>707</v>
      </c>
    </row>
    <row r="198" spans="1:23" x14ac:dyDescent="0.3">
      <c r="A198" t="s">
        <v>419</v>
      </c>
      <c r="B198" t="s">
        <v>467</v>
      </c>
      <c r="C198" t="s">
        <v>468</v>
      </c>
      <c r="K198" t="str">
        <f t="shared" si="15"/>
        <v/>
      </c>
      <c r="M198" t="str">
        <f t="shared" si="16"/>
        <v/>
      </c>
      <c r="N198">
        <f t="shared" si="17"/>
        <v>101</v>
      </c>
      <c r="O198">
        <f t="shared" si="18"/>
        <v>71.126760563380287</v>
      </c>
      <c r="P198">
        <f t="shared" si="19"/>
        <v>71.126760563380287</v>
      </c>
      <c r="Q198" t="str">
        <f>IF($A198="Class of 2022","",IFERROR(INDEX(CAT4_2022_2023!$F:$F,MATCH($B198,CAT4_2022_2023!$A:$A,0)),IFERROR(INDEX(CAT4_2021_2022!$F:$F,MATCH($B198,CAT4_2021_2022!$A:$A,0)),"")))</f>
        <v>Mild spatial bias</v>
      </c>
      <c r="R198">
        <f>IF($A198="Class of 2022","",IFERROR(INDEX(CAT4_2022_2023!$G:$G,MATCH($B198,CAT4_2022_2023!$A:$A,0)),IFERROR(INDEX(CAT4_2021_2022!$G:$G,MATCH($B198,CAT4_2021_2022!$A:$A,0)),"")))</f>
        <v>85</v>
      </c>
      <c r="S198">
        <f>IF($A198="Class of 2022","",IFERROR(INDEX(CAT4_2022_2023!$H:$H,MATCH($B198,CAT4_2022_2023!$A:$A,0)),IFERROR(INDEX(CAT4_2021_2022!$H:$H,MATCH($B198,CAT4_2021_2022!$A:$A,0)),"")))</f>
        <v>112</v>
      </c>
      <c r="T198">
        <f>IF($A198="Class of 2022","",IFERROR(INDEX(CAT4_2022_2023!$I:$I,MATCH($B198,CAT4_2022_2023!$A:$A,0)),IFERROR(INDEX(CAT4_2021_2022!$I:$I,MATCH($B198,CAT4_2021_2022!$A:$A,0)),"")))</f>
        <v>110</v>
      </c>
      <c r="U198">
        <f>IF($A198="Class of 2022","",IFERROR(INDEX(CAT4_2022_2023!$J:$J,MATCH($B198,CAT4_2022_2023!$A:$A,0)),IFERROR(INDEX(CAT4_2021_2022!$J:$J,MATCH($B198,CAT4_2021_2022!$A:$A,0)),"")))</f>
        <v>97</v>
      </c>
      <c r="W198" t="s">
        <v>722</v>
      </c>
    </row>
    <row r="199" spans="1:23" x14ac:dyDescent="0.3">
      <c r="A199" t="s">
        <v>419</v>
      </c>
      <c r="B199" t="s">
        <v>469</v>
      </c>
      <c r="C199" t="s">
        <v>742</v>
      </c>
      <c r="D199" t="s">
        <v>743</v>
      </c>
      <c r="E199" t="s">
        <v>705</v>
      </c>
      <c r="F199">
        <v>75</v>
      </c>
      <c r="G199">
        <v>75</v>
      </c>
      <c r="H199">
        <v>65</v>
      </c>
      <c r="J199">
        <v>143</v>
      </c>
      <c r="K199">
        <f t="shared" si="15"/>
        <v>57.199999999999996</v>
      </c>
      <c r="L199">
        <v>21</v>
      </c>
      <c r="M199">
        <f t="shared" si="16"/>
        <v>42</v>
      </c>
      <c r="N199">
        <f t="shared" si="17"/>
        <v>101</v>
      </c>
      <c r="O199">
        <f t="shared" si="18"/>
        <v>71.126760563380287</v>
      </c>
      <c r="P199">
        <f t="shared" si="19"/>
        <v>56.775586854460094</v>
      </c>
      <c r="Q199" t="str">
        <f>IF($A199="Class of 2022","",IFERROR(INDEX(CAT4_2022_2023!$F:$F,MATCH($B199,CAT4_2022_2023!$A:$A,0)),IFERROR(INDEX(CAT4_2021_2022!$F:$F,MATCH($B199,CAT4_2021_2022!$A:$A,0)),"")))</f>
        <v>Extreme spatial bias</v>
      </c>
      <c r="R199">
        <f>IF($A199="Class of 2022","",IFERROR(INDEX(CAT4_2022_2023!$G:$G,MATCH($B199,CAT4_2022_2023!$A:$A,0)),IFERROR(INDEX(CAT4_2021_2022!$G:$G,MATCH($B199,CAT4_2021_2022!$A:$A,0)),"")))</f>
        <v>88</v>
      </c>
      <c r="S199">
        <f>IF($A199="Class of 2022","",IFERROR(INDEX(CAT4_2022_2023!$H:$H,MATCH($B199,CAT4_2022_2023!$A:$A,0)),IFERROR(INDEX(CAT4_2021_2022!$H:$H,MATCH($B199,CAT4_2021_2022!$A:$A,0)),"")))</f>
        <v>100</v>
      </c>
      <c r="T199">
        <f>IF($A199="Class of 2022","",IFERROR(INDEX(CAT4_2022_2023!$I:$I,MATCH($B199,CAT4_2022_2023!$A:$A,0)),IFERROR(INDEX(CAT4_2021_2022!$I:$I,MATCH($B199,CAT4_2021_2022!$A:$A,0)),"")))</f>
        <v>101</v>
      </c>
      <c r="U199">
        <f>IF($A199="Class of 2022","",IFERROR(INDEX(CAT4_2022_2023!$J:$J,MATCH($B199,CAT4_2022_2023!$A:$A,0)),IFERROR(INDEX(CAT4_2021_2022!$J:$J,MATCH($B199,CAT4_2021_2022!$A:$A,0)),"")))</f>
        <v>116</v>
      </c>
      <c r="V199" t="s">
        <v>715</v>
      </c>
      <c r="W199" t="s">
        <v>707</v>
      </c>
    </row>
    <row r="200" spans="1:23" x14ac:dyDescent="0.3">
      <c r="A200" t="s">
        <v>419</v>
      </c>
      <c r="B200" t="s">
        <v>471</v>
      </c>
      <c r="C200" t="s">
        <v>744</v>
      </c>
      <c r="E200" t="s">
        <v>705</v>
      </c>
      <c r="J200">
        <v>159</v>
      </c>
      <c r="K200">
        <f t="shared" si="15"/>
        <v>63.6</v>
      </c>
      <c r="L200">
        <v>25</v>
      </c>
      <c r="M200">
        <f t="shared" si="16"/>
        <v>50</v>
      </c>
      <c r="N200">
        <f t="shared" si="17"/>
        <v>100</v>
      </c>
      <c r="O200">
        <f t="shared" si="18"/>
        <v>70.422535211267601</v>
      </c>
      <c r="P200">
        <f t="shared" si="19"/>
        <v>61.340845070422539</v>
      </c>
      <c r="Q200" t="str">
        <f>IF($A200="Class of 2022","",IFERROR(INDEX(CAT4_2022_2023!$F:$F,MATCH($B200,CAT4_2022_2023!$A:$A,0)),IFERROR(INDEX(CAT4_2021_2022!$F:$F,MATCH($B200,CAT4_2021_2022!$A:$A,0)),"")))</f>
        <v>Mild spatial bias</v>
      </c>
      <c r="R200">
        <f>IF($A200="Class of 2022","",IFERROR(INDEX(CAT4_2022_2023!$G:$G,MATCH($B200,CAT4_2022_2023!$A:$A,0)),IFERROR(INDEX(CAT4_2021_2022!$G:$G,MATCH($B200,CAT4_2021_2022!$A:$A,0)),"")))</f>
        <v>86</v>
      </c>
      <c r="S200">
        <f>IF($A200="Class of 2022","",IFERROR(INDEX(CAT4_2022_2023!$H:$H,MATCH($B200,CAT4_2022_2023!$A:$A,0)),IFERROR(INDEX(CAT4_2021_2022!$H:$H,MATCH($B200,CAT4_2021_2022!$A:$A,0)),"")))</f>
        <v>116</v>
      </c>
      <c r="T200">
        <f>IF($A200="Class of 2022","",IFERROR(INDEX(CAT4_2022_2023!$I:$I,MATCH($B200,CAT4_2022_2023!$A:$A,0)),IFERROR(INDEX(CAT4_2021_2022!$I:$I,MATCH($B200,CAT4_2021_2022!$A:$A,0)),"")))</f>
        <v>99</v>
      </c>
      <c r="U200">
        <f>IF($A200="Class of 2022","",IFERROR(INDEX(CAT4_2022_2023!$J:$J,MATCH($B200,CAT4_2022_2023!$A:$A,0)),IFERROR(INDEX(CAT4_2021_2022!$J:$J,MATCH($B200,CAT4_2021_2022!$A:$A,0)),"")))</f>
        <v>100</v>
      </c>
      <c r="V200" t="s">
        <v>706</v>
      </c>
      <c r="W200" t="s">
        <v>707</v>
      </c>
    </row>
    <row r="201" spans="1:23" x14ac:dyDescent="0.3">
      <c r="A201" t="s">
        <v>419</v>
      </c>
      <c r="B201" t="s">
        <v>473</v>
      </c>
      <c r="C201" t="s">
        <v>745</v>
      </c>
      <c r="D201" t="s">
        <v>580</v>
      </c>
      <c r="E201" t="s">
        <v>705</v>
      </c>
      <c r="F201">
        <v>87</v>
      </c>
      <c r="G201">
        <v>80</v>
      </c>
      <c r="H201">
        <v>91</v>
      </c>
      <c r="J201">
        <v>149</v>
      </c>
      <c r="K201">
        <f t="shared" si="15"/>
        <v>59.599999999999994</v>
      </c>
      <c r="L201">
        <v>27</v>
      </c>
      <c r="M201">
        <f t="shared" si="16"/>
        <v>54</v>
      </c>
      <c r="N201">
        <f t="shared" si="17"/>
        <v>99</v>
      </c>
      <c r="O201">
        <f t="shared" si="18"/>
        <v>69.718309859154928</v>
      </c>
      <c r="P201">
        <f t="shared" si="19"/>
        <v>61.106103286384972</v>
      </c>
      <c r="Q201" t="str">
        <f>IF($A201="Class of 2022","",IFERROR(INDEX(CAT4_2022_2023!$F:$F,MATCH($B201,CAT4_2022_2023!$A:$A,0)),IFERROR(INDEX(CAT4_2021_2022!$F:$F,MATCH($B201,CAT4_2021_2022!$A:$A,0)),"")))</f>
        <v>No bias</v>
      </c>
      <c r="R201">
        <f>IF($A201="Class of 2022","",IFERROR(INDEX(CAT4_2022_2023!$G:$G,MATCH($B201,CAT4_2022_2023!$A:$A,0)),IFERROR(INDEX(CAT4_2021_2022!$G:$G,MATCH($B201,CAT4_2021_2022!$A:$A,0)),"")))</f>
        <v>91</v>
      </c>
      <c r="S201">
        <f>IF($A201="Class of 2022","",IFERROR(INDEX(CAT4_2022_2023!$H:$H,MATCH($B201,CAT4_2022_2023!$A:$A,0)),IFERROR(INDEX(CAT4_2021_2022!$H:$H,MATCH($B201,CAT4_2021_2022!$A:$A,0)),"")))</f>
        <v>105</v>
      </c>
      <c r="T201">
        <f>IF($A201="Class of 2022","",IFERROR(INDEX(CAT4_2022_2023!$I:$I,MATCH($B201,CAT4_2022_2023!$A:$A,0)),IFERROR(INDEX(CAT4_2021_2022!$I:$I,MATCH($B201,CAT4_2021_2022!$A:$A,0)),"")))</f>
        <v>102</v>
      </c>
      <c r="U201">
        <f>IF($A201="Class of 2022","",IFERROR(INDEX(CAT4_2022_2023!$J:$J,MATCH($B201,CAT4_2022_2023!$A:$A,0)),IFERROR(INDEX(CAT4_2021_2022!$J:$J,MATCH($B201,CAT4_2021_2022!$A:$A,0)),"")))</f>
        <v>99</v>
      </c>
      <c r="V201" t="s">
        <v>715</v>
      </c>
      <c r="W201" t="s">
        <v>707</v>
      </c>
    </row>
    <row r="202" spans="1:23" x14ac:dyDescent="0.3">
      <c r="A202" t="s">
        <v>419</v>
      </c>
      <c r="B202" t="s">
        <v>475</v>
      </c>
      <c r="C202" t="s">
        <v>746</v>
      </c>
      <c r="D202" t="s">
        <v>609</v>
      </c>
      <c r="E202" t="s">
        <v>714</v>
      </c>
      <c r="F202">
        <v>92</v>
      </c>
      <c r="G202">
        <v>96</v>
      </c>
      <c r="H202">
        <v>95</v>
      </c>
      <c r="J202">
        <v>140</v>
      </c>
      <c r="K202">
        <f t="shared" si="15"/>
        <v>56.000000000000007</v>
      </c>
      <c r="L202">
        <v>30</v>
      </c>
      <c r="M202">
        <f t="shared" si="16"/>
        <v>60</v>
      </c>
      <c r="N202">
        <f t="shared" si="17"/>
        <v>97</v>
      </c>
      <c r="O202">
        <f t="shared" si="18"/>
        <v>68.309859154929569</v>
      </c>
      <c r="P202">
        <f t="shared" si="19"/>
        <v>61.436619718309856</v>
      </c>
      <c r="Q202" t="str">
        <f>IF($A202="Class of 2022","",IFERROR(INDEX(CAT4_2022_2023!$F:$F,MATCH($B202,CAT4_2022_2023!$A:$A,0)),IFERROR(INDEX(CAT4_2021_2022!$F:$F,MATCH($B202,CAT4_2021_2022!$A:$A,0)),"")))</f>
        <v>Extreme spatial bias</v>
      </c>
      <c r="R202">
        <f>IF($A202="Class of 2022","",IFERROR(INDEX(CAT4_2022_2023!$G:$G,MATCH($B202,CAT4_2022_2023!$A:$A,0)),IFERROR(INDEX(CAT4_2021_2022!$G:$G,MATCH($B202,CAT4_2021_2022!$A:$A,0)),"")))</f>
        <v>79</v>
      </c>
      <c r="S202">
        <f>IF($A202="Class of 2022","",IFERROR(INDEX(CAT4_2022_2023!$H:$H,MATCH($B202,CAT4_2022_2023!$A:$A,0)),IFERROR(INDEX(CAT4_2021_2022!$H:$H,MATCH($B202,CAT4_2021_2022!$A:$A,0)),"")))</f>
        <v>102</v>
      </c>
      <c r="T202">
        <f>IF($A202="Class of 2022","",IFERROR(INDEX(CAT4_2022_2023!$I:$I,MATCH($B202,CAT4_2022_2023!$A:$A,0)),IFERROR(INDEX(CAT4_2021_2022!$I:$I,MATCH($B202,CAT4_2021_2022!$A:$A,0)),"")))</f>
        <v>101</v>
      </c>
      <c r="U202">
        <f>IF($A202="Class of 2022","",IFERROR(INDEX(CAT4_2022_2023!$J:$J,MATCH($B202,CAT4_2022_2023!$A:$A,0)),IFERROR(INDEX(CAT4_2021_2022!$J:$J,MATCH($B202,CAT4_2021_2022!$A:$A,0)),"")))</f>
        <v>106</v>
      </c>
      <c r="V202" t="s">
        <v>712</v>
      </c>
      <c r="W202" t="s">
        <v>707</v>
      </c>
    </row>
    <row r="203" spans="1:23" x14ac:dyDescent="0.3">
      <c r="A203" t="s">
        <v>419</v>
      </c>
      <c r="B203" t="s">
        <v>477</v>
      </c>
      <c r="C203" t="s">
        <v>478</v>
      </c>
      <c r="K203" t="str">
        <f t="shared" si="15"/>
        <v/>
      </c>
      <c r="M203" t="str">
        <f t="shared" si="16"/>
        <v/>
      </c>
      <c r="N203">
        <f t="shared" si="17"/>
        <v>95</v>
      </c>
      <c r="O203">
        <f t="shared" si="18"/>
        <v>66.901408450704224</v>
      </c>
      <c r="P203">
        <f t="shared" si="19"/>
        <v>66.901408450704224</v>
      </c>
      <c r="Q203" t="str">
        <f>IF($A203="Class of 2022","",IFERROR(INDEX(CAT4_2022_2023!$F:$F,MATCH($B203,CAT4_2022_2023!$A:$A,0)),IFERROR(INDEX(CAT4_2021_2022!$F:$F,MATCH($B203,CAT4_2021_2022!$A:$A,0)),"")))</f>
        <v>Moderate spatial bias</v>
      </c>
      <c r="R203">
        <f>IF($A203="Class of 2022","",IFERROR(INDEX(CAT4_2022_2023!$G:$G,MATCH($B203,CAT4_2022_2023!$A:$A,0)),IFERROR(INDEX(CAT4_2021_2022!$G:$G,MATCH($B203,CAT4_2021_2022!$A:$A,0)),"")))</f>
        <v>77</v>
      </c>
      <c r="S203">
        <f>IF($A203="Class of 2022","",IFERROR(INDEX(CAT4_2022_2023!$H:$H,MATCH($B203,CAT4_2022_2023!$A:$A,0)),IFERROR(INDEX(CAT4_2021_2022!$H:$H,MATCH($B203,CAT4_2021_2022!$A:$A,0)),"")))</f>
        <v>98</v>
      </c>
      <c r="T203">
        <f>IF($A203="Class of 2022","",IFERROR(INDEX(CAT4_2022_2023!$I:$I,MATCH($B203,CAT4_2022_2023!$A:$A,0)),IFERROR(INDEX(CAT4_2021_2022!$I:$I,MATCH($B203,CAT4_2021_2022!$A:$A,0)),"")))</f>
        <v>107</v>
      </c>
      <c r="U203">
        <f>IF($A203="Class of 2022","",IFERROR(INDEX(CAT4_2022_2023!$J:$J,MATCH($B203,CAT4_2022_2023!$A:$A,0)),IFERROR(INDEX(CAT4_2021_2022!$J:$J,MATCH($B203,CAT4_2021_2022!$A:$A,0)),"")))</f>
        <v>97</v>
      </c>
      <c r="W203" t="s">
        <v>722</v>
      </c>
    </row>
    <row r="204" spans="1:23" x14ac:dyDescent="0.3">
      <c r="A204" t="s">
        <v>419</v>
      </c>
      <c r="B204" t="s">
        <v>479</v>
      </c>
      <c r="C204" t="s">
        <v>747</v>
      </c>
      <c r="D204" t="s">
        <v>574</v>
      </c>
      <c r="E204" t="s">
        <v>714</v>
      </c>
      <c r="F204">
        <v>85</v>
      </c>
      <c r="G204">
        <v>98</v>
      </c>
      <c r="H204">
        <v>84</v>
      </c>
      <c r="J204">
        <v>146</v>
      </c>
      <c r="K204">
        <f t="shared" si="15"/>
        <v>58.4</v>
      </c>
      <c r="L204">
        <v>19</v>
      </c>
      <c r="M204">
        <f t="shared" si="16"/>
        <v>38</v>
      </c>
      <c r="N204">
        <f t="shared" si="17"/>
        <v>92</v>
      </c>
      <c r="O204">
        <f t="shared" si="18"/>
        <v>64.788732394366207</v>
      </c>
      <c r="P204">
        <f t="shared" si="19"/>
        <v>53.72957746478874</v>
      </c>
      <c r="Q204" t="str">
        <f>IF($A204="Class of 2022","",IFERROR(INDEX(CAT4_2022_2023!$F:$F,MATCH($B204,CAT4_2022_2023!$A:$A,0)),IFERROR(INDEX(CAT4_2021_2022!$F:$F,MATCH($B204,CAT4_2021_2022!$A:$A,0)),"")))</f>
        <v>No bias</v>
      </c>
      <c r="R204">
        <f>IF($A204="Class of 2022","",IFERROR(INDEX(CAT4_2022_2023!$G:$G,MATCH($B204,CAT4_2022_2023!$A:$A,0)),IFERROR(INDEX(CAT4_2021_2022!$G:$G,MATCH($B204,CAT4_2021_2022!$A:$A,0)),"")))</f>
        <v>81</v>
      </c>
      <c r="S204">
        <f>IF($A204="Class of 2022","",IFERROR(INDEX(CAT4_2022_2023!$H:$H,MATCH($B204,CAT4_2022_2023!$A:$A,0)),IFERROR(INDEX(CAT4_2021_2022!$H:$H,MATCH($B204,CAT4_2021_2022!$A:$A,0)),"")))</f>
        <v>95</v>
      </c>
      <c r="T204">
        <f>IF($A204="Class of 2022","",IFERROR(INDEX(CAT4_2022_2023!$I:$I,MATCH($B204,CAT4_2022_2023!$A:$A,0)),IFERROR(INDEX(CAT4_2021_2022!$I:$I,MATCH($B204,CAT4_2021_2022!$A:$A,0)),"")))</f>
        <v>109</v>
      </c>
      <c r="U204">
        <f>IF($A204="Class of 2022","",IFERROR(INDEX(CAT4_2022_2023!$J:$J,MATCH($B204,CAT4_2022_2023!$A:$A,0)),IFERROR(INDEX(CAT4_2021_2022!$J:$J,MATCH($B204,CAT4_2021_2022!$A:$A,0)),"")))</f>
        <v>84</v>
      </c>
      <c r="V204" t="s">
        <v>712</v>
      </c>
      <c r="W204" t="s">
        <v>707</v>
      </c>
    </row>
    <row r="205" spans="1:23" x14ac:dyDescent="0.3">
      <c r="A205" t="s">
        <v>419</v>
      </c>
      <c r="B205" t="s">
        <v>481</v>
      </c>
      <c r="C205" t="s">
        <v>748</v>
      </c>
      <c r="D205" t="s">
        <v>749</v>
      </c>
      <c r="E205" t="s">
        <v>705</v>
      </c>
      <c r="F205">
        <v>6</v>
      </c>
      <c r="G205">
        <v>5</v>
      </c>
      <c r="H205">
        <v>7</v>
      </c>
      <c r="J205">
        <v>173</v>
      </c>
      <c r="K205">
        <f t="shared" si="15"/>
        <v>69.199999999999989</v>
      </c>
      <c r="L205">
        <v>36</v>
      </c>
      <c r="M205">
        <f t="shared" si="16"/>
        <v>72</v>
      </c>
      <c r="N205">
        <f t="shared" si="17"/>
        <v>117</v>
      </c>
      <c r="O205">
        <f t="shared" si="18"/>
        <v>82.394366197183103</v>
      </c>
      <c r="P205">
        <f t="shared" si="19"/>
        <v>74.531455399061031</v>
      </c>
      <c r="Q205" t="str">
        <f>IF($A205="Class of 2022","",IFERROR(INDEX(CAT4_2022_2023!$F:$F,MATCH($B205,CAT4_2022_2023!$A:$A,0)),IFERROR(INDEX(CAT4_2021_2022!$F:$F,MATCH($B205,CAT4_2021_2022!$A:$A,0)),"")))</f>
        <v>Moderate spatial bias</v>
      </c>
      <c r="R205">
        <f>IF($A205="Class of 2022","",IFERROR(INDEX(CAT4_2022_2023!$G:$G,MATCH($B205,CAT4_2022_2023!$A:$A,0)),IFERROR(INDEX(CAT4_2021_2022!$G:$G,MATCH($B205,CAT4_2021_2022!$A:$A,0)),"")))</f>
        <v>106</v>
      </c>
      <c r="S205">
        <f>IF($A205="Class of 2022","",IFERROR(INDEX(CAT4_2022_2023!$H:$H,MATCH($B205,CAT4_2022_2023!$A:$A,0)),IFERROR(INDEX(CAT4_2021_2022!$H:$H,MATCH($B205,CAT4_2021_2022!$A:$A,0)),"")))</f>
        <v>114</v>
      </c>
      <c r="T205">
        <f>IF($A205="Class of 2022","",IFERROR(INDEX(CAT4_2022_2023!$I:$I,MATCH($B205,CAT4_2022_2023!$A:$A,0)),IFERROR(INDEX(CAT4_2021_2022!$I:$I,MATCH($B205,CAT4_2021_2022!$A:$A,0)),"")))</f>
        <v>120</v>
      </c>
      <c r="U205">
        <f>IF($A205="Class of 2022","",IFERROR(INDEX(CAT4_2022_2023!$J:$J,MATCH($B205,CAT4_2022_2023!$A:$A,0)),IFERROR(INDEX(CAT4_2021_2022!$J:$J,MATCH($B205,CAT4_2021_2022!$A:$A,0)),"")))</f>
        <v>128</v>
      </c>
      <c r="V205" t="s">
        <v>709</v>
      </c>
      <c r="W205" t="s">
        <v>707</v>
      </c>
    </row>
    <row r="206" spans="1:23" x14ac:dyDescent="0.3">
      <c r="A206" t="s">
        <v>419</v>
      </c>
      <c r="B206" t="s">
        <v>483</v>
      </c>
      <c r="C206" t="s">
        <v>750</v>
      </c>
      <c r="D206" t="s">
        <v>730</v>
      </c>
      <c r="E206" t="s">
        <v>705</v>
      </c>
      <c r="J206">
        <v>154</v>
      </c>
      <c r="K206">
        <f t="shared" si="15"/>
        <v>61.6</v>
      </c>
      <c r="L206">
        <v>12</v>
      </c>
      <c r="M206">
        <f t="shared" si="16"/>
        <v>24</v>
      </c>
      <c r="N206">
        <f t="shared" si="17"/>
        <v>86</v>
      </c>
      <c r="O206">
        <f t="shared" si="18"/>
        <v>60.563380281690137</v>
      </c>
      <c r="P206">
        <f t="shared" si="19"/>
        <v>48.721126760563379</v>
      </c>
      <c r="Q206" t="str">
        <f>IF($A206="Class of 2022","",IFERROR(INDEX(CAT4_2022_2023!$F:$F,MATCH($B206,CAT4_2022_2023!$A:$A,0)),IFERROR(INDEX(CAT4_2021_2022!$F:$F,MATCH($B206,CAT4_2021_2022!$A:$A,0)),"")))</f>
        <v>Mild verbal bias</v>
      </c>
      <c r="R206">
        <f>IF($A206="Class of 2022","",IFERROR(INDEX(CAT4_2022_2023!$G:$G,MATCH($B206,CAT4_2022_2023!$A:$A,0)),IFERROR(INDEX(CAT4_2021_2022!$G:$G,MATCH($B206,CAT4_2021_2022!$A:$A,0)),"")))</f>
        <v>92</v>
      </c>
      <c r="S206">
        <f>IF($A206="Class of 2022","",IFERROR(INDEX(CAT4_2022_2023!$H:$H,MATCH($B206,CAT4_2022_2023!$A:$A,0)),IFERROR(INDEX(CAT4_2021_2022!$H:$H,MATCH($B206,CAT4_2021_2022!$A:$A,0)),"")))</f>
        <v>88</v>
      </c>
      <c r="T206">
        <f>IF($A206="Class of 2022","",IFERROR(INDEX(CAT4_2022_2023!$I:$I,MATCH($B206,CAT4_2022_2023!$A:$A,0)),IFERROR(INDEX(CAT4_2021_2022!$I:$I,MATCH($B206,CAT4_2021_2022!$A:$A,0)),"")))</f>
        <v>85</v>
      </c>
      <c r="U206">
        <f>IF($A206="Class of 2022","",IFERROR(INDEX(CAT4_2022_2023!$J:$J,MATCH($B206,CAT4_2022_2023!$A:$A,0)),IFERROR(INDEX(CAT4_2021_2022!$J:$J,MATCH($B206,CAT4_2021_2022!$A:$A,0)),"")))</f>
        <v>77</v>
      </c>
      <c r="V206" t="s">
        <v>706</v>
      </c>
      <c r="W206" t="s">
        <v>707</v>
      </c>
    </row>
    <row r="207" spans="1:23" x14ac:dyDescent="0.3">
      <c r="A207" t="s">
        <v>419</v>
      </c>
      <c r="B207" t="s">
        <v>485</v>
      </c>
      <c r="C207" t="s">
        <v>751</v>
      </c>
      <c r="D207" t="s">
        <v>624</v>
      </c>
      <c r="E207" t="s">
        <v>714</v>
      </c>
      <c r="F207">
        <v>98</v>
      </c>
      <c r="G207">
        <v>100</v>
      </c>
      <c r="H207">
        <v>94</v>
      </c>
      <c r="J207">
        <v>148</v>
      </c>
      <c r="K207">
        <f t="shared" si="15"/>
        <v>59.199999999999996</v>
      </c>
      <c r="L207">
        <v>19</v>
      </c>
      <c r="M207">
        <f t="shared" si="16"/>
        <v>38</v>
      </c>
      <c r="N207">
        <f t="shared" si="17"/>
        <v>97</v>
      </c>
      <c r="O207">
        <f t="shared" si="18"/>
        <v>68.309859154929569</v>
      </c>
      <c r="P207">
        <f t="shared" si="19"/>
        <v>55.169953051643184</v>
      </c>
      <c r="Q207" t="str">
        <f>IF($A207="Class of 2022","",IFERROR(INDEX(CAT4_2022_2023!$F:$F,MATCH($B207,CAT4_2022_2023!$A:$A,0)),IFERROR(INDEX(CAT4_2021_2022!$F:$F,MATCH($B207,CAT4_2021_2022!$A:$A,0)),"")))</f>
        <v>Mild spatial bias</v>
      </c>
      <c r="R207">
        <f>IF($A207="Class of 2022","",IFERROR(INDEX(CAT4_2022_2023!$G:$G,MATCH($B207,CAT4_2022_2023!$A:$A,0)),IFERROR(INDEX(CAT4_2021_2022!$G:$G,MATCH($B207,CAT4_2021_2022!$A:$A,0)),"")))</f>
        <v>85</v>
      </c>
      <c r="S207">
        <f>IF($A207="Class of 2022","",IFERROR(INDEX(CAT4_2022_2023!$H:$H,MATCH($B207,CAT4_2022_2023!$A:$A,0)),IFERROR(INDEX(CAT4_2021_2022!$H:$H,MATCH($B207,CAT4_2021_2022!$A:$A,0)),"")))</f>
        <v>102</v>
      </c>
      <c r="T207">
        <f>IF($A207="Class of 2022","",IFERROR(INDEX(CAT4_2022_2023!$I:$I,MATCH($B207,CAT4_2022_2023!$A:$A,0)),IFERROR(INDEX(CAT4_2021_2022!$I:$I,MATCH($B207,CAT4_2021_2022!$A:$A,0)),"")))</f>
        <v>103</v>
      </c>
      <c r="U207">
        <f>IF($A207="Class of 2022","",IFERROR(INDEX(CAT4_2022_2023!$J:$J,MATCH($B207,CAT4_2022_2023!$A:$A,0)),IFERROR(INDEX(CAT4_2021_2022!$J:$J,MATCH($B207,CAT4_2021_2022!$A:$A,0)),"")))</f>
        <v>97</v>
      </c>
      <c r="V207" t="s">
        <v>712</v>
      </c>
      <c r="W207" t="s">
        <v>707</v>
      </c>
    </row>
    <row r="208" spans="1:23" x14ac:dyDescent="0.3">
      <c r="A208" t="s">
        <v>419</v>
      </c>
      <c r="B208" t="s">
        <v>487</v>
      </c>
      <c r="C208" t="s">
        <v>488</v>
      </c>
      <c r="K208" t="str">
        <f t="shared" si="15"/>
        <v/>
      </c>
      <c r="M208" t="str">
        <f t="shared" si="16"/>
        <v/>
      </c>
      <c r="N208">
        <f t="shared" si="17"/>
        <v>90</v>
      </c>
      <c r="O208">
        <f t="shared" si="18"/>
        <v>63.380281690140848</v>
      </c>
      <c r="P208">
        <f t="shared" si="19"/>
        <v>63.380281690140848</v>
      </c>
      <c r="Q208" t="str">
        <f>IF($A208="Class of 2022","",IFERROR(INDEX(CAT4_2022_2023!$F:$F,MATCH($B208,CAT4_2022_2023!$A:$A,0)),IFERROR(INDEX(CAT4_2021_2022!$F:$F,MATCH($B208,CAT4_2021_2022!$A:$A,0)),"")))</f>
        <v>No bias</v>
      </c>
      <c r="R208">
        <f>IF($A208="Class of 2022","",IFERROR(INDEX(CAT4_2022_2023!$G:$G,MATCH($B208,CAT4_2022_2023!$A:$A,0)),IFERROR(INDEX(CAT4_2021_2022!$G:$G,MATCH($B208,CAT4_2021_2022!$A:$A,0)),"")))</f>
        <v>76</v>
      </c>
      <c r="S208">
        <f>IF($A208="Class of 2022","",IFERROR(INDEX(CAT4_2022_2023!$H:$H,MATCH($B208,CAT4_2022_2023!$A:$A,0)),IFERROR(INDEX(CAT4_2021_2022!$H:$H,MATCH($B208,CAT4_2021_2022!$A:$A,0)),"")))</f>
        <v>106</v>
      </c>
      <c r="T208">
        <f>IF($A208="Class of 2022","",IFERROR(INDEX(CAT4_2022_2023!$I:$I,MATCH($B208,CAT4_2022_2023!$A:$A,0)),IFERROR(INDEX(CAT4_2021_2022!$I:$I,MATCH($B208,CAT4_2021_2022!$A:$A,0)),"")))</f>
        <v>94</v>
      </c>
      <c r="U208">
        <f>IF($A208="Class of 2022","",IFERROR(INDEX(CAT4_2022_2023!$J:$J,MATCH($B208,CAT4_2022_2023!$A:$A,0)),IFERROR(INDEX(CAT4_2021_2022!$J:$J,MATCH($B208,CAT4_2021_2022!$A:$A,0)),"")))</f>
        <v>84</v>
      </c>
      <c r="W208" t="s">
        <v>722</v>
      </c>
    </row>
    <row r="209" spans="1:23" x14ac:dyDescent="0.3">
      <c r="A209" t="s">
        <v>419</v>
      </c>
      <c r="B209" t="s">
        <v>489</v>
      </c>
      <c r="C209" t="s">
        <v>752</v>
      </c>
      <c r="D209" t="s">
        <v>558</v>
      </c>
      <c r="E209" t="s">
        <v>714</v>
      </c>
      <c r="F209">
        <v>88</v>
      </c>
      <c r="G209">
        <v>89</v>
      </c>
      <c r="H209">
        <v>91</v>
      </c>
      <c r="J209">
        <v>136</v>
      </c>
      <c r="K209">
        <f t="shared" si="15"/>
        <v>54.400000000000006</v>
      </c>
      <c r="L209">
        <v>24</v>
      </c>
      <c r="M209">
        <f t="shared" si="16"/>
        <v>48</v>
      </c>
      <c r="N209">
        <f t="shared" si="17"/>
        <v>99</v>
      </c>
      <c r="O209">
        <f t="shared" si="18"/>
        <v>69.718309859154928</v>
      </c>
      <c r="P209">
        <f t="shared" si="19"/>
        <v>57.372769953051638</v>
      </c>
      <c r="Q209" t="str">
        <f>IF($A209="Class of 2022","",IFERROR(INDEX(CAT4_2022_2023!$F:$F,MATCH($B209,CAT4_2022_2023!$A:$A,0)),IFERROR(INDEX(CAT4_2021_2022!$F:$F,MATCH($B209,CAT4_2021_2022!$A:$A,0)),"")))</f>
        <v>No bias</v>
      </c>
      <c r="R209">
        <f>IF($A209="Class of 2022","",IFERROR(INDEX(CAT4_2022_2023!$G:$G,MATCH($B209,CAT4_2022_2023!$A:$A,0)),IFERROR(INDEX(CAT4_2021_2022!$G:$G,MATCH($B209,CAT4_2021_2022!$A:$A,0)),"")))</f>
        <v>89</v>
      </c>
      <c r="S209">
        <f>IF($A209="Class of 2022","",IFERROR(INDEX(CAT4_2022_2023!$H:$H,MATCH($B209,CAT4_2022_2023!$A:$A,0)),IFERROR(INDEX(CAT4_2021_2022!$H:$H,MATCH($B209,CAT4_2021_2022!$A:$A,0)),"")))</f>
        <v>101</v>
      </c>
      <c r="T209">
        <f>IF($A209="Class of 2022","",IFERROR(INDEX(CAT4_2022_2023!$I:$I,MATCH($B209,CAT4_2022_2023!$A:$A,0)),IFERROR(INDEX(CAT4_2021_2022!$I:$I,MATCH($B209,CAT4_2021_2022!$A:$A,0)),"")))</f>
        <v>105</v>
      </c>
      <c r="U209">
        <f>IF($A209="Class of 2022","",IFERROR(INDEX(CAT4_2022_2023!$J:$J,MATCH($B209,CAT4_2022_2023!$A:$A,0)),IFERROR(INDEX(CAT4_2021_2022!$J:$J,MATCH($B209,CAT4_2021_2022!$A:$A,0)),"")))</f>
        <v>101</v>
      </c>
      <c r="V209" t="s">
        <v>712</v>
      </c>
      <c r="W209" t="s">
        <v>707</v>
      </c>
    </row>
    <row r="210" spans="1:23" x14ac:dyDescent="0.3">
      <c r="A210" t="s">
        <v>419</v>
      </c>
      <c r="B210" t="s">
        <v>491</v>
      </c>
      <c r="C210" t="s">
        <v>753</v>
      </c>
      <c r="D210" t="s">
        <v>606</v>
      </c>
      <c r="E210" t="s">
        <v>714</v>
      </c>
      <c r="F210">
        <v>88</v>
      </c>
      <c r="G210">
        <v>91</v>
      </c>
      <c r="H210">
        <v>91</v>
      </c>
      <c r="J210">
        <v>178</v>
      </c>
      <c r="K210">
        <f t="shared" si="15"/>
        <v>71.2</v>
      </c>
      <c r="L210">
        <v>24</v>
      </c>
      <c r="M210">
        <f t="shared" si="16"/>
        <v>48</v>
      </c>
      <c r="N210">
        <f t="shared" si="17"/>
        <v>96</v>
      </c>
      <c r="O210">
        <f t="shared" si="18"/>
        <v>67.605633802816897</v>
      </c>
      <c r="P210">
        <f t="shared" si="19"/>
        <v>62.268544600938959</v>
      </c>
      <c r="Q210" t="str">
        <f>IF($A210="Class of 2022","",IFERROR(INDEX(CAT4_2022_2023!$F:$F,MATCH($B210,CAT4_2022_2023!$A:$A,0)),IFERROR(INDEX(CAT4_2021_2022!$F:$F,MATCH($B210,CAT4_2021_2022!$A:$A,0)),"")))</f>
        <v>No bias</v>
      </c>
      <c r="R210">
        <f>IF($A210="Class of 2022","",IFERROR(INDEX(CAT4_2022_2023!$G:$G,MATCH($B210,CAT4_2022_2023!$A:$A,0)),IFERROR(INDEX(CAT4_2021_2022!$G:$G,MATCH($B210,CAT4_2021_2022!$A:$A,0)),"")))</f>
        <v>83</v>
      </c>
      <c r="S210">
        <f>IF($A210="Class of 2022","",IFERROR(INDEX(CAT4_2022_2023!$H:$H,MATCH($B210,CAT4_2022_2023!$A:$A,0)),IFERROR(INDEX(CAT4_2021_2022!$H:$H,MATCH($B210,CAT4_2021_2022!$A:$A,0)),"")))</f>
        <v>106</v>
      </c>
      <c r="T210">
        <f>IF($A210="Class of 2022","",IFERROR(INDEX(CAT4_2022_2023!$I:$I,MATCH($B210,CAT4_2022_2023!$A:$A,0)),IFERROR(INDEX(CAT4_2021_2022!$I:$I,MATCH($B210,CAT4_2021_2022!$A:$A,0)),"")))</f>
        <v>112</v>
      </c>
      <c r="U210">
        <f>IF($A210="Class of 2022","",IFERROR(INDEX(CAT4_2022_2023!$J:$J,MATCH($B210,CAT4_2022_2023!$A:$A,0)),IFERROR(INDEX(CAT4_2021_2022!$J:$J,MATCH($B210,CAT4_2021_2022!$A:$A,0)),"")))</f>
        <v>83</v>
      </c>
      <c r="V210" t="s">
        <v>709</v>
      </c>
      <c r="W210" t="s">
        <v>707</v>
      </c>
    </row>
    <row r="211" spans="1:23" x14ac:dyDescent="0.3">
      <c r="A211" t="s">
        <v>419</v>
      </c>
      <c r="B211" t="s">
        <v>493</v>
      </c>
      <c r="C211" t="s">
        <v>754</v>
      </c>
      <c r="D211" t="s">
        <v>730</v>
      </c>
      <c r="E211" t="s">
        <v>705</v>
      </c>
      <c r="F211">
        <v>93</v>
      </c>
      <c r="G211">
        <v>75</v>
      </c>
      <c r="H211">
        <v>98</v>
      </c>
      <c r="J211">
        <v>171</v>
      </c>
      <c r="K211">
        <f t="shared" si="15"/>
        <v>68.400000000000006</v>
      </c>
      <c r="L211">
        <v>29</v>
      </c>
      <c r="M211">
        <f t="shared" si="16"/>
        <v>57.999999999999993</v>
      </c>
      <c r="N211">
        <f t="shared" si="17"/>
        <v>90</v>
      </c>
      <c r="O211">
        <f t="shared" si="18"/>
        <v>63.380281690140848</v>
      </c>
      <c r="P211">
        <f t="shared" si="19"/>
        <v>63.260093896713613</v>
      </c>
      <c r="Q211" t="str">
        <f>IF($A211="Class of 2022","",IFERROR(INDEX(CAT4_2022_2023!$F:$F,MATCH($B211,CAT4_2022_2023!$A:$A,0)),IFERROR(INDEX(CAT4_2021_2022!$F:$F,MATCH($B211,CAT4_2021_2022!$A:$A,0)),"")))</f>
        <v>No bias</v>
      </c>
      <c r="R211">
        <f>IF($A211="Class of 2022","",IFERROR(INDEX(CAT4_2022_2023!$G:$G,MATCH($B211,CAT4_2022_2023!$A:$A,0)),IFERROR(INDEX(CAT4_2021_2022!$G:$G,MATCH($B211,CAT4_2021_2022!$A:$A,0)),"")))</f>
        <v>88</v>
      </c>
      <c r="S211">
        <f>IF($A211="Class of 2022","",IFERROR(INDEX(CAT4_2022_2023!$H:$H,MATCH($B211,CAT4_2022_2023!$A:$A,0)),IFERROR(INDEX(CAT4_2021_2022!$H:$H,MATCH($B211,CAT4_2021_2022!$A:$A,0)),"")))</f>
        <v>94</v>
      </c>
      <c r="T211">
        <f>IF($A211="Class of 2022","",IFERROR(INDEX(CAT4_2022_2023!$I:$I,MATCH($B211,CAT4_2022_2023!$A:$A,0)),IFERROR(INDEX(CAT4_2021_2022!$I:$I,MATCH($B211,CAT4_2021_2022!$A:$A,0)),"")))</f>
        <v>102</v>
      </c>
      <c r="U211">
        <f>IF($A211="Class of 2022","",IFERROR(INDEX(CAT4_2022_2023!$J:$J,MATCH($B211,CAT4_2022_2023!$A:$A,0)),IFERROR(INDEX(CAT4_2021_2022!$J:$J,MATCH($B211,CAT4_2021_2022!$A:$A,0)),"")))</f>
        <v>77</v>
      </c>
      <c r="V211" t="s">
        <v>709</v>
      </c>
      <c r="W211" t="s">
        <v>707</v>
      </c>
    </row>
    <row r="212" spans="1:23" x14ac:dyDescent="0.3">
      <c r="A212" t="s">
        <v>419</v>
      </c>
      <c r="B212" t="s">
        <v>495</v>
      </c>
      <c r="C212" t="s">
        <v>496</v>
      </c>
      <c r="K212" t="str">
        <f t="shared" si="15"/>
        <v/>
      </c>
      <c r="M212" t="str">
        <f t="shared" si="16"/>
        <v/>
      </c>
      <c r="N212">
        <f t="shared" si="17"/>
        <v>91</v>
      </c>
      <c r="O212">
        <f t="shared" si="18"/>
        <v>64.08450704225352</v>
      </c>
      <c r="P212">
        <f t="shared" si="19"/>
        <v>64.08450704225352</v>
      </c>
      <c r="Q212" t="str">
        <f>IF($A212="Class of 2022","",IFERROR(INDEX(CAT4_2022_2023!$F:$F,MATCH($B212,CAT4_2022_2023!$A:$A,0)),IFERROR(INDEX(CAT4_2021_2022!$F:$F,MATCH($B212,CAT4_2021_2022!$A:$A,0)),"")))</f>
        <v>Extreme spatial bias</v>
      </c>
      <c r="R212">
        <f>IF($A212="Class of 2022","",IFERROR(INDEX(CAT4_2022_2023!$G:$G,MATCH($B212,CAT4_2022_2023!$A:$A,0)),IFERROR(INDEX(CAT4_2021_2022!$G:$G,MATCH($B212,CAT4_2021_2022!$A:$A,0)),"")))</f>
        <v>73</v>
      </c>
      <c r="S212">
        <f>IF($A212="Class of 2022","",IFERROR(INDEX(CAT4_2022_2023!$H:$H,MATCH($B212,CAT4_2022_2023!$A:$A,0)),IFERROR(INDEX(CAT4_2021_2022!$H:$H,MATCH($B212,CAT4_2021_2022!$A:$A,0)),"")))</f>
        <v>102</v>
      </c>
      <c r="T212">
        <f>IF($A212="Class of 2022","",IFERROR(INDEX(CAT4_2022_2023!$I:$I,MATCH($B212,CAT4_2022_2023!$A:$A,0)),IFERROR(INDEX(CAT4_2021_2022!$I:$I,MATCH($B212,CAT4_2021_2022!$A:$A,0)),"")))</f>
        <v>90</v>
      </c>
      <c r="U212">
        <f>IF($A212="Class of 2022","",IFERROR(INDEX(CAT4_2022_2023!$J:$J,MATCH($B212,CAT4_2022_2023!$A:$A,0)),IFERROR(INDEX(CAT4_2021_2022!$J:$J,MATCH($B212,CAT4_2021_2022!$A:$A,0)),"")))</f>
        <v>97</v>
      </c>
      <c r="W212" t="s">
        <v>722</v>
      </c>
    </row>
    <row r="213" spans="1:23" x14ac:dyDescent="0.3">
      <c r="A213" t="s">
        <v>419</v>
      </c>
      <c r="B213" t="s">
        <v>497</v>
      </c>
      <c r="C213" t="s">
        <v>755</v>
      </c>
      <c r="D213" t="s">
        <v>756</v>
      </c>
      <c r="E213" t="s">
        <v>705</v>
      </c>
      <c r="J213">
        <v>139</v>
      </c>
      <c r="K213">
        <f t="shared" si="15"/>
        <v>55.600000000000009</v>
      </c>
      <c r="L213">
        <v>25</v>
      </c>
      <c r="M213">
        <f t="shared" si="16"/>
        <v>50</v>
      </c>
      <c r="N213">
        <f t="shared" si="17"/>
        <v>108</v>
      </c>
      <c r="O213">
        <f t="shared" si="18"/>
        <v>76.056338028169009</v>
      </c>
      <c r="P213">
        <f t="shared" si="19"/>
        <v>60.552112676056339</v>
      </c>
      <c r="Q213" t="str">
        <f>IF($A213="Class of 2022","",IFERROR(INDEX(CAT4_2022_2023!$F:$F,MATCH($B213,CAT4_2022_2023!$A:$A,0)),IFERROR(INDEX(CAT4_2021_2022!$F:$F,MATCH($B213,CAT4_2021_2022!$A:$A,0)),"")))</f>
        <v>Moderate spatial bias</v>
      </c>
      <c r="R213">
        <f>IF($A213="Class of 2022","",IFERROR(INDEX(CAT4_2022_2023!$G:$G,MATCH($B213,CAT4_2022_2023!$A:$A,0)),IFERROR(INDEX(CAT4_2021_2022!$G:$G,MATCH($B213,CAT4_2021_2022!$A:$A,0)),"")))</f>
        <v>91</v>
      </c>
      <c r="S213">
        <f>IF($A213="Class of 2022","",IFERROR(INDEX(CAT4_2022_2023!$H:$H,MATCH($B213,CAT4_2022_2023!$A:$A,0)),IFERROR(INDEX(CAT4_2021_2022!$H:$H,MATCH($B213,CAT4_2021_2022!$A:$A,0)),"")))</f>
        <v>116</v>
      </c>
      <c r="T213">
        <f>IF($A213="Class of 2022","",IFERROR(INDEX(CAT4_2022_2023!$I:$I,MATCH($B213,CAT4_2022_2023!$A:$A,0)),IFERROR(INDEX(CAT4_2021_2022!$I:$I,MATCH($B213,CAT4_2021_2022!$A:$A,0)),"")))</f>
        <v>111</v>
      </c>
      <c r="U213">
        <f>IF($A213="Class of 2022","",IFERROR(INDEX(CAT4_2022_2023!$J:$J,MATCH($B213,CAT4_2022_2023!$A:$A,0)),IFERROR(INDEX(CAT4_2021_2022!$J:$J,MATCH($B213,CAT4_2021_2022!$A:$A,0)),"")))</f>
        <v>115</v>
      </c>
      <c r="V213" t="s">
        <v>715</v>
      </c>
      <c r="W213" t="s">
        <v>707</v>
      </c>
    </row>
    <row r="214" spans="1:23" x14ac:dyDescent="0.3">
      <c r="A214" t="s">
        <v>419</v>
      </c>
      <c r="B214" t="s">
        <v>499</v>
      </c>
      <c r="C214" t="s">
        <v>500</v>
      </c>
      <c r="K214" t="str">
        <f t="shared" si="15"/>
        <v/>
      </c>
      <c r="M214" t="str">
        <f t="shared" si="16"/>
        <v/>
      </c>
      <c r="N214">
        <f t="shared" si="17"/>
        <v>85</v>
      </c>
      <c r="O214">
        <f t="shared" si="18"/>
        <v>59.859154929577464</v>
      </c>
      <c r="P214">
        <f t="shared" si="19"/>
        <v>59.859154929577464</v>
      </c>
      <c r="Q214" t="str">
        <f>IF($A214="Class of 2022","",IFERROR(INDEX(CAT4_2022_2023!$F:$F,MATCH($B214,CAT4_2022_2023!$A:$A,0)),IFERROR(INDEX(CAT4_2021_2022!$F:$F,MATCH($B214,CAT4_2021_2022!$A:$A,0)),"")))</f>
        <v>No bias</v>
      </c>
      <c r="R214">
        <f>IF($A214="Class of 2022","",IFERROR(INDEX(CAT4_2022_2023!$G:$G,MATCH($B214,CAT4_2022_2023!$A:$A,0)),IFERROR(INDEX(CAT4_2021_2022!$G:$G,MATCH($B214,CAT4_2021_2022!$A:$A,0)),"")))</f>
        <v>84</v>
      </c>
      <c r="S214">
        <f>IF($A214="Class of 2022","",IFERROR(INDEX(CAT4_2022_2023!$H:$H,MATCH($B214,CAT4_2022_2023!$A:$A,0)),IFERROR(INDEX(CAT4_2021_2022!$H:$H,MATCH($B214,CAT4_2021_2022!$A:$A,0)),"")))</f>
        <v>97</v>
      </c>
      <c r="T214">
        <f>IF($A214="Class of 2022","",IFERROR(INDEX(CAT4_2022_2023!$I:$I,MATCH($B214,CAT4_2022_2023!$A:$A,0)),IFERROR(INDEX(CAT4_2021_2022!$I:$I,MATCH($B214,CAT4_2021_2022!$A:$A,0)),"")))</f>
        <v>82</v>
      </c>
      <c r="U214">
        <f>IF($A214="Class of 2022","",IFERROR(INDEX(CAT4_2022_2023!$J:$J,MATCH($B214,CAT4_2022_2023!$A:$A,0)),IFERROR(INDEX(CAT4_2021_2022!$J:$J,MATCH($B214,CAT4_2021_2022!$A:$A,0)),"")))</f>
        <v>77</v>
      </c>
      <c r="W214" t="s">
        <v>722</v>
      </c>
    </row>
    <row r="215" spans="1:23" x14ac:dyDescent="0.3">
      <c r="A215" t="s">
        <v>419</v>
      </c>
      <c r="B215" t="s">
        <v>501</v>
      </c>
      <c r="C215" t="s">
        <v>757</v>
      </c>
      <c r="D215" t="s">
        <v>758</v>
      </c>
      <c r="E215" t="s">
        <v>705</v>
      </c>
      <c r="F215">
        <v>82</v>
      </c>
      <c r="G215">
        <v>74</v>
      </c>
      <c r="H215">
        <v>51</v>
      </c>
      <c r="J215">
        <v>156</v>
      </c>
      <c r="K215">
        <f t="shared" si="15"/>
        <v>62.4</v>
      </c>
      <c r="L215">
        <v>29</v>
      </c>
      <c r="M215">
        <f t="shared" si="16"/>
        <v>57.999999999999993</v>
      </c>
      <c r="N215">
        <f t="shared" si="17"/>
        <v>92</v>
      </c>
      <c r="O215">
        <f t="shared" si="18"/>
        <v>64.788732394366207</v>
      </c>
      <c r="P215">
        <f t="shared" si="19"/>
        <v>61.729577464788726</v>
      </c>
      <c r="Q215" t="str">
        <f>IF($A215="Class of 2022","",IFERROR(INDEX(CAT4_2022_2023!$F:$F,MATCH($B215,CAT4_2022_2023!$A:$A,0)),IFERROR(INDEX(CAT4_2021_2022!$F:$F,MATCH($B215,CAT4_2021_2022!$A:$A,0)),"")))</f>
        <v>No bias</v>
      </c>
      <c r="R215">
        <f>IF($A215="Class of 2022","",IFERROR(INDEX(CAT4_2022_2023!$G:$G,MATCH($B215,CAT4_2022_2023!$A:$A,0)),IFERROR(INDEX(CAT4_2021_2022!$G:$G,MATCH($B215,CAT4_2021_2022!$A:$A,0)),"")))</f>
        <v>89</v>
      </c>
      <c r="S215">
        <f>IF($A215="Class of 2022","",IFERROR(INDEX(CAT4_2022_2023!$H:$H,MATCH($B215,CAT4_2022_2023!$A:$A,0)),IFERROR(INDEX(CAT4_2021_2022!$H:$H,MATCH($B215,CAT4_2021_2022!$A:$A,0)),"")))</f>
        <v>106</v>
      </c>
      <c r="T215">
        <f>IF($A215="Class of 2022","",IFERROR(INDEX(CAT4_2022_2023!$I:$I,MATCH($B215,CAT4_2022_2023!$A:$A,0)),IFERROR(INDEX(CAT4_2021_2022!$I:$I,MATCH($B215,CAT4_2021_2022!$A:$A,0)),"")))</f>
        <v>87</v>
      </c>
      <c r="U215">
        <f>IF($A215="Class of 2022","",IFERROR(INDEX(CAT4_2022_2023!$J:$J,MATCH($B215,CAT4_2022_2023!$A:$A,0)),IFERROR(INDEX(CAT4_2021_2022!$J:$J,MATCH($B215,CAT4_2021_2022!$A:$A,0)),"")))</f>
        <v>86</v>
      </c>
      <c r="V215" t="s">
        <v>709</v>
      </c>
      <c r="W215" t="s">
        <v>707</v>
      </c>
    </row>
    <row r="216" spans="1:23" x14ac:dyDescent="0.3">
      <c r="A216" t="s">
        <v>419</v>
      </c>
      <c r="B216" t="s">
        <v>503</v>
      </c>
      <c r="C216" t="s">
        <v>759</v>
      </c>
      <c r="D216" t="s">
        <v>760</v>
      </c>
      <c r="E216" t="s">
        <v>705</v>
      </c>
      <c r="F216">
        <v>90</v>
      </c>
      <c r="G216">
        <v>90</v>
      </c>
      <c r="H216">
        <v>92</v>
      </c>
      <c r="J216">
        <v>151</v>
      </c>
      <c r="K216">
        <f t="shared" si="15"/>
        <v>60.4</v>
      </c>
      <c r="L216">
        <v>21</v>
      </c>
      <c r="M216">
        <f t="shared" si="16"/>
        <v>42</v>
      </c>
      <c r="N216">
        <f t="shared" si="17"/>
        <v>97</v>
      </c>
      <c r="O216">
        <f t="shared" si="18"/>
        <v>68.309859154929569</v>
      </c>
      <c r="P216">
        <f t="shared" si="19"/>
        <v>56.903286384976525</v>
      </c>
      <c r="Q216" t="str">
        <f>IF($A216="Class of 2022","",IFERROR(INDEX(CAT4_2022_2023!$F:$F,MATCH($B216,CAT4_2022_2023!$A:$A,0)),IFERROR(INDEX(CAT4_2021_2022!$F:$F,MATCH($B216,CAT4_2021_2022!$A:$A,0)),"")))</f>
        <v>No bias</v>
      </c>
      <c r="R216">
        <f>IF($A216="Class of 2022","",IFERROR(INDEX(CAT4_2022_2023!$G:$G,MATCH($B216,CAT4_2022_2023!$A:$A,0)),IFERROR(INDEX(CAT4_2021_2022!$G:$G,MATCH($B216,CAT4_2021_2022!$A:$A,0)),"")))</f>
        <v>85</v>
      </c>
      <c r="S216">
        <f>IF($A216="Class of 2022","",IFERROR(INDEX(CAT4_2022_2023!$H:$H,MATCH($B216,CAT4_2022_2023!$A:$A,0)),IFERROR(INDEX(CAT4_2021_2022!$H:$H,MATCH($B216,CAT4_2021_2022!$A:$A,0)),"")))</f>
        <v>104</v>
      </c>
      <c r="T216">
        <f>IF($A216="Class of 2022","",IFERROR(INDEX(CAT4_2022_2023!$I:$I,MATCH($B216,CAT4_2022_2023!$A:$A,0)),IFERROR(INDEX(CAT4_2021_2022!$I:$I,MATCH($B216,CAT4_2021_2022!$A:$A,0)),"")))</f>
        <v>109</v>
      </c>
      <c r="U216">
        <f>IF($A216="Class of 2022","",IFERROR(INDEX(CAT4_2022_2023!$J:$J,MATCH($B216,CAT4_2022_2023!$A:$A,0)),IFERROR(INDEX(CAT4_2021_2022!$J:$J,MATCH($B216,CAT4_2021_2022!$A:$A,0)),"")))</f>
        <v>91</v>
      </c>
      <c r="V216" t="s">
        <v>715</v>
      </c>
      <c r="W216" t="s">
        <v>707</v>
      </c>
    </row>
    <row r="217" spans="1:23" x14ac:dyDescent="0.3">
      <c r="A217" t="s">
        <v>419</v>
      </c>
      <c r="B217" t="s">
        <v>505</v>
      </c>
      <c r="C217" t="s">
        <v>506</v>
      </c>
      <c r="K217" t="str">
        <f t="shared" si="15"/>
        <v/>
      </c>
      <c r="M217" t="str">
        <f t="shared" si="16"/>
        <v/>
      </c>
      <c r="N217">
        <f t="shared" si="17"/>
        <v>93</v>
      </c>
      <c r="O217">
        <f t="shared" si="18"/>
        <v>65.492957746478879</v>
      </c>
      <c r="P217">
        <f t="shared" si="19"/>
        <v>65.492957746478879</v>
      </c>
      <c r="Q217" t="str">
        <f>IF($A217="Class of 2022","",IFERROR(INDEX(CAT4_2022_2023!$F:$F,MATCH($B217,CAT4_2022_2023!$A:$A,0)),IFERROR(INDEX(CAT4_2021_2022!$F:$F,MATCH($B217,CAT4_2021_2022!$A:$A,0)),"")))</f>
        <v>Mild spatial bias</v>
      </c>
      <c r="R217">
        <f>IF($A217="Class of 2022","",IFERROR(INDEX(CAT4_2022_2023!$G:$G,MATCH($B217,CAT4_2022_2023!$A:$A,0)),IFERROR(INDEX(CAT4_2021_2022!$G:$G,MATCH($B217,CAT4_2021_2022!$A:$A,0)),"")))</f>
        <v>78</v>
      </c>
      <c r="S217">
        <f>IF($A217="Class of 2022","",IFERROR(INDEX(CAT4_2022_2023!$H:$H,MATCH($B217,CAT4_2022_2023!$A:$A,0)),IFERROR(INDEX(CAT4_2021_2022!$H:$H,MATCH($B217,CAT4_2021_2022!$A:$A,0)),"")))</f>
        <v>95</v>
      </c>
      <c r="T217">
        <f>IF($A217="Class of 2022","",IFERROR(INDEX(CAT4_2022_2023!$I:$I,MATCH($B217,CAT4_2022_2023!$A:$A,0)),IFERROR(INDEX(CAT4_2021_2022!$I:$I,MATCH($B217,CAT4_2021_2022!$A:$A,0)),"")))</f>
        <v>102</v>
      </c>
      <c r="U217">
        <f>IF($A217="Class of 2022","",IFERROR(INDEX(CAT4_2022_2023!$J:$J,MATCH($B217,CAT4_2022_2023!$A:$A,0)),IFERROR(INDEX(CAT4_2021_2022!$J:$J,MATCH($B217,CAT4_2021_2022!$A:$A,0)),"")))</f>
        <v>95</v>
      </c>
      <c r="W217" t="s">
        <v>722</v>
      </c>
    </row>
    <row r="218" spans="1:23" x14ac:dyDescent="0.3">
      <c r="A218" t="s">
        <v>419</v>
      </c>
      <c r="B218" t="s">
        <v>507</v>
      </c>
      <c r="C218" t="s">
        <v>508</v>
      </c>
      <c r="K218" t="str">
        <f t="shared" si="15"/>
        <v/>
      </c>
      <c r="M218" t="str">
        <f t="shared" si="16"/>
        <v/>
      </c>
      <c r="N218">
        <f t="shared" si="17"/>
        <v>94</v>
      </c>
      <c r="O218">
        <f t="shared" si="18"/>
        <v>66.197183098591552</v>
      </c>
      <c r="P218">
        <f t="shared" si="19"/>
        <v>66.197183098591552</v>
      </c>
      <c r="Q218" t="str">
        <f>IF($A218="Class of 2022","",IFERROR(INDEX(CAT4_2022_2023!$F:$F,MATCH($B218,CAT4_2022_2023!$A:$A,0)),IFERROR(INDEX(CAT4_2021_2022!$F:$F,MATCH($B218,CAT4_2021_2022!$A:$A,0)),"")))</f>
        <v>No bias</v>
      </c>
      <c r="R218">
        <f>IF($A218="Class of 2022","",IFERROR(INDEX(CAT4_2022_2023!$G:$G,MATCH($B218,CAT4_2022_2023!$A:$A,0)),IFERROR(INDEX(CAT4_2021_2022!$G:$G,MATCH($B218,CAT4_2021_2022!$A:$A,0)),"")))</f>
        <v>97</v>
      </c>
      <c r="S218">
        <f>IF($A218="Class of 2022","",IFERROR(INDEX(CAT4_2022_2023!$H:$H,MATCH($B218,CAT4_2022_2023!$A:$A,0)),IFERROR(INDEX(CAT4_2021_2022!$H:$H,MATCH($B218,CAT4_2021_2022!$A:$A,0)),"")))</f>
        <v>82</v>
      </c>
      <c r="T218">
        <f>IF($A218="Class of 2022","",IFERROR(INDEX(CAT4_2022_2023!$I:$I,MATCH($B218,CAT4_2022_2023!$A:$A,0)),IFERROR(INDEX(CAT4_2021_2022!$I:$I,MATCH($B218,CAT4_2021_2022!$A:$A,0)),"")))</f>
        <v>99</v>
      </c>
      <c r="U218">
        <f>IF($A218="Class of 2022","",IFERROR(INDEX(CAT4_2022_2023!$J:$J,MATCH($B218,CAT4_2022_2023!$A:$A,0)),IFERROR(INDEX(CAT4_2021_2022!$J:$J,MATCH($B218,CAT4_2021_2022!$A:$A,0)),"")))</f>
        <v>99</v>
      </c>
      <c r="W218" t="s">
        <v>722</v>
      </c>
    </row>
    <row r="219" spans="1:23" x14ac:dyDescent="0.3">
      <c r="A219" t="s">
        <v>419</v>
      </c>
      <c r="B219" t="s">
        <v>509</v>
      </c>
      <c r="C219" t="s">
        <v>761</v>
      </c>
      <c r="D219" t="s">
        <v>762</v>
      </c>
      <c r="E219" t="s">
        <v>705</v>
      </c>
      <c r="F219">
        <v>82</v>
      </c>
      <c r="G219">
        <v>73</v>
      </c>
      <c r="H219">
        <v>84</v>
      </c>
      <c r="J219">
        <v>136</v>
      </c>
      <c r="K219">
        <f t="shared" si="15"/>
        <v>54.400000000000006</v>
      </c>
      <c r="L219">
        <v>21</v>
      </c>
      <c r="M219">
        <f t="shared" si="16"/>
        <v>42</v>
      </c>
      <c r="N219">
        <f t="shared" si="17"/>
        <v>98</v>
      </c>
      <c r="O219">
        <f t="shared" si="18"/>
        <v>69.014084507042256</v>
      </c>
      <c r="P219">
        <f t="shared" si="19"/>
        <v>55.138028169014092</v>
      </c>
      <c r="Q219" t="str">
        <f>IF($A219="Class of 2022","",IFERROR(INDEX(CAT4_2022_2023!$F:$F,MATCH($B219,CAT4_2022_2023!$A:$A,0)),IFERROR(INDEX(CAT4_2021_2022!$F:$F,MATCH($B219,CAT4_2021_2022!$A:$A,0)),"")))</f>
        <v>Moderate spatial bias</v>
      </c>
      <c r="R219">
        <f>IF($A219="Class of 2022","",IFERROR(INDEX(CAT4_2022_2023!$G:$G,MATCH($B219,CAT4_2022_2023!$A:$A,0)),IFERROR(INDEX(CAT4_2021_2022!$G:$G,MATCH($B219,CAT4_2021_2022!$A:$A,0)),"")))</f>
        <v>79</v>
      </c>
      <c r="S219">
        <f>IF($A219="Class of 2022","",IFERROR(INDEX(CAT4_2022_2023!$H:$H,MATCH($B219,CAT4_2022_2023!$A:$A,0)),IFERROR(INDEX(CAT4_2021_2022!$H:$H,MATCH($B219,CAT4_2021_2022!$A:$A,0)),"")))</f>
        <v>111</v>
      </c>
      <c r="T219">
        <f>IF($A219="Class of 2022","",IFERROR(INDEX(CAT4_2022_2023!$I:$I,MATCH($B219,CAT4_2022_2023!$A:$A,0)),IFERROR(INDEX(CAT4_2021_2022!$I:$I,MATCH($B219,CAT4_2021_2022!$A:$A,0)),"")))</f>
        <v>103</v>
      </c>
      <c r="U219">
        <f>IF($A219="Class of 2022","",IFERROR(INDEX(CAT4_2022_2023!$J:$J,MATCH($B219,CAT4_2022_2023!$A:$A,0)),IFERROR(INDEX(CAT4_2021_2022!$J:$J,MATCH($B219,CAT4_2021_2022!$A:$A,0)),"")))</f>
        <v>97</v>
      </c>
      <c r="V219" t="s">
        <v>715</v>
      </c>
      <c r="W219" t="s">
        <v>707</v>
      </c>
    </row>
    <row r="220" spans="1:23" x14ac:dyDescent="0.3">
      <c r="A220" t="s">
        <v>419</v>
      </c>
      <c r="B220" t="s">
        <v>511</v>
      </c>
      <c r="C220" t="s">
        <v>763</v>
      </c>
      <c r="D220" t="s">
        <v>764</v>
      </c>
      <c r="E220" t="s">
        <v>705</v>
      </c>
      <c r="J220">
        <v>146</v>
      </c>
      <c r="K220">
        <f t="shared" si="15"/>
        <v>58.4</v>
      </c>
      <c r="L220">
        <v>28</v>
      </c>
      <c r="M220">
        <f t="shared" si="16"/>
        <v>56.000000000000007</v>
      </c>
      <c r="N220">
        <f t="shared" si="17"/>
        <v>97</v>
      </c>
      <c r="O220">
        <f t="shared" si="18"/>
        <v>68.309859154929569</v>
      </c>
      <c r="P220">
        <f t="shared" si="19"/>
        <v>60.903286384976525</v>
      </c>
      <c r="Q220" t="str">
        <f>IF($A220="Class of 2022","",IFERROR(INDEX(CAT4_2022_2023!$F:$F,MATCH($B220,CAT4_2022_2023!$A:$A,0)),IFERROR(INDEX(CAT4_2021_2022!$F:$F,MATCH($B220,CAT4_2021_2022!$A:$A,0)),"")))</f>
        <v>Mild spatial bias</v>
      </c>
      <c r="R220">
        <f>IF($A220="Class of 2022","",IFERROR(INDEX(CAT4_2022_2023!$G:$G,MATCH($B220,CAT4_2022_2023!$A:$A,0)),IFERROR(INDEX(CAT4_2021_2022!$G:$G,MATCH($B220,CAT4_2021_2022!$A:$A,0)),"")))</f>
        <v>81</v>
      </c>
      <c r="S220">
        <f>IF($A220="Class of 2022","",IFERROR(INDEX(CAT4_2022_2023!$H:$H,MATCH($B220,CAT4_2022_2023!$A:$A,0)),IFERROR(INDEX(CAT4_2021_2022!$H:$H,MATCH($B220,CAT4_2021_2022!$A:$A,0)),"")))</f>
        <v>104</v>
      </c>
      <c r="T220">
        <f>IF($A220="Class of 2022","",IFERROR(INDEX(CAT4_2022_2023!$I:$I,MATCH($B220,CAT4_2022_2023!$A:$A,0)),IFERROR(INDEX(CAT4_2021_2022!$I:$I,MATCH($B220,CAT4_2021_2022!$A:$A,0)),"")))</f>
        <v>109</v>
      </c>
      <c r="U220">
        <f>IF($A220="Class of 2022","",IFERROR(INDEX(CAT4_2022_2023!$J:$J,MATCH($B220,CAT4_2022_2023!$A:$A,0)),IFERROR(INDEX(CAT4_2021_2022!$J:$J,MATCH($B220,CAT4_2021_2022!$A:$A,0)),"")))</f>
        <v>93</v>
      </c>
      <c r="V220" t="s">
        <v>715</v>
      </c>
      <c r="W220" t="s">
        <v>707</v>
      </c>
    </row>
    <row r="221" spans="1:23" x14ac:dyDescent="0.3">
      <c r="A221" t="s">
        <v>419</v>
      </c>
      <c r="B221" t="s">
        <v>513</v>
      </c>
      <c r="C221" t="s">
        <v>765</v>
      </c>
      <c r="D221" t="s">
        <v>766</v>
      </c>
      <c r="E221" t="s">
        <v>714</v>
      </c>
      <c r="F221">
        <v>91</v>
      </c>
      <c r="G221">
        <v>99</v>
      </c>
      <c r="H221">
        <v>99</v>
      </c>
      <c r="J221">
        <v>124</v>
      </c>
      <c r="K221">
        <f t="shared" si="15"/>
        <v>49.6</v>
      </c>
      <c r="L221">
        <v>28</v>
      </c>
      <c r="M221">
        <f t="shared" si="16"/>
        <v>56.000000000000007</v>
      </c>
      <c r="N221">
        <f t="shared" si="17"/>
        <v>104</v>
      </c>
      <c r="O221">
        <f t="shared" si="18"/>
        <v>73.239436619718319</v>
      </c>
      <c r="P221">
        <f t="shared" si="19"/>
        <v>59.613145539906107</v>
      </c>
      <c r="Q221" t="str">
        <f>IF($A221="Class of 2022","",IFERROR(INDEX(CAT4_2022_2023!$F:$F,MATCH($B221,CAT4_2022_2023!$A:$A,0)),IFERROR(INDEX(CAT4_2021_2022!$F:$F,MATCH($B221,CAT4_2021_2022!$A:$A,0)),"")))</f>
        <v>Moderate spatial bias</v>
      </c>
      <c r="R221">
        <f>IF($A221="Class of 2022","",IFERROR(INDEX(CAT4_2022_2023!$G:$G,MATCH($B221,CAT4_2022_2023!$A:$A,0)),IFERROR(INDEX(CAT4_2021_2022!$G:$G,MATCH($B221,CAT4_2021_2022!$A:$A,0)),"")))</f>
        <v>82</v>
      </c>
      <c r="S221">
        <f>IF($A221="Class of 2022","",IFERROR(INDEX(CAT4_2022_2023!$H:$H,MATCH($B221,CAT4_2022_2023!$A:$A,0)),IFERROR(INDEX(CAT4_2021_2022!$H:$H,MATCH($B221,CAT4_2021_2022!$A:$A,0)),"")))</f>
        <v>118</v>
      </c>
      <c r="T221">
        <f>IF($A221="Class of 2022","",IFERROR(INDEX(CAT4_2022_2023!$I:$I,MATCH($B221,CAT4_2022_2023!$A:$A,0)),IFERROR(INDEX(CAT4_2021_2022!$I:$I,MATCH($B221,CAT4_2021_2022!$A:$A,0)),"")))</f>
        <v>110</v>
      </c>
      <c r="U221">
        <f>IF($A221="Class of 2022","",IFERROR(INDEX(CAT4_2022_2023!$J:$J,MATCH($B221,CAT4_2022_2023!$A:$A,0)),IFERROR(INDEX(CAT4_2021_2022!$J:$J,MATCH($B221,CAT4_2021_2022!$A:$A,0)),"")))</f>
        <v>106</v>
      </c>
      <c r="V221" t="s">
        <v>715</v>
      </c>
      <c r="W221" t="s">
        <v>707</v>
      </c>
    </row>
    <row r="222" spans="1:23" x14ac:dyDescent="0.3">
      <c r="A222" t="s">
        <v>419</v>
      </c>
      <c r="B222" t="s">
        <v>515</v>
      </c>
      <c r="C222" t="s">
        <v>767</v>
      </c>
      <c r="D222" t="s">
        <v>768</v>
      </c>
      <c r="E222" t="s">
        <v>705</v>
      </c>
      <c r="J222">
        <v>165</v>
      </c>
      <c r="K222">
        <f t="shared" si="15"/>
        <v>66</v>
      </c>
      <c r="L222">
        <v>23</v>
      </c>
      <c r="M222">
        <f t="shared" si="16"/>
        <v>46</v>
      </c>
      <c r="N222">
        <f t="shared" si="17"/>
        <v>107</v>
      </c>
      <c r="O222">
        <f t="shared" si="18"/>
        <v>75.352112676056336</v>
      </c>
      <c r="P222">
        <f t="shared" si="19"/>
        <v>62.450704225352105</v>
      </c>
      <c r="Q222" t="str">
        <f>IF($A222="Class of 2022","",IFERROR(INDEX(CAT4_2022_2023!$F:$F,MATCH($B222,CAT4_2022_2023!$A:$A,0)),IFERROR(INDEX(CAT4_2021_2022!$F:$F,MATCH($B222,CAT4_2021_2022!$A:$A,0)),"")))</f>
        <v>No bias</v>
      </c>
      <c r="R222">
        <f>IF($A222="Class of 2022","",IFERROR(INDEX(CAT4_2022_2023!$G:$G,MATCH($B222,CAT4_2022_2023!$A:$A,0)),IFERROR(INDEX(CAT4_2021_2022!$G:$G,MATCH($B222,CAT4_2021_2022!$A:$A,0)),"")))</f>
        <v>101</v>
      </c>
      <c r="S222">
        <f>IF($A222="Class of 2022","",IFERROR(INDEX(CAT4_2022_2023!$H:$H,MATCH($B222,CAT4_2022_2023!$A:$A,0)),IFERROR(INDEX(CAT4_2021_2022!$H:$H,MATCH($B222,CAT4_2021_2022!$A:$A,0)),"")))</f>
        <v>95</v>
      </c>
      <c r="T222">
        <f>IF($A222="Class of 2022","",IFERROR(INDEX(CAT4_2022_2023!$I:$I,MATCH($B222,CAT4_2022_2023!$A:$A,0)),IFERROR(INDEX(CAT4_2021_2022!$I:$I,MATCH($B222,CAT4_2021_2022!$A:$A,0)),"")))</f>
        <v>122</v>
      </c>
      <c r="U222">
        <f>IF($A222="Class of 2022","",IFERROR(INDEX(CAT4_2022_2023!$J:$J,MATCH($B222,CAT4_2022_2023!$A:$A,0)),IFERROR(INDEX(CAT4_2021_2022!$J:$J,MATCH($B222,CAT4_2021_2022!$A:$A,0)),"")))</f>
        <v>109</v>
      </c>
      <c r="V222" t="s">
        <v>706</v>
      </c>
      <c r="W222" t="s">
        <v>707</v>
      </c>
    </row>
    <row r="223" spans="1:23" x14ac:dyDescent="0.3">
      <c r="A223" t="s">
        <v>419</v>
      </c>
      <c r="B223" t="s">
        <v>517</v>
      </c>
      <c r="C223" t="s">
        <v>769</v>
      </c>
      <c r="D223" t="s">
        <v>770</v>
      </c>
      <c r="E223" t="s">
        <v>705</v>
      </c>
      <c r="F223">
        <v>3</v>
      </c>
      <c r="G223">
        <v>3</v>
      </c>
      <c r="H223">
        <v>3</v>
      </c>
      <c r="J223">
        <v>143</v>
      </c>
      <c r="K223">
        <f t="shared" si="15"/>
        <v>57.199999999999996</v>
      </c>
      <c r="L223">
        <v>26</v>
      </c>
      <c r="M223">
        <f t="shared" si="16"/>
        <v>52</v>
      </c>
      <c r="N223">
        <f t="shared" si="17"/>
        <v>93</v>
      </c>
      <c r="O223">
        <f t="shared" si="18"/>
        <v>65.492957746478879</v>
      </c>
      <c r="P223">
        <f t="shared" si="19"/>
        <v>58.230985915492958</v>
      </c>
      <c r="Q223" t="str">
        <f>IF($A223="Class of 2022","",IFERROR(INDEX(CAT4_2022_2023!$F:$F,MATCH($B223,CAT4_2022_2023!$A:$A,0)),IFERROR(INDEX(CAT4_2021_2022!$F:$F,MATCH($B223,CAT4_2021_2022!$A:$A,0)),"")))</f>
        <v>No bias</v>
      </c>
      <c r="R223">
        <f>IF($A223="Class of 2022","",IFERROR(INDEX(CAT4_2022_2023!$G:$G,MATCH($B223,CAT4_2022_2023!$A:$A,0)),IFERROR(INDEX(CAT4_2021_2022!$G:$G,MATCH($B223,CAT4_2021_2022!$A:$A,0)),"")))</f>
        <v>85</v>
      </c>
      <c r="S223">
        <f>IF($A223="Class of 2022","",IFERROR(INDEX(CAT4_2022_2023!$H:$H,MATCH($B223,CAT4_2022_2023!$A:$A,0)),IFERROR(INDEX(CAT4_2021_2022!$H:$H,MATCH($B223,CAT4_2021_2022!$A:$A,0)),"")))</f>
        <v>99</v>
      </c>
      <c r="T223">
        <f>IF($A223="Class of 2022","",IFERROR(INDEX(CAT4_2022_2023!$I:$I,MATCH($B223,CAT4_2022_2023!$A:$A,0)),IFERROR(INDEX(CAT4_2021_2022!$I:$I,MATCH($B223,CAT4_2021_2022!$A:$A,0)),"")))</f>
        <v>100</v>
      </c>
      <c r="U223">
        <f>IF($A223="Class of 2022","",IFERROR(INDEX(CAT4_2022_2023!$J:$J,MATCH($B223,CAT4_2022_2023!$A:$A,0)),IFERROR(INDEX(CAT4_2021_2022!$J:$J,MATCH($B223,CAT4_2021_2022!$A:$A,0)),"")))</f>
        <v>86</v>
      </c>
      <c r="V223" t="s">
        <v>712</v>
      </c>
      <c r="W223" t="s">
        <v>707</v>
      </c>
    </row>
    <row r="224" spans="1:23" x14ac:dyDescent="0.3">
      <c r="A224" t="s">
        <v>419</v>
      </c>
      <c r="B224" t="s">
        <v>519</v>
      </c>
      <c r="C224" t="s">
        <v>771</v>
      </c>
      <c r="D224" t="s">
        <v>772</v>
      </c>
      <c r="E224" t="s">
        <v>714</v>
      </c>
      <c r="F224">
        <v>86</v>
      </c>
      <c r="G224">
        <v>84</v>
      </c>
      <c r="H224">
        <v>82</v>
      </c>
      <c r="J224">
        <v>152</v>
      </c>
      <c r="K224">
        <f t="shared" si="15"/>
        <v>60.8</v>
      </c>
      <c r="L224">
        <v>18</v>
      </c>
      <c r="M224">
        <f t="shared" si="16"/>
        <v>36</v>
      </c>
      <c r="N224">
        <f t="shared" si="17"/>
        <v>103</v>
      </c>
      <c r="O224">
        <f t="shared" si="18"/>
        <v>72.535211267605632</v>
      </c>
      <c r="P224">
        <f t="shared" si="19"/>
        <v>56.445070422535217</v>
      </c>
      <c r="Q224" t="str">
        <f>IF($A224="Class of 2022","",IFERROR(INDEX(CAT4_2022_2023!$F:$F,MATCH($B224,CAT4_2022_2023!$A:$A,0)),IFERROR(INDEX(CAT4_2021_2022!$F:$F,MATCH($B224,CAT4_2021_2022!$A:$A,0)),"")))</f>
        <v>Mild spatial bias</v>
      </c>
      <c r="R224">
        <f>IF($A224="Class of 2022","",IFERROR(INDEX(CAT4_2022_2023!$G:$G,MATCH($B224,CAT4_2022_2023!$A:$A,0)),IFERROR(INDEX(CAT4_2021_2022!$G:$G,MATCH($B224,CAT4_2021_2022!$A:$A,0)),"")))</f>
        <v>88</v>
      </c>
      <c r="S224">
        <f>IF($A224="Class of 2022","",IFERROR(INDEX(CAT4_2022_2023!$H:$H,MATCH($B224,CAT4_2022_2023!$A:$A,0)),IFERROR(INDEX(CAT4_2021_2022!$H:$H,MATCH($B224,CAT4_2021_2022!$A:$A,0)),"")))</f>
        <v>106</v>
      </c>
      <c r="T224">
        <f>IF($A224="Class of 2022","",IFERROR(INDEX(CAT4_2022_2023!$I:$I,MATCH($B224,CAT4_2022_2023!$A:$A,0)),IFERROR(INDEX(CAT4_2021_2022!$I:$I,MATCH($B224,CAT4_2021_2022!$A:$A,0)),"")))</f>
        <v>116</v>
      </c>
      <c r="U224">
        <f>IF($A224="Class of 2022","",IFERROR(INDEX(CAT4_2022_2023!$J:$J,MATCH($B224,CAT4_2022_2023!$A:$A,0)),IFERROR(INDEX(CAT4_2021_2022!$J:$J,MATCH($B224,CAT4_2021_2022!$A:$A,0)),"")))</f>
        <v>103</v>
      </c>
      <c r="V224" t="s">
        <v>706</v>
      </c>
      <c r="W224" t="s">
        <v>707</v>
      </c>
    </row>
    <row r="225" spans="1:23" x14ac:dyDescent="0.3">
      <c r="A225" t="s">
        <v>419</v>
      </c>
      <c r="B225" t="s">
        <v>521</v>
      </c>
      <c r="C225" t="s">
        <v>773</v>
      </c>
      <c r="D225" t="s">
        <v>762</v>
      </c>
      <c r="E225" t="s">
        <v>705</v>
      </c>
      <c r="F225">
        <v>88</v>
      </c>
      <c r="G225">
        <v>95</v>
      </c>
      <c r="H225">
        <v>98</v>
      </c>
      <c r="J225">
        <v>149</v>
      </c>
      <c r="K225">
        <f t="shared" si="15"/>
        <v>59.599999999999994</v>
      </c>
      <c r="L225">
        <v>24</v>
      </c>
      <c r="M225">
        <f t="shared" si="16"/>
        <v>48</v>
      </c>
      <c r="N225">
        <f t="shared" si="17"/>
        <v>93</v>
      </c>
      <c r="O225">
        <f t="shared" si="18"/>
        <v>65.492957746478879</v>
      </c>
      <c r="P225">
        <f t="shared" si="19"/>
        <v>57.697652582159627</v>
      </c>
      <c r="Q225" t="str">
        <f>IF($A225="Class of 2022","",IFERROR(INDEX(CAT4_2022_2023!$F:$F,MATCH($B225,CAT4_2022_2023!$A:$A,0)),IFERROR(INDEX(CAT4_2021_2022!$F:$F,MATCH($B225,CAT4_2021_2022!$A:$A,0)),"")))</f>
        <v>Moderate spatial bias</v>
      </c>
      <c r="R225">
        <f>IF($A225="Class of 2022","",IFERROR(INDEX(CAT4_2022_2023!$G:$G,MATCH($B225,CAT4_2022_2023!$A:$A,0)),IFERROR(INDEX(CAT4_2021_2022!$G:$G,MATCH($B225,CAT4_2021_2022!$A:$A,0)),"")))</f>
        <v>77</v>
      </c>
      <c r="S225">
        <f>IF($A225="Class of 2022","",IFERROR(INDEX(CAT4_2022_2023!$H:$H,MATCH($B225,CAT4_2022_2023!$A:$A,0)),IFERROR(INDEX(CAT4_2021_2022!$H:$H,MATCH($B225,CAT4_2021_2022!$A:$A,0)),"")))</f>
        <v>99</v>
      </c>
      <c r="T225">
        <f>IF($A225="Class of 2022","",IFERROR(INDEX(CAT4_2022_2023!$I:$I,MATCH($B225,CAT4_2022_2023!$A:$A,0)),IFERROR(INDEX(CAT4_2021_2022!$I:$I,MATCH($B225,CAT4_2021_2022!$A:$A,0)),"")))</f>
        <v>98</v>
      </c>
      <c r="U225">
        <f>IF($A225="Class of 2022","",IFERROR(INDEX(CAT4_2022_2023!$J:$J,MATCH($B225,CAT4_2022_2023!$A:$A,0)),IFERROR(INDEX(CAT4_2021_2022!$J:$J,MATCH($B225,CAT4_2021_2022!$A:$A,0)),"")))</f>
        <v>99</v>
      </c>
      <c r="V225" t="s">
        <v>712</v>
      </c>
      <c r="W225" t="s">
        <v>707</v>
      </c>
    </row>
    <row r="226" spans="1:23" x14ac:dyDescent="0.3">
      <c r="A226" t="s">
        <v>419</v>
      </c>
      <c r="B226" t="s">
        <v>523</v>
      </c>
      <c r="C226" t="s">
        <v>774</v>
      </c>
      <c r="D226" t="s">
        <v>580</v>
      </c>
      <c r="E226" t="s">
        <v>705</v>
      </c>
      <c r="F226">
        <v>88</v>
      </c>
      <c r="G226">
        <v>89</v>
      </c>
      <c r="H226">
        <v>86</v>
      </c>
      <c r="J226">
        <v>145</v>
      </c>
      <c r="K226">
        <f t="shared" si="15"/>
        <v>57.999999999999993</v>
      </c>
      <c r="L226">
        <v>22</v>
      </c>
      <c r="M226">
        <f t="shared" si="16"/>
        <v>44</v>
      </c>
      <c r="N226">
        <f t="shared" si="17"/>
        <v>104</v>
      </c>
      <c r="O226">
        <f t="shared" si="18"/>
        <v>73.239436619718319</v>
      </c>
      <c r="P226">
        <f t="shared" si="19"/>
        <v>58.413145539906111</v>
      </c>
      <c r="Q226" t="str">
        <f>IF($A226="Class of 2022","",IFERROR(INDEX(CAT4_2022_2023!$F:$F,MATCH($B226,CAT4_2022_2023!$A:$A,0)),IFERROR(INDEX(CAT4_2021_2022!$F:$F,MATCH($B226,CAT4_2021_2022!$A:$A,0)),"")))</f>
        <v>Moderate spatial bias</v>
      </c>
      <c r="R226">
        <f>IF($A226="Class of 2022","",IFERROR(INDEX(CAT4_2022_2023!$G:$G,MATCH($B226,CAT4_2022_2023!$A:$A,0)),IFERROR(INDEX(CAT4_2021_2022!$G:$G,MATCH($B226,CAT4_2021_2022!$A:$A,0)),"")))</f>
        <v>91</v>
      </c>
      <c r="S226">
        <f>IF($A226="Class of 2022","",IFERROR(INDEX(CAT4_2022_2023!$H:$H,MATCH($B226,CAT4_2022_2023!$A:$A,0)),IFERROR(INDEX(CAT4_2021_2022!$H:$H,MATCH($B226,CAT4_2021_2022!$A:$A,0)),"")))</f>
        <v>95</v>
      </c>
      <c r="T226">
        <f>IF($A226="Class of 2022","",IFERROR(INDEX(CAT4_2022_2023!$I:$I,MATCH($B226,CAT4_2022_2023!$A:$A,0)),IFERROR(INDEX(CAT4_2021_2022!$I:$I,MATCH($B226,CAT4_2021_2022!$A:$A,0)),"")))</f>
        <v>116</v>
      </c>
      <c r="U226">
        <f>IF($A226="Class of 2022","",IFERROR(INDEX(CAT4_2022_2023!$J:$J,MATCH($B226,CAT4_2022_2023!$A:$A,0)),IFERROR(INDEX(CAT4_2021_2022!$J:$J,MATCH($B226,CAT4_2021_2022!$A:$A,0)),"")))</f>
        <v>115</v>
      </c>
      <c r="V226" t="s">
        <v>715</v>
      </c>
      <c r="W226" t="s">
        <v>707</v>
      </c>
    </row>
    <row r="227" spans="1:23" x14ac:dyDescent="0.3">
      <c r="A227" t="s">
        <v>419</v>
      </c>
      <c r="B227" t="s">
        <v>525</v>
      </c>
      <c r="C227" t="s">
        <v>775</v>
      </c>
      <c r="D227" t="s">
        <v>776</v>
      </c>
      <c r="E227" t="s">
        <v>705</v>
      </c>
      <c r="J227">
        <v>154</v>
      </c>
      <c r="K227">
        <f t="shared" si="15"/>
        <v>61.6</v>
      </c>
      <c r="L227">
        <v>31</v>
      </c>
      <c r="M227">
        <f t="shared" si="16"/>
        <v>62</v>
      </c>
      <c r="N227">
        <f t="shared" si="17"/>
        <v>110</v>
      </c>
      <c r="O227">
        <f t="shared" si="18"/>
        <v>77.464788732394368</v>
      </c>
      <c r="P227">
        <f t="shared" si="19"/>
        <v>67.021596244131459</v>
      </c>
      <c r="Q227" t="str">
        <f>IF($A227="Class of 2022","",IFERROR(INDEX(CAT4_2022_2023!$F:$F,MATCH($B227,CAT4_2022_2023!$A:$A,0)),IFERROR(INDEX(CAT4_2021_2022!$F:$F,MATCH($B227,CAT4_2021_2022!$A:$A,0)),"")))</f>
        <v>Moderate spatial bias</v>
      </c>
      <c r="R227">
        <f>IF($A227="Class of 2022","",IFERROR(INDEX(CAT4_2022_2023!$G:$G,MATCH($B227,CAT4_2022_2023!$A:$A,0)),IFERROR(INDEX(CAT4_2021_2022!$G:$G,MATCH($B227,CAT4_2021_2022!$A:$A,0)),"")))</f>
        <v>85</v>
      </c>
      <c r="S227">
        <f>IF($A227="Class of 2022","",IFERROR(INDEX(CAT4_2022_2023!$H:$H,MATCH($B227,CAT4_2022_2023!$A:$A,0)),IFERROR(INDEX(CAT4_2021_2022!$H:$H,MATCH($B227,CAT4_2021_2022!$A:$A,0)),"")))</f>
        <v>129</v>
      </c>
      <c r="T227">
        <f>IF($A227="Class of 2022","",IFERROR(INDEX(CAT4_2022_2023!$I:$I,MATCH($B227,CAT4_2022_2023!$A:$A,0)),IFERROR(INDEX(CAT4_2021_2022!$I:$I,MATCH($B227,CAT4_2021_2022!$A:$A,0)),"")))</f>
        <v>116</v>
      </c>
      <c r="U227">
        <f>IF($A227="Class of 2022","",IFERROR(INDEX(CAT4_2022_2023!$J:$J,MATCH($B227,CAT4_2022_2023!$A:$A,0)),IFERROR(INDEX(CAT4_2021_2022!$J:$J,MATCH($B227,CAT4_2021_2022!$A:$A,0)),"")))</f>
        <v>110</v>
      </c>
      <c r="V227" t="s">
        <v>709</v>
      </c>
      <c r="W227" t="s">
        <v>707</v>
      </c>
    </row>
    <row r="228" spans="1:23" x14ac:dyDescent="0.3">
      <c r="A228" t="s">
        <v>419</v>
      </c>
      <c r="B228" t="s">
        <v>527</v>
      </c>
      <c r="C228" t="s">
        <v>777</v>
      </c>
      <c r="D228" t="s">
        <v>730</v>
      </c>
      <c r="E228" t="s">
        <v>705</v>
      </c>
      <c r="F228">
        <v>6</v>
      </c>
      <c r="G228">
        <v>6</v>
      </c>
      <c r="H228">
        <v>8</v>
      </c>
      <c r="J228">
        <v>148</v>
      </c>
      <c r="K228">
        <f t="shared" si="15"/>
        <v>59.199999999999996</v>
      </c>
      <c r="L228">
        <v>28</v>
      </c>
      <c r="M228">
        <f t="shared" si="16"/>
        <v>56.000000000000007</v>
      </c>
      <c r="N228">
        <f t="shared" si="17"/>
        <v>98</v>
      </c>
      <c r="O228">
        <f t="shared" si="18"/>
        <v>69.014084507042256</v>
      </c>
      <c r="P228">
        <f t="shared" si="19"/>
        <v>61.40469483568075</v>
      </c>
      <c r="Q228" t="str">
        <f>IF($A228="Class of 2022","",IFERROR(INDEX(CAT4_2022_2023!$F:$F,MATCH($B228,CAT4_2022_2023!$A:$A,0)),IFERROR(INDEX(CAT4_2021_2022!$F:$F,MATCH($B228,CAT4_2021_2022!$A:$A,0)),"")))</f>
        <v>No bias</v>
      </c>
      <c r="R228">
        <f>IF($A228="Class of 2022","",IFERROR(INDEX(CAT4_2022_2023!$G:$G,MATCH($B228,CAT4_2022_2023!$A:$A,0)),IFERROR(INDEX(CAT4_2021_2022!$G:$G,MATCH($B228,CAT4_2021_2022!$A:$A,0)),"")))</f>
        <v>97</v>
      </c>
      <c r="S228">
        <f>IF($A228="Class of 2022","",IFERROR(INDEX(CAT4_2022_2023!$H:$H,MATCH($B228,CAT4_2022_2023!$A:$A,0)),IFERROR(INDEX(CAT4_2021_2022!$H:$H,MATCH($B228,CAT4_2021_2022!$A:$A,0)),"")))</f>
        <v>104</v>
      </c>
      <c r="T228">
        <f>IF($A228="Class of 2022","",IFERROR(INDEX(CAT4_2022_2023!$I:$I,MATCH($B228,CAT4_2022_2023!$A:$A,0)),IFERROR(INDEX(CAT4_2021_2022!$I:$I,MATCH($B228,CAT4_2021_2022!$A:$A,0)),"")))</f>
        <v>98</v>
      </c>
      <c r="U228">
        <f>IF($A228="Class of 2022","",IFERROR(INDEX(CAT4_2022_2023!$J:$J,MATCH($B228,CAT4_2022_2023!$A:$A,0)),IFERROR(INDEX(CAT4_2021_2022!$J:$J,MATCH($B228,CAT4_2021_2022!$A:$A,0)),"")))</f>
        <v>93</v>
      </c>
      <c r="V228" t="s">
        <v>712</v>
      </c>
      <c r="W228" t="s">
        <v>707</v>
      </c>
    </row>
    <row r="229" spans="1:23" x14ac:dyDescent="0.3">
      <c r="A229" t="s">
        <v>419</v>
      </c>
      <c r="B229" t="s">
        <v>529</v>
      </c>
      <c r="C229" t="s">
        <v>778</v>
      </c>
      <c r="D229" t="s">
        <v>725</v>
      </c>
      <c r="E229" t="s">
        <v>714</v>
      </c>
      <c r="F229">
        <v>100</v>
      </c>
      <c r="G229">
        <v>89</v>
      </c>
      <c r="H229">
        <v>98</v>
      </c>
      <c r="J229">
        <v>152</v>
      </c>
      <c r="K229">
        <f t="shared" si="15"/>
        <v>60.8</v>
      </c>
      <c r="L229">
        <v>25</v>
      </c>
      <c r="M229">
        <f t="shared" si="16"/>
        <v>50</v>
      </c>
      <c r="N229">
        <f t="shared" si="17"/>
        <v>103</v>
      </c>
      <c r="O229">
        <f t="shared" si="18"/>
        <v>72.535211267605632</v>
      </c>
      <c r="P229">
        <f t="shared" si="19"/>
        <v>61.111737089201881</v>
      </c>
      <c r="Q229" t="str">
        <f>IF($A229="Class of 2022","",IFERROR(INDEX(CAT4_2022_2023!$F:$F,MATCH($B229,CAT4_2022_2023!$A:$A,0)),IFERROR(INDEX(CAT4_2021_2022!$F:$F,MATCH($B229,CAT4_2021_2022!$A:$A,0)),"")))</f>
        <v>Mild spatial bias</v>
      </c>
      <c r="R229">
        <f>IF($A229="Class of 2022","",IFERROR(INDEX(CAT4_2022_2023!$G:$G,MATCH($B229,CAT4_2022_2023!$A:$A,0)),IFERROR(INDEX(CAT4_2021_2022!$G:$G,MATCH($B229,CAT4_2021_2022!$A:$A,0)),"")))</f>
        <v>89</v>
      </c>
      <c r="S229">
        <f>IF($A229="Class of 2022","",IFERROR(INDEX(CAT4_2022_2023!$H:$H,MATCH($B229,CAT4_2022_2023!$A:$A,0)),IFERROR(INDEX(CAT4_2021_2022!$H:$H,MATCH($B229,CAT4_2021_2022!$A:$A,0)),"")))</f>
        <v>104</v>
      </c>
      <c r="T229">
        <f>IF($A229="Class of 2022","",IFERROR(INDEX(CAT4_2022_2023!$I:$I,MATCH($B229,CAT4_2022_2023!$A:$A,0)),IFERROR(INDEX(CAT4_2021_2022!$I:$I,MATCH($B229,CAT4_2021_2022!$A:$A,0)),"")))</f>
        <v>111</v>
      </c>
      <c r="U229">
        <f>IF($A229="Class of 2022","",IFERROR(INDEX(CAT4_2022_2023!$J:$J,MATCH($B229,CAT4_2022_2023!$A:$A,0)),IFERROR(INDEX(CAT4_2021_2022!$J:$J,MATCH($B229,CAT4_2021_2022!$A:$A,0)),"")))</f>
        <v>106</v>
      </c>
      <c r="V229" t="s">
        <v>706</v>
      </c>
      <c r="W229" t="s">
        <v>707</v>
      </c>
    </row>
    <row r="230" spans="1:23" x14ac:dyDescent="0.3">
      <c r="A230" t="s">
        <v>419</v>
      </c>
      <c r="B230" t="s">
        <v>531</v>
      </c>
      <c r="C230" t="s">
        <v>779</v>
      </c>
      <c r="D230" t="s">
        <v>606</v>
      </c>
      <c r="E230" t="s">
        <v>714</v>
      </c>
      <c r="F230">
        <v>96</v>
      </c>
      <c r="G230">
        <v>94</v>
      </c>
      <c r="H230">
        <v>100</v>
      </c>
      <c r="J230">
        <v>155</v>
      </c>
      <c r="K230">
        <f t="shared" si="15"/>
        <v>62</v>
      </c>
      <c r="L230">
        <v>29</v>
      </c>
      <c r="M230">
        <f t="shared" si="16"/>
        <v>57.999999999999993</v>
      </c>
      <c r="N230">
        <f t="shared" si="17"/>
        <v>92</v>
      </c>
      <c r="O230">
        <f t="shared" si="18"/>
        <v>64.788732394366207</v>
      </c>
      <c r="P230">
        <f t="shared" si="19"/>
        <v>61.5962441314554</v>
      </c>
      <c r="Q230" t="str">
        <f>IF($A230="Class of 2022","",IFERROR(INDEX(CAT4_2022_2023!$F:$F,MATCH($B230,CAT4_2022_2023!$A:$A,0)),IFERROR(INDEX(CAT4_2021_2022!$F:$F,MATCH($B230,CAT4_2021_2022!$A:$A,0)),"")))</f>
        <v>No bias</v>
      </c>
      <c r="R230">
        <f>IF($A230="Class of 2022","",IFERROR(INDEX(CAT4_2022_2023!$G:$G,MATCH($B230,CAT4_2022_2023!$A:$A,0)),IFERROR(INDEX(CAT4_2021_2022!$G:$G,MATCH($B230,CAT4_2021_2022!$A:$A,0)),"")))</f>
        <v>85</v>
      </c>
      <c r="S230">
        <f>IF($A230="Class of 2022","",IFERROR(INDEX(CAT4_2022_2023!$H:$H,MATCH($B230,CAT4_2022_2023!$A:$A,0)),IFERROR(INDEX(CAT4_2021_2022!$H:$H,MATCH($B230,CAT4_2021_2022!$A:$A,0)),"")))</f>
        <v>108</v>
      </c>
      <c r="T230">
        <f>IF($A230="Class of 2022","",IFERROR(INDEX(CAT4_2022_2023!$I:$I,MATCH($B230,CAT4_2022_2023!$A:$A,0)),IFERROR(INDEX(CAT4_2021_2022!$I:$I,MATCH($B230,CAT4_2021_2022!$A:$A,0)),"")))</f>
        <v>89</v>
      </c>
      <c r="U230">
        <f>IF($A230="Class of 2022","",IFERROR(INDEX(CAT4_2022_2023!$J:$J,MATCH($B230,CAT4_2022_2023!$A:$A,0)),IFERROR(INDEX(CAT4_2021_2022!$J:$J,MATCH($B230,CAT4_2021_2022!$A:$A,0)),"")))</f>
        <v>86</v>
      </c>
      <c r="V230" t="s">
        <v>709</v>
      </c>
      <c r="W230" t="s">
        <v>707</v>
      </c>
    </row>
    <row r="231" spans="1:23" x14ac:dyDescent="0.3">
      <c r="A231" t="s">
        <v>419</v>
      </c>
      <c r="B231" t="s">
        <v>533</v>
      </c>
      <c r="C231" t="s">
        <v>780</v>
      </c>
      <c r="D231" t="s">
        <v>711</v>
      </c>
      <c r="E231" t="s">
        <v>705</v>
      </c>
      <c r="F231">
        <v>6</v>
      </c>
      <c r="G231">
        <v>6.33</v>
      </c>
      <c r="H231">
        <v>5</v>
      </c>
      <c r="J231">
        <v>146</v>
      </c>
      <c r="K231">
        <f t="shared" si="15"/>
        <v>58.4</v>
      </c>
      <c r="L231">
        <v>28</v>
      </c>
      <c r="M231">
        <f t="shared" si="16"/>
        <v>56.000000000000007</v>
      </c>
      <c r="N231">
        <f t="shared" si="17"/>
        <v>98</v>
      </c>
      <c r="O231">
        <f t="shared" si="18"/>
        <v>69.014084507042256</v>
      </c>
      <c r="P231">
        <f t="shared" si="19"/>
        <v>61.138028169014092</v>
      </c>
      <c r="Q231" t="str">
        <f>IF($A231="Class of 2022","",IFERROR(INDEX(CAT4_2022_2023!$F:$F,MATCH($B231,CAT4_2022_2023!$A:$A,0)),IFERROR(INDEX(CAT4_2021_2022!$F:$F,MATCH($B231,CAT4_2021_2022!$A:$A,0)),"")))</f>
        <v>Mild spatial bias</v>
      </c>
      <c r="R231">
        <f>IF($A231="Class of 2022","",IFERROR(INDEX(CAT4_2022_2023!$G:$G,MATCH($B231,CAT4_2022_2023!$A:$A,0)),IFERROR(INDEX(CAT4_2021_2022!$G:$G,MATCH($B231,CAT4_2021_2022!$A:$A,0)),"")))</f>
        <v>80</v>
      </c>
      <c r="S231">
        <f>IF($A231="Class of 2022","",IFERROR(INDEX(CAT4_2022_2023!$H:$H,MATCH($B231,CAT4_2022_2023!$A:$A,0)),IFERROR(INDEX(CAT4_2021_2022!$H:$H,MATCH($B231,CAT4_2021_2022!$A:$A,0)),"")))</f>
        <v>95</v>
      </c>
      <c r="T231">
        <f>IF($A231="Class of 2022","",IFERROR(INDEX(CAT4_2022_2023!$I:$I,MATCH($B231,CAT4_2022_2023!$A:$A,0)),IFERROR(INDEX(CAT4_2021_2022!$I:$I,MATCH($B231,CAT4_2021_2022!$A:$A,0)),"")))</f>
        <v>120</v>
      </c>
      <c r="U231">
        <f>IF($A231="Class of 2022","",IFERROR(INDEX(CAT4_2022_2023!$J:$J,MATCH($B231,CAT4_2022_2023!$A:$A,0)),IFERROR(INDEX(CAT4_2021_2022!$J:$J,MATCH($B231,CAT4_2021_2022!$A:$A,0)),"")))</f>
        <v>95</v>
      </c>
      <c r="V231" t="s">
        <v>712</v>
      </c>
      <c r="W231" t="s">
        <v>707</v>
      </c>
    </row>
    <row r="232" spans="1:23" x14ac:dyDescent="0.3">
      <c r="A232" t="s">
        <v>419</v>
      </c>
      <c r="B232" t="s">
        <v>535</v>
      </c>
      <c r="C232" t="s">
        <v>781</v>
      </c>
      <c r="D232" t="s">
        <v>606</v>
      </c>
      <c r="E232" t="s">
        <v>714</v>
      </c>
      <c r="F232">
        <v>96</v>
      </c>
      <c r="G232">
        <v>85</v>
      </c>
      <c r="H232">
        <v>90</v>
      </c>
      <c r="J232">
        <v>177</v>
      </c>
      <c r="K232">
        <f t="shared" si="15"/>
        <v>70.8</v>
      </c>
      <c r="L232">
        <v>18</v>
      </c>
      <c r="M232">
        <f t="shared" si="16"/>
        <v>36</v>
      </c>
      <c r="N232">
        <f t="shared" si="17"/>
        <v>102</v>
      </c>
      <c r="O232">
        <f t="shared" si="18"/>
        <v>71.83098591549296</v>
      </c>
      <c r="P232">
        <f t="shared" si="19"/>
        <v>59.543661971830979</v>
      </c>
      <c r="Q232" t="str">
        <f>IF($A232="Class of 2022","",IFERROR(INDEX(CAT4_2022_2023!$F:$F,MATCH($B232,CAT4_2022_2023!$A:$A,0)),IFERROR(INDEX(CAT4_2021_2022!$F:$F,MATCH($B232,CAT4_2021_2022!$A:$A,0)),"")))</f>
        <v>Moderate verbal bias</v>
      </c>
      <c r="R232">
        <f>IF($A232="Class of 2022","",IFERROR(INDEX(CAT4_2022_2023!$G:$G,MATCH($B232,CAT4_2022_2023!$A:$A,0)),IFERROR(INDEX(CAT4_2021_2022!$G:$G,MATCH($B232,CAT4_2021_2022!$A:$A,0)),"")))</f>
        <v>113</v>
      </c>
      <c r="S232">
        <f>IF($A232="Class of 2022","",IFERROR(INDEX(CAT4_2022_2023!$H:$H,MATCH($B232,CAT4_2022_2023!$A:$A,0)),IFERROR(INDEX(CAT4_2021_2022!$H:$H,MATCH($B232,CAT4_2021_2022!$A:$A,0)),"")))</f>
        <v>96</v>
      </c>
      <c r="T232">
        <f>IF($A232="Class of 2022","",IFERROR(INDEX(CAT4_2022_2023!$I:$I,MATCH($B232,CAT4_2022_2023!$A:$A,0)),IFERROR(INDEX(CAT4_2021_2022!$I:$I,MATCH($B232,CAT4_2021_2022!$A:$A,0)),"")))</f>
        <v>105</v>
      </c>
      <c r="U232">
        <f>IF($A232="Class of 2022","",IFERROR(INDEX(CAT4_2022_2023!$J:$J,MATCH($B232,CAT4_2022_2023!$A:$A,0)),IFERROR(INDEX(CAT4_2021_2022!$J:$J,MATCH($B232,CAT4_2021_2022!$A:$A,0)),"")))</f>
        <v>95</v>
      </c>
      <c r="V232" t="s">
        <v>706</v>
      </c>
      <c r="W232" t="s">
        <v>707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25"/>
  <sheetViews>
    <sheetView showGridLines="0" workbookViewId="0"/>
  </sheetViews>
  <sheetFormatPr defaultRowHeight="14.4" x14ac:dyDescent="0.3"/>
  <cols>
    <col min="1" max="1" width="16" customWidth="1"/>
    <col min="2" max="2" width="14" customWidth="1"/>
    <col min="3" max="3" width="28" customWidth="1"/>
    <col min="4" max="4" width="14" customWidth="1"/>
    <col min="5" max="5" width="12" customWidth="1"/>
    <col min="6" max="6" width="20" customWidth="1"/>
    <col min="7" max="8" width="7" customWidth="1"/>
    <col min="9" max="9" width="11.44140625" customWidth="1"/>
    <col min="10" max="10" width="9" customWidth="1"/>
    <col min="11" max="11" width="7" customWidth="1"/>
    <col min="12" max="12" width="20" customWidth="1"/>
  </cols>
  <sheetData>
    <row r="1" spans="1:12" x14ac:dyDescent="0.3">
      <c r="A1" s="4" t="s">
        <v>39</v>
      </c>
      <c r="B1" s="4" t="s">
        <v>40</v>
      </c>
      <c r="C1" s="4" t="s">
        <v>41</v>
      </c>
      <c r="D1" s="4" t="s">
        <v>782</v>
      </c>
      <c r="E1" s="4" t="s">
        <v>783</v>
      </c>
      <c r="F1" s="4" t="s">
        <v>784</v>
      </c>
      <c r="G1" s="4" t="s">
        <v>785</v>
      </c>
      <c r="H1" s="4" t="s">
        <v>786</v>
      </c>
      <c r="I1" s="4" t="s">
        <v>787</v>
      </c>
      <c r="J1" s="4" t="s">
        <v>788</v>
      </c>
      <c r="K1" s="4" t="s">
        <v>789</v>
      </c>
      <c r="L1" s="4" t="s">
        <v>790</v>
      </c>
    </row>
    <row r="2" spans="1:12" x14ac:dyDescent="0.3">
      <c r="A2" s="2" t="s">
        <v>60</v>
      </c>
      <c r="B2" s="2" t="s">
        <v>61</v>
      </c>
      <c r="C2" s="2" t="s">
        <v>62</v>
      </c>
      <c r="D2" s="2" t="s">
        <v>63</v>
      </c>
      <c r="E2" s="2">
        <v>1</v>
      </c>
      <c r="F2" s="2" t="s">
        <v>791</v>
      </c>
      <c r="G2" s="5">
        <v>91.32</v>
      </c>
      <c r="H2" s="5">
        <v>92.32</v>
      </c>
      <c r="I2" s="5">
        <v>77</v>
      </c>
      <c r="J2" s="5">
        <v>97</v>
      </c>
      <c r="K2" s="5">
        <v>90.2</v>
      </c>
      <c r="L2" s="5">
        <v>89.567999999999998</v>
      </c>
    </row>
    <row r="3" spans="1:12" x14ac:dyDescent="0.3">
      <c r="A3" s="2" t="s">
        <v>60</v>
      </c>
      <c r="B3" s="2" t="s">
        <v>61</v>
      </c>
      <c r="C3" s="2" t="s">
        <v>62</v>
      </c>
      <c r="D3" s="2" t="s">
        <v>188</v>
      </c>
      <c r="E3" s="2">
        <v>2</v>
      </c>
      <c r="F3" s="2" t="s">
        <v>792</v>
      </c>
      <c r="G3" s="5">
        <v>90.64</v>
      </c>
      <c r="H3" s="5">
        <v>94.64</v>
      </c>
      <c r="I3" s="5">
        <v>84</v>
      </c>
      <c r="J3" s="5">
        <v>95</v>
      </c>
      <c r="K3" s="5">
        <v>92.7</v>
      </c>
      <c r="L3" s="5">
        <v>91.395999999999987</v>
      </c>
    </row>
    <row r="4" spans="1:12" x14ac:dyDescent="0.3">
      <c r="A4" s="2" t="s">
        <v>60</v>
      </c>
      <c r="B4" s="2" t="s">
        <v>61</v>
      </c>
      <c r="C4" s="2" t="s">
        <v>62</v>
      </c>
      <c r="D4" s="2" t="s">
        <v>301</v>
      </c>
      <c r="E4" s="2">
        <v>3</v>
      </c>
      <c r="F4" s="2" t="s">
        <v>793</v>
      </c>
      <c r="G4" s="5">
        <v>91.1</v>
      </c>
      <c r="H4" s="5">
        <v>92.1</v>
      </c>
      <c r="I4" s="5">
        <v>82</v>
      </c>
      <c r="J4" s="5">
        <v>89.5</v>
      </c>
      <c r="K4" s="5">
        <v>87</v>
      </c>
      <c r="L4" s="5">
        <v>88.34</v>
      </c>
    </row>
    <row r="5" spans="1:12" x14ac:dyDescent="0.3">
      <c r="A5" s="2" t="s">
        <v>60</v>
      </c>
      <c r="B5" s="2" t="s">
        <v>61</v>
      </c>
      <c r="C5" s="2" t="s">
        <v>62</v>
      </c>
      <c r="D5" s="2" t="s">
        <v>64</v>
      </c>
      <c r="E5" s="2">
        <v>4</v>
      </c>
      <c r="F5" s="2" t="s">
        <v>794</v>
      </c>
      <c r="G5" s="5">
        <v>93.31</v>
      </c>
      <c r="H5" s="5">
        <v>96.31</v>
      </c>
      <c r="I5" s="5">
        <v>94</v>
      </c>
      <c r="J5" s="5">
        <v>99.5</v>
      </c>
      <c r="K5" s="5">
        <v>97</v>
      </c>
      <c r="L5" s="5">
        <v>96.024000000000001</v>
      </c>
    </row>
    <row r="6" spans="1:12" x14ac:dyDescent="0.3">
      <c r="A6" s="2" t="s">
        <v>60</v>
      </c>
      <c r="B6" s="2" t="s">
        <v>67</v>
      </c>
      <c r="C6" s="2" t="s">
        <v>68</v>
      </c>
      <c r="D6" s="2" t="s">
        <v>63</v>
      </c>
      <c r="E6" s="2">
        <v>1</v>
      </c>
      <c r="F6" s="2" t="s">
        <v>791</v>
      </c>
      <c r="G6" s="5">
        <v>88.57</v>
      </c>
      <c r="H6" s="5">
        <v>94.57</v>
      </c>
      <c r="I6" s="5">
        <v>94</v>
      </c>
      <c r="J6" s="5">
        <v>91.5</v>
      </c>
      <c r="K6" s="5">
        <v>95.1</v>
      </c>
      <c r="L6" s="5">
        <v>92.748000000000005</v>
      </c>
    </row>
    <row r="7" spans="1:12" x14ac:dyDescent="0.3">
      <c r="A7" s="2" t="s">
        <v>60</v>
      </c>
      <c r="B7" s="2" t="s">
        <v>67</v>
      </c>
      <c r="C7" s="2" t="s">
        <v>68</v>
      </c>
      <c r="D7" s="2" t="s">
        <v>188</v>
      </c>
      <c r="E7" s="2">
        <v>2</v>
      </c>
      <c r="F7" s="2" t="s">
        <v>792</v>
      </c>
      <c r="G7" s="5">
        <v>94.08</v>
      </c>
      <c r="H7" s="5">
        <v>98.08</v>
      </c>
      <c r="I7" s="5">
        <v>97.5</v>
      </c>
      <c r="J7" s="5">
        <v>97.5</v>
      </c>
      <c r="K7" s="5">
        <v>96.8</v>
      </c>
      <c r="L7" s="5">
        <v>96.792000000000002</v>
      </c>
    </row>
    <row r="8" spans="1:12" x14ac:dyDescent="0.3">
      <c r="A8" s="2" t="s">
        <v>60</v>
      </c>
      <c r="B8" s="2" t="s">
        <v>67</v>
      </c>
      <c r="C8" s="2" t="s">
        <v>68</v>
      </c>
      <c r="D8" s="2" t="s">
        <v>301</v>
      </c>
      <c r="E8" s="2">
        <v>3</v>
      </c>
      <c r="F8" s="2" t="s">
        <v>793</v>
      </c>
      <c r="G8" s="5">
        <v>96.5</v>
      </c>
      <c r="H8" s="5">
        <v>98.5</v>
      </c>
      <c r="I8" s="5">
        <v>98.5</v>
      </c>
      <c r="J8" s="5">
        <v>99.5</v>
      </c>
      <c r="K8" s="5">
        <v>96</v>
      </c>
      <c r="L8" s="5">
        <v>97.8</v>
      </c>
    </row>
    <row r="9" spans="1:12" x14ac:dyDescent="0.3">
      <c r="A9" s="2" t="s">
        <v>60</v>
      </c>
      <c r="B9" s="2" t="s">
        <v>67</v>
      </c>
      <c r="C9" s="2" t="s">
        <v>68</v>
      </c>
      <c r="D9" s="2" t="s">
        <v>64</v>
      </c>
      <c r="E9" s="2">
        <v>4</v>
      </c>
      <c r="F9" s="2" t="s">
        <v>794</v>
      </c>
      <c r="G9" s="5">
        <v>95.19</v>
      </c>
      <c r="H9" s="5">
        <v>98.19</v>
      </c>
      <c r="I9" s="5">
        <v>97</v>
      </c>
      <c r="J9" s="5">
        <v>100</v>
      </c>
      <c r="K9" s="5">
        <v>98</v>
      </c>
      <c r="L9" s="5">
        <v>97.676000000000002</v>
      </c>
    </row>
    <row r="10" spans="1:12" x14ac:dyDescent="0.3">
      <c r="A10" s="2" t="s">
        <v>60</v>
      </c>
      <c r="B10" s="2" t="s">
        <v>69</v>
      </c>
      <c r="C10" s="2" t="s">
        <v>70</v>
      </c>
      <c r="D10" s="2" t="s">
        <v>63</v>
      </c>
      <c r="E10" s="2">
        <v>1</v>
      </c>
      <c r="F10" s="2" t="s">
        <v>791</v>
      </c>
      <c r="G10" s="5">
        <v>88.79</v>
      </c>
      <c r="H10" s="5">
        <v>93.79</v>
      </c>
      <c r="I10" s="5">
        <v>82.5</v>
      </c>
      <c r="J10" s="5">
        <v>98.5</v>
      </c>
      <c r="K10" s="5">
        <v>92.5</v>
      </c>
      <c r="L10" s="5">
        <v>91.216000000000008</v>
      </c>
    </row>
    <row r="11" spans="1:12" x14ac:dyDescent="0.3">
      <c r="A11" s="2" t="s">
        <v>60</v>
      </c>
      <c r="B11" s="2" t="s">
        <v>69</v>
      </c>
      <c r="C11" s="2" t="s">
        <v>70</v>
      </c>
      <c r="D11" s="2" t="s">
        <v>188</v>
      </c>
      <c r="E11" s="2">
        <v>2</v>
      </c>
      <c r="F11" s="2" t="s">
        <v>792</v>
      </c>
      <c r="G11" s="5">
        <v>91.88</v>
      </c>
      <c r="H11" s="5">
        <v>95.88</v>
      </c>
      <c r="I11" s="5">
        <v>81</v>
      </c>
      <c r="J11" s="5">
        <v>100</v>
      </c>
      <c r="K11" s="5">
        <v>95.6</v>
      </c>
      <c r="L11" s="5">
        <v>92.872</v>
      </c>
    </row>
    <row r="12" spans="1:12" x14ac:dyDescent="0.3">
      <c r="A12" s="2" t="s">
        <v>60</v>
      </c>
      <c r="B12" s="2" t="s">
        <v>69</v>
      </c>
      <c r="C12" s="2" t="s">
        <v>70</v>
      </c>
      <c r="D12" s="2" t="s">
        <v>301</v>
      </c>
      <c r="E12" s="2">
        <v>3</v>
      </c>
      <c r="F12" s="2" t="s">
        <v>793</v>
      </c>
      <c r="G12" s="5">
        <v>91</v>
      </c>
      <c r="H12" s="5">
        <v>97</v>
      </c>
      <c r="I12" s="5">
        <v>86</v>
      </c>
      <c r="J12" s="5">
        <v>99.5</v>
      </c>
      <c r="K12" s="5">
        <v>97.5</v>
      </c>
      <c r="L12" s="5">
        <v>94.2</v>
      </c>
    </row>
    <row r="13" spans="1:12" x14ac:dyDescent="0.3">
      <c r="A13" s="2" t="s">
        <v>60</v>
      </c>
      <c r="B13" s="2" t="s">
        <v>69</v>
      </c>
      <c r="C13" s="2" t="s">
        <v>70</v>
      </c>
      <c r="D13" s="2" t="s">
        <v>64</v>
      </c>
      <c r="E13" s="2">
        <v>4</v>
      </c>
      <c r="F13" s="2" t="s">
        <v>794</v>
      </c>
      <c r="G13" s="5">
        <v>99.6</v>
      </c>
      <c r="H13" s="5">
        <v>99.6</v>
      </c>
      <c r="I13" s="5">
        <v>98</v>
      </c>
      <c r="J13" s="5">
        <v>100</v>
      </c>
      <c r="K13" s="5">
        <v>100</v>
      </c>
      <c r="L13" s="5">
        <v>99.44</v>
      </c>
    </row>
    <row r="14" spans="1:12" x14ac:dyDescent="0.3">
      <c r="A14" s="2" t="s">
        <v>60</v>
      </c>
      <c r="B14" s="2" t="s">
        <v>71</v>
      </c>
      <c r="C14" s="2" t="s">
        <v>72</v>
      </c>
      <c r="D14" s="2" t="s">
        <v>63</v>
      </c>
      <c r="E14" s="2">
        <v>1</v>
      </c>
      <c r="F14" s="2" t="s">
        <v>791</v>
      </c>
      <c r="G14" s="5">
        <v>88.93</v>
      </c>
      <c r="H14" s="5">
        <v>91.93</v>
      </c>
      <c r="I14" s="5">
        <v>77</v>
      </c>
      <c r="J14" s="5">
        <v>95.5</v>
      </c>
      <c r="K14" s="5">
        <v>92.2</v>
      </c>
      <c r="L14" s="5">
        <v>89.111999999999995</v>
      </c>
    </row>
    <row r="15" spans="1:12" x14ac:dyDescent="0.3">
      <c r="A15" s="2" t="s">
        <v>60</v>
      </c>
      <c r="B15" s="2" t="s">
        <v>71</v>
      </c>
      <c r="C15" s="2" t="s">
        <v>72</v>
      </c>
      <c r="D15" s="2" t="s">
        <v>188</v>
      </c>
      <c r="E15" s="2">
        <v>2</v>
      </c>
      <c r="F15" s="2" t="s">
        <v>792</v>
      </c>
      <c r="G15" s="5">
        <v>93.04</v>
      </c>
      <c r="H15" s="5">
        <v>95.04</v>
      </c>
      <c r="I15" s="5">
        <v>86.5</v>
      </c>
      <c r="J15" s="5">
        <v>97.5</v>
      </c>
      <c r="K15" s="5">
        <v>94.4</v>
      </c>
      <c r="L15" s="5">
        <v>93.296000000000006</v>
      </c>
    </row>
    <row r="16" spans="1:12" x14ac:dyDescent="0.3">
      <c r="A16" s="2" t="s">
        <v>60</v>
      </c>
      <c r="B16" s="2" t="s">
        <v>71</v>
      </c>
      <c r="C16" s="2" t="s">
        <v>72</v>
      </c>
      <c r="D16" s="2" t="s">
        <v>301</v>
      </c>
      <c r="E16" s="2">
        <v>3</v>
      </c>
      <c r="F16" s="2" t="s">
        <v>793</v>
      </c>
      <c r="G16" s="5">
        <v>88.5</v>
      </c>
      <c r="H16" s="5">
        <v>93.5</v>
      </c>
      <c r="I16" s="5">
        <v>85</v>
      </c>
      <c r="J16" s="5">
        <v>95.5</v>
      </c>
      <c r="K16" s="5">
        <v>90.5</v>
      </c>
      <c r="L16" s="5">
        <v>90.6</v>
      </c>
    </row>
    <row r="17" spans="1:12" x14ac:dyDescent="0.3">
      <c r="A17" s="2" t="s">
        <v>60</v>
      </c>
      <c r="B17" s="2" t="s">
        <v>71</v>
      </c>
      <c r="C17" s="2" t="s">
        <v>72</v>
      </c>
      <c r="D17" s="2" t="s">
        <v>64</v>
      </c>
      <c r="E17" s="2">
        <v>4</v>
      </c>
      <c r="F17" s="2" t="s">
        <v>794</v>
      </c>
      <c r="G17" s="5">
        <v>91.38</v>
      </c>
      <c r="H17" s="5">
        <v>94.38</v>
      </c>
      <c r="I17" s="5">
        <v>92</v>
      </c>
      <c r="J17" s="5">
        <v>100</v>
      </c>
      <c r="K17" s="5">
        <v>96.5</v>
      </c>
      <c r="L17" s="5">
        <v>94.852000000000004</v>
      </c>
    </row>
    <row r="18" spans="1:12" x14ac:dyDescent="0.3">
      <c r="A18" s="2" t="s">
        <v>60</v>
      </c>
      <c r="B18" s="2" t="s">
        <v>73</v>
      </c>
      <c r="C18" s="2" t="s">
        <v>74</v>
      </c>
      <c r="D18" s="2" t="s">
        <v>63</v>
      </c>
      <c r="E18" s="2">
        <v>1</v>
      </c>
      <c r="F18" s="2" t="s">
        <v>791</v>
      </c>
      <c r="G18" s="5">
        <v>87.57</v>
      </c>
      <c r="H18" s="5">
        <v>92.57</v>
      </c>
      <c r="I18" s="5">
        <v>80.5</v>
      </c>
      <c r="J18" s="5">
        <v>95.5</v>
      </c>
      <c r="K18" s="5">
        <v>91.8</v>
      </c>
      <c r="L18" s="5">
        <v>89.587999999999994</v>
      </c>
    </row>
    <row r="19" spans="1:12" x14ac:dyDescent="0.3">
      <c r="A19" s="2" t="s">
        <v>60</v>
      </c>
      <c r="B19" s="2" t="s">
        <v>73</v>
      </c>
      <c r="C19" s="2" t="s">
        <v>74</v>
      </c>
      <c r="D19" s="2" t="s">
        <v>188</v>
      </c>
      <c r="E19" s="2">
        <v>2</v>
      </c>
      <c r="F19" s="2" t="s">
        <v>792</v>
      </c>
      <c r="G19" s="5">
        <v>92.56</v>
      </c>
      <c r="H19" s="5">
        <v>95.56</v>
      </c>
      <c r="I19" s="5">
        <v>88.5</v>
      </c>
      <c r="J19" s="5">
        <v>99</v>
      </c>
      <c r="K19" s="5">
        <v>92.9</v>
      </c>
      <c r="L19" s="5">
        <v>93.703999999999994</v>
      </c>
    </row>
    <row r="20" spans="1:12" x14ac:dyDescent="0.3">
      <c r="A20" s="2" t="s">
        <v>60</v>
      </c>
      <c r="B20" s="2" t="s">
        <v>73</v>
      </c>
      <c r="C20" s="2" t="s">
        <v>74</v>
      </c>
      <c r="D20" s="2" t="s">
        <v>301</v>
      </c>
      <c r="E20" s="2">
        <v>3</v>
      </c>
      <c r="F20" s="2" t="s">
        <v>793</v>
      </c>
      <c r="G20" s="5">
        <v>92.2</v>
      </c>
      <c r="H20" s="5">
        <v>94.2</v>
      </c>
      <c r="I20" s="5">
        <v>84</v>
      </c>
      <c r="J20" s="5">
        <v>99.5</v>
      </c>
      <c r="K20" s="5">
        <v>91</v>
      </c>
      <c r="L20" s="5">
        <v>92.179999999999993</v>
      </c>
    </row>
    <row r="21" spans="1:12" x14ac:dyDescent="0.3">
      <c r="A21" s="2" t="s">
        <v>60</v>
      </c>
      <c r="B21" s="2" t="s">
        <v>73</v>
      </c>
      <c r="C21" s="2" t="s">
        <v>74</v>
      </c>
      <c r="D21" s="2" t="s">
        <v>64</v>
      </c>
      <c r="E21" s="2">
        <v>4</v>
      </c>
      <c r="F21" s="2" t="s">
        <v>794</v>
      </c>
      <c r="G21" s="5">
        <v>90.94</v>
      </c>
      <c r="H21" s="5">
        <v>96.94</v>
      </c>
      <c r="I21" s="5">
        <v>95.5</v>
      </c>
      <c r="J21" s="5">
        <v>100</v>
      </c>
      <c r="K21" s="5">
        <v>98.5</v>
      </c>
      <c r="L21" s="5">
        <v>96.376000000000005</v>
      </c>
    </row>
    <row r="22" spans="1:12" x14ac:dyDescent="0.3">
      <c r="A22" s="2" t="s">
        <v>60</v>
      </c>
      <c r="B22" s="2" t="s">
        <v>75</v>
      </c>
      <c r="C22" s="2" t="s">
        <v>76</v>
      </c>
      <c r="D22" s="2" t="s">
        <v>63</v>
      </c>
      <c r="E22" s="2">
        <v>1</v>
      </c>
      <c r="F22" s="2" t="s">
        <v>791</v>
      </c>
      <c r="G22" s="5">
        <v>89.68</v>
      </c>
      <c r="H22" s="5">
        <v>93.68</v>
      </c>
      <c r="I22" s="5">
        <v>87.5</v>
      </c>
      <c r="J22" s="5">
        <v>96.5</v>
      </c>
      <c r="K22" s="5">
        <v>94.8</v>
      </c>
      <c r="L22" s="5">
        <v>92.432000000000002</v>
      </c>
    </row>
    <row r="23" spans="1:12" x14ac:dyDescent="0.3">
      <c r="A23" s="2" t="s">
        <v>60</v>
      </c>
      <c r="B23" s="2" t="s">
        <v>75</v>
      </c>
      <c r="C23" s="2" t="s">
        <v>76</v>
      </c>
      <c r="D23" s="2" t="s">
        <v>188</v>
      </c>
      <c r="E23" s="2">
        <v>2</v>
      </c>
      <c r="F23" s="2" t="s">
        <v>792</v>
      </c>
      <c r="G23" s="5">
        <v>93</v>
      </c>
      <c r="H23" s="5">
        <v>94</v>
      </c>
      <c r="I23" s="5">
        <v>93.5</v>
      </c>
      <c r="J23" s="5">
        <v>95.5</v>
      </c>
      <c r="K23" s="5">
        <v>90.4</v>
      </c>
      <c r="L23" s="5">
        <v>93.28</v>
      </c>
    </row>
    <row r="24" spans="1:12" x14ac:dyDescent="0.3">
      <c r="A24" s="2" t="s">
        <v>60</v>
      </c>
      <c r="B24" s="2" t="s">
        <v>75</v>
      </c>
      <c r="C24" s="2" t="s">
        <v>76</v>
      </c>
      <c r="D24" s="2" t="s">
        <v>301</v>
      </c>
      <c r="E24" s="2">
        <v>3</v>
      </c>
      <c r="F24" s="2" t="s">
        <v>793</v>
      </c>
      <c r="G24" s="5">
        <v>94.6</v>
      </c>
      <c r="H24" s="5">
        <v>94.6</v>
      </c>
      <c r="I24" s="5">
        <v>93.5</v>
      </c>
      <c r="J24" s="5">
        <v>93</v>
      </c>
      <c r="K24" s="5">
        <v>88.5</v>
      </c>
      <c r="L24" s="5">
        <v>92.84</v>
      </c>
    </row>
    <row r="25" spans="1:12" x14ac:dyDescent="0.3">
      <c r="A25" s="2" t="s">
        <v>60</v>
      </c>
      <c r="B25" s="2" t="s">
        <v>75</v>
      </c>
      <c r="C25" s="2" t="s">
        <v>76</v>
      </c>
      <c r="D25" s="2" t="s">
        <v>64</v>
      </c>
      <c r="E25" s="2">
        <v>4</v>
      </c>
      <c r="F25" s="2" t="s">
        <v>794</v>
      </c>
      <c r="G25" s="5">
        <v>90.88</v>
      </c>
      <c r="H25" s="5">
        <v>94.88</v>
      </c>
      <c r="I25" s="5">
        <v>96.5</v>
      </c>
      <c r="J25" s="5">
        <v>99.5</v>
      </c>
      <c r="K25" s="5">
        <v>94.5</v>
      </c>
      <c r="L25" s="5">
        <v>95.251999999999995</v>
      </c>
    </row>
    <row r="26" spans="1:12" x14ac:dyDescent="0.3">
      <c r="A26" s="2" t="s">
        <v>60</v>
      </c>
      <c r="B26" s="2" t="s">
        <v>77</v>
      </c>
      <c r="C26" s="2" t="s">
        <v>78</v>
      </c>
      <c r="D26" s="2" t="s">
        <v>63</v>
      </c>
      <c r="E26" s="2">
        <v>1</v>
      </c>
      <c r="F26" s="2" t="s">
        <v>791</v>
      </c>
      <c r="G26" s="5">
        <v>89.68</v>
      </c>
      <c r="H26" s="5">
        <v>93.68</v>
      </c>
      <c r="I26" s="5">
        <v>84.5</v>
      </c>
      <c r="J26" s="5">
        <v>99</v>
      </c>
      <c r="K26" s="5">
        <v>90.8</v>
      </c>
      <c r="L26" s="5">
        <v>91.532000000000011</v>
      </c>
    </row>
    <row r="27" spans="1:12" x14ac:dyDescent="0.3">
      <c r="A27" s="2" t="s">
        <v>60</v>
      </c>
      <c r="B27" s="2" t="s">
        <v>77</v>
      </c>
      <c r="C27" s="2" t="s">
        <v>78</v>
      </c>
      <c r="D27" s="2" t="s">
        <v>188</v>
      </c>
      <c r="E27" s="2">
        <v>2</v>
      </c>
      <c r="F27" s="2" t="s">
        <v>792</v>
      </c>
      <c r="G27" s="5">
        <v>95.92</v>
      </c>
      <c r="H27" s="5">
        <v>96.92</v>
      </c>
      <c r="I27" s="5">
        <v>88</v>
      </c>
      <c r="J27" s="5">
        <v>97.5</v>
      </c>
      <c r="K27" s="5">
        <v>96.1</v>
      </c>
      <c r="L27" s="5">
        <v>94.888000000000005</v>
      </c>
    </row>
    <row r="28" spans="1:12" x14ac:dyDescent="0.3">
      <c r="A28" s="2" t="s">
        <v>60</v>
      </c>
      <c r="B28" s="2" t="s">
        <v>77</v>
      </c>
      <c r="C28" s="2" t="s">
        <v>78</v>
      </c>
      <c r="D28" s="2" t="s">
        <v>301</v>
      </c>
      <c r="E28" s="2">
        <v>3</v>
      </c>
      <c r="F28" s="2" t="s">
        <v>793</v>
      </c>
      <c r="G28" s="5">
        <v>90.6</v>
      </c>
      <c r="H28" s="5">
        <v>95.6</v>
      </c>
      <c r="I28" s="5">
        <v>90.5</v>
      </c>
      <c r="J28" s="5">
        <v>91.5</v>
      </c>
      <c r="K28" s="5">
        <v>94</v>
      </c>
      <c r="L28" s="5">
        <v>92.44</v>
      </c>
    </row>
    <row r="29" spans="1:12" x14ac:dyDescent="0.3">
      <c r="A29" s="2" t="s">
        <v>60</v>
      </c>
      <c r="B29" s="2" t="s">
        <v>77</v>
      </c>
      <c r="C29" s="2" t="s">
        <v>78</v>
      </c>
      <c r="D29" s="2" t="s">
        <v>64</v>
      </c>
      <c r="E29" s="2">
        <v>4</v>
      </c>
      <c r="F29" s="2" t="s">
        <v>794</v>
      </c>
      <c r="G29" s="5">
        <v>92.88</v>
      </c>
      <c r="H29" s="5">
        <v>97.88</v>
      </c>
      <c r="I29" s="5">
        <v>94.5</v>
      </c>
      <c r="J29" s="5">
        <v>99</v>
      </c>
      <c r="K29" s="5">
        <v>98</v>
      </c>
      <c r="L29" s="5">
        <v>96.451999999999998</v>
      </c>
    </row>
    <row r="30" spans="1:12" x14ac:dyDescent="0.3">
      <c r="A30" s="2" t="s">
        <v>60</v>
      </c>
      <c r="B30" s="2" t="s">
        <v>79</v>
      </c>
      <c r="C30" s="2" t="s">
        <v>80</v>
      </c>
      <c r="D30" s="2" t="s">
        <v>63</v>
      </c>
      <c r="E30" s="2">
        <v>1</v>
      </c>
      <c r="F30" s="2" t="s">
        <v>791</v>
      </c>
      <c r="G30" s="5">
        <v>86.32</v>
      </c>
      <c r="H30" s="5">
        <v>88.32</v>
      </c>
      <c r="I30" s="5">
        <v>79</v>
      </c>
      <c r="J30" s="5">
        <v>94</v>
      </c>
      <c r="K30" s="5">
        <v>84.8</v>
      </c>
      <c r="L30" s="5">
        <v>86.488</v>
      </c>
    </row>
    <row r="31" spans="1:12" x14ac:dyDescent="0.3">
      <c r="A31" s="2" t="s">
        <v>60</v>
      </c>
      <c r="B31" s="2" t="s">
        <v>79</v>
      </c>
      <c r="C31" s="2" t="s">
        <v>80</v>
      </c>
      <c r="D31" s="2" t="s">
        <v>188</v>
      </c>
      <c r="E31" s="2">
        <v>2</v>
      </c>
      <c r="F31" s="2" t="s">
        <v>792</v>
      </c>
      <c r="G31" s="5">
        <v>81.96</v>
      </c>
      <c r="H31" s="5">
        <v>86.96</v>
      </c>
      <c r="I31" s="5">
        <v>74.5</v>
      </c>
      <c r="J31" s="5">
        <v>88</v>
      </c>
      <c r="K31" s="5">
        <v>83</v>
      </c>
      <c r="L31" s="5">
        <v>82.883999999999986</v>
      </c>
    </row>
    <row r="32" spans="1:12" x14ac:dyDescent="0.3">
      <c r="A32" s="2" t="s">
        <v>60</v>
      </c>
      <c r="B32" s="2" t="s">
        <v>79</v>
      </c>
      <c r="C32" s="2" t="s">
        <v>80</v>
      </c>
      <c r="D32" s="2" t="s">
        <v>301</v>
      </c>
      <c r="E32" s="2">
        <v>3</v>
      </c>
      <c r="F32" s="2" t="s">
        <v>793</v>
      </c>
      <c r="G32" s="5">
        <v>87.2</v>
      </c>
      <c r="H32" s="5">
        <v>91.2</v>
      </c>
      <c r="I32" s="5">
        <v>77</v>
      </c>
      <c r="J32" s="5">
        <v>89</v>
      </c>
      <c r="K32" s="5">
        <v>86</v>
      </c>
      <c r="L32" s="5">
        <v>86.08</v>
      </c>
    </row>
    <row r="33" spans="1:12" x14ac:dyDescent="0.3">
      <c r="A33" s="2" t="s">
        <v>60</v>
      </c>
      <c r="B33" s="2" t="s">
        <v>79</v>
      </c>
      <c r="C33" s="2" t="s">
        <v>80</v>
      </c>
      <c r="D33" s="2" t="s">
        <v>64</v>
      </c>
      <c r="E33" s="2">
        <v>4</v>
      </c>
      <c r="F33" s="2" t="s">
        <v>794</v>
      </c>
      <c r="G33" s="5">
        <v>92.25</v>
      </c>
      <c r="H33" s="5">
        <v>95.25</v>
      </c>
      <c r="I33" s="5">
        <v>93.5</v>
      </c>
      <c r="J33" s="5">
        <v>97.5</v>
      </c>
      <c r="K33" s="5">
        <v>95.5</v>
      </c>
      <c r="L33" s="5">
        <v>94.8</v>
      </c>
    </row>
    <row r="34" spans="1:12" x14ac:dyDescent="0.3">
      <c r="A34" s="2" t="s">
        <v>60</v>
      </c>
      <c r="B34" s="2" t="s">
        <v>81</v>
      </c>
      <c r="C34" s="2" t="s">
        <v>82</v>
      </c>
      <c r="D34" s="2" t="s">
        <v>63</v>
      </c>
      <c r="E34" s="2">
        <v>1</v>
      </c>
      <c r="F34" s="2" t="s">
        <v>791</v>
      </c>
      <c r="G34" s="5">
        <v>96.21</v>
      </c>
      <c r="H34" s="5">
        <v>96.21</v>
      </c>
      <c r="I34" s="5">
        <v>90.5</v>
      </c>
      <c r="J34" s="5">
        <v>99</v>
      </c>
      <c r="K34" s="5">
        <v>97.5</v>
      </c>
      <c r="L34" s="5">
        <v>95.883999999999986</v>
      </c>
    </row>
    <row r="35" spans="1:12" x14ac:dyDescent="0.3">
      <c r="A35" s="2" t="s">
        <v>60</v>
      </c>
      <c r="B35" s="2" t="s">
        <v>81</v>
      </c>
      <c r="C35" s="2" t="s">
        <v>82</v>
      </c>
      <c r="D35" s="2" t="s">
        <v>188</v>
      </c>
      <c r="E35" s="2">
        <v>2</v>
      </c>
      <c r="F35" s="2" t="s">
        <v>792</v>
      </c>
      <c r="G35" s="5">
        <v>93.4</v>
      </c>
      <c r="H35" s="5">
        <v>97.4</v>
      </c>
      <c r="I35" s="5">
        <v>91.5</v>
      </c>
      <c r="J35" s="5">
        <v>97.5</v>
      </c>
      <c r="K35" s="5">
        <v>96.2</v>
      </c>
      <c r="L35" s="5">
        <v>95.2</v>
      </c>
    </row>
    <row r="36" spans="1:12" x14ac:dyDescent="0.3">
      <c r="A36" s="2" t="s">
        <v>60</v>
      </c>
      <c r="B36" s="2" t="s">
        <v>81</v>
      </c>
      <c r="C36" s="2" t="s">
        <v>82</v>
      </c>
      <c r="D36" s="2" t="s">
        <v>301</v>
      </c>
      <c r="E36" s="2">
        <v>3</v>
      </c>
      <c r="F36" s="2" t="s">
        <v>793</v>
      </c>
      <c r="G36" s="5">
        <v>95.4</v>
      </c>
      <c r="H36" s="5">
        <v>96.4</v>
      </c>
      <c r="I36" s="5">
        <v>89.5</v>
      </c>
      <c r="J36" s="5">
        <v>95.5</v>
      </c>
      <c r="K36" s="5">
        <v>93</v>
      </c>
      <c r="L36" s="5">
        <v>93.960000000000008</v>
      </c>
    </row>
    <row r="37" spans="1:12" x14ac:dyDescent="0.3">
      <c r="A37" s="2" t="s">
        <v>60</v>
      </c>
      <c r="B37" s="2" t="s">
        <v>81</v>
      </c>
      <c r="C37" s="2" t="s">
        <v>82</v>
      </c>
      <c r="D37" s="2" t="s">
        <v>64</v>
      </c>
      <c r="E37" s="2">
        <v>4</v>
      </c>
      <c r="F37" s="2" t="s">
        <v>794</v>
      </c>
      <c r="G37" s="5">
        <v>91.69</v>
      </c>
      <c r="H37" s="5">
        <v>96.69</v>
      </c>
      <c r="I37" s="5">
        <v>96.5</v>
      </c>
      <c r="J37" s="5">
        <v>98.5</v>
      </c>
      <c r="K37" s="5">
        <v>98</v>
      </c>
      <c r="L37" s="5">
        <v>96.275999999999996</v>
      </c>
    </row>
    <row r="38" spans="1:12" x14ac:dyDescent="0.3">
      <c r="A38" s="2" t="s">
        <v>60</v>
      </c>
      <c r="B38" s="2" t="s">
        <v>83</v>
      </c>
      <c r="C38" s="2" t="s">
        <v>84</v>
      </c>
      <c r="D38" s="2" t="s">
        <v>63</v>
      </c>
      <c r="E38" s="2">
        <v>1</v>
      </c>
      <c r="F38" s="2" t="s">
        <v>791</v>
      </c>
      <c r="G38" s="5">
        <v>87.21</v>
      </c>
      <c r="H38" s="5">
        <v>90.21</v>
      </c>
      <c r="I38" s="5">
        <v>85</v>
      </c>
      <c r="J38" s="5">
        <v>90</v>
      </c>
      <c r="K38" s="5">
        <v>87.4</v>
      </c>
      <c r="L38" s="5">
        <v>87.963999999999984</v>
      </c>
    </row>
    <row r="39" spans="1:12" x14ac:dyDescent="0.3">
      <c r="A39" s="2" t="s">
        <v>60</v>
      </c>
      <c r="B39" s="2" t="s">
        <v>83</v>
      </c>
      <c r="C39" s="2" t="s">
        <v>84</v>
      </c>
      <c r="D39" s="2" t="s">
        <v>188</v>
      </c>
      <c r="E39" s="2">
        <v>2</v>
      </c>
      <c r="F39" s="2" t="s">
        <v>792</v>
      </c>
      <c r="G39" s="5">
        <v>85.48</v>
      </c>
      <c r="H39" s="5">
        <v>90.48</v>
      </c>
      <c r="I39" s="5">
        <v>84</v>
      </c>
      <c r="J39" s="5">
        <v>93</v>
      </c>
      <c r="K39" s="5">
        <v>85.7</v>
      </c>
      <c r="L39" s="5">
        <v>87.731999999999999</v>
      </c>
    </row>
    <row r="40" spans="1:12" x14ac:dyDescent="0.3">
      <c r="A40" s="2" t="s">
        <v>60</v>
      </c>
      <c r="B40" s="2" t="s">
        <v>83</v>
      </c>
      <c r="C40" s="2" t="s">
        <v>84</v>
      </c>
      <c r="D40" s="2" t="s">
        <v>301</v>
      </c>
      <c r="E40" s="2">
        <v>3</v>
      </c>
      <c r="F40" s="2" t="s">
        <v>793</v>
      </c>
      <c r="G40" s="5">
        <v>84.7</v>
      </c>
      <c r="H40" s="5">
        <v>90.7</v>
      </c>
      <c r="I40" s="5">
        <v>82.5</v>
      </c>
      <c r="J40" s="5">
        <v>87</v>
      </c>
      <c r="K40" s="5">
        <v>81</v>
      </c>
      <c r="L40" s="5">
        <v>85.179999999999993</v>
      </c>
    </row>
    <row r="41" spans="1:12" x14ac:dyDescent="0.3">
      <c r="A41" s="2" t="s">
        <v>60</v>
      </c>
      <c r="B41" s="2" t="s">
        <v>83</v>
      </c>
      <c r="C41" s="2" t="s">
        <v>84</v>
      </c>
      <c r="D41" s="2" t="s">
        <v>64</v>
      </c>
      <c r="E41" s="2">
        <v>4</v>
      </c>
      <c r="F41" s="2" t="s">
        <v>794</v>
      </c>
      <c r="G41" s="5">
        <v>87.75</v>
      </c>
      <c r="H41" s="5">
        <v>92.75</v>
      </c>
      <c r="I41" s="5">
        <v>92.5</v>
      </c>
      <c r="J41" s="5">
        <v>97</v>
      </c>
      <c r="K41" s="5">
        <v>94</v>
      </c>
      <c r="L41" s="5">
        <v>92.8</v>
      </c>
    </row>
    <row r="42" spans="1:12" x14ac:dyDescent="0.3">
      <c r="A42" s="2" t="s">
        <v>60</v>
      </c>
      <c r="B42" s="2" t="s">
        <v>85</v>
      </c>
      <c r="C42" s="2" t="s">
        <v>86</v>
      </c>
      <c r="D42" s="2" t="s">
        <v>63</v>
      </c>
      <c r="E42" s="2">
        <v>1</v>
      </c>
      <c r="F42" s="2" t="s">
        <v>791</v>
      </c>
      <c r="G42" s="5">
        <v>82.32</v>
      </c>
      <c r="H42" s="5">
        <v>88.32</v>
      </c>
      <c r="I42" s="5">
        <v>87.5</v>
      </c>
      <c r="J42" s="5">
        <v>84</v>
      </c>
      <c r="K42" s="5">
        <v>90.2</v>
      </c>
      <c r="L42" s="5">
        <v>86.467999999999989</v>
      </c>
    </row>
    <row r="43" spans="1:12" x14ac:dyDescent="0.3">
      <c r="A43" s="2" t="s">
        <v>60</v>
      </c>
      <c r="B43" s="2" t="s">
        <v>85</v>
      </c>
      <c r="C43" s="2" t="s">
        <v>86</v>
      </c>
      <c r="D43" s="2" t="s">
        <v>188</v>
      </c>
      <c r="E43" s="2">
        <v>2</v>
      </c>
      <c r="F43" s="2" t="s">
        <v>792</v>
      </c>
      <c r="G43" s="5">
        <v>84.28</v>
      </c>
      <c r="H43" s="5">
        <v>89.28</v>
      </c>
      <c r="I43" s="5">
        <v>86.5</v>
      </c>
      <c r="J43" s="5">
        <v>90.5</v>
      </c>
      <c r="K43" s="5">
        <v>83.2</v>
      </c>
      <c r="L43" s="5">
        <v>86.751999999999995</v>
      </c>
    </row>
    <row r="44" spans="1:12" x14ac:dyDescent="0.3">
      <c r="A44" s="2" t="s">
        <v>60</v>
      </c>
      <c r="B44" s="2" t="s">
        <v>85</v>
      </c>
      <c r="C44" s="2" t="s">
        <v>86</v>
      </c>
      <c r="D44" s="2" t="s">
        <v>301</v>
      </c>
      <c r="E44" s="2">
        <v>3</v>
      </c>
      <c r="F44" s="2" t="s">
        <v>793</v>
      </c>
      <c r="G44" s="5">
        <v>88.8</v>
      </c>
      <c r="H44" s="5">
        <v>90.8</v>
      </c>
      <c r="I44" s="5">
        <v>93</v>
      </c>
      <c r="J44" s="5">
        <v>88</v>
      </c>
      <c r="K44" s="5">
        <v>86.5</v>
      </c>
      <c r="L44" s="5">
        <v>89.42</v>
      </c>
    </row>
    <row r="45" spans="1:12" x14ac:dyDescent="0.3">
      <c r="A45" s="2" t="s">
        <v>60</v>
      </c>
      <c r="B45" s="2" t="s">
        <v>85</v>
      </c>
      <c r="C45" s="2" t="s">
        <v>86</v>
      </c>
      <c r="D45" s="2" t="s">
        <v>64</v>
      </c>
      <c r="E45" s="2">
        <v>4</v>
      </c>
      <c r="F45" s="2" t="s">
        <v>794</v>
      </c>
      <c r="G45" s="5">
        <v>87.19</v>
      </c>
      <c r="H45" s="5">
        <v>91.19</v>
      </c>
      <c r="I45" s="5">
        <v>92.5</v>
      </c>
      <c r="J45" s="5">
        <v>95.5</v>
      </c>
      <c r="K45" s="5">
        <v>92</v>
      </c>
      <c r="L45" s="5">
        <v>91.676000000000002</v>
      </c>
    </row>
    <row r="46" spans="1:12" x14ac:dyDescent="0.3">
      <c r="A46" s="2" t="s">
        <v>60</v>
      </c>
      <c r="B46" s="2" t="s">
        <v>87</v>
      </c>
      <c r="C46" s="2" t="s">
        <v>88</v>
      </c>
      <c r="D46" s="2" t="s">
        <v>63</v>
      </c>
      <c r="E46" s="2">
        <v>1</v>
      </c>
      <c r="F46" s="2" t="s">
        <v>791</v>
      </c>
      <c r="G46" s="5">
        <v>87.39</v>
      </c>
      <c r="H46" s="5">
        <v>88.39</v>
      </c>
      <c r="I46" s="5">
        <v>77</v>
      </c>
      <c r="J46" s="5">
        <v>92.5</v>
      </c>
      <c r="K46" s="5">
        <v>86.1</v>
      </c>
      <c r="L46" s="5">
        <v>86.275999999999996</v>
      </c>
    </row>
    <row r="47" spans="1:12" x14ac:dyDescent="0.3">
      <c r="A47" s="2" t="s">
        <v>60</v>
      </c>
      <c r="B47" s="2" t="s">
        <v>87</v>
      </c>
      <c r="C47" s="2" t="s">
        <v>88</v>
      </c>
      <c r="D47" s="2" t="s">
        <v>188</v>
      </c>
      <c r="E47" s="2">
        <v>2</v>
      </c>
      <c r="F47" s="2" t="s">
        <v>792</v>
      </c>
      <c r="G47" s="5">
        <v>87.48</v>
      </c>
      <c r="H47" s="5">
        <v>93.48</v>
      </c>
      <c r="I47" s="5">
        <v>80.5</v>
      </c>
      <c r="J47" s="5">
        <v>96.5</v>
      </c>
      <c r="K47" s="5">
        <v>92.7</v>
      </c>
      <c r="L47" s="5">
        <v>90.132000000000005</v>
      </c>
    </row>
    <row r="48" spans="1:12" x14ac:dyDescent="0.3">
      <c r="A48" s="2" t="s">
        <v>60</v>
      </c>
      <c r="B48" s="2" t="s">
        <v>87</v>
      </c>
      <c r="C48" s="2" t="s">
        <v>88</v>
      </c>
      <c r="D48" s="2" t="s">
        <v>301</v>
      </c>
      <c r="E48" s="2">
        <v>3</v>
      </c>
      <c r="F48" s="2" t="s">
        <v>793</v>
      </c>
      <c r="G48" s="5">
        <v>88.1</v>
      </c>
      <c r="H48" s="5">
        <v>93.1</v>
      </c>
      <c r="I48" s="5">
        <v>80</v>
      </c>
      <c r="J48" s="5">
        <v>89.5</v>
      </c>
      <c r="K48" s="5">
        <v>92.5</v>
      </c>
      <c r="L48" s="5">
        <v>88.64</v>
      </c>
    </row>
    <row r="49" spans="1:12" x14ac:dyDescent="0.3">
      <c r="A49" s="2" t="s">
        <v>60</v>
      </c>
      <c r="B49" s="2" t="s">
        <v>87</v>
      </c>
      <c r="C49" s="2" t="s">
        <v>88</v>
      </c>
      <c r="D49" s="2" t="s">
        <v>64</v>
      </c>
      <c r="E49" s="2">
        <v>4</v>
      </c>
      <c r="F49" s="2" t="s">
        <v>794</v>
      </c>
      <c r="G49" s="5">
        <v>91.81</v>
      </c>
      <c r="H49" s="5">
        <v>95.81</v>
      </c>
      <c r="I49" s="5">
        <v>91.5</v>
      </c>
      <c r="J49" s="5">
        <v>98.5</v>
      </c>
      <c r="K49" s="5">
        <v>98</v>
      </c>
      <c r="L49" s="5">
        <v>95.123999999999995</v>
      </c>
    </row>
    <row r="50" spans="1:12" x14ac:dyDescent="0.3">
      <c r="A50" s="2" t="s">
        <v>60</v>
      </c>
      <c r="B50" s="2" t="s">
        <v>89</v>
      </c>
      <c r="C50" s="2" t="s">
        <v>90</v>
      </c>
      <c r="D50" s="2" t="s">
        <v>63</v>
      </c>
      <c r="E50" s="2">
        <v>1</v>
      </c>
      <c r="F50" s="2" t="s">
        <v>791</v>
      </c>
      <c r="G50" s="5">
        <v>91.61</v>
      </c>
      <c r="H50" s="5">
        <v>96.61</v>
      </c>
      <c r="I50" s="5">
        <v>93.5</v>
      </c>
      <c r="J50" s="5">
        <v>100</v>
      </c>
      <c r="K50" s="5">
        <v>95.3</v>
      </c>
      <c r="L50" s="5">
        <v>95.404000000000011</v>
      </c>
    </row>
    <row r="51" spans="1:12" x14ac:dyDescent="0.3">
      <c r="A51" s="2" t="s">
        <v>60</v>
      </c>
      <c r="B51" s="2" t="s">
        <v>89</v>
      </c>
      <c r="C51" s="2" t="s">
        <v>90</v>
      </c>
      <c r="D51" s="2" t="s">
        <v>188</v>
      </c>
      <c r="E51" s="2">
        <v>2</v>
      </c>
      <c r="F51" s="2" t="s">
        <v>792</v>
      </c>
      <c r="G51" s="5">
        <v>97.6</v>
      </c>
      <c r="H51" s="5">
        <v>98.6</v>
      </c>
      <c r="I51" s="5">
        <v>96.5</v>
      </c>
      <c r="J51" s="5">
        <v>99</v>
      </c>
      <c r="K51" s="5">
        <v>98.1</v>
      </c>
      <c r="L51" s="5">
        <v>97.96</v>
      </c>
    </row>
    <row r="52" spans="1:12" x14ac:dyDescent="0.3">
      <c r="A52" s="2" t="s">
        <v>60</v>
      </c>
      <c r="B52" s="2" t="s">
        <v>89</v>
      </c>
      <c r="C52" s="2" t="s">
        <v>90</v>
      </c>
      <c r="D52" s="2" t="s">
        <v>301</v>
      </c>
      <c r="E52" s="2">
        <v>3</v>
      </c>
      <c r="F52" s="2" t="s">
        <v>793</v>
      </c>
      <c r="G52" s="5">
        <v>94.1</v>
      </c>
      <c r="H52" s="5">
        <v>98.1</v>
      </c>
      <c r="I52" s="5">
        <v>95.5</v>
      </c>
      <c r="J52" s="5">
        <v>100</v>
      </c>
      <c r="K52" s="5">
        <v>97.5</v>
      </c>
      <c r="L52" s="5">
        <v>97.039999999999992</v>
      </c>
    </row>
    <row r="53" spans="1:12" x14ac:dyDescent="0.3">
      <c r="A53" s="2" t="s">
        <v>60</v>
      </c>
      <c r="B53" s="2" t="s">
        <v>89</v>
      </c>
      <c r="C53" s="2" t="s">
        <v>90</v>
      </c>
      <c r="D53" s="2" t="s">
        <v>64</v>
      </c>
      <c r="E53" s="2">
        <v>4</v>
      </c>
      <c r="F53" s="2" t="s">
        <v>794</v>
      </c>
      <c r="G53" s="5">
        <v>96.81</v>
      </c>
      <c r="H53" s="5">
        <v>96.81</v>
      </c>
      <c r="I53" s="5">
        <v>99.5</v>
      </c>
      <c r="J53" s="5">
        <v>100</v>
      </c>
      <c r="K53" s="5">
        <v>99</v>
      </c>
      <c r="L53" s="5">
        <v>98.424000000000007</v>
      </c>
    </row>
    <row r="54" spans="1:12" x14ac:dyDescent="0.3">
      <c r="A54" s="2" t="s">
        <v>60</v>
      </c>
      <c r="B54" s="2" t="s">
        <v>91</v>
      </c>
      <c r="C54" s="2" t="s">
        <v>92</v>
      </c>
      <c r="D54" s="2" t="s">
        <v>63</v>
      </c>
      <c r="E54" s="2">
        <v>1</v>
      </c>
      <c r="F54" s="2" t="s">
        <v>791</v>
      </c>
      <c r="G54" s="5">
        <v>93.61</v>
      </c>
      <c r="H54" s="5">
        <v>93.61</v>
      </c>
      <c r="I54" s="5">
        <v>86</v>
      </c>
      <c r="J54" s="5">
        <v>99.5</v>
      </c>
      <c r="K54" s="5">
        <v>92.4</v>
      </c>
      <c r="L54" s="5">
        <v>93.024000000000001</v>
      </c>
    </row>
    <row r="55" spans="1:12" x14ac:dyDescent="0.3">
      <c r="A55" s="2" t="s">
        <v>60</v>
      </c>
      <c r="B55" s="2" t="s">
        <v>91</v>
      </c>
      <c r="C55" s="2" t="s">
        <v>92</v>
      </c>
      <c r="D55" s="2" t="s">
        <v>188</v>
      </c>
      <c r="E55" s="2">
        <v>2</v>
      </c>
      <c r="F55" s="2" t="s">
        <v>792</v>
      </c>
      <c r="G55" s="5">
        <v>96.08</v>
      </c>
      <c r="H55" s="5">
        <v>96.08</v>
      </c>
      <c r="I55" s="5">
        <v>89</v>
      </c>
      <c r="J55" s="5">
        <v>97</v>
      </c>
      <c r="K55" s="5">
        <v>95.5</v>
      </c>
      <c r="L55" s="5">
        <v>94.731999999999999</v>
      </c>
    </row>
    <row r="56" spans="1:12" x14ac:dyDescent="0.3">
      <c r="A56" s="2" t="s">
        <v>60</v>
      </c>
      <c r="B56" s="2" t="s">
        <v>91</v>
      </c>
      <c r="C56" s="2" t="s">
        <v>92</v>
      </c>
      <c r="D56" s="2" t="s">
        <v>301</v>
      </c>
      <c r="E56" s="2">
        <v>3</v>
      </c>
      <c r="F56" s="2" t="s">
        <v>793</v>
      </c>
      <c r="G56" s="5">
        <v>94.2</v>
      </c>
      <c r="H56" s="5">
        <v>95.2</v>
      </c>
      <c r="I56" s="5">
        <v>88</v>
      </c>
      <c r="J56" s="5">
        <v>96</v>
      </c>
      <c r="K56" s="5">
        <v>89</v>
      </c>
      <c r="L56" s="5">
        <v>92.47999999999999</v>
      </c>
    </row>
    <row r="57" spans="1:12" x14ac:dyDescent="0.3">
      <c r="A57" s="2" t="s">
        <v>60</v>
      </c>
      <c r="B57" s="2" t="s">
        <v>91</v>
      </c>
      <c r="C57" s="2" t="s">
        <v>92</v>
      </c>
      <c r="D57" s="2" t="s">
        <v>64</v>
      </c>
      <c r="E57" s="2">
        <v>4</v>
      </c>
      <c r="F57" s="2" t="s">
        <v>794</v>
      </c>
      <c r="G57" s="5">
        <v>89.19</v>
      </c>
      <c r="H57" s="5">
        <v>94.19</v>
      </c>
      <c r="I57" s="5">
        <v>90.5</v>
      </c>
      <c r="J57" s="5">
        <v>100</v>
      </c>
      <c r="K57" s="5">
        <v>95</v>
      </c>
      <c r="L57" s="5">
        <v>93.775999999999996</v>
      </c>
    </row>
    <row r="58" spans="1:12" x14ac:dyDescent="0.3">
      <c r="A58" s="2" t="s">
        <v>60</v>
      </c>
      <c r="B58" s="2" t="s">
        <v>93</v>
      </c>
      <c r="C58" s="2" t="s">
        <v>94</v>
      </c>
      <c r="D58" s="2" t="s">
        <v>63</v>
      </c>
      <c r="E58" s="2">
        <v>1</v>
      </c>
      <c r="F58" s="2" t="s">
        <v>791</v>
      </c>
      <c r="G58" s="5">
        <v>92.46</v>
      </c>
      <c r="H58" s="5">
        <v>93.46</v>
      </c>
      <c r="I58" s="5">
        <v>87.5</v>
      </c>
      <c r="J58" s="5">
        <v>89.5</v>
      </c>
      <c r="K58" s="5">
        <v>92.1</v>
      </c>
      <c r="L58" s="5">
        <v>91.003999999999991</v>
      </c>
    </row>
    <row r="59" spans="1:12" x14ac:dyDescent="0.3">
      <c r="A59" s="2" t="s">
        <v>60</v>
      </c>
      <c r="B59" s="2" t="s">
        <v>93</v>
      </c>
      <c r="C59" s="2" t="s">
        <v>94</v>
      </c>
      <c r="D59" s="2" t="s">
        <v>188</v>
      </c>
      <c r="E59" s="2">
        <v>2</v>
      </c>
      <c r="F59" s="2" t="s">
        <v>792</v>
      </c>
      <c r="G59" s="5">
        <v>92.96</v>
      </c>
      <c r="H59" s="5">
        <v>92.96</v>
      </c>
      <c r="I59" s="5">
        <v>85.5</v>
      </c>
      <c r="J59" s="5">
        <v>87</v>
      </c>
      <c r="K59" s="5">
        <v>93.3</v>
      </c>
      <c r="L59" s="5">
        <v>90.343999999999994</v>
      </c>
    </row>
    <row r="60" spans="1:12" x14ac:dyDescent="0.3">
      <c r="A60" s="2" t="s">
        <v>60</v>
      </c>
      <c r="B60" s="2" t="s">
        <v>93</v>
      </c>
      <c r="C60" s="2" t="s">
        <v>94</v>
      </c>
      <c r="D60" s="2" t="s">
        <v>301</v>
      </c>
      <c r="E60" s="2">
        <v>3</v>
      </c>
      <c r="F60" s="2" t="s">
        <v>793</v>
      </c>
      <c r="G60" s="5">
        <v>91.9</v>
      </c>
      <c r="H60" s="5">
        <v>93.9</v>
      </c>
      <c r="I60" s="5">
        <v>85</v>
      </c>
      <c r="J60" s="5">
        <v>81.5</v>
      </c>
      <c r="K60" s="5">
        <v>93.5</v>
      </c>
      <c r="L60" s="5">
        <v>89.16</v>
      </c>
    </row>
    <row r="61" spans="1:12" x14ac:dyDescent="0.3">
      <c r="A61" s="2" t="s">
        <v>60</v>
      </c>
      <c r="B61" s="2" t="s">
        <v>93</v>
      </c>
      <c r="C61" s="2" t="s">
        <v>94</v>
      </c>
      <c r="D61" s="2" t="s">
        <v>64</v>
      </c>
      <c r="E61" s="2">
        <v>4</v>
      </c>
      <c r="F61" s="2" t="s">
        <v>794</v>
      </c>
      <c r="G61" s="5">
        <v>90</v>
      </c>
      <c r="H61" s="5">
        <v>95</v>
      </c>
      <c r="I61" s="5">
        <v>92</v>
      </c>
      <c r="J61" s="5">
        <v>95</v>
      </c>
      <c r="K61" s="5">
        <v>97.5</v>
      </c>
      <c r="L61" s="5">
        <v>93.9</v>
      </c>
    </row>
    <row r="62" spans="1:12" x14ac:dyDescent="0.3">
      <c r="A62" s="2" t="s">
        <v>60</v>
      </c>
      <c r="B62" s="2" t="s">
        <v>95</v>
      </c>
      <c r="C62" s="2" t="s">
        <v>96</v>
      </c>
      <c r="D62" s="2" t="s">
        <v>63</v>
      </c>
      <c r="E62" s="2">
        <v>1</v>
      </c>
      <c r="F62" s="2" t="s">
        <v>791</v>
      </c>
      <c r="G62" s="5">
        <v>86.11</v>
      </c>
      <c r="H62" s="5">
        <v>86.11</v>
      </c>
      <c r="I62" s="5">
        <v>76</v>
      </c>
      <c r="J62" s="5">
        <v>90</v>
      </c>
      <c r="K62" s="5">
        <v>78.099999999999994</v>
      </c>
      <c r="L62" s="5">
        <v>83.26400000000001</v>
      </c>
    </row>
    <row r="63" spans="1:12" x14ac:dyDescent="0.3">
      <c r="A63" s="2" t="s">
        <v>60</v>
      </c>
      <c r="B63" s="2" t="s">
        <v>95</v>
      </c>
      <c r="C63" s="2" t="s">
        <v>96</v>
      </c>
      <c r="D63" s="2" t="s">
        <v>188</v>
      </c>
      <c r="E63" s="2">
        <v>2</v>
      </c>
      <c r="F63" s="2" t="s">
        <v>792</v>
      </c>
      <c r="G63" s="5">
        <v>79.680000000000007</v>
      </c>
      <c r="H63" s="5">
        <v>85.68</v>
      </c>
      <c r="I63" s="5">
        <v>65.5</v>
      </c>
      <c r="J63" s="5">
        <v>85</v>
      </c>
      <c r="K63" s="5">
        <v>82.2</v>
      </c>
      <c r="L63" s="5">
        <v>79.611999999999995</v>
      </c>
    </row>
    <row r="64" spans="1:12" x14ac:dyDescent="0.3">
      <c r="A64" s="2" t="s">
        <v>60</v>
      </c>
      <c r="B64" s="2" t="s">
        <v>95</v>
      </c>
      <c r="C64" s="2" t="s">
        <v>96</v>
      </c>
      <c r="D64" s="2" t="s">
        <v>301</v>
      </c>
      <c r="E64" s="2">
        <v>3</v>
      </c>
      <c r="F64" s="2" t="s">
        <v>793</v>
      </c>
      <c r="G64" s="5">
        <v>83.7</v>
      </c>
      <c r="H64" s="5">
        <v>86.7</v>
      </c>
      <c r="I64" s="5">
        <v>76</v>
      </c>
      <c r="J64" s="5">
        <v>76</v>
      </c>
      <c r="K64" s="5">
        <v>76</v>
      </c>
      <c r="L64" s="5">
        <v>79.679999999999993</v>
      </c>
    </row>
    <row r="65" spans="1:12" x14ac:dyDescent="0.3">
      <c r="A65" s="2" t="s">
        <v>60</v>
      </c>
      <c r="B65" s="2" t="s">
        <v>95</v>
      </c>
      <c r="C65" s="2" t="s">
        <v>96</v>
      </c>
      <c r="D65" s="2" t="s">
        <v>64</v>
      </c>
      <c r="E65" s="2">
        <v>4</v>
      </c>
      <c r="F65" s="2" t="s">
        <v>794</v>
      </c>
      <c r="G65" s="5">
        <v>82.94</v>
      </c>
      <c r="H65" s="5">
        <v>86.94</v>
      </c>
      <c r="I65" s="5">
        <v>92</v>
      </c>
      <c r="J65" s="5">
        <v>83</v>
      </c>
      <c r="K65" s="5">
        <v>85</v>
      </c>
      <c r="L65" s="5">
        <v>85.975999999999999</v>
      </c>
    </row>
    <row r="66" spans="1:12" x14ac:dyDescent="0.3">
      <c r="A66" s="2" t="s">
        <v>60</v>
      </c>
      <c r="B66" s="2" t="s">
        <v>97</v>
      </c>
      <c r="C66" s="2" t="s">
        <v>98</v>
      </c>
      <c r="D66" s="2" t="s">
        <v>63</v>
      </c>
      <c r="E66" s="2">
        <v>1</v>
      </c>
      <c r="F66" s="2" t="s">
        <v>791</v>
      </c>
      <c r="G66" s="5">
        <v>80.040000000000006</v>
      </c>
      <c r="H66" s="5">
        <v>81.040000000000006</v>
      </c>
      <c r="I66" s="5">
        <v>57</v>
      </c>
      <c r="J66" s="5">
        <v>70.5</v>
      </c>
      <c r="K66" s="5">
        <v>75.5</v>
      </c>
      <c r="L66" s="5">
        <v>72.816000000000003</v>
      </c>
    </row>
    <row r="67" spans="1:12" x14ac:dyDescent="0.3">
      <c r="A67" s="2" t="s">
        <v>60</v>
      </c>
      <c r="B67" s="2" t="s">
        <v>97</v>
      </c>
      <c r="C67" s="2" t="s">
        <v>98</v>
      </c>
      <c r="D67" s="2" t="s">
        <v>188</v>
      </c>
      <c r="E67" s="2">
        <v>2</v>
      </c>
      <c r="F67" s="2" t="s">
        <v>792</v>
      </c>
      <c r="G67" s="5">
        <v>80.400000000000006</v>
      </c>
      <c r="H67" s="5">
        <v>80.400000000000006</v>
      </c>
      <c r="I67" s="5">
        <v>70</v>
      </c>
      <c r="J67" s="5">
        <v>77.5</v>
      </c>
      <c r="K67" s="5">
        <v>72.599999999999994</v>
      </c>
      <c r="L67" s="5">
        <v>76.179999999999993</v>
      </c>
    </row>
    <row r="68" spans="1:12" x14ac:dyDescent="0.3">
      <c r="A68" s="2" t="s">
        <v>60</v>
      </c>
      <c r="B68" s="2" t="s">
        <v>97</v>
      </c>
      <c r="C68" s="2" t="s">
        <v>98</v>
      </c>
      <c r="D68" s="2" t="s">
        <v>301</v>
      </c>
      <c r="E68" s="2">
        <v>3</v>
      </c>
      <c r="F68" s="2" t="s">
        <v>793</v>
      </c>
      <c r="G68" s="5">
        <v>81.7</v>
      </c>
      <c r="H68" s="5">
        <v>83.7</v>
      </c>
      <c r="I68" s="5">
        <v>71</v>
      </c>
      <c r="J68" s="5">
        <v>68</v>
      </c>
      <c r="K68" s="5">
        <v>73.5</v>
      </c>
      <c r="L68" s="5">
        <v>75.58</v>
      </c>
    </row>
    <row r="69" spans="1:12" x14ac:dyDescent="0.3">
      <c r="A69" s="2" t="s">
        <v>60</v>
      </c>
      <c r="B69" s="2" t="s">
        <v>97</v>
      </c>
      <c r="C69" s="2" t="s">
        <v>98</v>
      </c>
      <c r="D69" s="2" t="s">
        <v>64</v>
      </c>
      <c r="E69" s="2">
        <v>4</v>
      </c>
      <c r="F69" s="2" t="s">
        <v>794</v>
      </c>
      <c r="G69" s="5">
        <v>83.13</v>
      </c>
      <c r="H69" s="5">
        <v>87.13</v>
      </c>
      <c r="I69" s="5">
        <v>88.5</v>
      </c>
      <c r="J69" s="5">
        <v>72</v>
      </c>
      <c r="K69" s="5">
        <v>82.5</v>
      </c>
      <c r="L69" s="5">
        <v>82.652000000000001</v>
      </c>
    </row>
    <row r="70" spans="1:12" x14ac:dyDescent="0.3">
      <c r="A70" s="2" t="s">
        <v>60</v>
      </c>
      <c r="B70" s="2" t="s">
        <v>100</v>
      </c>
      <c r="C70" s="2" t="s">
        <v>101</v>
      </c>
      <c r="D70" s="2" t="s">
        <v>63</v>
      </c>
      <c r="E70" s="2">
        <v>1</v>
      </c>
      <c r="F70" s="2" t="s">
        <v>791</v>
      </c>
      <c r="G70" s="5">
        <v>85.18</v>
      </c>
      <c r="H70" s="5">
        <v>86.18</v>
      </c>
      <c r="I70" s="5">
        <v>86.5</v>
      </c>
      <c r="J70" s="5">
        <v>82.5</v>
      </c>
      <c r="K70" s="5">
        <v>81.599999999999994</v>
      </c>
      <c r="L70" s="5">
        <v>84.39200000000001</v>
      </c>
    </row>
    <row r="71" spans="1:12" x14ac:dyDescent="0.3">
      <c r="A71" s="2" t="s">
        <v>60</v>
      </c>
      <c r="B71" s="2" t="s">
        <v>100</v>
      </c>
      <c r="C71" s="2" t="s">
        <v>101</v>
      </c>
      <c r="D71" s="2" t="s">
        <v>188</v>
      </c>
      <c r="E71" s="2">
        <v>2</v>
      </c>
      <c r="F71" s="2" t="s">
        <v>792</v>
      </c>
      <c r="G71" s="5">
        <v>85.52</v>
      </c>
      <c r="H71" s="5">
        <v>91.52</v>
      </c>
      <c r="I71" s="5">
        <v>85</v>
      </c>
      <c r="J71" s="5">
        <v>87.5</v>
      </c>
      <c r="K71" s="5">
        <v>87.9</v>
      </c>
      <c r="L71" s="5">
        <v>87.487999999999985</v>
      </c>
    </row>
    <row r="72" spans="1:12" x14ac:dyDescent="0.3">
      <c r="A72" s="2" t="s">
        <v>60</v>
      </c>
      <c r="B72" s="2" t="s">
        <v>100</v>
      </c>
      <c r="C72" s="2" t="s">
        <v>101</v>
      </c>
      <c r="D72" s="2" t="s">
        <v>301</v>
      </c>
      <c r="E72" s="2">
        <v>3</v>
      </c>
      <c r="F72" s="2" t="s">
        <v>793</v>
      </c>
      <c r="G72" s="5">
        <v>80.900000000000006</v>
      </c>
      <c r="H72" s="5">
        <v>85.9</v>
      </c>
      <c r="I72" s="5">
        <v>83</v>
      </c>
      <c r="J72" s="5">
        <v>77</v>
      </c>
      <c r="K72" s="5">
        <v>81.5</v>
      </c>
      <c r="L72" s="5">
        <v>81.66</v>
      </c>
    </row>
    <row r="73" spans="1:12" x14ac:dyDescent="0.3">
      <c r="A73" s="2" t="s">
        <v>60</v>
      </c>
      <c r="B73" s="2" t="s">
        <v>100</v>
      </c>
      <c r="C73" s="2" t="s">
        <v>101</v>
      </c>
      <c r="D73" s="2" t="s">
        <v>64</v>
      </c>
      <c r="E73" s="2">
        <v>4</v>
      </c>
      <c r="F73" s="2" t="s">
        <v>794</v>
      </c>
      <c r="G73" s="5">
        <v>81.94</v>
      </c>
      <c r="H73" s="5">
        <v>87.94</v>
      </c>
      <c r="I73" s="5">
        <v>93</v>
      </c>
      <c r="J73" s="5">
        <v>86.5</v>
      </c>
      <c r="K73" s="5">
        <v>84</v>
      </c>
      <c r="L73" s="5">
        <v>86.676000000000002</v>
      </c>
    </row>
    <row r="74" spans="1:12" x14ac:dyDescent="0.3">
      <c r="A74" s="2" t="s">
        <v>60</v>
      </c>
      <c r="B74" s="2" t="s">
        <v>102</v>
      </c>
      <c r="C74" s="2" t="s">
        <v>103</v>
      </c>
      <c r="D74" s="2" t="s">
        <v>63</v>
      </c>
      <c r="E74" s="2">
        <v>1</v>
      </c>
      <c r="F74" s="2" t="s">
        <v>791</v>
      </c>
      <c r="G74" s="5">
        <v>82.57</v>
      </c>
      <c r="H74" s="5">
        <v>86.57</v>
      </c>
      <c r="I74" s="5">
        <v>70</v>
      </c>
      <c r="J74" s="5">
        <v>90.5</v>
      </c>
      <c r="K74" s="5">
        <v>82.8</v>
      </c>
      <c r="L74" s="5">
        <v>82.488</v>
      </c>
    </row>
    <row r="75" spans="1:12" x14ac:dyDescent="0.3">
      <c r="A75" s="2" t="s">
        <v>60</v>
      </c>
      <c r="B75" s="2" t="s">
        <v>102</v>
      </c>
      <c r="C75" s="2" t="s">
        <v>103</v>
      </c>
      <c r="D75" s="2" t="s">
        <v>188</v>
      </c>
      <c r="E75" s="2">
        <v>2</v>
      </c>
      <c r="F75" s="2" t="s">
        <v>792</v>
      </c>
      <c r="G75" s="5">
        <v>84.16</v>
      </c>
      <c r="H75" s="5">
        <v>90.16</v>
      </c>
      <c r="I75" s="5">
        <v>74.5</v>
      </c>
      <c r="J75" s="5">
        <v>95</v>
      </c>
      <c r="K75" s="5">
        <v>88.6</v>
      </c>
      <c r="L75" s="5">
        <v>86.483999999999995</v>
      </c>
    </row>
    <row r="76" spans="1:12" x14ac:dyDescent="0.3">
      <c r="A76" s="2" t="s">
        <v>60</v>
      </c>
      <c r="B76" s="2" t="s">
        <v>102</v>
      </c>
      <c r="C76" s="2" t="s">
        <v>103</v>
      </c>
      <c r="D76" s="2" t="s">
        <v>301</v>
      </c>
      <c r="E76" s="2">
        <v>3</v>
      </c>
      <c r="F76" s="2" t="s">
        <v>793</v>
      </c>
      <c r="G76" s="5">
        <v>89.1</v>
      </c>
      <c r="H76" s="5">
        <v>91.1</v>
      </c>
      <c r="I76" s="5">
        <v>73</v>
      </c>
      <c r="J76" s="5">
        <v>94</v>
      </c>
      <c r="K76" s="5">
        <v>85</v>
      </c>
      <c r="L76" s="5">
        <v>86.44</v>
      </c>
    </row>
    <row r="77" spans="1:12" x14ac:dyDescent="0.3">
      <c r="A77" s="2" t="s">
        <v>60</v>
      </c>
      <c r="B77" s="2" t="s">
        <v>102</v>
      </c>
      <c r="C77" s="2" t="s">
        <v>103</v>
      </c>
      <c r="D77" s="2" t="s">
        <v>64</v>
      </c>
      <c r="E77" s="2">
        <v>4</v>
      </c>
      <c r="F77" s="2" t="s">
        <v>794</v>
      </c>
      <c r="G77" s="5">
        <v>95.63</v>
      </c>
      <c r="H77" s="5">
        <v>96.63</v>
      </c>
      <c r="I77" s="5">
        <v>92.5</v>
      </c>
      <c r="J77" s="5">
        <v>100</v>
      </c>
      <c r="K77" s="5">
        <v>96.5</v>
      </c>
      <c r="L77" s="5">
        <v>96.251999999999995</v>
      </c>
    </row>
    <row r="78" spans="1:12" x14ac:dyDescent="0.3">
      <c r="A78" s="2" t="s">
        <v>60</v>
      </c>
      <c r="B78" s="2" t="s">
        <v>104</v>
      </c>
      <c r="C78" s="2" t="s">
        <v>105</v>
      </c>
      <c r="D78" s="2" t="s">
        <v>63</v>
      </c>
      <c r="E78" s="2">
        <v>1</v>
      </c>
      <c r="F78" s="2" t="s">
        <v>791</v>
      </c>
      <c r="G78" s="5">
        <v>82.68</v>
      </c>
      <c r="H78" s="5">
        <v>83.68</v>
      </c>
      <c r="I78" s="5">
        <v>82</v>
      </c>
      <c r="J78" s="5">
        <v>83</v>
      </c>
      <c r="K78" s="5">
        <v>80.599999999999994</v>
      </c>
      <c r="L78" s="5">
        <v>82.39200000000001</v>
      </c>
    </row>
    <row r="79" spans="1:12" x14ac:dyDescent="0.3">
      <c r="A79" s="2" t="s">
        <v>60</v>
      </c>
      <c r="B79" s="2" t="s">
        <v>104</v>
      </c>
      <c r="C79" s="2" t="s">
        <v>105</v>
      </c>
      <c r="D79" s="2" t="s">
        <v>188</v>
      </c>
      <c r="E79" s="2">
        <v>2</v>
      </c>
      <c r="F79" s="2" t="s">
        <v>792</v>
      </c>
      <c r="G79" s="5">
        <v>87.28</v>
      </c>
      <c r="H79" s="5">
        <v>90.28</v>
      </c>
      <c r="I79" s="5">
        <v>88</v>
      </c>
      <c r="J79" s="5">
        <v>84.5</v>
      </c>
      <c r="K79" s="5">
        <v>87.9</v>
      </c>
      <c r="L79" s="5">
        <v>87.592000000000013</v>
      </c>
    </row>
    <row r="80" spans="1:12" x14ac:dyDescent="0.3">
      <c r="A80" s="2" t="s">
        <v>60</v>
      </c>
      <c r="B80" s="2" t="s">
        <v>104</v>
      </c>
      <c r="C80" s="2" t="s">
        <v>105</v>
      </c>
      <c r="D80" s="2" t="s">
        <v>301</v>
      </c>
      <c r="E80" s="2">
        <v>3</v>
      </c>
      <c r="F80" s="2" t="s">
        <v>793</v>
      </c>
      <c r="G80" s="5">
        <v>86.7</v>
      </c>
      <c r="H80" s="5">
        <v>89.7</v>
      </c>
      <c r="I80" s="5">
        <v>89</v>
      </c>
      <c r="J80" s="5">
        <v>76</v>
      </c>
      <c r="K80" s="5">
        <v>86</v>
      </c>
      <c r="L80" s="5">
        <v>85.47999999999999</v>
      </c>
    </row>
    <row r="81" spans="1:12" x14ac:dyDescent="0.3">
      <c r="A81" s="2" t="s">
        <v>60</v>
      </c>
      <c r="B81" s="2" t="s">
        <v>104</v>
      </c>
      <c r="C81" s="2" t="s">
        <v>105</v>
      </c>
      <c r="D81" s="2" t="s">
        <v>64</v>
      </c>
      <c r="E81" s="2">
        <v>4</v>
      </c>
      <c r="F81" s="2" t="s">
        <v>794</v>
      </c>
      <c r="G81" s="5">
        <v>89.25</v>
      </c>
      <c r="H81" s="5">
        <v>91.25</v>
      </c>
      <c r="I81" s="5">
        <v>94</v>
      </c>
      <c r="J81" s="5">
        <v>93.5</v>
      </c>
      <c r="K81" s="5">
        <v>92.5</v>
      </c>
      <c r="L81" s="5">
        <v>92.1</v>
      </c>
    </row>
    <row r="82" spans="1:12" x14ac:dyDescent="0.3">
      <c r="A82" s="2" t="s">
        <v>60</v>
      </c>
      <c r="B82" s="2" t="s">
        <v>106</v>
      </c>
      <c r="C82" s="2" t="s">
        <v>107</v>
      </c>
      <c r="D82" s="2" t="s">
        <v>63</v>
      </c>
      <c r="E82" s="2">
        <v>1</v>
      </c>
      <c r="F82" s="2" t="s">
        <v>791</v>
      </c>
      <c r="G82" s="5">
        <v>91.93</v>
      </c>
      <c r="H82" s="5">
        <v>91.93</v>
      </c>
      <c r="I82" s="5">
        <v>77</v>
      </c>
      <c r="J82" s="5">
        <v>96.5</v>
      </c>
      <c r="K82" s="5">
        <v>91.4</v>
      </c>
      <c r="L82" s="5">
        <v>89.751999999999995</v>
      </c>
    </row>
    <row r="83" spans="1:12" x14ac:dyDescent="0.3">
      <c r="A83" s="2" t="s">
        <v>60</v>
      </c>
      <c r="B83" s="2" t="s">
        <v>106</v>
      </c>
      <c r="C83" s="2" t="s">
        <v>107</v>
      </c>
      <c r="D83" s="2" t="s">
        <v>188</v>
      </c>
      <c r="E83" s="2">
        <v>2</v>
      </c>
      <c r="F83" s="2" t="s">
        <v>792</v>
      </c>
      <c r="G83" s="5">
        <v>92.64</v>
      </c>
      <c r="H83" s="5">
        <v>92.64</v>
      </c>
      <c r="I83" s="5">
        <v>81.5</v>
      </c>
      <c r="J83" s="5">
        <v>95</v>
      </c>
      <c r="K83" s="5">
        <v>91.3</v>
      </c>
      <c r="L83" s="5">
        <v>90.616</v>
      </c>
    </row>
    <row r="84" spans="1:12" x14ac:dyDescent="0.3">
      <c r="A84" s="2" t="s">
        <v>60</v>
      </c>
      <c r="B84" s="2" t="s">
        <v>106</v>
      </c>
      <c r="C84" s="2" t="s">
        <v>107</v>
      </c>
      <c r="D84" s="2" t="s">
        <v>301</v>
      </c>
      <c r="E84" s="2">
        <v>3</v>
      </c>
      <c r="F84" s="2" t="s">
        <v>793</v>
      </c>
      <c r="G84" s="5">
        <v>91.1</v>
      </c>
      <c r="H84" s="5">
        <v>91.1</v>
      </c>
      <c r="I84" s="5">
        <v>69</v>
      </c>
      <c r="J84" s="5">
        <v>87.5</v>
      </c>
      <c r="K84" s="5">
        <v>93</v>
      </c>
      <c r="L84" s="5">
        <v>86.34</v>
      </c>
    </row>
    <row r="85" spans="1:12" x14ac:dyDescent="0.3">
      <c r="A85" s="2" t="s">
        <v>60</v>
      </c>
      <c r="B85" s="2" t="s">
        <v>106</v>
      </c>
      <c r="C85" s="2" t="s">
        <v>107</v>
      </c>
      <c r="D85" s="2" t="s">
        <v>64</v>
      </c>
      <c r="E85" s="2">
        <v>4</v>
      </c>
      <c r="F85" s="2" t="s">
        <v>794</v>
      </c>
      <c r="G85" s="5">
        <v>96.19</v>
      </c>
      <c r="H85" s="5">
        <v>97.19</v>
      </c>
      <c r="I85" s="5">
        <v>91</v>
      </c>
      <c r="J85" s="5">
        <v>100</v>
      </c>
      <c r="K85" s="5">
        <v>98</v>
      </c>
      <c r="L85" s="5">
        <v>96.475999999999999</v>
      </c>
    </row>
    <row r="86" spans="1:12" x14ac:dyDescent="0.3">
      <c r="A86" s="2" t="s">
        <v>60</v>
      </c>
      <c r="B86" s="2" t="s">
        <v>108</v>
      </c>
      <c r="C86" s="2" t="s">
        <v>109</v>
      </c>
      <c r="D86" s="2" t="s">
        <v>63</v>
      </c>
      <c r="E86" s="2">
        <v>1</v>
      </c>
      <c r="F86" s="2" t="s">
        <v>791</v>
      </c>
      <c r="G86" s="5">
        <v>78.319999999999993</v>
      </c>
      <c r="H86" s="5">
        <v>82.32</v>
      </c>
      <c r="I86" s="5">
        <v>71.5</v>
      </c>
      <c r="J86" s="5">
        <v>79.5</v>
      </c>
      <c r="K86" s="5">
        <v>79.900000000000006</v>
      </c>
      <c r="L86" s="5">
        <v>78.307999999999993</v>
      </c>
    </row>
    <row r="87" spans="1:12" x14ac:dyDescent="0.3">
      <c r="A87" s="2" t="s">
        <v>60</v>
      </c>
      <c r="B87" s="2" t="s">
        <v>108</v>
      </c>
      <c r="C87" s="2" t="s">
        <v>109</v>
      </c>
      <c r="D87" s="2" t="s">
        <v>188</v>
      </c>
      <c r="E87" s="2">
        <v>2</v>
      </c>
      <c r="F87" s="2" t="s">
        <v>792</v>
      </c>
      <c r="G87" s="5">
        <v>82.12</v>
      </c>
      <c r="H87" s="5">
        <v>83.12</v>
      </c>
      <c r="I87" s="5">
        <v>70.5</v>
      </c>
      <c r="J87" s="5">
        <v>83.5</v>
      </c>
      <c r="K87" s="5">
        <v>77.599999999999994</v>
      </c>
      <c r="L87" s="5">
        <v>79.368000000000009</v>
      </c>
    </row>
    <row r="88" spans="1:12" x14ac:dyDescent="0.3">
      <c r="A88" s="2" t="s">
        <v>60</v>
      </c>
      <c r="B88" s="2" t="s">
        <v>108</v>
      </c>
      <c r="C88" s="2" t="s">
        <v>109</v>
      </c>
      <c r="D88" s="2" t="s">
        <v>301</v>
      </c>
      <c r="E88" s="2">
        <v>3</v>
      </c>
      <c r="F88" s="2" t="s">
        <v>793</v>
      </c>
      <c r="G88" s="5">
        <v>75.2</v>
      </c>
      <c r="H88" s="5">
        <v>81.2</v>
      </c>
      <c r="I88" s="5">
        <v>64.5</v>
      </c>
      <c r="J88" s="5">
        <v>75</v>
      </c>
      <c r="K88" s="5">
        <v>74</v>
      </c>
      <c r="L88" s="5">
        <v>73.97999999999999</v>
      </c>
    </row>
    <row r="89" spans="1:12" x14ac:dyDescent="0.3">
      <c r="A89" s="2" t="s">
        <v>60</v>
      </c>
      <c r="B89" s="2" t="s">
        <v>108</v>
      </c>
      <c r="C89" s="2" t="s">
        <v>109</v>
      </c>
      <c r="D89" s="2" t="s">
        <v>64</v>
      </c>
      <c r="E89" s="2">
        <v>4</v>
      </c>
      <c r="F89" s="2" t="s">
        <v>794</v>
      </c>
      <c r="G89" s="5">
        <v>79.31</v>
      </c>
      <c r="H89" s="5">
        <v>85.31</v>
      </c>
      <c r="I89" s="5">
        <v>86</v>
      </c>
      <c r="J89" s="5">
        <v>86</v>
      </c>
      <c r="K89" s="5">
        <v>86.5</v>
      </c>
      <c r="L89" s="5">
        <v>84.623999999999995</v>
      </c>
    </row>
    <row r="90" spans="1:12" x14ac:dyDescent="0.3">
      <c r="A90" s="2" t="s">
        <v>60</v>
      </c>
      <c r="B90" s="2" t="s">
        <v>110</v>
      </c>
      <c r="C90" s="2" t="s">
        <v>111</v>
      </c>
      <c r="D90" s="2" t="s">
        <v>63</v>
      </c>
      <c r="E90" s="2">
        <v>1</v>
      </c>
      <c r="F90" s="2" t="s">
        <v>791</v>
      </c>
      <c r="G90" s="5">
        <v>87.14</v>
      </c>
      <c r="H90" s="5">
        <v>91.14</v>
      </c>
      <c r="I90" s="5">
        <v>75.5</v>
      </c>
      <c r="J90" s="5">
        <v>92.5</v>
      </c>
      <c r="K90" s="5">
        <v>92.1</v>
      </c>
      <c r="L90" s="5">
        <v>87.676000000000002</v>
      </c>
    </row>
    <row r="91" spans="1:12" x14ac:dyDescent="0.3">
      <c r="A91" s="2" t="s">
        <v>60</v>
      </c>
      <c r="B91" s="2" t="s">
        <v>110</v>
      </c>
      <c r="C91" s="2" t="s">
        <v>111</v>
      </c>
      <c r="D91" s="2" t="s">
        <v>188</v>
      </c>
      <c r="E91" s="2">
        <v>2</v>
      </c>
      <c r="F91" s="2" t="s">
        <v>792</v>
      </c>
      <c r="G91" s="5">
        <v>86.72</v>
      </c>
      <c r="H91" s="5">
        <v>92.72</v>
      </c>
      <c r="I91" s="5">
        <v>84</v>
      </c>
      <c r="J91" s="5">
        <v>94</v>
      </c>
      <c r="K91" s="5">
        <v>91.9</v>
      </c>
      <c r="L91" s="5">
        <v>89.868000000000009</v>
      </c>
    </row>
    <row r="92" spans="1:12" x14ac:dyDescent="0.3">
      <c r="A92" s="2" t="s">
        <v>60</v>
      </c>
      <c r="B92" s="2" t="s">
        <v>110</v>
      </c>
      <c r="C92" s="2" t="s">
        <v>111</v>
      </c>
      <c r="D92" s="2" t="s">
        <v>301</v>
      </c>
      <c r="E92" s="2">
        <v>3</v>
      </c>
      <c r="F92" s="2" t="s">
        <v>793</v>
      </c>
      <c r="G92" s="5">
        <v>89.2</v>
      </c>
      <c r="H92" s="5">
        <v>90.2</v>
      </c>
      <c r="I92" s="5">
        <v>80.5</v>
      </c>
      <c r="J92" s="5">
        <v>85</v>
      </c>
      <c r="K92" s="5">
        <v>89</v>
      </c>
      <c r="L92" s="5">
        <v>86.78</v>
      </c>
    </row>
    <row r="93" spans="1:12" x14ac:dyDescent="0.3">
      <c r="A93" s="2" t="s">
        <v>60</v>
      </c>
      <c r="B93" s="2" t="s">
        <v>110</v>
      </c>
      <c r="C93" s="2" t="s">
        <v>111</v>
      </c>
      <c r="D93" s="2" t="s">
        <v>64</v>
      </c>
      <c r="E93" s="2">
        <v>4</v>
      </c>
      <c r="F93" s="2" t="s">
        <v>794</v>
      </c>
      <c r="G93" s="5">
        <v>89.38</v>
      </c>
      <c r="H93" s="5">
        <v>94.38</v>
      </c>
      <c r="I93" s="5">
        <v>89.5</v>
      </c>
      <c r="J93" s="5">
        <v>95.5</v>
      </c>
      <c r="K93" s="5">
        <v>94</v>
      </c>
      <c r="L93" s="5">
        <v>92.551999999999992</v>
      </c>
    </row>
    <row r="94" spans="1:12" x14ac:dyDescent="0.3">
      <c r="A94" s="2" t="s">
        <v>60</v>
      </c>
      <c r="B94" s="2" t="s">
        <v>112</v>
      </c>
      <c r="C94" s="2" t="s">
        <v>113</v>
      </c>
      <c r="D94" s="2" t="s">
        <v>63</v>
      </c>
      <c r="E94" s="2">
        <v>1</v>
      </c>
      <c r="F94" s="2" t="s">
        <v>791</v>
      </c>
      <c r="G94" s="5">
        <v>85.11</v>
      </c>
      <c r="H94" s="5">
        <v>89.11</v>
      </c>
      <c r="I94" s="5">
        <v>89</v>
      </c>
      <c r="J94" s="5">
        <v>90</v>
      </c>
      <c r="K94" s="5">
        <v>89.4</v>
      </c>
      <c r="L94" s="5">
        <v>88.524000000000001</v>
      </c>
    </row>
    <row r="95" spans="1:12" x14ac:dyDescent="0.3">
      <c r="A95" s="2" t="s">
        <v>60</v>
      </c>
      <c r="B95" s="2" t="s">
        <v>112</v>
      </c>
      <c r="C95" s="2" t="s">
        <v>113</v>
      </c>
      <c r="D95" s="2" t="s">
        <v>188</v>
      </c>
      <c r="E95" s="2">
        <v>2</v>
      </c>
      <c r="F95" s="2" t="s">
        <v>792</v>
      </c>
      <c r="G95" s="5">
        <v>90.44</v>
      </c>
      <c r="H95" s="5">
        <v>91.44</v>
      </c>
      <c r="I95" s="5">
        <v>87</v>
      </c>
      <c r="J95" s="5">
        <v>92.5</v>
      </c>
      <c r="K95" s="5">
        <v>89.9</v>
      </c>
      <c r="L95" s="5">
        <v>90.256</v>
      </c>
    </row>
    <row r="96" spans="1:12" x14ac:dyDescent="0.3">
      <c r="A96" s="2" t="s">
        <v>60</v>
      </c>
      <c r="B96" s="2" t="s">
        <v>112</v>
      </c>
      <c r="C96" s="2" t="s">
        <v>113</v>
      </c>
      <c r="D96" s="2" t="s">
        <v>301</v>
      </c>
      <c r="E96" s="2">
        <v>3</v>
      </c>
      <c r="F96" s="2" t="s">
        <v>793</v>
      </c>
      <c r="G96" s="5">
        <v>85.3</v>
      </c>
      <c r="H96" s="5">
        <v>91.3</v>
      </c>
      <c r="I96" s="5">
        <v>86.5</v>
      </c>
      <c r="J96" s="5">
        <v>82</v>
      </c>
      <c r="K96" s="5">
        <v>87.5</v>
      </c>
      <c r="L96" s="5">
        <v>86.52000000000001</v>
      </c>
    </row>
    <row r="97" spans="1:12" x14ac:dyDescent="0.3">
      <c r="A97" s="2" t="s">
        <v>60</v>
      </c>
      <c r="B97" s="2" t="s">
        <v>112</v>
      </c>
      <c r="C97" s="2" t="s">
        <v>113</v>
      </c>
      <c r="D97" s="2" t="s">
        <v>64</v>
      </c>
      <c r="E97" s="2">
        <v>4</v>
      </c>
      <c r="F97" s="2" t="s">
        <v>794</v>
      </c>
      <c r="G97" s="5">
        <v>94.44</v>
      </c>
      <c r="H97" s="5">
        <v>94.44</v>
      </c>
      <c r="I97" s="5">
        <v>94</v>
      </c>
      <c r="J97" s="5">
        <v>94</v>
      </c>
      <c r="K97" s="5">
        <v>93</v>
      </c>
      <c r="L97" s="5">
        <v>93.975999999999999</v>
      </c>
    </row>
    <row r="98" spans="1:12" x14ac:dyDescent="0.3">
      <c r="A98" s="2" t="s">
        <v>60</v>
      </c>
      <c r="B98" s="2" t="s">
        <v>114</v>
      </c>
      <c r="C98" s="2" t="s">
        <v>115</v>
      </c>
      <c r="D98" s="2" t="s">
        <v>63</v>
      </c>
      <c r="E98" s="2">
        <v>1</v>
      </c>
      <c r="F98" s="2" t="s">
        <v>791</v>
      </c>
      <c r="G98" s="5">
        <v>85</v>
      </c>
      <c r="H98" s="5">
        <v>89</v>
      </c>
      <c r="I98" s="5">
        <v>74</v>
      </c>
      <c r="J98" s="5">
        <v>93.5</v>
      </c>
      <c r="K98" s="5">
        <v>85.1</v>
      </c>
      <c r="L98" s="5">
        <v>85.320000000000007</v>
      </c>
    </row>
    <row r="99" spans="1:12" x14ac:dyDescent="0.3">
      <c r="A99" s="2" t="s">
        <v>60</v>
      </c>
      <c r="B99" s="2" t="s">
        <v>114</v>
      </c>
      <c r="C99" s="2" t="s">
        <v>115</v>
      </c>
      <c r="D99" s="2" t="s">
        <v>188</v>
      </c>
      <c r="E99" s="2">
        <v>2</v>
      </c>
      <c r="F99" s="2" t="s">
        <v>792</v>
      </c>
      <c r="G99" s="5">
        <v>92.44</v>
      </c>
      <c r="H99" s="5">
        <v>92.44</v>
      </c>
      <c r="I99" s="5">
        <v>81.5</v>
      </c>
      <c r="J99" s="5">
        <v>92.5</v>
      </c>
      <c r="K99" s="5">
        <v>90.7</v>
      </c>
      <c r="L99" s="5">
        <v>89.915999999999997</v>
      </c>
    </row>
    <row r="100" spans="1:12" x14ac:dyDescent="0.3">
      <c r="A100" s="2" t="s">
        <v>60</v>
      </c>
      <c r="B100" s="2" t="s">
        <v>114</v>
      </c>
      <c r="C100" s="2" t="s">
        <v>115</v>
      </c>
      <c r="D100" s="2" t="s">
        <v>301</v>
      </c>
      <c r="E100" s="2">
        <v>3</v>
      </c>
      <c r="F100" s="2" t="s">
        <v>793</v>
      </c>
      <c r="G100" s="5">
        <v>86.2</v>
      </c>
      <c r="H100" s="5">
        <v>91.2</v>
      </c>
      <c r="I100" s="5">
        <v>83.5</v>
      </c>
      <c r="J100" s="5">
        <v>84.5</v>
      </c>
      <c r="K100" s="5">
        <v>88.5</v>
      </c>
      <c r="L100" s="5">
        <v>86.78</v>
      </c>
    </row>
    <row r="101" spans="1:12" x14ac:dyDescent="0.3">
      <c r="A101" s="2" t="s">
        <v>60</v>
      </c>
      <c r="B101" s="2" t="s">
        <v>114</v>
      </c>
      <c r="C101" s="2" t="s">
        <v>115</v>
      </c>
      <c r="D101" s="2" t="s">
        <v>64</v>
      </c>
      <c r="E101" s="2">
        <v>4</v>
      </c>
      <c r="F101" s="2" t="s">
        <v>794</v>
      </c>
      <c r="G101" s="5">
        <v>88.94</v>
      </c>
      <c r="H101" s="5">
        <v>92.94</v>
      </c>
      <c r="I101" s="5">
        <v>91.5</v>
      </c>
      <c r="J101" s="5">
        <v>95.5</v>
      </c>
      <c r="K101" s="5">
        <v>94</v>
      </c>
      <c r="L101" s="5">
        <v>92.575999999999993</v>
      </c>
    </row>
    <row r="102" spans="1:12" x14ac:dyDescent="0.3">
      <c r="A102" s="2" t="s">
        <v>60</v>
      </c>
      <c r="B102" s="2" t="s">
        <v>116</v>
      </c>
      <c r="C102" s="2" t="s">
        <v>117</v>
      </c>
      <c r="D102" s="2" t="s">
        <v>63</v>
      </c>
      <c r="E102" s="2">
        <v>1</v>
      </c>
      <c r="F102" s="2" t="s">
        <v>791</v>
      </c>
      <c r="G102" s="5">
        <v>95.89</v>
      </c>
      <c r="H102" s="5">
        <v>95.89</v>
      </c>
      <c r="I102" s="5">
        <v>81.5</v>
      </c>
      <c r="J102" s="5">
        <v>99</v>
      </c>
      <c r="K102" s="5">
        <v>97.5</v>
      </c>
      <c r="L102" s="5">
        <v>93.955999999999989</v>
      </c>
    </row>
    <row r="103" spans="1:12" x14ac:dyDescent="0.3">
      <c r="A103" s="2" t="s">
        <v>60</v>
      </c>
      <c r="B103" s="2" t="s">
        <v>116</v>
      </c>
      <c r="C103" s="2" t="s">
        <v>117</v>
      </c>
      <c r="D103" s="2" t="s">
        <v>188</v>
      </c>
      <c r="E103" s="2">
        <v>2</v>
      </c>
      <c r="F103" s="2" t="s">
        <v>792</v>
      </c>
      <c r="G103" s="5">
        <v>95.92</v>
      </c>
      <c r="H103" s="5">
        <v>95.92</v>
      </c>
      <c r="I103" s="5">
        <v>83</v>
      </c>
      <c r="J103" s="5">
        <v>95</v>
      </c>
      <c r="K103" s="5">
        <v>95.4</v>
      </c>
      <c r="L103" s="5">
        <v>93.048000000000002</v>
      </c>
    </row>
    <row r="104" spans="1:12" x14ac:dyDescent="0.3">
      <c r="A104" s="2" t="s">
        <v>60</v>
      </c>
      <c r="B104" s="2" t="s">
        <v>116</v>
      </c>
      <c r="C104" s="2" t="s">
        <v>117</v>
      </c>
      <c r="D104" s="2" t="s">
        <v>301</v>
      </c>
      <c r="E104" s="2">
        <v>3</v>
      </c>
      <c r="F104" s="2" t="s">
        <v>793</v>
      </c>
      <c r="G104" s="5">
        <v>91.7</v>
      </c>
      <c r="H104" s="5">
        <v>95.7</v>
      </c>
      <c r="I104" s="5">
        <v>81</v>
      </c>
      <c r="J104" s="5">
        <v>97.5</v>
      </c>
      <c r="K104" s="5">
        <v>94</v>
      </c>
      <c r="L104" s="5">
        <v>91.97999999999999</v>
      </c>
    </row>
    <row r="105" spans="1:12" x14ac:dyDescent="0.3">
      <c r="A105" s="2" t="s">
        <v>60</v>
      </c>
      <c r="B105" s="2" t="s">
        <v>116</v>
      </c>
      <c r="C105" s="2" t="s">
        <v>117</v>
      </c>
      <c r="D105" s="2" t="s">
        <v>64</v>
      </c>
      <c r="E105" s="2">
        <v>4</v>
      </c>
      <c r="F105" s="2" t="s">
        <v>794</v>
      </c>
      <c r="G105" s="5">
        <v>93</v>
      </c>
      <c r="H105" s="5">
        <v>99</v>
      </c>
      <c r="I105" s="5">
        <v>96.5</v>
      </c>
      <c r="J105" s="5">
        <v>100</v>
      </c>
      <c r="K105" s="5">
        <v>99</v>
      </c>
      <c r="L105" s="5">
        <v>97.5</v>
      </c>
    </row>
    <row r="106" spans="1:12" x14ac:dyDescent="0.3">
      <c r="A106" s="2" t="s">
        <v>60</v>
      </c>
      <c r="B106" s="2" t="s">
        <v>118</v>
      </c>
      <c r="C106" s="2" t="s">
        <v>119</v>
      </c>
      <c r="D106" s="2" t="s">
        <v>63</v>
      </c>
      <c r="E106" s="2">
        <v>1</v>
      </c>
      <c r="F106" s="2" t="s">
        <v>791</v>
      </c>
      <c r="G106" s="5">
        <v>0</v>
      </c>
      <c r="H106" s="5">
        <v>0</v>
      </c>
      <c r="I106" s="5">
        <v>0</v>
      </c>
      <c r="J106" s="5">
        <v>0</v>
      </c>
      <c r="K106" s="5">
        <v>0</v>
      </c>
      <c r="L106" s="5">
        <v>0</v>
      </c>
    </row>
    <row r="107" spans="1:12" x14ac:dyDescent="0.3">
      <c r="A107" s="2" t="s">
        <v>60</v>
      </c>
      <c r="B107" s="2" t="s">
        <v>118</v>
      </c>
      <c r="C107" s="2" t="s">
        <v>119</v>
      </c>
      <c r="D107" s="2" t="s">
        <v>188</v>
      </c>
      <c r="E107" s="2">
        <v>2</v>
      </c>
      <c r="F107" s="2" t="s">
        <v>792</v>
      </c>
      <c r="G107" s="5">
        <v>95.6</v>
      </c>
      <c r="H107" s="5">
        <v>96.6</v>
      </c>
      <c r="I107" s="5">
        <v>96</v>
      </c>
      <c r="J107" s="5">
        <v>98</v>
      </c>
      <c r="K107" s="5">
        <v>95</v>
      </c>
      <c r="L107" s="5">
        <v>96.24</v>
      </c>
    </row>
    <row r="108" spans="1:12" x14ac:dyDescent="0.3">
      <c r="A108" s="2" t="s">
        <v>60</v>
      </c>
      <c r="B108" s="2" t="s">
        <v>118</v>
      </c>
      <c r="C108" s="2" t="s">
        <v>119</v>
      </c>
      <c r="D108" s="2" t="s">
        <v>301</v>
      </c>
      <c r="E108" s="2">
        <v>3</v>
      </c>
      <c r="F108" s="2" t="s">
        <v>793</v>
      </c>
      <c r="G108" s="5">
        <v>93.5</v>
      </c>
      <c r="H108" s="5">
        <v>97.5</v>
      </c>
      <c r="I108" s="5">
        <v>98.5</v>
      </c>
      <c r="J108" s="5">
        <v>97</v>
      </c>
      <c r="K108" s="5">
        <v>96</v>
      </c>
      <c r="L108" s="5">
        <v>96.5</v>
      </c>
    </row>
    <row r="109" spans="1:12" x14ac:dyDescent="0.3">
      <c r="A109" s="2" t="s">
        <v>60</v>
      </c>
      <c r="B109" s="2" t="s">
        <v>118</v>
      </c>
      <c r="C109" s="2" t="s">
        <v>119</v>
      </c>
      <c r="D109" s="2" t="s">
        <v>64</v>
      </c>
      <c r="E109" s="2">
        <v>4</v>
      </c>
      <c r="F109" s="2" t="s">
        <v>794</v>
      </c>
      <c r="G109" s="5">
        <v>97.88</v>
      </c>
      <c r="H109" s="5">
        <v>97.88</v>
      </c>
      <c r="I109" s="5">
        <v>98</v>
      </c>
      <c r="J109" s="5">
        <v>99.5</v>
      </c>
      <c r="K109" s="5">
        <v>99.5</v>
      </c>
      <c r="L109" s="5">
        <v>98.551999999999992</v>
      </c>
    </row>
    <row r="110" spans="1:12" x14ac:dyDescent="0.3">
      <c r="A110" s="2" t="s">
        <v>60</v>
      </c>
      <c r="B110" s="2" t="s">
        <v>121</v>
      </c>
      <c r="C110" s="2" t="s">
        <v>122</v>
      </c>
      <c r="D110" s="2" t="s">
        <v>63</v>
      </c>
      <c r="E110" s="2">
        <v>1</v>
      </c>
      <c r="F110" s="2" t="s">
        <v>791</v>
      </c>
      <c r="G110" s="5">
        <v>93.32</v>
      </c>
      <c r="H110" s="5">
        <v>94.32</v>
      </c>
      <c r="I110" s="5">
        <v>94</v>
      </c>
      <c r="J110" s="5">
        <v>97.5</v>
      </c>
      <c r="K110" s="5">
        <v>93.1</v>
      </c>
      <c r="L110" s="5">
        <v>94.448000000000008</v>
      </c>
    </row>
    <row r="111" spans="1:12" x14ac:dyDescent="0.3">
      <c r="A111" s="2" t="s">
        <v>60</v>
      </c>
      <c r="B111" s="2" t="s">
        <v>121</v>
      </c>
      <c r="C111" s="2" t="s">
        <v>122</v>
      </c>
      <c r="D111" s="2" t="s">
        <v>188</v>
      </c>
      <c r="E111" s="2">
        <v>2</v>
      </c>
      <c r="F111" s="2" t="s">
        <v>792</v>
      </c>
      <c r="G111" s="5">
        <v>92.56</v>
      </c>
      <c r="H111" s="5">
        <v>97.56</v>
      </c>
      <c r="I111" s="5">
        <v>93.5</v>
      </c>
      <c r="J111" s="5">
        <v>95</v>
      </c>
      <c r="K111" s="5">
        <v>96.7</v>
      </c>
      <c r="L111" s="5">
        <v>95.063999999999993</v>
      </c>
    </row>
    <row r="112" spans="1:12" x14ac:dyDescent="0.3">
      <c r="A112" s="2" t="s">
        <v>60</v>
      </c>
      <c r="B112" s="2" t="s">
        <v>121</v>
      </c>
      <c r="C112" s="2" t="s">
        <v>122</v>
      </c>
      <c r="D112" s="2" t="s">
        <v>301</v>
      </c>
      <c r="E112" s="2">
        <v>3</v>
      </c>
      <c r="F112" s="2" t="s">
        <v>793</v>
      </c>
      <c r="G112" s="5">
        <v>92.4</v>
      </c>
      <c r="H112" s="5">
        <v>96.4</v>
      </c>
      <c r="I112" s="5">
        <v>93</v>
      </c>
      <c r="J112" s="5">
        <v>97</v>
      </c>
      <c r="K112" s="5">
        <v>96.5</v>
      </c>
      <c r="L112" s="5">
        <v>95.06</v>
      </c>
    </row>
    <row r="113" spans="1:12" x14ac:dyDescent="0.3">
      <c r="A113" s="2" t="s">
        <v>60</v>
      </c>
      <c r="B113" s="2" t="s">
        <v>121</v>
      </c>
      <c r="C113" s="2" t="s">
        <v>122</v>
      </c>
      <c r="D113" s="2" t="s">
        <v>64</v>
      </c>
      <c r="E113" s="2">
        <v>4</v>
      </c>
      <c r="F113" s="2" t="s">
        <v>794</v>
      </c>
      <c r="G113" s="5">
        <v>91.19</v>
      </c>
      <c r="H113" s="5">
        <v>97.19</v>
      </c>
      <c r="I113" s="5">
        <v>95</v>
      </c>
      <c r="J113" s="5">
        <v>98</v>
      </c>
      <c r="K113" s="5">
        <v>95.5</v>
      </c>
      <c r="L113" s="5">
        <v>95.376000000000005</v>
      </c>
    </row>
    <row r="114" spans="1:12" x14ac:dyDescent="0.3">
      <c r="A114" s="2" t="s">
        <v>60</v>
      </c>
      <c r="B114" s="2" t="s">
        <v>123</v>
      </c>
      <c r="C114" s="2" t="s">
        <v>124</v>
      </c>
      <c r="D114" s="2" t="s">
        <v>63</v>
      </c>
      <c r="E114" s="2">
        <v>1</v>
      </c>
      <c r="F114" s="2" t="s">
        <v>791</v>
      </c>
      <c r="G114" s="5">
        <v>86.86</v>
      </c>
      <c r="H114" s="5">
        <v>89.86</v>
      </c>
      <c r="I114" s="5">
        <v>71</v>
      </c>
      <c r="J114" s="5">
        <v>90</v>
      </c>
      <c r="K114" s="5">
        <v>88</v>
      </c>
      <c r="L114" s="5">
        <v>85.144000000000005</v>
      </c>
    </row>
    <row r="115" spans="1:12" x14ac:dyDescent="0.3">
      <c r="A115" s="2" t="s">
        <v>60</v>
      </c>
      <c r="B115" s="2" t="s">
        <v>123</v>
      </c>
      <c r="C115" s="2" t="s">
        <v>124</v>
      </c>
      <c r="D115" s="2" t="s">
        <v>188</v>
      </c>
      <c r="E115" s="2">
        <v>2</v>
      </c>
      <c r="F115" s="2" t="s">
        <v>792</v>
      </c>
      <c r="G115" s="5">
        <v>89.72</v>
      </c>
      <c r="H115" s="5">
        <v>93.72</v>
      </c>
      <c r="I115" s="5">
        <v>80.5</v>
      </c>
      <c r="J115" s="5">
        <v>91.5</v>
      </c>
      <c r="K115" s="5">
        <v>91.5</v>
      </c>
      <c r="L115" s="5">
        <v>89.388000000000005</v>
      </c>
    </row>
    <row r="116" spans="1:12" x14ac:dyDescent="0.3">
      <c r="A116" s="2" t="s">
        <v>60</v>
      </c>
      <c r="B116" s="2" t="s">
        <v>123</v>
      </c>
      <c r="C116" s="2" t="s">
        <v>124</v>
      </c>
      <c r="D116" s="2" t="s">
        <v>301</v>
      </c>
      <c r="E116" s="2">
        <v>3</v>
      </c>
      <c r="F116" s="2" t="s">
        <v>793</v>
      </c>
      <c r="G116" s="5">
        <v>93.5</v>
      </c>
      <c r="H116" s="5">
        <v>93.5</v>
      </c>
      <c r="I116" s="5">
        <v>83.5</v>
      </c>
      <c r="J116" s="5">
        <v>87.5</v>
      </c>
      <c r="K116" s="5">
        <v>86.5</v>
      </c>
      <c r="L116" s="5">
        <v>88.9</v>
      </c>
    </row>
    <row r="117" spans="1:12" x14ac:dyDescent="0.3">
      <c r="A117" s="2" t="s">
        <v>60</v>
      </c>
      <c r="B117" s="2" t="s">
        <v>123</v>
      </c>
      <c r="C117" s="2" t="s">
        <v>124</v>
      </c>
      <c r="D117" s="2" t="s">
        <v>64</v>
      </c>
      <c r="E117" s="2">
        <v>4</v>
      </c>
      <c r="F117" s="2" t="s">
        <v>794</v>
      </c>
      <c r="G117" s="5">
        <v>86.69</v>
      </c>
      <c r="H117" s="5">
        <v>91.69</v>
      </c>
      <c r="I117" s="5">
        <v>88</v>
      </c>
      <c r="J117" s="5">
        <v>88.5</v>
      </c>
      <c r="K117" s="5">
        <v>93</v>
      </c>
      <c r="L117" s="5">
        <v>89.575999999999993</v>
      </c>
    </row>
    <row r="118" spans="1:12" x14ac:dyDescent="0.3">
      <c r="A118" s="2" t="s">
        <v>60</v>
      </c>
      <c r="B118" s="2" t="s">
        <v>125</v>
      </c>
      <c r="C118" s="2" t="s">
        <v>126</v>
      </c>
      <c r="D118" s="2" t="s">
        <v>63</v>
      </c>
      <c r="E118" s="2">
        <v>1</v>
      </c>
      <c r="F118" s="2" t="s">
        <v>791</v>
      </c>
      <c r="G118" s="5">
        <v>86.71</v>
      </c>
      <c r="H118" s="5">
        <v>92.71</v>
      </c>
      <c r="I118" s="5">
        <v>87</v>
      </c>
      <c r="J118" s="5">
        <v>95</v>
      </c>
      <c r="K118" s="5">
        <v>93.6</v>
      </c>
      <c r="L118" s="5">
        <v>91.003999999999991</v>
      </c>
    </row>
    <row r="119" spans="1:12" x14ac:dyDescent="0.3">
      <c r="A119" s="2" t="s">
        <v>60</v>
      </c>
      <c r="B119" s="2" t="s">
        <v>125</v>
      </c>
      <c r="C119" s="2" t="s">
        <v>126</v>
      </c>
      <c r="D119" s="2" t="s">
        <v>188</v>
      </c>
      <c r="E119" s="2">
        <v>2</v>
      </c>
      <c r="F119" s="2" t="s">
        <v>792</v>
      </c>
      <c r="G119" s="5">
        <v>91.2</v>
      </c>
      <c r="H119" s="5">
        <v>92.2</v>
      </c>
      <c r="I119" s="5">
        <v>87.5</v>
      </c>
      <c r="J119" s="5">
        <v>95.5</v>
      </c>
      <c r="K119" s="5">
        <v>89.7</v>
      </c>
      <c r="L119" s="5">
        <v>91.22</v>
      </c>
    </row>
    <row r="120" spans="1:12" x14ac:dyDescent="0.3">
      <c r="A120" s="2" t="s">
        <v>60</v>
      </c>
      <c r="B120" s="2" t="s">
        <v>125</v>
      </c>
      <c r="C120" s="2" t="s">
        <v>126</v>
      </c>
      <c r="D120" s="2" t="s">
        <v>301</v>
      </c>
      <c r="E120" s="2">
        <v>3</v>
      </c>
      <c r="F120" s="2" t="s">
        <v>793</v>
      </c>
      <c r="G120" s="5">
        <v>88.8</v>
      </c>
      <c r="H120" s="5">
        <v>93.8</v>
      </c>
      <c r="I120" s="5">
        <v>93</v>
      </c>
      <c r="J120" s="5">
        <v>82.5</v>
      </c>
      <c r="K120" s="5">
        <v>88</v>
      </c>
      <c r="L120" s="5">
        <v>89.22</v>
      </c>
    </row>
    <row r="121" spans="1:12" x14ac:dyDescent="0.3">
      <c r="A121" s="2" t="s">
        <v>60</v>
      </c>
      <c r="B121" s="2" t="s">
        <v>125</v>
      </c>
      <c r="C121" s="2" t="s">
        <v>126</v>
      </c>
      <c r="D121" s="2" t="s">
        <v>64</v>
      </c>
      <c r="E121" s="2">
        <v>4</v>
      </c>
      <c r="F121" s="2" t="s">
        <v>794</v>
      </c>
      <c r="G121" s="5">
        <v>86.56</v>
      </c>
      <c r="H121" s="5">
        <v>90.56</v>
      </c>
      <c r="I121" s="5">
        <v>94</v>
      </c>
      <c r="J121" s="5">
        <v>93.5</v>
      </c>
      <c r="K121" s="5">
        <v>83.5</v>
      </c>
      <c r="L121" s="5">
        <v>89.623999999999995</v>
      </c>
    </row>
    <row r="122" spans="1:12" x14ac:dyDescent="0.3">
      <c r="A122" s="2" t="s">
        <v>60</v>
      </c>
      <c r="B122" s="2" t="s">
        <v>127</v>
      </c>
      <c r="C122" s="2" t="s">
        <v>128</v>
      </c>
      <c r="D122" s="2" t="s">
        <v>63</v>
      </c>
      <c r="E122" s="2">
        <v>1</v>
      </c>
      <c r="F122" s="2" t="s">
        <v>791</v>
      </c>
      <c r="G122" s="5">
        <v>90.11</v>
      </c>
      <c r="H122" s="5">
        <v>91.11</v>
      </c>
      <c r="I122" s="5">
        <v>76</v>
      </c>
      <c r="J122" s="5">
        <v>92</v>
      </c>
      <c r="K122" s="5">
        <v>91.6</v>
      </c>
      <c r="L122" s="5">
        <v>88.164000000000016</v>
      </c>
    </row>
    <row r="123" spans="1:12" x14ac:dyDescent="0.3">
      <c r="A123" s="2" t="s">
        <v>60</v>
      </c>
      <c r="B123" s="2" t="s">
        <v>127</v>
      </c>
      <c r="C123" s="2" t="s">
        <v>128</v>
      </c>
      <c r="D123" s="2" t="s">
        <v>188</v>
      </c>
      <c r="E123" s="2">
        <v>2</v>
      </c>
      <c r="F123" s="2" t="s">
        <v>792</v>
      </c>
      <c r="G123" s="5">
        <v>87.92</v>
      </c>
      <c r="H123" s="5">
        <v>91.92</v>
      </c>
      <c r="I123" s="5">
        <v>82.5</v>
      </c>
      <c r="J123" s="5">
        <v>96</v>
      </c>
      <c r="K123" s="5">
        <v>87.8</v>
      </c>
      <c r="L123" s="5">
        <v>89.228000000000009</v>
      </c>
    </row>
    <row r="124" spans="1:12" x14ac:dyDescent="0.3">
      <c r="A124" s="2" t="s">
        <v>60</v>
      </c>
      <c r="B124" s="2" t="s">
        <v>127</v>
      </c>
      <c r="C124" s="2" t="s">
        <v>128</v>
      </c>
      <c r="D124" s="2" t="s">
        <v>301</v>
      </c>
      <c r="E124" s="2">
        <v>3</v>
      </c>
      <c r="F124" s="2" t="s">
        <v>793</v>
      </c>
      <c r="G124" s="5">
        <v>86.3</v>
      </c>
      <c r="H124" s="5">
        <v>92.3</v>
      </c>
      <c r="I124" s="5">
        <v>83</v>
      </c>
      <c r="J124" s="5">
        <v>88</v>
      </c>
      <c r="K124" s="5">
        <v>85.5</v>
      </c>
      <c r="L124" s="5">
        <v>87.02000000000001</v>
      </c>
    </row>
    <row r="125" spans="1:12" x14ac:dyDescent="0.3">
      <c r="A125" s="2" t="s">
        <v>60</v>
      </c>
      <c r="B125" s="2" t="s">
        <v>127</v>
      </c>
      <c r="C125" s="2" t="s">
        <v>128</v>
      </c>
      <c r="D125" s="2" t="s">
        <v>64</v>
      </c>
      <c r="E125" s="2">
        <v>4</v>
      </c>
      <c r="F125" s="2" t="s">
        <v>794</v>
      </c>
      <c r="G125" s="5">
        <v>91.81</v>
      </c>
      <c r="H125" s="5">
        <v>96.81</v>
      </c>
      <c r="I125" s="5">
        <v>95</v>
      </c>
      <c r="J125" s="5">
        <v>95.5</v>
      </c>
      <c r="K125" s="5">
        <v>96.5</v>
      </c>
      <c r="L125" s="5">
        <v>95.123999999999995</v>
      </c>
    </row>
    <row r="126" spans="1:12" x14ac:dyDescent="0.3">
      <c r="A126" s="2" t="s">
        <v>60</v>
      </c>
      <c r="B126" s="2" t="s">
        <v>129</v>
      </c>
      <c r="C126" s="2" t="s">
        <v>130</v>
      </c>
      <c r="D126" s="2" t="s">
        <v>63</v>
      </c>
      <c r="E126" s="2">
        <v>1</v>
      </c>
      <c r="F126" s="2" t="s">
        <v>791</v>
      </c>
      <c r="G126" s="5">
        <v>89.64</v>
      </c>
      <c r="H126" s="5">
        <v>94.64</v>
      </c>
      <c r="I126" s="5">
        <v>90</v>
      </c>
      <c r="J126" s="5">
        <v>97</v>
      </c>
      <c r="K126" s="5">
        <v>92.6</v>
      </c>
      <c r="L126" s="5">
        <v>92.775999999999996</v>
      </c>
    </row>
    <row r="127" spans="1:12" x14ac:dyDescent="0.3">
      <c r="A127" s="2" t="s">
        <v>60</v>
      </c>
      <c r="B127" s="2" t="s">
        <v>129</v>
      </c>
      <c r="C127" s="2" t="s">
        <v>130</v>
      </c>
      <c r="D127" s="2" t="s">
        <v>188</v>
      </c>
      <c r="E127" s="2">
        <v>2</v>
      </c>
      <c r="F127" s="2" t="s">
        <v>792</v>
      </c>
      <c r="G127" s="5">
        <v>92.04</v>
      </c>
      <c r="H127" s="5">
        <v>97.04</v>
      </c>
      <c r="I127" s="5">
        <v>93.5</v>
      </c>
      <c r="J127" s="5">
        <v>96.5</v>
      </c>
      <c r="K127" s="5">
        <v>96</v>
      </c>
      <c r="L127" s="5">
        <v>95.016000000000005</v>
      </c>
    </row>
    <row r="128" spans="1:12" x14ac:dyDescent="0.3">
      <c r="A128" s="2" t="s">
        <v>60</v>
      </c>
      <c r="B128" s="2" t="s">
        <v>129</v>
      </c>
      <c r="C128" s="2" t="s">
        <v>130</v>
      </c>
      <c r="D128" s="2" t="s">
        <v>301</v>
      </c>
      <c r="E128" s="2">
        <v>3</v>
      </c>
      <c r="F128" s="2" t="s">
        <v>793</v>
      </c>
      <c r="G128" s="5">
        <v>94</v>
      </c>
      <c r="H128" s="5">
        <v>98</v>
      </c>
      <c r="I128" s="5">
        <v>97.5</v>
      </c>
      <c r="J128" s="5">
        <v>98</v>
      </c>
      <c r="K128" s="5">
        <v>94.5</v>
      </c>
      <c r="L128" s="5">
        <v>96.4</v>
      </c>
    </row>
    <row r="129" spans="1:12" x14ac:dyDescent="0.3">
      <c r="A129" s="2" t="s">
        <v>60</v>
      </c>
      <c r="B129" s="2" t="s">
        <v>129</v>
      </c>
      <c r="C129" s="2" t="s">
        <v>130</v>
      </c>
      <c r="D129" s="2" t="s">
        <v>64</v>
      </c>
      <c r="E129" s="2">
        <v>4</v>
      </c>
      <c r="F129" s="2" t="s">
        <v>794</v>
      </c>
      <c r="G129" s="5">
        <v>92.31</v>
      </c>
      <c r="H129" s="5">
        <v>98.31</v>
      </c>
      <c r="I129" s="5">
        <v>98.5</v>
      </c>
      <c r="J129" s="5">
        <v>100</v>
      </c>
      <c r="K129" s="5">
        <v>97.5</v>
      </c>
      <c r="L129" s="5">
        <v>97.323999999999998</v>
      </c>
    </row>
    <row r="130" spans="1:12" x14ac:dyDescent="0.3">
      <c r="A130" s="2" t="s">
        <v>60</v>
      </c>
      <c r="B130" s="2" t="s">
        <v>131</v>
      </c>
      <c r="C130" s="2" t="s">
        <v>132</v>
      </c>
      <c r="D130" s="2" t="s">
        <v>63</v>
      </c>
      <c r="E130" s="2">
        <v>1</v>
      </c>
      <c r="F130" s="2" t="s">
        <v>791</v>
      </c>
      <c r="G130" s="5">
        <v>94.25</v>
      </c>
      <c r="H130" s="5">
        <v>98.25</v>
      </c>
      <c r="I130" s="5">
        <v>93.5</v>
      </c>
      <c r="J130" s="5">
        <v>100</v>
      </c>
      <c r="K130" s="5">
        <v>98.6</v>
      </c>
      <c r="L130" s="5">
        <v>96.92</v>
      </c>
    </row>
    <row r="131" spans="1:12" x14ac:dyDescent="0.3">
      <c r="A131" s="2" t="s">
        <v>60</v>
      </c>
      <c r="B131" s="2" t="s">
        <v>131</v>
      </c>
      <c r="C131" s="2" t="s">
        <v>132</v>
      </c>
      <c r="D131" s="2" t="s">
        <v>188</v>
      </c>
      <c r="E131" s="2">
        <v>2</v>
      </c>
      <c r="F131" s="2" t="s">
        <v>792</v>
      </c>
      <c r="G131" s="5">
        <v>92.64</v>
      </c>
      <c r="H131" s="5">
        <v>98.64</v>
      </c>
      <c r="I131" s="5">
        <v>94.5</v>
      </c>
      <c r="J131" s="5">
        <v>98</v>
      </c>
      <c r="K131" s="5">
        <v>98.1</v>
      </c>
      <c r="L131" s="5">
        <v>96.376000000000005</v>
      </c>
    </row>
    <row r="132" spans="1:12" x14ac:dyDescent="0.3">
      <c r="A132" s="2" t="s">
        <v>60</v>
      </c>
      <c r="B132" s="2" t="s">
        <v>131</v>
      </c>
      <c r="C132" s="2" t="s">
        <v>132</v>
      </c>
      <c r="D132" s="2" t="s">
        <v>301</v>
      </c>
      <c r="E132" s="2">
        <v>3</v>
      </c>
      <c r="F132" s="2" t="s">
        <v>793</v>
      </c>
      <c r="G132" s="5">
        <v>97.9</v>
      </c>
      <c r="H132" s="5">
        <v>98.9</v>
      </c>
      <c r="I132" s="5">
        <v>94.5</v>
      </c>
      <c r="J132" s="5">
        <v>100</v>
      </c>
      <c r="K132" s="5">
        <v>96.5</v>
      </c>
      <c r="L132" s="5">
        <v>97.56</v>
      </c>
    </row>
    <row r="133" spans="1:12" x14ac:dyDescent="0.3">
      <c r="A133" s="2" t="s">
        <v>60</v>
      </c>
      <c r="B133" s="2" t="s">
        <v>131</v>
      </c>
      <c r="C133" s="2" t="s">
        <v>132</v>
      </c>
      <c r="D133" s="2" t="s">
        <v>64</v>
      </c>
      <c r="E133" s="2">
        <v>4</v>
      </c>
      <c r="F133" s="2" t="s">
        <v>794</v>
      </c>
      <c r="G133" s="5">
        <v>97.38</v>
      </c>
      <c r="H133" s="5">
        <v>99.38</v>
      </c>
      <c r="I133" s="5">
        <v>97</v>
      </c>
      <c r="J133" s="5">
        <v>100</v>
      </c>
      <c r="K133" s="5">
        <v>100</v>
      </c>
      <c r="L133" s="5">
        <v>98.751999999999995</v>
      </c>
    </row>
    <row r="134" spans="1:12" x14ac:dyDescent="0.3">
      <c r="A134" s="2" t="s">
        <v>60</v>
      </c>
      <c r="B134" s="2" t="s">
        <v>133</v>
      </c>
      <c r="C134" s="2" t="s">
        <v>134</v>
      </c>
      <c r="D134" s="2" t="s">
        <v>63</v>
      </c>
      <c r="E134" s="2">
        <v>1</v>
      </c>
      <c r="F134" s="2" t="s">
        <v>791</v>
      </c>
      <c r="G134" s="5">
        <v>87.79</v>
      </c>
      <c r="H134" s="5">
        <v>92.79</v>
      </c>
      <c r="I134" s="5">
        <v>86.5</v>
      </c>
      <c r="J134" s="5">
        <v>95.5</v>
      </c>
      <c r="K134" s="5">
        <v>89.3</v>
      </c>
      <c r="L134" s="5">
        <v>90.376000000000005</v>
      </c>
    </row>
    <row r="135" spans="1:12" x14ac:dyDescent="0.3">
      <c r="A135" s="2" t="s">
        <v>60</v>
      </c>
      <c r="B135" s="2" t="s">
        <v>133</v>
      </c>
      <c r="C135" s="2" t="s">
        <v>134</v>
      </c>
      <c r="D135" s="2" t="s">
        <v>188</v>
      </c>
      <c r="E135" s="2">
        <v>2</v>
      </c>
      <c r="F135" s="2" t="s">
        <v>792</v>
      </c>
      <c r="G135" s="5">
        <v>91.56</v>
      </c>
      <c r="H135" s="5">
        <v>95.56</v>
      </c>
      <c r="I135" s="5">
        <v>92</v>
      </c>
      <c r="J135" s="5">
        <v>90</v>
      </c>
      <c r="K135" s="5">
        <v>94.7</v>
      </c>
      <c r="L135" s="5">
        <v>92.763999999999996</v>
      </c>
    </row>
    <row r="136" spans="1:12" x14ac:dyDescent="0.3">
      <c r="A136" s="2" t="s">
        <v>60</v>
      </c>
      <c r="B136" s="2" t="s">
        <v>133</v>
      </c>
      <c r="C136" s="2" t="s">
        <v>134</v>
      </c>
      <c r="D136" s="2" t="s">
        <v>301</v>
      </c>
      <c r="E136" s="2">
        <v>3</v>
      </c>
      <c r="F136" s="2" t="s">
        <v>793</v>
      </c>
      <c r="G136" s="5">
        <v>89.3</v>
      </c>
      <c r="H136" s="5">
        <v>95.3</v>
      </c>
      <c r="I136" s="5">
        <v>89</v>
      </c>
      <c r="J136" s="5">
        <v>85.5</v>
      </c>
      <c r="K136" s="5">
        <v>92</v>
      </c>
      <c r="L136" s="5">
        <v>90.22</v>
      </c>
    </row>
    <row r="137" spans="1:12" x14ac:dyDescent="0.3">
      <c r="A137" s="2" t="s">
        <v>60</v>
      </c>
      <c r="B137" s="2" t="s">
        <v>133</v>
      </c>
      <c r="C137" s="2" t="s">
        <v>134</v>
      </c>
      <c r="D137" s="2" t="s">
        <v>64</v>
      </c>
      <c r="E137" s="2">
        <v>4</v>
      </c>
      <c r="F137" s="2" t="s">
        <v>794</v>
      </c>
      <c r="G137" s="5">
        <v>93.81</v>
      </c>
      <c r="H137" s="5">
        <v>95.81</v>
      </c>
      <c r="I137" s="5">
        <v>98.5</v>
      </c>
      <c r="J137" s="5">
        <v>95.5</v>
      </c>
      <c r="K137" s="5">
        <v>94.5</v>
      </c>
      <c r="L137" s="5">
        <v>95.623999999999995</v>
      </c>
    </row>
    <row r="138" spans="1:12" x14ac:dyDescent="0.3">
      <c r="A138" s="2" t="s">
        <v>60</v>
      </c>
      <c r="B138" s="2" t="s">
        <v>135</v>
      </c>
      <c r="C138" s="2" t="s">
        <v>136</v>
      </c>
      <c r="D138" s="2" t="s">
        <v>63</v>
      </c>
      <c r="E138" s="2">
        <v>1</v>
      </c>
      <c r="F138" s="2" t="s">
        <v>791</v>
      </c>
      <c r="G138" s="5">
        <v>84.89</v>
      </c>
      <c r="H138" s="5">
        <v>90.89</v>
      </c>
      <c r="I138" s="5">
        <v>88</v>
      </c>
      <c r="J138" s="5">
        <v>97</v>
      </c>
      <c r="K138" s="5">
        <v>92.2</v>
      </c>
      <c r="L138" s="5">
        <v>90.595999999999989</v>
      </c>
    </row>
    <row r="139" spans="1:12" x14ac:dyDescent="0.3">
      <c r="A139" s="2" t="s">
        <v>60</v>
      </c>
      <c r="B139" s="2" t="s">
        <v>135</v>
      </c>
      <c r="C139" s="2" t="s">
        <v>136</v>
      </c>
      <c r="D139" s="2" t="s">
        <v>188</v>
      </c>
      <c r="E139" s="2">
        <v>2</v>
      </c>
      <c r="F139" s="2" t="s">
        <v>792</v>
      </c>
      <c r="G139" s="5">
        <v>91.12</v>
      </c>
      <c r="H139" s="5">
        <v>93.12</v>
      </c>
      <c r="I139" s="5">
        <v>89</v>
      </c>
      <c r="J139" s="5">
        <v>94</v>
      </c>
      <c r="K139" s="5">
        <v>89.1</v>
      </c>
      <c r="L139" s="5">
        <v>91.268000000000001</v>
      </c>
    </row>
    <row r="140" spans="1:12" x14ac:dyDescent="0.3">
      <c r="A140" s="2" t="s">
        <v>60</v>
      </c>
      <c r="B140" s="2" t="s">
        <v>135</v>
      </c>
      <c r="C140" s="2" t="s">
        <v>136</v>
      </c>
      <c r="D140" s="2" t="s">
        <v>301</v>
      </c>
      <c r="E140" s="2">
        <v>3</v>
      </c>
      <c r="F140" s="2" t="s">
        <v>793</v>
      </c>
      <c r="G140" s="5">
        <v>87.1</v>
      </c>
      <c r="H140" s="5">
        <v>91.1</v>
      </c>
      <c r="I140" s="5">
        <v>93.5</v>
      </c>
      <c r="J140" s="5">
        <v>76</v>
      </c>
      <c r="K140" s="5">
        <v>84.5</v>
      </c>
      <c r="L140" s="5">
        <v>86.44</v>
      </c>
    </row>
    <row r="141" spans="1:12" x14ac:dyDescent="0.3">
      <c r="A141" s="2" t="s">
        <v>60</v>
      </c>
      <c r="B141" s="2" t="s">
        <v>135</v>
      </c>
      <c r="C141" s="2" t="s">
        <v>136</v>
      </c>
      <c r="D141" s="2" t="s">
        <v>64</v>
      </c>
      <c r="E141" s="2">
        <v>4</v>
      </c>
      <c r="F141" s="2" t="s">
        <v>794</v>
      </c>
      <c r="G141" s="5">
        <v>86.88</v>
      </c>
      <c r="H141" s="5">
        <v>90.88</v>
      </c>
      <c r="I141" s="5">
        <v>96</v>
      </c>
      <c r="J141" s="5">
        <v>91</v>
      </c>
      <c r="K141" s="5">
        <v>83.5</v>
      </c>
      <c r="L141" s="5">
        <v>89.652000000000001</v>
      </c>
    </row>
    <row r="142" spans="1:12" x14ac:dyDescent="0.3">
      <c r="A142" s="2" t="s">
        <v>60</v>
      </c>
      <c r="B142" s="2" t="s">
        <v>137</v>
      </c>
      <c r="C142" s="2" t="s">
        <v>138</v>
      </c>
      <c r="D142" s="2" t="s">
        <v>63</v>
      </c>
      <c r="E142" s="2">
        <v>1</v>
      </c>
      <c r="F142" s="2" t="s">
        <v>791</v>
      </c>
      <c r="G142" s="5">
        <v>87.11</v>
      </c>
      <c r="H142" s="5">
        <v>89.11</v>
      </c>
      <c r="I142" s="5">
        <v>80.5</v>
      </c>
      <c r="J142" s="5">
        <v>90</v>
      </c>
      <c r="K142" s="5">
        <v>84.8</v>
      </c>
      <c r="L142" s="5">
        <v>86.304000000000002</v>
      </c>
    </row>
    <row r="143" spans="1:12" x14ac:dyDescent="0.3">
      <c r="A143" s="2" t="s">
        <v>60</v>
      </c>
      <c r="B143" s="2" t="s">
        <v>137</v>
      </c>
      <c r="C143" s="2" t="s">
        <v>138</v>
      </c>
      <c r="D143" s="2" t="s">
        <v>188</v>
      </c>
      <c r="E143" s="2">
        <v>2</v>
      </c>
      <c r="F143" s="2" t="s">
        <v>792</v>
      </c>
      <c r="G143" s="5">
        <v>89.8</v>
      </c>
      <c r="H143" s="5">
        <v>93.8</v>
      </c>
      <c r="I143" s="5">
        <v>77</v>
      </c>
      <c r="J143" s="5">
        <v>95.5</v>
      </c>
      <c r="K143" s="5">
        <v>93.1</v>
      </c>
      <c r="L143" s="5">
        <v>89.84</v>
      </c>
    </row>
    <row r="144" spans="1:12" x14ac:dyDescent="0.3">
      <c r="A144" s="2" t="s">
        <v>60</v>
      </c>
      <c r="B144" s="2" t="s">
        <v>137</v>
      </c>
      <c r="C144" s="2" t="s">
        <v>138</v>
      </c>
      <c r="D144" s="2" t="s">
        <v>301</v>
      </c>
      <c r="E144" s="2">
        <v>3</v>
      </c>
      <c r="F144" s="2" t="s">
        <v>793</v>
      </c>
      <c r="G144" s="5">
        <v>91.7</v>
      </c>
      <c r="H144" s="5">
        <v>91.7</v>
      </c>
      <c r="I144" s="5">
        <v>70</v>
      </c>
      <c r="J144" s="5">
        <v>87.5</v>
      </c>
      <c r="K144" s="5">
        <v>86</v>
      </c>
      <c r="L144" s="5">
        <v>85.38</v>
      </c>
    </row>
    <row r="145" spans="1:12" x14ac:dyDescent="0.3">
      <c r="A145" s="2" t="s">
        <v>60</v>
      </c>
      <c r="B145" s="2" t="s">
        <v>137</v>
      </c>
      <c r="C145" s="2" t="s">
        <v>138</v>
      </c>
      <c r="D145" s="2" t="s">
        <v>64</v>
      </c>
      <c r="E145" s="2">
        <v>4</v>
      </c>
      <c r="F145" s="2" t="s">
        <v>794</v>
      </c>
      <c r="G145" s="5">
        <v>94.06</v>
      </c>
      <c r="H145" s="5">
        <v>94.06</v>
      </c>
      <c r="I145" s="5">
        <v>94</v>
      </c>
      <c r="J145" s="5">
        <v>93</v>
      </c>
      <c r="K145" s="5">
        <v>92</v>
      </c>
      <c r="L145" s="5">
        <v>93.424000000000007</v>
      </c>
    </row>
    <row r="146" spans="1:12" x14ac:dyDescent="0.3">
      <c r="A146" s="2" t="s">
        <v>60</v>
      </c>
      <c r="B146" s="2" t="s">
        <v>139</v>
      </c>
      <c r="C146" s="2" t="s">
        <v>140</v>
      </c>
      <c r="D146" s="2" t="s">
        <v>63</v>
      </c>
      <c r="E146" s="2">
        <v>1</v>
      </c>
      <c r="F146" s="2" t="s">
        <v>791</v>
      </c>
      <c r="G146" s="5">
        <v>81.5</v>
      </c>
      <c r="H146" s="5">
        <v>87.5</v>
      </c>
      <c r="I146" s="5">
        <v>80</v>
      </c>
      <c r="J146" s="5">
        <v>82</v>
      </c>
      <c r="K146" s="5">
        <v>82.4</v>
      </c>
      <c r="L146" s="5">
        <v>82.679999999999993</v>
      </c>
    </row>
    <row r="147" spans="1:12" x14ac:dyDescent="0.3">
      <c r="A147" s="2" t="s">
        <v>60</v>
      </c>
      <c r="B147" s="2" t="s">
        <v>139</v>
      </c>
      <c r="C147" s="2" t="s">
        <v>140</v>
      </c>
      <c r="D147" s="2" t="s">
        <v>188</v>
      </c>
      <c r="E147" s="2">
        <v>2</v>
      </c>
      <c r="F147" s="2" t="s">
        <v>792</v>
      </c>
      <c r="G147" s="5">
        <v>87.72</v>
      </c>
      <c r="H147" s="5">
        <v>92.72</v>
      </c>
      <c r="I147" s="5">
        <v>79.5</v>
      </c>
      <c r="J147" s="5">
        <v>93.5</v>
      </c>
      <c r="K147" s="5">
        <v>89.3</v>
      </c>
      <c r="L147" s="5">
        <v>88.548000000000002</v>
      </c>
    </row>
    <row r="148" spans="1:12" x14ac:dyDescent="0.3">
      <c r="A148" s="2" t="s">
        <v>60</v>
      </c>
      <c r="B148" s="2" t="s">
        <v>139</v>
      </c>
      <c r="C148" s="2" t="s">
        <v>140</v>
      </c>
      <c r="D148" s="2" t="s">
        <v>301</v>
      </c>
      <c r="E148" s="2">
        <v>3</v>
      </c>
      <c r="F148" s="2" t="s">
        <v>793</v>
      </c>
      <c r="G148" s="5">
        <v>89.6</v>
      </c>
      <c r="H148" s="5">
        <v>91.6</v>
      </c>
      <c r="I148" s="5">
        <v>83</v>
      </c>
      <c r="J148" s="5">
        <v>87.5</v>
      </c>
      <c r="K148" s="5">
        <v>88.5</v>
      </c>
      <c r="L148" s="5">
        <v>88.039999999999992</v>
      </c>
    </row>
    <row r="149" spans="1:12" x14ac:dyDescent="0.3">
      <c r="A149" s="2" t="s">
        <v>60</v>
      </c>
      <c r="B149" s="2" t="s">
        <v>139</v>
      </c>
      <c r="C149" s="2" t="s">
        <v>140</v>
      </c>
      <c r="D149" s="2" t="s">
        <v>64</v>
      </c>
      <c r="E149" s="2">
        <v>4</v>
      </c>
      <c r="F149" s="2" t="s">
        <v>794</v>
      </c>
      <c r="G149" s="5">
        <v>91.56</v>
      </c>
      <c r="H149" s="5">
        <v>94.56</v>
      </c>
      <c r="I149" s="5">
        <v>93</v>
      </c>
      <c r="J149" s="5">
        <v>93</v>
      </c>
      <c r="K149" s="5">
        <v>94</v>
      </c>
      <c r="L149" s="5">
        <v>93.224000000000004</v>
      </c>
    </row>
    <row r="150" spans="1:12" x14ac:dyDescent="0.3">
      <c r="A150" s="2" t="s">
        <v>60</v>
      </c>
      <c r="B150" s="2" t="s">
        <v>141</v>
      </c>
      <c r="C150" s="2" t="s">
        <v>142</v>
      </c>
      <c r="D150" s="2" t="s">
        <v>63</v>
      </c>
      <c r="E150" s="2">
        <v>1</v>
      </c>
      <c r="F150" s="2" t="s">
        <v>791</v>
      </c>
      <c r="G150" s="5">
        <v>90.21</v>
      </c>
      <c r="H150" s="5">
        <v>95.21</v>
      </c>
      <c r="I150" s="5">
        <v>95</v>
      </c>
      <c r="J150" s="5">
        <v>98.5</v>
      </c>
      <c r="K150" s="5">
        <v>93.6</v>
      </c>
      <c r="L150" s="5">
        <v>94.503999999999991</v>
      </c>
    </row>
    <row r="151" spans="1:12" x14ac:dyDescent="0.3">
      <c r="A151" s="2" t="s">
        <v>60</v>
      </c>
      <c r="B151" s="2" t="s">
        <v>141</v>
      </c>
      <c r="C151" s="2" t="s">
        <v>142</v>
      </c>
      <c r="D151" s="2" t="s">
        <v>188</v>
      </c>
      <c r="E151" s="2">
        <v>2</v>
      </c>
      <c r="F151" s="2" t="s">
        <v>792</v>
      </c>
      <c r="G151" s="5">
        <v>94.68</v>
      </c>
      <c r="H151" s="5">
        <v>96.68</v>
      </c>
      <c r="I151" s="5">
        <v>90.5</v>
      </c>
      <c r="J151" s="5">
        <v>95.5</v>
      </c>
      <c r="K151" s="5">
        <v>95.4</v>
      </c>
      <c r="L151" s="5">
        <v>94.551999999999992</v>
      </c>
    </row>
    <row r="152" spans="1:12" x14ac:dyDescent="0.3">
      <c r="A152" s="2" t="s">
        <v>60</v>
      </c>
      <c r="B152" s="2" t="s">
        <v>141</v>
      </c>
      <c r="C152" s="2" t="s">
        <v>142</v>
      </c>
      <c r="D152" s="2" t="s">
        <v>301</v>
      </c>
      <c r="E152" s="2">
        <v>3</v>
      </c>
      <c r="F152" s="2" t="s">
        <v>793</v>
      </c>
      <c r="G152" s="5">
        <v>95.9</v>
      </c>
      <c r="H152" s="5">
        <v>97.9</v>
      </c>
      <c r="I152" s="5">
        <v>96.5</v>
      </c>
      <c r="J152" s="5">
        <v>98</v>
      </c>
      <c r="K152" s="5">
        <v>94.5</v>
      </c>
      <c r="L152" s="5">
        <v>96.56</v>
      </c>
    </row>
    <row r="153" spans="1:12" x14ac:dyDescent="0.3">
      <c r="A153" s="2" t="s">
        <v>60</v>
      </c>
      <c r="B153" s="2" t="s">
        <v>141</v>
      </c>
      <c r="C153" s="2" t="s">
        <v>142</v>
      </c>
      <c r="D153" s="2" t="s">
        <v>64</v>
      </c>
      <c r="E153" s="2">
        <v>4</v>
      </c>
      <c r="F153" s="2" t="s">
        <v>794</v>
      </c>
      <c r="G153" s="5">
        <v>93</v>
      </c>
      <c r="H153" s="5">
        <v>98</v>
      </c>
      <c r="I153" s="5">
        <v>96.5</v>
      </c>
      <c r="J153" s="5">
        <v>100</v>
      </c>
      <c r="K153" s="5">
        <v>95.5</v>
      </c>
      <c r="L153" s="5">
        <v>96.6</v>
      </c>
    </row>
    <row r="154" spans="1:12" x14ac:dyDescent="0.3">
      <c r="A154" s="2" t="s">
        <v>60</v>
      </c>
      <c r="B154" s="2" t="s">
        <v>143</v>
      </c>
      <c r="C154" s="2" t="s">
        <v>144</v>
      </c>
      <c r="D154" s="2" t="s">
        <v>63</v>
      </c>
      <c r="E154" s="2">
        <v>1</v>
      </c>
      <c r="F154" s="2" t="s">
        <v>791</v>
      </c>
      <c r="G154" s="5">
        <v>96.04</v>
      </c>
      <c r="H154" s="5">
        <v>96.04</v>
      </c>
      <c r="I154" s="5">
        <v>81.5</v>
      </c>
      <c r="J154" s="5">
        <v>100</v>
      </c>
      <c r="K154" s="5">
        <v>97.5</v>
      </c>
      <c r="L154" s="5">
        <v>94.216000000000008</v>
      </c>
    </row>
    <row r="155" spans="1:12" x14ac:dyDescent="0.3">
      <c r="A155" s="2" t="s">
        <v>60</v>
      </c>
      <c r="B155" s="2" t="s">
        <v>143</v>
      </c>
      <c r="C155" s="2" t="s">
        <v>144</v>
      </c>
      <c r="D155" s="2" t="s">
        <v>188</v>
      </c>
      <c r="E155" s="2">
        <v>2</v>
      </c>
      <c r="F155" s="2" t="s">
        <v>792</v>
      </c>
      <c r="G155" s="5">
        <v>97.72</v>
      </c>
      <c r="H155" s="5">
        <v>98.72</v>
      </c>
      <c r="I155" s="5">
        <v>93</v>
      </c>
      <c r="J155" s="5">
        <v>100</v>
      </c>
      <c r="K155" s="5">
        <v>98.3</v>
      </c>
      <c r="L155" s="5">
        <v>97.548000000000002</v>
      </c>
    </row>
    <row r="156" spans="1:12" x14ac:dyDescent="0.3">
      <c r="A156" s="2" t="s">
        <v>60</v>
      </c>
      <c r="B156" s="2" t="s">
        <v>143</v>
      </c>
      <c r="C156" s="2" t="s">
        <v>144</v>
      </c>
      <c r="D156" s="2" t="s">
        <v>301</v>
      </c>
      <c r="E156" s="2">
        <v>3</v>
      </c>
      <c r="F156" s="2" t="s">
        <v>793</v>
      </c>
      <c r="G156" s="5">
        <v>92.3</v>
      </c>
      <c r="H156" s="5">
        <v>98.3</v>
      </c>
      <c r="I156" s="5">
        <v>91</v>
      </c>
      <c r="J156" s="5">
        <v>100</v>
      </c>
      <c r="K156" s="5">
        <v>97.5</v>
      </c>
      <c r="L156" s="5">
        <v>95.820000000000007</v>
      </c>
    </row>
    <row r="157" spans="1:12" x14ac:dyDescent="0.3">
      <c r="A157" s="2" t="s">
        <v>60</v>
      </c>
      <c r="B157" s="2" t="s">
        <v>143</v>
      </c>
      <c r="C157" s="2" t="s">
        <v>144</v>
      </c>
      <c r="D157" s="2" t="s">
        <v>64</v>
      </c>
      <c r="E157" s="2">
        <v>4</v>
      </c>
      <c r="F157" s="2" t="s">
        <v>794</v>
      </c>
      <c r="G157" s="5">
        <v>98.5</v>
      </c>
      <c r="H157" s="5">
        <v>99.5</v>
      </c>
      <c r="I157" s="5">
        <v>97.5</v>
      </c>
      <c r="J157" s="5">
        <v>100</v>
      </c>
      <c r="K157" s="5">
        <v>99.5</v>
      </c>
      <c r="L157" s="5">
        <v>99</v>
      </c>
    </row>
    <row r="158" spans="1:12" x14ac:dyDescent="0.3">
      <c r="A158" s="2" t="s">
        <v>60</v>
      </c>
      <c r="B158" s="2" t="s">
        <v>145</v>
      </c>
      <c r="C158" s="2" t="s">
        <v>146</v>
      </c>
      <c r="D158" s="2" t="s">
        <v>63</v>
      </c>
      <c r="E158" s="2">
        <v>1</v>
      </c>
      <c r="F158" s="2" t="s">
        <v>791</v>
      </c>
      <c r="G158" s="5">
        <v>77.64</v>
      </c>
      <c r="H158" s="5">
        <v>78.64</v>
      </c>
      <c r="I158" s="5">
        <v>66.5</v>
      </c>
      <c r="J158" s="5">
        <v>71</v>
      </c>
      <c r="K158" s="5">
        <v>69.8</v>
      </c>
      <c r="L158" s="5">
        <v>72.715999999999994</v>
      </c>
    </row>
    <row r="159" spans="1:12" x14ac:dyDescent="0.3">
      <c r="A159" s="2" t="s">
        <v>60</v>
      </c>
      <c r="B159" s="2" t="s">
        <v>145</v>
      </c>
      <c r="C159" s="2" t="s">
        <v>146</v>
      </c>
      <c r="D159" s="2" t="s">
        <v>188</v>
      </c>
      <c r="E159" s="2">
        <v>2</v>
      </c>
      <c r="F159" s="2" t="s">
        <v>792</v>
      </c>
      <c r="G159" s="5">
        <v>75.400000000000006</v>
      </c>
      <c r="H159" s="5">
        <v>75.400000000000006</v>
      </c>
      <c r="I159" s="5">
        <v>66</v>
      </c>
      <c r="J159" s="5">
        <v>74.5</v>
      </c>
      <c r="K159" s="5">
        <v>66.7</v>
      </c>
      <c r="L159" s="5">
        <v>71.599999999999994</v>
      </c>
    </row>
    <row r="160" spans="1:12" x14ac:dyDescent="0.3">
      <c r="A160" s="2" t="s">
        <v>60</v>
      </c>
      <c r="B160" s="2" t="s">
        <v>145</v>
      </c>
      <c r="C160" s="2" t="s">
        <v>146</v>
      </c>
      <c r="D160" s="2" t="s">
        <v>301</v>
      </c>
      <c r="E160" s="2">
        <v>3</v>
      </c>
      <c r="F160" s="2" t="s">
        <v>793</v>
      </c>
      <c r="G160" s="5">
        <v>69.900000000000006</v>
      </c>
      <c r="H160" s="5">
        <v>74.900000000000006</v>
      </c>
      <c r="I160" s="5">
        <v>54</v>
      </c>
      <c r="J160" s="5">
        <v>62.5</v>
      </c>
      <c r="K160" s="5">
        <v>69.5</v>
      </c>
      <c r="L160" s="5">
        <v>66.16</v>
      </c>
    </row>
    <row r="161" spans="1:12" x14ac:dyDescent="0.3">
      <c r="A161" s="2" t="s">
        <v>60</v>
      </c>
      <c r="B161" s="2" t="s">
        <v>145</v>
      </c>
      <c r="C161" s="2" t="s">
        <v>146</v>
      </c>
      <c r="D161" s="2" t="s">
        <v>64</v>
      </c>
      <c r="E161" s="2">
        <v>4</v>
      </c>
      <c r="F161" s="2" t="s">
        <v>794</v>
      </c>
      <c r="G161" s="5">
        <v>80.44</v>
      </c>
      <c r="H161" s="5">
        <v>80.44</v>
      </c>
      <c r="I161" s="5">
        <v>82.5</v>
      </c>
      <c r="J161" s="5">
        <v>77</v>
      </c>
      <c r="K161" s="5">
        <v>85.5</v>
      </c>
      <c r="L161" s="5">
        <v>81.176000000000002</v>
      </c>
    </row>
    <row r="162" spans="1:12" x14ac:dyDescent="0.3">
      <c r="A162" s="2" t="s">
        <v>60</v>
      </c>
      <c r="B162" s="2" t="s">
        <v>147</v>
      </c>
      <c r="C162" s="2" t="s">
        <v>148</v>
      </c>
      <c r="D162" s="2" t="s">
        <v>63</v>
      </c>
      <c r="E162" s="2">
        <v>1</v>
      </c>
      <c r="F162" s="2" t="s">
        <v>791</v>
      </c>
      <c r="G162" s="5">
        <v>85</v>
      </c>
      <c r="H162" s="5">
        <v>89</v>
      </c>
      <c r="I162" s="5">
        <v>65.5</v>
      </c>
      <c r="J162" s="5">
        <v>95</v>
      </c>
      <c r="K162" s="5">
        <v>85.7</v>
      </c>
      <c r="L162" s="5">
        <v>84.039999999999992</v>
      </c>
    </row>
    <row r="163" spans="1:12" x14ac:dyDescent="0.3">
      <c r="A163" s="2" t="s">
        <v>60</v>
      </c>
      <c r="B163" s="2" t="s">
        <v>147</v>
      </c>
      <c r="C163" s="2" t="s">
        <v>148</v>
      </c>
      <c r="D163" s="2" t="s">
        <v>188</v>
      </c>
      <c r="E163" s="2">
        <v>2</v>
      </c>
      <c r="F163" s="2" t="s">
        <v>792</v>
      </c>
      <c r="G163" s="5">
        <v>86.28</v>
      </c>
      <c r="H163" s="5">
        <v>92.28</v>
      </c>
      <c r="I163" s="5">
        <v>77</v>
      </c>
      <c r="J163" s="5">
        <v>95.5</v>
      </c>
      <c r="K163" s="5">
        <v>88.1</v>
      </c>
      <c r="L163" s="5">
        <v>87.831999999999994</v>
      </c>
    </row>
    <row r="164" spans="1:12" x14ac:dyDescent="0.3">
      <c r="A164" s="2" t="s">
        <v>60</v>
      </c>
      <c r="B164" s="2" t="s">
        <v>147</v>
      </c>
      <c r="C164" s="2" t="s">
        <v>148</v>
      </c>
      <c r="D164" s="2" t="s">
        <v>301</v>
      </c>
      <c r="E164" s="2">
        <v>3</v>
      </c>
      <c r="F164" s="2" t="s">
        <v>793</v>
      </c>
      <c r="G164" s="5">
        <v>86.2</v>
      </c>
      <c r="H164" s="5">
        <v>89.2</v>
      </c>
      <c r="I164" s="5">
        <v>71</v>
      </c>
      <c r="J164" s="5">
        <v>83.5</v>
      </c>
      <c r="K164" s="5">
        <v>82.5</v>
      </c>
      <c r="L164" s="5">
        <v>82.47999999999999</v>
      </c>
    </row>
    <row r="165" spans="1:12" x14ac:dyDescent="0.3">
      <c r="A165" s="2" t="s">
        <v>60</v>
      </c>
      <c r="B165" s="2" t="s">
        <v>147</v>
      </c>
      <c r="C165" s="2" t="s">
        <v>148</v>
      </c>
      <c r="D165" s="2" t="s">
        <v>64</v>
      </c>
      <c r="E165" s="2">
        <v>4</v>
      </c>
      <c r="F165" s="2" t="s">
        <v>794</v>
      </c>
      <c r="G165" s="5">
        <v>86.13</v>
      </c>
      <c r="H165" s="5">
        <v>90.13</v>
      </c>
      <c r="I165" s="5">
        <v>85.5</v>
      </c>
      <c r="J165" s="5">
        <v>85.5</v>
      </c>
      <c r="K165" s="5">
        <v>93</v>
      </c>
      <c r="L165" s="5">
        <v>88.051999999999992</v>
      </c>
    </row>
    <row r="166" spans="1:12" x14ac:dyDescent="0.3">
      <c r="A166" s="2" t="s">
        <v>60</v>
      </c>
      <c r="B166" s="2" t="s">
        <v>149</v>
      </c>
      <c r="C166" s="2" t="s">
        <v>150</v>
      </c>
      <c r="D166" s="2" t="s">
        <v>63</v>
      </c>
      <c r="E166" s="2">
        <v>1</v>
      </c>
      <c r="F166" s="2" t="s">
        <v>791</v>
      </c>
      <c r="G166" s="5">
        <v>85.54</v>
      </c>
      <c r="H166" s="5">
        <v>89.54</v>
      </c>
      <c r="I166" s="5">
        <v>86</v>
      </c>
      <c r="J166" s="5">
        <v>94.5</v>
      </c>
      <c r="K166" s="5">
        <v>83.6</v>
      </c>
      <c r="L166" s="5">
        <v>87.836000000000013</v>
      </c>
    </row>
    <row r="167" spans="1:12" x14ac:dyDescent="0.3">
      <c r="A167" s="2" t="s">
        <v>60</v>
      </c>
      <c r="B167" s="2" t="s">
        <v>149</v>
      </c>
      <c r="C167" s="2" t="s">
        <v>150</v>
      </c>
      <c r="D167" s="2" t="s">
        <v>188</v>
      </c>
      <c r="E167" s="2">
        <v>2</v>
      </c>
      <c r="F167" s="2" t="s">
        <v>792</v>
      </c>
      <c r="G167" s="5">
        <v>83.84</v>
      </c>
      <c r="H167" s="5">
        <v>88.84</v>
      </c>
      <c r="I167" s="5">
        <v>81</v>
      </c>
      <c r="J167" s="5">
        <v>85</v>
      </c>
      <c r="K167" s="5">
        <v>84</v>
      </c>
      <c r="L167" s="5">
        <v>84.536000000000001</v>
      </c>
    </row>
    <row r="168" spans="1:12" x14ac:dyDescent="0.3">
      <c r="A168" s="2" t="s">
        <v>60</v>
      </c>
      <c r="B168" s="2" t="s">
        <v>149</v>
      </c>
      <c r="C168" s="2" t="s">
        <v>150</v>
      </c>
      <c r="D168" s="2" t="s">
        <v>301</v>
      </c>
      <c r="E168" s="2">
        <v>3</v>
      </c>
      <c r="F168" s="2" t="s">
        <v>793</v>
      </c>
      <c r="G168" s="5">
        <v>83.3</v>
      </c>
      <c r="H168" s="5">
        <v>86.3</v>
      </c>
      <c r="I168" s="5">
        <v>83</v>
      </c>
      <c r="J168" s="5">
        <v>76</v>
      </c>
      <c r="K168" s="5">
        <v>74</v>
      </c>
      <c r="L168" s="5">
        <v>80.52000000000001</v>
      </c>
    </row>
    <row r="169" spans="1:12" x14ac:dyDescent="0.3">
      <c r="A169" s="2" t="s">
        <v>60</v>
      </c>
      <c r="B169" s="2" t="s">
        <v>149</v>
      </c>
      <c r="C169" s="2" t="s">
        <v>150</v>
      </c>
      <c r="D169" s="2" t="s">
        <v>64</v>
      </c>
      <c r="E169" s="2">
        <v>4</v>
      </c>
      <c r="F169" s="2" t="s">
        <v>794</v>
      </c>
      <c r="G169" s="5">
        <v>83.25</v>
      </c>
      <c r="H169" s="5">
        <v>89.25</v>
      </c>
      <c r="I169" s="5">
        <v>92</v>
      </c>
      <c r="J169" s="5">
        <v>83</v>
      </c>
      <c r="K169" s="5">
        <v>86.5</v>
      </c>
      <c r="L169" s="5">
        <v>86.8</v>
      </c>
    </row>
    <row r="170" spans="1:12" x14ac:dyDescent="0.3">
      <c r="A170" s="2" t="s">
        <v>60</v>
      </c>
      <c r="B170" s="2" t="s">
        <v>151</v>
      </c>
      <c r="C170" s="2" t="s">
        <v>152</v>
      </c>
      <c r="D170" s="2" t="s">
        <v>63</v>
      </c>
      <c r="E170" s="2">
        <v>1</v>
      </c>
      <c r="F170" s="2" t="s">
        <v>791</v>
      </c>
      <c r="G170" s="5">
        <v>82.46</v>
      </c>
      <c r="H170" s="5">
        <v>87.46</v>
      </c>
      <c r="I170" s="5">
        <v>86.5</v>
      </c>
      <c r="J170" s="5">
        <v>87</v>
      </c>
      <c r="K170" s="5">
        <v>85.1</v>
      </c>
      <c r="L170" s="5">
        <v>85.703999999999994</v>
      </c>
    </row>
    <row r="171" spans="1:12" x14ac:dyDescent="0.3">
      <c r="A171" s="2" t="s">
        <v>60</v>
      </c>
      <c r="B171" s="2" t="s">
        <v>151</v>
      </c>
      <c r="C171" s="2" t="s">
        <v>152</v>
      </c>
      <c r="D171" s="2" t="s">
        <v>188</v>
      </c>
      <c r="E171" s="2">
        <v>2</v>
      </c>
      <c r="F171" s="2" t="s">
        <v>792</v>
      </c>
      <c r="G171" s="5">
        <v>82.68</v>
      </c>
      <c r="H171" s="5">
        <v>84.68</v>
      </c>
      <c r="I171" s="5">
        <v>81.5</v>
      </c>
      <c r="J171" s="5">
        <v>85.5</v>
      </c>
      <c r="K171" s="5">
        <v>81.099999999999994</v>
      </c>
      <c r="L171" s="5">
        <v>83.092000000000013</v>
      </c>
    </row>
    <row r="172" spans="1:12" x14ac:dyDescent="0.3">
      <c r="A172" s="2" t="s">
        <v>60</v>
      </c>
      <c r="B172" s="2" t="s">
        <v>151</v>
      </c>
      <c r="C172" s="2" t="s">
        <v>152</v>
      </c>
      <c r="D172" s="2" t="s">
        <v>301</v>
      </c>
      <c r="E172" s="2">
        <v>3</v>
      </c>
      <c r="F172" s="2" t="s">
        <v>793</v>
      </c>
      <c r="G172" s="5">
        <v>76.599999999999994</v>
      </c>
      <c r="H172" s="5">
        <v>82.6</v>
      </c>
      <c r="I172" s="5">
        <v>87.5</v>
      </c>
      <c r="J172" s="5">
        <v>71.5</v>
      </c>
      <c r="K172" s="5">
        <v>79.5</v>
      </c>
      <c r="L172" s="5">
        <v>79.539999999999992</v>
      </c>
    </row>
    <row r="173" spans="1:12" x14ac:dyDescent="0.3">
      <c r="A173" s="2" t="s">
        <v>60</v>
      </c>
      <c r="B173" s="2" t="s">
        <v>151</v>
      </c>
      <c r="C173" s="2" t="s">
        <v>152</v>
      </c>
      <c r="D173" s="2" t="s">
        <v>64</v>
      </c>
      <c r="E173" s="2">
        <v>4</v>
      </c>
      <c r="F173" s="2" t="s">
        <v>794</v>
      </c>
      <c r="G173" s="5">
        <v>75.94</v>
      </c>
      <c r="H173" s="5">
        <v>81.94</v>
      </c>
      <c r="I173" s="5">
        <v>91.5</v>
      </c>
      <c r="J173" s="5">
        <v>78</v>
      </c>
      <c r="K173" s="5">
        <v>87.5</v>
      </c>
      <c r="L173" s="5">
        <v>82.975999999999999</v>
      </c>
    </row>
    <row r="174" spans="1:12" x14ac:dyDescent="0.3">
      <c r="A174" s="2" t="s">
        <v>60</v>
      </c>
      <c r="B174" s="2" t="s">
        <v>153</v>
      </c>
      <c r="C174" s="2" t="s">
        <v>154</v>
      </c>
      <c r="D174" s="2" t="s">
        <v>63</v>
      </c>
      <c r="E174" s="2">
        <v>1</v>
      </c>
      <c r="F174" s="2" t="s">
        <v>791</v>
      </c>
      <c r="G174" s="5">
        <v>78.36</v>
      </c>
      <c r="H174" s="5">
        <v>82.36</v>
      </c>
      <c r="I174" s="5">
        <v>88</v>
      </c>
      <c r="J174" s="5">
        <v>75</v>
      </c>
      <c r="K174" s="5">
        <v>78.599999999999994</v>
      </c>
      <c r="L174" s="5">
        <v>80.464000000000013</v>
      </c>
    </row>
    <row r="175" spans="1:12" x14ac:dyDescent="0.3">
      <c r="A175" s="2" t="s">
        <v>60</v>
      </c>
      <c r="B175" s="2" t="s">
        <v>153</v>
      </c>
      <c r="C175" s="2" t="s">
        <v>154</v>
      </c>
      <c r="D175" s="2" t="s">
        <v>188</v>
      </c>
      <c r="E175" s="2">
        <v>2</v>
      </c>
      <c r="F175" s="2" t="s">
        <v>792</v>
      </c>
      <c r="G175" s="5">
        <v>84.12</v>
      </c>
      <c r="H175" s="5">
        <v>84.12</v>
      </c>
      <c r="I175" s="5">
        <v>83.5</v>
      </c>
      <c r="J175" s="5">
        <v>78</v>
      </c>
      <c r="K175" s="5">
        <v>79.3</v>
      </c>
      <c r="L175" s="5">
        <v>81.808000000000007</v>
      </c>
    </row>
    <row r="176" spans="1:12" x14ac:dyDescent="0.3">
      <c r="A176" s="2" t="s">
        <v>60</v>
      </c>
      <c r="B176" s="2" t="s">
        <v>153</v>
      </c>
      <c r="C176" s="2" t="s">
        <v>154</v>
      </c>
      <c r="D176" s="2" t="s">
        <v>301</v>
      </c>
      <c r="E176" s="2">
        <v>3</v>
      </c>
      <c r="F176" s="2" t="s">
        <v>793</v>
      </c>
      <c r="G176" s="5">
        <v>79.8</v>
      </c>
      <c r="H176" s="5">
        <v>83.8</v>
      </c>
      <c r="I176" s="5">
        <v>92</v>
      </c>
      <c r="J176" s="5">
        <v>66.5</v>
      </c>
      <c r="K176" s="5">
        <v>71.5</v>
      </c>
      <c r="L176" s="5">
        <v>78.72</v>
      </c>
    </row>
    <row r="177" spans="1:12" x14ac:dyDescent="0.3">
      <c r="A177" s="2" t="s">
        <v>60</v>
      </c>
      <c r="B177" s="2" t="s">
        <v>153</v>
      </c>
      <c r="C177" s="2" t="s">
        <v>154</v>
      </c>
      <c r="D177" s="2" t="s">
        <v>64</v>
      </c>
      <c r="E177" s="2">
        <v>4</v>
      </c>
      <c r="F177" s="2" t="s">
        <v>794</v>
      </c>
      <c r="G177" s="5">
        <v>82.94</v>
      </c>
      <c r="H177" s="5">
        <v>85.94</v>
      </c>
      <c r="I177" s="5">
        <v>97</v>
      </c>
      <c r="J177" s="5">
        <v>74.5</v>
      </c>
      <c r="K177" s="5">
        <v>91.5</v>
      </c>
      <c r="L177" s="5">
        <v>86.376000000000005</v>
      </c>
    </row>
    <row r="178" spans="1:12" x14ac:dyDescent="0.3">
      <c r="A178" s="2" t="s">
        <v>60</v>
      </c>
      <c r="B178" s="2" t="s">
        <v>155</v>
      </c>
      <c r="C178" s="2" t="s">
        <v>156</v>
      </c>
      <c r="D178" s="2" t="s">
        <v>63</v>
      </c>
      <c r="E178" s="2">
        <v>1</v>
      </c>
      <c r="F178" s="2" t="s">
        <v>791</v>
      </c>
      <c r="G178" s="5">
        <v>89.21</v>
      </c>
      <c r="H178" s="5">
        <v>90.21</v>
      </c>
      <c r="I178" s="5">
        <v>89</v>
      </c>
      <c r="J178" s="5">
        <v>91.5</v>
      </c>
      <c r="K178" s="5">
        <v>92.5</v>
      </c>
      <c r="L178" s="5">
        <v>90.483999999999995</v>
      </c>
    </row>
    <row r="179" spans="1:12" x14ac:dyDescent="0.3">
      <c r="A179" s="2" t="s">
        <v>60</v>
      </c>
      <c r="B179" s="2" t="s">
        <v>155</v>
      </c>
      <c r="C179" s="2" t="s">
        <v>156</v>
      </c>
      <c r="D179" s="2" t="s">
        <v>188</v>
      </c>
      <c r="E179" s="2">
        <v>2</v>
      </c>
      <c r="F179" s="2" t="s">
        <v>792</v>
      </c>
      <c r="G179" s="5">
        <v>89.84</v>
      </c>
      <c r="H179" s="5">
        <v>89.84</v>
      </c>
      <c r="I179" s="5">
        <v>83</v>
      </c>
      <c r="J179" s="5">
        <v>88</v>
      </c>
      <c r="K179" s="5">
        <v>84.8</v>
      </c>
      <c r="L179" s="5">
        <v>87.096000000000004</v>
      </c>
    </row>
    <row r="180" spans="1:12" x14ac:dyDescent="0.3">
      <c r="A180" s="2" t="s">
        <v>60</v>
      </c>
      <c r="B180" s="2" t="s">
        <v>155</v>
      </c>
      <c r="C180" s="2" t="s">
        <v>156</v>
      </c>
      <c r="D180" s="2" t="s">
        <v>301</v>
      </c>
      <c r="E180" s="2">
        <v>3</v>
      </c>
      <c r="F180" s="2" t="s">
        <v>793</v>
      </c>
      <c r="G180" s="5">
        <v>86.4</v>
      </c>
      <c r="H180" s="5">
        <v>87.4</v>
      </c>
      <c r="I180" s="5">
        <v>94</v>
      </c>
      <c r="J180" s="5">
        <v>75</v>
      </c>
      <c r="K180" s="5">
        <v>81</v>
      </c>
      <c r="L180" s="5">
        <v>84.76</v>
      </c>
    </row>
    <row r="181" spans="1:12" x14ac:dyDescent="0.3">
      <c r="A181" s="2" t="s">
        <v>60</v>
      </c>
      <c r="B181" s="2" t="s">
        <v>155</v>
      </c>
      <c r="C181" s="2" t="s">
        <v>156</v>
      </c>
      <c r="D181" s="2" t="s">
        <v>64</v>
      </c>
      <c r="E181" s="2">
        <v>4</v>
      </c>
      <c r="F181" s="2" t="s">
        <v>794</v>
      </c>
      <c r="G181" s="5">
        <v>83.38</v>
      </c>
      <c r="H181" s="5">
        <v>88.38</v>
      </c>
      <c r="I181" s="5">
        <v>92</v>
      </c>
      <c r="J181" s="5">
        <v>87.5</v>
      </c>
      <c r="K181" s="5">
        <v>91.5</v>
      </c>
      <c r="L181" s="5">
        <v>88.551999999999992</v>
      </c>
    </row>
    <row r="182" spans="1:12" x14ac:dyDescent="0.3">
      <c r="A182" s="2" t="s">
        <v>60</v>
      </c>
      <c r="B182" s="2" t="s">
        <v>157</v>
      </c>
      <c r="C182" s="2" t="s">
        <v>158</v>
      </c>
      <c r="D182" s="2" t="s">
        <v>63</v>
      </c>
      <c r="E182" s="2">
        <v>1</v>
      </c>
      <c r="F182" s="2" t="s">
        <v>791</v>
      </c>
      <c r="G182" s="5">
        <v>78.209999999999994</v>
      </c>
      <c r="H182" s="5">
        <v>84.21</v>
      </c>
      <c r="I182" s="5">
        <v>69</v>
      </c>
      <c r="J182" s="5">
        <v>88</v>
      </c>
      <c r="K182" s="5">
        <v>75.2</v>
      </c>
      <c r="L182" s="5">
        <v>78.923999999999992</v>
      </c>
    </row>
    <row r="183" spans="1:12" x14ac:dyDescent="0.3">
      <c r="A183" s="2" t="s">
        <v>60</v>
      </c>
      <c r="B183" s="2" t="s">
        <v>157</v>
      </c>
      <c r="C183" s="2" t="s">
        <v>158</v>
      </c>
      <c r="D183" s="2" t="s">
        <v>188</v>
      </c>
      <c r="E183" s="2">
        <v>2</v>
      </c>
      <c r="F183" s="2" t="s">
        <v>792</v>
      </c>
      <c r="G183" s="5">
        <v>87.28</v>
      </c>
      <c r="H183" s="5">
        <v>88.28</v>
      </c>
      <c r="I183" s="5">
        <v>76</v>
      </c>
      <c r="J183" s="5">
        <v>89.5</v>
      </c>
      <c r="K183" s="5">
        <v>81.900000000000006</v>
      </c>
      <c r="L183" s="5">
        <v>84.592000000000013</v>
      </c>
    </row>
    <row r="184" spans="1:12" x14ac:dyDescent="0.3">
      <c r="A184" s="2" t="s">
        <v>60</v>
      </c>
      <c r="B184" s="2" t="s">
        <v>157</v>
      </c>
      <c r="C184" s="2" t="s">
        <v>158</v>
      </c>
      <c r="D184" s="2" t="s">
        <v>301</v>
      </c>
      <c r="E184" s="2">
        <v>3</v>
      </c>
      <c r="F184" s="2" t="s">
        <v>793</v>
      </c>
      <c r="G184" s="5">
        <v>84.9</v>
      </c>
      <c r="H184" s="5">
        <v>88.9</v>
      </c>
      <c r="I184" s="5">
        <v>72</v>
      </c>
      <c r="J184" s="5">
        <v>85.5</v>
      </c>
      <c r="K184" s="5">
        <v>84.5</v>
      </c>
      <c r="L184" s="5">
        <v>83.16</v>
      </c>
    </row>
    <row r="185" spans="1:12" x14ac:dyDescent="0.3">
      <c r="A185" s="2" t="s">
        <v>60</v>
      </c>
      <c r="B185" s="2" t="s">
        <v>157</v>
      </c>
      <c r="C185" s="2" t="s">
        <v>158</v>
      </c>
      <c r="D185" s="2" t="s">
        <v>64</v>
      </c>
      <c r="E185" s="2">
        <v>4</v>
      </c>
      <c r="F185" s="2" t="s">
        <v>794</v>
      </c>
      <c r="G185" s="5">
        <v>91.25</v>
      </c>
      <c r="H185" s="5">
        <v>94.25</v>
      </c>
      <c r="I185" s="5">
        <v>92.5</v>
      </c>
      <c r="J185" s="5">
        <v>91</v>
      </c>
      <c r="K185" s="5">
        <v>95.5</v>
      </c>
      <c r="L185" s="5">
        <v>92.9</v>
      </c>
    </row>
    <row r="186" spans="1:12" x14ac:dyDescent="0.3">
      <c r="A186" s="2" t="s">
        <v>60</v>
      </c>
      <c r="B186" s="2" t="s">
        <v>159</v>
      </c>
      <c r="C186" s="2" t="s">
        <v>160</v>
      </c>
      <c r="D186" s="2" t="s">
        <v>63</v>
      </c>
      <c r="E186" s="2">
        <v>1</v>
      </c>
      <c r="F186" s="2" t="s">
        <v>791</v>
      </c>
      <c r="G186" s="5">
        <v>85.64</v>
      </c>
      <c r="H186" s="5">
        <v>86.64</v>
      </c>
      <c r="I186" s="5">
        <v>69</v>
      </c>
      <c r="J186" s="5">
        <v>88</v>
      </c>
      <c r="K186" s="5">
        <v>86.1</v>
      </c>
      <c r="L186" s="5">
        <v>83.075999999999993</v>
      </c>
    </row>
    <row r="187" spans="1:12" x14ac:dyDescent="0.3">
      <c r="A187" s="2" t="s">
        <v>60</v>
      </c>
      <c r="B187" s="2" t="s">
        <v>159</v>
      </c>
      <c r="C187" s="2" t="s">
        <v>160</v>
      </c>
      <c r="D187" s="2" t="s">
        <v>188</v>
      </c>
      <c r="E187" s="2">
        <v>2</v>
      </c>
      <c r="F187" s="2" t="s">
        <v>792</v>
      </c>
      <c r="G187" s="5">
        <v>89.24</v>
      </c>
      <c r="H187" s="5">
        <v>91.24</v>
      </c>
      <c r="I187" s="5">
        <v>77.5</v>
      </c>
      <c r="J187" s="5">
        <v>90.5</v>
      </c>
      <c r="K187" s="5">
        <v>89.7</v>
      </c>
      <c r="L187" s="5">
        <v>87.635999999999996</v>
      </c>
    </row>
    <row r="188" spans="1:12" x14ac:dyDescent="0.3">
      <c r="A188" s="2" t="s">
        <v>60</v>
      </c>
      <c r="B188" s="2" t="s">
        <v>159</v>
      </c>
      <c r="C188" s="2" t="s">
        <v>160</v>
      </c>
      <c r="D188" s="2" t="s">
        <v>301</v>
      </c>
      <c r="E188" s="2">
        <v>3</v>
      </c>
      <c r="F188" s="2" t="s">
        <v>793</v>
      </c>
      <c r="G188" s="5">
        <v>87.2</v>
      </c>
      <c r="H188" s="5">
        <v>92.2</v>
      </c>
      <c r="I188" s="5">
        <v>83.5</v>
      </c>
      <c r="J188" s="5">
        <v>84</v>
      </c>
      <c r="K188" s="5">
        <v>89.5</v>
      </c>
      <c r="L188" s="5">
        <v>87.28</v>
      </c>
    </row>
    <row r="189" spans="1:12" x14ac:dyDescent="0.3">
      <c r="A189" s="2" t="s">
        <v>60</v>
      </c>
      <c r="B189" s="2" t="s">
        <v>159</v>
      </c>
      <c r="C189" s="2" t="s">
        <v>160</v>
      </c>
      <c r="D189" s="2" t="s">
        <v>64</v>
      </c>
      <c r="E189" s="2">
        <v>4</v>
      </c>
      <c r="F189" s="2" t="s">
        <v>794</v>
      </c>
      <c r="G189" s="5">
        <v>92.31</v>
      </c>
      <c r="H189" s="5">
        <v>93.31</v>
      </c>
      <c r="I189" s="5">
        <v>91.5</v>
      </c>
      <c r="J189" s="5">
        <v>91</v>
      </c>
      <c r="K189" s="5">
        <v>95</v>
      </c>
      <c r="L189" s="5">
        <v>92.623999999999995</v>
      </c>
    </row>
    <row r="190" spans="1:12" x14ac:dyDescent="0.3">
      <c r="A190" s="2" t="s">
        <v>60</v>
      </c>
      <c r="B190" s="2" t="s">
        <v>161</v>
      </c>
      <c r="C190" s="2" t="s">
        <v>162</v>
      </c>
      <c r="D190" s="2" t="s">
        <v>63</v>
      </c>
      <c r="E190" s="2">
        <v>1</v>
      </c>
      <c r="F190" s="2" t="s">
        <v>791</v>
      </c>
      <c r="G190" s="5">
        <v>78.290000000000006</v>
      </c>
      <c r="H190" s="5">
        <v>81.290000000000006</v>
      </c>
      <c r="I190" s="5">
        <v>81</v>
      </c>
      <c r="J190" s="5">
        <v>71.5</v>
      </c>
      <c r="K190" s="5">
        <v>78.900000000000006</v>
      </c>
      <c r="L190" s="5">
        <v>78.195999999999998</v>
      </c>
    </row>
    <row r="191" spans="1:12" x14ac:dyDescent="0.3">
      <c r="A191" s="2" t="s">
        <v>60</v>
      </c>
      <c r="B191" s="2" t="s">
        <v>161</v>
      </c>
      <c r="C191" s="2" t="s">
        <v>162</v>
      </c>
      <c r="D191" s="2" t="s">
        <v>188</v>
      </c>
      <c r="E191" s="2">
        <v>2</v>
      </c>
      <c r="F191" s="2" t="s">
        <v>792</v>
      </c>
      <c r="G191" s="5">
        <v>84.04</v>
      </c>
      <c r="H191" s="5">
        <v>87.04</v>
      </c>
      <c r="I191" s="5">
        <v>88.5</v>
      </c>
      <c r="J191" s="5">
        <v>84</v>
      </c>
      <c r="K191" s="5">
        <v>80.900000000000006</v>
      </c>
      <c r="L191" s="5">
        <v>84.896000000000001</v>
      </c>
    </row>
    <row r="192" spans="1:12" x14ac:dyDescent="0.3">
      <c r="A192" s="2" t="s">
        <v>60</v>
      </c>
      <c r="B192" s="2" t="s">
        <v>161</v>
      </c>
      <c r="C192" s="2" t="s">
        <v>162</v>
      </c>
      <c r="D192" s="2" t="s">
        <v>301</v>
      </c>
      <c r="E192" s="2">
        <v>3</v>
      </c>
      <c r="F192" s="2" t="s">
        <v>793</v>
      </c>
      <c r="G192" s="5">
        <v>82.8</v>
      </c>
      <c r="H192" s="5">
        <v>85.8</v>
      </c>
      <c r="I192" s="5">
        <v>88.5</v>
      </c>
      <c r="J192" s="5">
        <v>73</v>
      </c>
      <c r="K192" s="5">
        <v>80.5</v>
      </c>
      <c r="L192" s="5">
        <v>82.12</v>
      </c>
    </row>
    <row r="193" spans="1:12" x14ac:dyDescent="0.3">
      <c r="A193" s="2" t="s">
        <v>60</v>
      </c>
      <c r="B193" s="2" t="s">
        <v>161</v>
      </c>
      <c r="C193" s="2" t="s">
        <v>162</v>
      </c>
      <c r="D193" s="2" t="s">
        <v>64</v>
      </c>
      <c r="E193" s="2">
        <v>4</v>
      </c>
      <c r="F193" s="2" t="s">
        <v>794</v>
      </c>
      <c r="G193" s="5">
        <v>83.06</v>
      </c>
      <c r="H193" s="5">
        <v>83.06</v>
      </c>
      <c r="I193" s="5">
        <v>91.5</v>
      </c>
      <c r="J193" s="5">
        <v>84</v>
      </c>
      <c r="K193" s="5">
        <v>87</v>
      </c>
      <c r="L193" s="5">
        <v>85.724000000000004</v>
      </c>
    </row>
    <row r="194" spans="1:12" x14ac:dyDescent="0.3">
      <c r="A194" s="2" t="s">
        <v>60</v>
      </c>
      <c r="B194" s="2" t="s">
        <v>163</v>
      </c>
      <c r="C194" s="2" t="s">
        <v>164</v>
      </c>
      <c r="D194" s="2" t="s">
        <v>63</v>
      </c>
      <c r="E194" s="2">
        <v>1</v>
      </c>
      <c r="F194" s="2" t="s">
        <v>791</v>
      </c>
      <c r="G194" s="5">
        <v>77.569999999999993</v>
      </c>
      <c r="H194" s="5">
        <v>79.569999999999993</v>
      </c>
      <c r="I194" s="5">
        <v>52</v>
      </c>
      <c r="J194" s="5">
        <v>81.5</v>
      </c>
      <c r="K194" s="5">
        <v>73.2</v>
      </c>
      <c r="L194" s="5">
        <v>72.768000000000001</v>
      </c>
    </row>
    <row r="195" spans="1:12" x14ac:dyDescent="0.3">
      <c r="A195" s="2" t="s">
        <v>60</v>
      </c>
      <c r="B195" s="2" t="s">
        <v>163</v>
      </c>
      <c r="C195" s="2" t="s">
        <v>164</v>
      </c>
      <c r="D195" s="2" t="s">
        <v>188</v>
      </c>
      <c r="E195" s="2">
        <v>2</v>
      </c>
      <c r="F195" s="2" t="s">
        <v>792</v>
      </c>
      <c r="G195" s="5">
        <v>73.56</v>
      </c>
      <c r="H195" s="5">
        <v>79.56</v>
      </c>
      <c r="I195" s="5">
        <v>56.5</v>
      </c>
      <c r="J195" s="5">
        <v>85.5</v>
      </c>
      <c r="K195" s="5">
        <v>71.8</v>
      </c>
      <c r="L195" s="5">
        <v>73.384</v>
      </c>
    </row>
    <row r="196" spans="1:12" x14ac:dyDescent="0.3">
      <c r="A196" s="2" t="s">
        <v>60</v>
      </c>
      <c r="B196" s="2" t="s">
        <v>163</v>
      </c>
      <c r="C196" s="2" t="s">
        <v>164</v>
      </c>
      <c r="D196" s="2" t="s">
        <v>301</v>
      </c>
      <c r="E196" s="2">
        <v>3</v>
      </c>
      <c r="F196" s="2" t="s">
        <v>793</v>
      </c>
      <c r="G196" s="5">
        <v>79.599999999999994</v>
      </c>
      <c r="H196" s="5">
        <v>79.599999999999994</v>
      </c>
      <c r="I196" s="5">
        <v>53</v>
      </c>
      <c r="J196" s="5">
        <v>65.5</v>
      </c>
      <c r="K196" s="5">
        <v>72.5</v>
      </c>
      <c r="L196" s="5">
        <v>70.039999999999992</v>
      </c>
    </row>
    <row r="197" spans="1:12" x14ac:dyDescent="0.3">
      <c r="A197" s="2" t="s">
        <v>60</v>
      </c>
      <c r="B197" s="2" t="s">
        <v>163</v>
      </c>
      <c r="C197" s="2" t="s">
        <v>164</v>
      </c>
      <c r="D197" s="2" t="s">
        <v>64</v>
      </c>
      <c r="E197" s="2">
        <v>4</v>
      </c>
      <c r="F197" s="2" t="s">
        <v>794</v>
      </c>
      <c r="G197" s="5">
        <v>84.56</v>
      </c>
      <c r="H197" s="5">
        <v>90.56</v>
      </c>
      <c r="I197" s="5">
        <v>88</v>
      </c>
      <c r="J197" s="5">
        <v>90</v>
      </c>
      <c r="K197" s="5">
        <v>89.5</v>
      </c>
      <c r="L197" s="5">
        <v>88.524000000000001</v>
      </c>
    </row>
    <row r="198" spans="1:12" x14ac:dyDescent="0.3">
      <c r="A198" s="2" t="s">
        <v>60</v>
      </c>
      <c r="B198" s="2" t="s">
        <v>165</v>
      </c>
      <c r="C198" s="2" t="s">
        <v>166</v>
      </c>
      <c r="D198" s="2" t="s">
        <v>63</v>
      </c>
      <c r="E198" s="2">
        <v>1</v>
      </c>
      <c r="F198" s="2" t="s">
        <v>791</v>
      </c>
      <c r="G198" s="5">
        <v>76.86</v>
      </c>
      <c r="H198" s="5">
        <v>82.86</v>
      </c>
      <c r="I198" s="5">
        <v>77.5</v>
      </c>
      <c r="J198" s="5">
        <v>82</v>
      </c>
      <c r="K198" s="5">
        <v>74.7</v>
      </c>
      <c r="L198" s="5">
        <v>78.784000000000006</v>
      </c>
    </row>
    <row r="199" spans="1:12" x14ac:dyDescent="0.3">
      <c r="A199" s="2" t="s">
        <v>60</v>
      </c>
      <c r="B199" s="2" t="s">
        <v>165</v>
      </c>
      <c r="C199" s="2" t="s">
        <v>166</v>
      </c>
      <c r="D199" s="2" t="s">
        <v>188</v>
      </c>
      <c r="E199" s="2">
        <v>2</v>
      </c>
      <c r="F199" s="2" t="s">
        <v>792</v>
      </c>
      <c r="G199" s="5">
        <v>86.56</v>
      </c>
      <c r="H199" s="5">
        <v>90.56</v>
      </c>
      <c r="I199" s="5">
        <v>80</v>
      </c>
      <c r="J199" s="5">
        <v>88.5</v>
      </c>
      <c r="K199" s="5">
        <v>86.2</v>
      </c>
      <c r="L199" s="5">
        <v>86.364000000000004</v>
      </c>
    </row>
    <row r="200" spans="1:12" x14ac:dyDescent="0.3">
      <c r="A200" s="2" t="s">
        <v>60</v>
      </c>
      <c r="B200" s="2" t="s">
        <v>165</v>
      </c>
      <c r="C200" s="2" t="s">
        <v>166</v>
      </c>
      <c r="D200" s="2" t="s">
        <v>301</v>
      </c>
      <c r="E200" s="2">
        <v>3</v>
      </c>
      <c r="F200" s="2" t="s">
        <v>793</v>
      </c>
      <c r="G200" s="5">
        <v>83.2</v>
      </c>
      <c r="H200" s="5">
        <v>86.2</v>
      </c>
      <c r="I200" s="5">
        <v>83</v>
      </c>
      <c r="J200" s="5">
        <v>75.5</v>
      </c>
      <c r="K200" s="5">
        <v>87</v>
      </c>
      <c r="L200" s="5">
        <v>82.97999999999999</v>
      </c>
    </row>
    <row r="201" spans="1:12" x14ac:dyDescent="0.3">
      <c r="A201" s="2" t="s">
        <v>60</v>
      </c>
      <c r="B201" s="2" t="s">
        <v>165</v>
      </c>
      <c r="C201" s="2" t="s">
        <v>166</v>
      </c>
      <c r="D201" s="2" t="s">
        <v>64</v>
      </c>
      <c r="E201" s="2">
        <v>4</v>
      </c>
      <c r="F201" s="2" t="s">
        <v>794</v>
      </c>
      <c r="G201" s="5">
        <v>90.88</v>
      </c>
      <c r="H201" s="5">
        <v>93.88</v>
      </c>
      <c r="I201" s="5">
        <v>93.5</v>
      </c>
      <c r="J201" s="5">
        <v>88</v>
      </c>
      <c r="K201" s="5">
        <v>96</v>
      </c>
      <c r="L201" s="5">
        <v>92.451999999999998</v>
      </c>
    </row>
    <row r="202" spans="1:12" x14ac:dyDescent="0.3">
      <c r="A202" s="2" t="s">
        <v>60</v>
      </c>
      <c r="B202" s="2" t="s">
        <v>167</v>
      </c>
      <c r="C202" s="2" t="s">
        <v>168</v>
      </c>
      <c r="D202" s="2" t="s">
        <v>63</v>
      </c>
      <c r="E202" s="2">
        <v>1</v>
      </c>
      <c r="F202" s="2" t="s">
        <v>791</v>
      </c>
      <c r="G202" s="5">
        <v>79.540000000000006</v>
      </c>
      <c r="H202" s="5">
        <v>83.54</v>
      </c>
      <c r="I202" s="5">
        <v>65.5</v>
      </c>
      <c r="J202" s="5">
        <v>77.5</v>
      </c>
      <c r="K202" s="5">
        <v>80.2</v>
      </c>
      <c r="L202" s="5">
        <v>77.256</v>
      </c>
    </row>
    <row r="203" spans="1:12" x14ac:dyDescent="0.3">
      <c r="A203" s="2" t="s">
        <v>60</v>
      </c>
      <c r="B203" s="2" t="s">
        <v>167</v>
      </c>
      <c r="C203" s="2" t="s">
        <v>168</v>
      </c>
      <c r="D203" s="2" t="s">
        <v>188</v>
      </c>
      <c r="E203" s="2">
        <v>2</v>
      </c>
      <c r="F203" s="2" t="s">
        <v>792</v>
      </c>
      <c r="G203" s="5">
        <v>79.959999999999994</v>
      </c>
      <c r="H203" s="5">
        <v>81.96</v>
      </c>
      <c r="I203" s="5">
        <v>71.5</v>
      </c>
      <c r="J203" s="5">
        <v>83</v>
      </c>
      <c r="K203" s="5">
        <v>72.400000000000006</v>
      </c>
      <c r="L203" s="5">
        <v>77.763999999999982</v>
      </c>
    </row>
    <row r="204" spans="1:12" x14ac:dyDescent="0.3">
      <c r="A204" s="2" t="s">
        <v>60</v>
      </c>
      <c r="B204" s="2" t="s">
        <v>167</v>
      </c>
      <c r="C204" s="2" t="s">
        <v>168</v>
      </c>
      <c r="D204" s="2" t="s">
        <v>301</v>
      </c>
      <c r="E204" s="2">
        <v>3</v>
      </c>
      <c r="F204" s="2" t="s">
        <v>793</v>
      </c>
      <c r="G204" s="5">
        <v>84.1</v>
      </c>
      <c r="H204" s="5">
        <v>87.1</v>
      </c>
      <c r="I204" s="5">
        <v>76.5</v>
      </c>
      <c r="J204" s="5">
        <v>78</v>
      </c>
      <c r="K204" s="5">
        <v>73.5</v>
      </c>
      <c r="L204" s="5">
        <v>79.84</v>
      </c>
    </row>
    <row r="205" spans="1:12" x14ac:dyDescent="0.3">
      <c r="A205" s="2" t="s">
        <v>60</v>
      </c>
      <c r="B205" s="2" t="s">
        <v>167</v>
      </c>
      <c r="C205" s="2" t="s">
        <v>168</v>
      </c>
      <c r="D205" s="2" t="s">
        <v>64</v>
      </c>
      <c r="E205" s="2">
        <v>4</v>
      </c>
      <c r="F205" s="2" t="s">
        <v>794</v>
      </c>
      <c r="G205" s="5">
        <v>88.63</v>
      </c>
      <c r="H205" s="5">
        <v>90.63</v>
      </c>
      <c r="I205" s="5">
        <v>89.5</v>
      </c>
      <c r="J205" s="5">
        <v>87.5</v>
      </c>
      <c r="K205" s="5">
        <v>93</v>
      </c>
      <c r="L205" s="5">
        <v>89.852000000000004</v>
      </c>
    </row>
    <row r="206" spans="1:12" x14ac:dyDescent="0.3">
      <c r="A206" s="2" t="s">
        <v>60</v>
      </c>
      <c r="B206" s="2" t="s">
        <v>169</v>
      </c>
      <c r="C206" s="2" t="s">
        <v>170</v>
      </c>
      <c r="D206" s="2" t="s">
        <v>63</v>
      </c>
      <c r="E206" s="2">
        <v>1</v>
      </c>
      <c r="F206" s="2" t="s">
        <v>791</v>
      </c>
      <c r="G206" s="5">
        <v>83.18</v>
      </c>
      <c r="H206" s="5">
        <v>89.18</v>
      </c>
      <c r="I206" s="5">
        <v>68</v>
      </c>
      <c r="J206" s="5">
        <v>89</v>
      </c>
      <c r="K206" s="5">
        <v>88</v>
      </c>
      <c r="L206" s="5">
        <v>83.472000000000008</v>
      </c>
    </row>
    <row r="207" spans="1:12" x14ac:dyDescent="0.3">
      <c r="A207" s="2" t="s">
        <v>60</v>
      </c>
      <c r="B207" s="2" t="s">
        <v>169</v>
      </c>
      <c r="C207" s="2" t="s">
        <v>170</v>
      </c>
      <c r="D207" s="2" t="s">
        <v>188</v>
      </c>
      <c r="E207" s="2">
        <v>2</v>
      </c>
      <c r="F207" s="2" t="s">
        <v>792</v>
      </c>
      <c r="G207" s="5">
        <v>92.32</v>
      </c>
      <c r="H207" s="5">
        <v>92.32</v>
      </c>
      <c r="I207" s="5">
        <v>78.5</v>
      </c>
      <c r="J207" s="5">
        <v>94</v>
      </c>
      <c r="K207" s="5">
        <v>90.2</v>
      </c>
      <c r="L207" s="5">
        <v>89.467999999999989</v>
      </c>
    </row>
    <row r="208" spans="1:12" x14ac:dyDescent="0.3">
      <c r="A208" s="2" t="s">
        <v>60</v>
      </c>
      <c r="B208" s="2" t="s">
        <v>169</v>
      </c>
      <c r="C208" s="2" t="s">
        <v>170</v>
      </c>
      <c r="D208" s="2" t="s">
        <v>301</v>
      </c>
      <c r="E208" s="2">
        <v>3</v>
      </c>
      <c r="F208" s="2" t="s">
        <v>793</v>
      </c>
      <c r="G208" s="5">
        <v>86.5</v>
      </c>
      <c r="H208" s="5">
        <v>90.5</v>
      </c>
      <c r="I208" s="5">
        <v>77.5</v>
      </c>
      <c r="J208" s="5">
        <v>80.5</v>
      </c>
      <c r="K208" s="5">
        <v>81.5</v>
      </c>
      <c r="L208" s="5">
        <v>83.3</v>
      </c>
    </row>
    <row r="209" spans="1:12" x14ac:dyDescent="0.3">
      <c r="A209" s="2" t="s">
        <v>60</v>
      </c>
      <c r="B209" s="2" t="s">
        <v>169</v>
      </c>
      <c r="C209" s="2" t="s">
        <v>170</v>
      </c>
      <c r="D209" s="2" t="s">
        <v>64</v>
      </c>
      <c r="E209" s="2">
        <v>4</v>
      </c>
      <c r="F209" s="2" t="s">
        <v>794</v>
      </c>
      <c r="G209" s="5">
        <v>90.56</v>
      </c>
      <c r="H209" s="5">
        <v>95.56</v>
      </c>
      <c r="I209" s="5">
        <v>93</v>
      </c>
      <c r="J209" s="5">
        <v>98</v>
      </c>
      <c r="K209" s="5">
        <v>93</v>
      </c>
      <c r="L209" s="5">
        <v>94.024000000000001</v>
      </c>
    </row>
    <row r="210" spans="1:12" x14ac:dyDescent="0.3">
      <c r="A210" s="2" t="s">
        <v>60</v>
      </c>
      <c r="B210" s="2" t="s">
        <v>171</v>
      </c>
      <c r="C210" s="2" t="s">
        <v>172</v>
      </c>
      <c r="D210" s="2" t="s">
        <v>63</v>
      </c>
      <c r="E210" s="2">
        <v>1</v>
      </c>
      <c r="F210" s="2" t="s">
        <v>791</v>
      </c>
      <c r="G210" s="5">
        <v>80.459999999999994</v>
      </c>
      <c r="H210" s="5">
        <v>84.46</v>
      </c>
      <c r="I210" s="5">
        <v>73.5</v>
      </c>
      <c r="J210" s="5">
        <v>75.5</v>
      </c>
      <c r="K210" s="5">
        <v>81.8</v>
      </c>
      <c r="L210" s="5">
        <v>79.143999999999991</v>
      </c>
    </row>
    <row r="211" spans="1:12" x14ac:dyDescent="0.3">
      <c r="A211" s="2" t="s">
        <v>60</v>
      </c>
      <c r="B211" s="2" t="s">
        <v>171</v>
      </c>
      <c r="C211" s="2" t="s">
        <v>172</v>
      </c>
      <c r="D211" s="2" t="s">
        <v>188</v>
      </c>
      <c r="E211" s="2">
        <v>2</v>
      </c>
      <c r="F211" s="2" t="s">
        <v>792</v>
      </c>
      <c r="G211" s="5">
        <v>79.8</v>
      </c>
      <c r="H211" s="5">
        <v>80.8</v>
      </c>
      <c r="I211" s="5">
        <v>72.5</v>
      </c>
      <c r="J211" s="5">
        <v>81.5</v>
      </c>
      <c r="K211" s="5">
        <v>72.400000000000006</v>
      </c>
      <c r="L211" s="5">
        <v>77.400000000000006</v>
      </c>
    </row>
    <row r="212" spans="1:12" x14ac:dyDescent="0.3">
      <c r="A212" s="2" t="s">
        <v>60</v>
      </c>
      <c r="B212" s="2" t="s">
        <v>171</v>
      </c>
      <c r="C212" s="2" t="s">
        <v>172</v>
      </c>
      <c r="D212" s="2" t="s">
        <v>301</v>
      </c>
      <c r="E212" s="2">
        <v>3</v>
      </c>
      <c r="F212" s="2" t="s">
        <v>793</v>
      </c>
      <c r="G212" s="5">
        <v>87.3</v>
      </c>
      <c r="H212" s="5">
        <v>87.3</v>
      </c>
      <c r="I212" s="5">
        <v>79</v>
      </c>
      <c r="J212" s="5">
        <v>71</v>
      </c>
      <c r="K212" s="5">
        <v>80.5</v>
      </c>
      <c r="L212" s="5">
        <v>81.02000000000001</v>
      </c>
    </row>
    <row r="213" spans="1:12" x14ac:dyDescent="0.3">
      <c r="A213" s="2" t="s">
        <v>60</v>
      </c>
      <c r="B213" s="2" t="s">
        <v>171</v>
      </c>
      <c r="C213" s="2" t="s">
        <v>172</v>
      </c>
      <c r="D213" s="2" t="s">
        <v>64</v>
      </c>
      <c r="E213" s="2">
        <v>4</v>
      </c>
      <c r="F213" s="2" t="s">
        <v>794</v>
      </c>
      <c r="G213" s="5">
        <v>89.5</v>
      </c>
      <c r="H213" s="5">
        <v>90.5</v>
      </c>
      <c r="I213" s="5">
        <v>87</v>
      </c>
      <c r="J213" s="5">
        <v>83</v>
      </c>
      <c r="K213" s="5">
        <v>91.5</v>
      </c>
      <c r="L213" s="5">
        <v>88.3</v>
      </c>
    </row>
    <row r="214" spans="1:12" x14ac:dyDescent="0.3">
      <c r="A214" s="2" t="s">
        <v>60</v>
      </c>
      <c r="B214" s="2" t="s">
        <v>173</v>
      </c>
      <c r="C214" s="2" t="s">
        <v>174</v>
      </c>
      <c r="D214" s="2" t="s">
        <v>63</v>
      </c>
      <c r="E214" s="2">
        <v>1</v>
      </c>
      <c r="F214" s="2" t="s">
        <v>791</v>
      </c>
      <c r="G214" s="5">
        <v>87.71</v>
      </c>
      <c r="H214" s="5">
        <v>89.71</v>
      </c>
      <c r="I214" s="5">
        <v>83.5</v>
      </c>
      <c r="J214" s="5">
        <v>91</v>
      </c>
      <c r="K214" s="5">
        <v>83</v>
      </c>
      <c r="L214" s="5">
        <v>86.983999999999995</v>
      </c>
    </row>
    <row r="215" spans="1:12" x14ac:dyDescent="0.3">
      <c r="A215" s="2" t="s">
        <v>60</v>
      </c>
      <c r="B215" s="2" t="s">
        <v>173</v>
      </c>
      <c r="C215" s="2" t="s">
        <v>174</v>
      </c>
      <c r="D215" s="2" t="s">
        <v>188</v>
      </c>
      <c r="E215" s="2">
        <v>2</v>
      </c>
      <c r="F215" s="2" t="s">
        <v>792</v>
      </c>
      <c r="G215" s="5">
        <v>88.8</v>
      </c>
      <c r="H215" s="5">
        <v>94.8</v>
      </c>
      <c r="I215" s="5">
        <v>87</v>
      </c>
      <c r="J215" s="5">
        <v>90.5</v>
      </c>
      <c r="K215" s="5">
        <v>92.7</v>
      </c>
      <c r="L215" s="5">
        <v>90.76</v>
      </c>
    </row>
    <row r="216" spans="1:12" x14ac:dyDescent="0.3">
      <c r="A216" s="2" t="s">
        <v>60</v>
      </c>
      <c r="B216" s="2" t="s">
        <v>173</v>
      </c>
      <c r="C216" s="2" t="s">
        <v>174</v>
      </c>
      <c r="D216" s="2" t="s">
        <v>301</v>
      </c>
      <c r="E216" s="2">
        <v>3</v>
      </c>
      <c r="F216" s="2" t="s">
        <v>793</v>
      </c>
      <c r="G216" s="5">
        <v>88.7</v>
      </c>
      <c r="H216" s="5">
        <v>93.7</v>
      </c>
      <c r="I216" s="5">
        <v>82.5</v>
      </c>
      <c r="J216" s="5">
        <v>89.5</v>
      </c>
      <c r="K216" s="5">
        <v>90.5</v>
      </c>
      <c r="L216" s="5">
        <v>88.97999999999999</v>
      </c>
    </row>
    <row r="217" spans="1:12" x14ac:dyDescent="0.3">
      <c r="A217" s="2" t="s">
        <v>60</v>
      </c>
      <c r="B217" s="2" t="s">
        <v>173</v>
      </c>
      <c r="C217" s="2" t="s">
        <v>174</v>
      </c>
      <c r="D217" s="2" t="s">
        <v>64</v>
      </c>
      <c r="E217" s="2">
        <v>4</v>
      </c>
      <c r="F217" s="2" t="s">
        <v>794</v>
      </c>
      <c r="G217" s="5">
        <v>97.38</v>
      </c>
      <c r="H217" s="5">
        <v>99.38</v>
      </c>
      <c r="I217" s="5">
        <v>98</v>
      </c>
      <c r="J217" s="5">
        <v>99.5</v>
      </c>
      <c r="K217" s="5">
        <v>98.5</v>
      </c>
      <c r="L217" s="5">
        <v>98.551999999999992</v>
      </c>
    </row>
    <row r="218" spans="1:12" x14ac:dyDescent="0.3">
      <c r="A218" s="2" t="s">
        <v>60</v>
      </c>
      <c r="B218" s="2" t="s">
        <v>175</v>
      </c>
      <c r="C218" s="2" t="s">
        <v>176</v>
      </c>
      <c r="D218" s="2" t="s">
        <v>63</v>
      </c>
      <c r="E218" s="2">
        <v>1</v>
      </c>
      <c r="F218" s="2" t="s">
        <v>791</v>
      </c>
      <c r="G218" s="5">
        <v>94.93</v>
      </c>
      <c r="H218" s="5">
        <v>96.93</v>
      </c>
      <c r="I218" s="5">
        <v>96.5</v>
      </c>
      <c r="J218" s="5">
        <v>99.5</v>
      </c>
      <c r="K218" s="5">
        <v>97.6</v>
      </c>
      <c r="L218" s="5">
        <v>97.092000000000013</v>
      </c>
    </row>
    <row r="219" spans="1:12" x14ac:dyDescent="0.3">
      <c r="A219" s="2" t="s">
        <v>60</v>
      </c>
      <c r="B219" s="2" t="s">
        <v>175</v>
      </c>
      <c r="C219" s="2" t="s">
        <v>176</v>
      </c>
      <c r="D219" s="2" t="s">
        <v>188</v>
      </c>
      <c r="E219" s="2">
        <v>2</v>
      </c>
      <c r="F219" s="2" t="s">
        <v>792</v>
      </c>
      <c r="G219" s="5">
        <v>93.92</v>
      </c>
      <c r="H219" s="5">
        <v>98.92</v>
      </c>
      <c r="I219" s="5">
        <v>97.5</v>
      </c>
      <c r="J219" s="5">
        <v>98</v>
      </c>
      <c r="K219" s="5">
        <v>98.8</v>
      </c>
      <c r="L219" s="5">
        <v>97.428000000000011</v>
      </c>
    </row>
    <row r="220" spans="1:12" x14ac:dyDescent="0.3">
      <c r="A220" s="2" t="s">
        <v>60</v>
      </c>
      <c r="B220" s="2" t="s">
        <v>175</v>
      </c>
      <c r="C220" s="2" t="s">
        <v>176</v>
      </c>
      <c r="D220" s="2" t="s">
        <v>301</v>
      </c>
      <c r="E220" s="2">
        <v>3</v>
      </c>
      <c r="F220" s="2" t="s">
        <v>793</v>
      </c>
      <c r="G220" s="5">
        <v>83.3</v>
      </c>
      <c r="H220" s="5">
        <v>89.3</v>
      </c>
      <c r="I220" s="5">
        <v>84</v>
      </c>
      <c r="J220" s="5">
        <v>79</v>
      </c>
      <c r="K220" s="5">
        <v>87.5</v>
      </c>
      <c r="L220" s="5">
        <v>84.62</v>
      </c>
    </row>
    <row r="221" spans="1:12" x14ac:dyDescent="0.3">
      <c r="A221" s="2" t="s">
        <v>60</v>
      </c>
      <c r="B221" s="2" t="s">
        <v>175</v>
      </c>
      <c r="C221" s="2" t="s">
        <v>176</v>
      </c>
      <c r="D221" s="2" t="s">
        <v>64</v>
      </c>
      <c r="E221" s="2">
        <v>4</v>
      </c>
      <c r="F221" s="2" t="s">
        <v>794</v>
      </c>
      <c r="G221" s="5">
        <v>83.31</v>
      </c>
      <c r="H221" s="5">
        <v>88.31</v>
      </c>
      <c r="I221" s="5">
        <v>93</v>
      </c>
      <c r="J221" s="5">
        <v>87.5</v>
      </c>
      <c r="K221" s="5">
        <v>81.5</v>
      </c>
      <c r="L221" s="5">
        <v>86.724000000000004</v>
      </c>
    </row>
    <row r="222" spans="1:12" x14ac:dyDescent="0.3">
      <c r="A222" s="2" t="s">
        <v>60</v>
      </c>
      <c r="B222" s="2" t="s">
        <v>177</v>
      </c>
      <c r="C222" s="2" t="s">
        <v>178</v>
      </c>
      <c r="D222" s="2" t="s">
        <v>63</v>
      </c>
      <c r="E222" s="2">
        <v>1</v>
      </c>
      <c r="F222" s="2" t="s">
        <v>791</v>
      </c>
      <c r="G222" s="5">
        <v>83.5</v>
      </c>
      <c r="H222" s="5">
        <v>84.5</v>
      </c>
      <c r="I222" s="5">
        <v>65.5</v>
      </c>
      <c r="J222" s="5">
        <v>93.5</v>
      </c>
      <c r="K222" s="5">
        <v>77.2</v>
      </c>
      <c r="L222" s="5">
        <v>80.84</v>
      </c>
    </row>
    <row r="223" spans="1:12" x14ac:dyDescent="0.3">
      <c r="A223" s="2" t="s">
        <v>60</v>
      </c>
      <c r="B223" s="2" t="s">
        <v>177</v>
      </c>
      <c r="C223" s="2" t="s">
        <v>178</v>
      </c>
      <c r="D223" s="2" t="s">
        <v>188</v>
      </c>
      <c r="E223" s="2">
        <v>2</v>
      </c>
      <c r="F223" s="2" t="s">
        <v>792</v>
      </c>
      <c r="G223" s="5">
        <v>77.959999999999994</v>
      </c>
      <c r="H223" s="5">
        <v>83.96</v>
      </c>
      <c r="I223" s="5">
        <v>73.5</v>
      </c>
      <c r="J223" s="5">
        <v>85.5</v>
      </c>
      <c r="K223" s="5">
        <v>80.900000000000006</v>
      </c>
      <c r="L223" s="5">
        <v>80.36399999999999</v>
      </c>
    </row>
    <row r="224" spans="1:12" x14ac:dyDescent="0.3">
      <c r="A224" s="2" t="s">
        <v>60</v>
      </c>
      <c r="B224" s="2" t="s">
        <v>177</v>
      </c>
      <c r="C224" s="2" t="s">
        <v>178</v>
      </c>
      <c r="D224" s="2" t="s">
        <v>301</v>
      </c>
      <c r="E224" s="2">
        <v>3</v>
      </c>
      <c r="F224" s="2" t="s">
        <v>793</v>
      </c>
      <c r="G224" s="5">
        <v>80.099999999999994</v>
      </c>
      <c r="H224" s="5">
        <v>86.1</v>
      </c>
      <c r="I224" s="5">
        <v>59.5</v>
      </c>
      <c r="J224" s="5">
        <v>80.5</v>
      </c>
      <c r="K224" s="5">
        <v>80.5</v>
      </c>
      <c r="L224" s="5">
        <v>77.34</v>
      </c>
    </row>
    <row r="225" spans="1:12" x14ac:dyDescent="0.3">
      <c r="A225" s="2" t="s">
        <v>60</v>
      </c>
      <c r="B225" s="2" t="s">
        <v>177</v>
      </c>
      <c r="C225" s="2" t="s">
        <v>178</v>
      </c>
      <c r="D225" s="2" t="s">
        <v>64</v>
      </c>
      <c r="E225" s="2">
        <v>4</v>
      </c>
      <c r="F225" s="2" t="s">
        <v>794</v>
      </c>
      <c r="G225" s="5">
        <v>86.44</v>
      </c>
      <c r="H225" s="5">
        <v>90.44</v>
      </c>
      <c r="I225" s="5">
        <v>86</v>
      </c>
      <c r="J225" s="5">
        <v>88.5</v>
      </c>
      <c r="K225" s="5">
        <v>89.5</v>
      </c>
      <c r="L225" s="5">
        <v>88.176000000000002</v>
      </c>
    </row>
    <row r="226" spans="1:12" x14ac:dyDescent="0.3">
      <c r="A226" s="2" t="s">
        <v>60</v>
      </c>
      <c r="B226" s="2" t="s">
        <v>179</v>
      </c>
      <c r="C226" s="2" t="s">
        <v>180</v>
      </c>
      <c r="D226" s="2" t="s">
        <v>63</v>
      </c>
      <c r="E226" s="2">
        <v>1</v>
      </c>
      <c r="F226" s="2" t="s">
        <v>791</v>
      </c>
      <c r="G226" s="5">
        <v>90.75</v>
      </c>
      <c r="H226" s="5">
        <v>92.75</v>
      </c>
      <c r="I226" s="5">
        <v>82.5</v>
      </c>
      <c r="J226" s="5">
        <v>95</v>
      </c>
      <c r="K226" s="5">
        <v>92.3</v>
      </c>
      <c r="L226" s="5">
        <v>90.66</v>
      </c>
    </row>
    <row r="227" spans="1:12" x14ac:dyDescent="0.3">
      <c r="A227" s="2" t="s">
        <v>60</v>
      </c>
      <c r="B227" s="2" t="s">
        <v>179</v>
      </c>
      <c r="C227" s="2" t="s">
        <v>180</v>
      </c>
      <c r="D227" s="2" t="s">
        <v>188</v>
      </c>
      <c r="E227" s="2">
        <v>2</v>
      </c>
      <c r="F227" s="2" t="s">
        <v>792</v>
      </c>
      <c r="G227" s="5">
        <v>91.56</v>
      </c>
      <c r="H227" s="5">
        <v>94.56</v>
      </c>
      <c r="I227" s="5">
        <v>84</v>
      </c>
      <c r="J227" s="5">
        <v>99</v>
      </c>
      <c r="K227" s="5">
        <v>93.1</v>
      </c>
      <c r="L227" s="5">
        <v>92.444000000000003</v>
      </c>
    </row>
    <row r="228" spans="1:12" x14ac:dyDescent="0.3">
      <c r="A228" s="2" t="s">
        <v>60</v>
      </c>
      <c r="B228" s="2" t="s">
        <v>179</v>
      </c>
      <c r="C228" s="2" t="s">
        <v>180</v>
      </c>
      <c r="D228" s="2" t="s">
        <v>301</v>
      </c>
      <c r="E228" s="2">
        <v>3</v>
      </c>
      <c r="F228" s="2" t="s">
        <v>793</v>
      </c>
      <c r="G228" s="5">
        <v>89.2</v>
      </c>
      <c r="H228" s="5">
        <v>93.2</v>
      </c>
      <c r="I228" s="5">
        <v>80</v>
      </c>
      <c r="J228" s="5">
        <v>90</v>
      </c>
      <c r="K228" s="5">
        <v>91</v>
      </c>
      <c r="L228" s="5">
        <v>88.679999999999993</v>
      </c>
    </row>
    <row r="229" spans="1:12" x14ac:dyDescent="0.3">
      <c r="A229" s="2" t="s">
        <v>60</v>
      </c>
      <c r="B229" s="2" t="s">
        <v>179</v>
      </c>
      <c r="C229" s="2" t="s">
        <v>180</v>
      </c>
      <c r="D229" s="2" t="s">
        <v>64</v>
      </c>
      <c r="E229" s="2">
        <v>4</v>
      </c>
      <c r="F229" s="2" t="s">
        <v>794</v>
      </c>
      <c r="G229" s="5">
        <v>90.75</v>
      </c>
      <c r="H229" s="5">
        <v>96.75</v>
      </c>
      <c r="I229" s="5">
        <v>93.5</v>
      </c>
      <c r="J229" s="5">
        <v>93</v>
      </c>
      <c r="K229" s="5">
        <v>95</v>
      </c>
      <c r="L229" s="5">
        <v>93.8</v>
      </c>
    </row>
    <row r="230" spans="1:12" x14ac:dyDescent="0.3">
      <c r="A230" s="2" t="s">
        <v>60</v>
      </c>
      <c r="B230" s="2" t="s">
        <v>181</v>
      </c>
      <c r="C230" s="2" t="s">
        <v>182</v>
      </c>
      <c r="D230" s="2" t="s">
        <v>63</v>
      </c>
      <c r="E230" s="2">
        <v>1</v>
      </c>
      <c r="F230" s="2" t="s">
        <v>791</v>
      </c>
      <c r="G230" s="5">
        <v>84.25</v>
      </c>
      <c r="H230" s="5">
        <v>88.25</v>
      </c>
      <c r="I230" s="5">
        <v>83</v>
      </c>
      <c r="J230" s="5">
        <v>92.5</v>
      </c>
      <c r="K230" s="5">
        <v>84.3</v>
      </c>
      <c r="L230" s="5">
        <v>86.460000000000008</v>
      </c>
    </row>
    <row r="231" spans="1:12" x14ac:dyDescent="0.3">
      <c r="A231" s="2" t="s">
        <v>60</v>
      </c>
      <c r="B231" s="2" t="s">
        <v>181</v>
      </c>
      <c r="C231" s="2" t="s">
        <v>182</v>
      </c>
      <c r="D231" s="2" t="s">
        <v>188</v>
      </c>
      <c r="E231" s="2">
        <v>2</v>
      </c>
      <c r="F231" s="2" t="s">
        <v>792</v>
      </c>
      <c r="G231" s="5">
        <v>82.32</v>
      </c>
      <c r="H231" s="5">
        <v>85.32</v>
      </c>
      <c r="I231" s="5">
        <v>81</v>
      </c>
      <c r="J231" s="5">
        <v>92</v>
      </c>
      <c r="K231" s="5">
        <v>78.900000000000006</v>
      </c>
      <c r="L231" s="5">
        <v>83.907999999999987</v>
      </c>
    </row>
    <row r="232" spans="1:12" x14ac:dyDescent="0.3">
      <c r="A232" s="2" t="s">
        <v>60</v>
      </c>
      <c r="B232" s="2" t="s">
        <v>181</v>
      </c>
      <c r="C232" s="2" t="s">
        <v>182</v>
      </c>
      <c r="D232" s="2" t="s">
        <v>301</v>
      </c>
      <c r="E232" s="2">
        <v>3</v>
      </c>
      <c r="F232" s="2" t="s">
        <v>793</v>
      </c>
      <c r="G232" s="5">
        <v>88.4</v>
      </c>
      <c r="H232" s="5">
        <v>90.4</v>
      </c>
      <c r="I232" s="5">
        <v>82</v>
      </c>
      <c r="J232" s="5">
        <v>84.5</v>
      </c>
      <c r="K232" s="5">
        <v>89.5</v>
      </c>
      <c r="L232" s="5">
        <v>86.960000000000008</v>
      </c>
    </row>
    <row r="233" spans="1:12" x14ac:dyDescent="0.3">
      <c r="A233" s="2" t="s">
        <v>60</v>
      </c>
      <c r="B233" s="2" t="s">
        <v>181</v>
      </c>
      <c r="C233" s="2" t="s">
        <v>182</v>
      </c>
      <c r="D233" s="2" t="s">
        <v>64</v>
      </c>
      <c r="E233" s="2">
        <v>4</v>
      </c>
      <c r="F233" s="2" t="s">
        <v>794</v>
      </c>
      <c r="G233" s="5">
        <v>92.5</v>
      </c>
      <c r="H233" s="5">
        <v>96.5</v>
      </c>
      <c r="I233" s="5">
        <v>94</v>
      </c>
      <c r="J233" s="5">
        <v>93.5</v>
      </c>
      <c r="K233" s="5">
        <v>94</v>
      </c>
      <c r="L233" s="5">
        <v>94.1</v>
      </c>
    </row>
    <row r="234" spans="1:12" x14ac:dyDescent="0.3">
      <c r="A234" s="2" t="s">
        <v>60</v>
      </c>
      <c r="B234" s="2" t="s">
        <v>183</v>
      </c>
      <c r="C234" s="2" t="s">
        <v>184</v>
      </c>
      <c r="D234" s="2" t="s">
        <v>63</v>
      </c>
      <c r="E234" s="2">
        <v>1</v>
      </c>
      <c r="F234" s="2" t="s">
        <v>791</v>
      </c>
      <c r="G234" s="5">
        <v>91.07</v>
      </c>
      <c r="H234" s="5">
        <v>92.07</v>
      </c>
      <c r="I234" s="5">
        <v>78</v>
      </c>
      <c r="J234" s="5">
        <v>94.5</v>
      </c>
      <c r="K234" s="5">
        <v>90.6</v>
      </c>
      <c r="L234" s="5">
        <v>89.248000000000005</v>
      </c>
    </row>
    <row r="235" spans="1:12" x14ac:dyDescent="0.3">
      <c r="A235" s="2" t="s">
        <v>60</v>
      </c>
      <c r="B235" s="2" t="s">
        <v>183</v>
      </c>
      <c r="C235" s="2" t="s">
        <v>184</v>
      </c>
      <c r="D235" s="2" t="s">
        <v>188</v>
      </c>
      <c r="E235" s="2">
        <v>2</v>
      </c>
      <c r="F235" s="2" t="s">
        <v>792</v>
      </c>
      <c r="G235" s="5">
        <v>84.6</v>
      </c>
      <c r="H235" s="5">
        <v>84.6</v>
      </c>
      <c r="I235" s="5">
        <v>67.5</v>
      </c>
      <c r="J235" s="5">
        <v>83.5</v>
      </c>
      <c r="K235" s="5">
        <v>75.400000000000006</v>
      </c>
      <c r="L235" s="5">
        <v>79.12</v>
      </c>
    </row>
    <row r="236" spans="1:12" x14ac:dyDescent="0.3">
      <c r="A236" s="2" t="s">
        <v>60</v>
      </c>
      <c r="B236" s="2" t="s">
        <v>183</v>
      </c>
      <c r="C236" s="2" t="s">
        <v>184</v>
      </c>
      <c r="D236" s="2" t="s">
        <v>301</v>
      </c>
      <c r="E236" s="2">
        <v>3</v>
      </c>
      <c r="F236" s="2" t="s">
        <v>793</v>
      </c>
      <c r="G236" s="5">
        <v>69.599999999999994</v>
      </c>
      <c r="H236" s="5">
        <v>74.599999999999994</v>
      </c>
      <c r="I236" s="5">
        <v>52.5</v>
      </c>
      <c r="J236" s="5">
        <v>60.5</v>
      </c>
      <c r="K236" s="5">
        <v>59.5</v>
      </c>
      <c r="L236" s="5">
        <v>63.34</v>
      </c>
    </row>
    <row r="237" spans="1:12" x14ac:dyDescent="0.3">
      <c r="A237" s="2" t="s">
        <v>60</v>
      </c>
      <c r="B237" s="2" t="s">
        <v>183</v>
      </c>
      <c r="C237" s="2" t="s">
        <v>184</v>
      </c>
      <c r="D237" s="2" t="s">
        <v>64</v>
      </c>
      <c r="E237" s="2">
        <v>4</v>
      </c>
      <c r="F237" s="2" t="s">
        <v>794</v>
      </c>
      <c r="G237" s="5">
        <v>79.25</v>
      </c>
      <c r="H237" s="5">
        <v>84.25</v>
      </c>
      <c r="I237" s="5">
        <v>89.5</v>
      </c>
      <c r="J237" s="5">
        <v>72.5</v>
      </c>
      <c r="K237" s="5">
        <v>88.5</v>
      </c>
      <c r="L237" s="5">
        <v>82.8</v>
      </c>
    </row>
    <row r="238" spans="1:12" x14ac:dyDescent="0.3">
      <c r="A238" s="2" t="s">
        <v>185</v>
      </c>
      <c r="B238" s="2" t="s">
        <v>186</v>
      </c>
      <c r="C238" s="2" t="s">
        <v>187</v>
      </c>
      <c r="D238" s="2" t="s">
        <v>188</v>
      </c>
      <c r="E238" s="2">
        <v>1</v>
      </c>
      <c r="F238" s="2" t="s">
        <v>791</v>
      </c>
      <c r="G238" s="5">
        <v>81.69</v>
      </c>
      <c r="H238" s="5">
        <v>84.69</v>
      </c>
      <c r="I238" s="5">
        <v>83</v>
      </c>
      <c r="J238" s="5">
        <v>77</v>
      </c>
      <c r="K238" s="5">
        <v>79.900000000000006</v>
      </c>
      <c r="L238" s="5">
        <v>81.256</v>
      </c>
    </row>
    <row r="239" spans="1:12" x14ac:dyDescent="0.3">
      <c r="A239" s="2" t="s">
        <v>185</v>
      </c>
      <c r="B239" s="2" t="s">
        <v>186</v>
      </c>
      <c r="C239" s="2" t="s">
        <v>187</v>
      </c>
      <c r="D239" s="2" t="s">
        <v>301</v>
      </c>
      <c r="E239" s="2">
        <v>2</v>
      </c>
      <c r="F239" s="2" t="s">
        <v>795</v>
      </c>
      <c r="G239" s="5">
        <v>87.8</v>
      </c>
      <c r="H239" s="5">
        <v>93.8</v>
      </c>
      <c r="I239" s="5">
        <v>84.5</v>
      </c>
      <c r="J239" s="5">
        <v>97</v>
      </c>
      <c r="K239" s="5">
        <v>90.8</v>
      </c>
      <c r="L239" s="5">
        <v>90.78</v>
      </c>
    </row>
    <row r="240" spans="1:12" x14ac:dyDescent="0.3">
      <c r="A240" s="2" t="s">
        <v>185</v>
      </c>
      <c r="B240" s="2" t="s">
        <v>186</v>
      </c>
      <c r="C240" s="2" t="s">
        <v>187</v>
      </c>
      <c r="D240" s="2" t="s">
        <v>64</v>
      </c>
      <c r="E240" s="2">
        <v>3</v>
      </c>
      <c r="F240" s="2" t="s">
        <v>796</v>
      </c>
      <c r="G240" s="5">
        <v>94.22</v>
      </c>
      <c r="H240" s="5">
        <v>96.22</v>
      </c>
      <c r="I240" s="5">
        <v>91.5</v>
      </c>
      <c r="J240" s="5">
        <v>96.5</v>
      </c>
      <c r="K240" s="5">
        <v>99</v>
      </c>
      <c r="L240" s="5">
        <v>95.488</v>
      </c>
    </row>
    <row r="241" spans="1:12" x14ac:dyDescent="0.3">
      <c r="A241" s="2" t="s">
        <v>185</v>
      </c>
      <c r="B241" s="2" t="s">
        <v>186</v>
      </c>
      <c r="C241" s="2" t="s">
        <v>187</v>
      </c>
      <c r="D241" s="2" t="s">
        <v>189</v>
      </c>
      <c r="E241" s="2">
        <v>4</v>
      </c>
      <c r="F241" s="2" t="s">
        <v>797</v>
      </c>
      <c r="G241" s="5">
        <v>93.88</v>
      </c>
      <c r="H241" s="5">
        <v>97.88</v>
      </c>
      <c r="I241" s="5">
        <v>99</v>
      </c>
      <c r="J241" s="5">
        <v>99.5</v>
      </c>
      <c r="K241" s="5">
        <v>100</v>
      </c>
      <c r="L241" s="5">
        <v>98.051999999999992</v>
      </c>
    </row>
    <row r="242" spans="1:12" x14ac:dyDescent="0.3">
      <c r="A242" s="2" t="s">
        <v>185</v>
      </c>
      <c r="B242" s="2" t="s">
        <v>190</v>
      </c>
      <c r="C242" s="2" t="s">
        <v>191</v>
      </c>
      <c r="D242" s="2" t="s">
        <v>188</v>
      </c>
      <c r="E242" s="2">
        <v>1</v>
      </c>
      <c r="F242" s="2" t="s">
        <v>791</v>
      </c>
      <c r="G242" s="5">
        <v>81.96</v>
      </c>
      <c r="H242" s="5">
        <v>83.96</v>
      </c>
      <c r="I242" s="5">
        <v>84.5</v>
      </c>
      <c r="J242" s="5">
        <v>77</v>
      </c>
      <c r="K242" s="5">
        <v>75.900000000000006</v>
      </c>
      <c r="L242" s="5">
        <v>80.663999999999987</v>
      </c>
    </row>
    <row r="243" spans="1:12" x14ac:dyDescent="0.3">
      <c r="A243" s="2" t="s">
        <v>185</v>
      </c>
      <c r="B243" s="2" t="s">
        <v>190</v>
      </c>
      <c r="C243" s="2" t="s">
        <v>191</v>
      </c>
      <c r="D243" s="2" t="s">
        <v>301</v>
      </c>
      <c r="E243" s="2">
        <v>2</v>
      </c>
      <c r="F243" s="2" t="s">
        <v>795</v>
      </c>
      <c r="G243" s="5">
        <v>88.68</v>
      </c>
      <c r="H243" s="5">
        <v>89.68</v>
      </c>
      <c r="I243" s="5">
        <v>85.5</v>
      </c>
      <c r="J243" s="5">
        <v>94</v>
      </c>
      <c r="K243" s="5">
        <v>83.2</v>
      </c>
      <c r="L243" s="5">
        <v>88.212000000000003</v>
      </c>
    </row>
    <row r="244" spans="1:12" x14ac:dyDescent="0.3">
      <c r="A244" s="2" t="s">
        <v>185</v>
      </c>
      <c r="B244" s="2" t="s">
        <v>190</v>
      </c>
      <c r="C244" s="2" t="s">
        <v>191</v>
      </c>
      <c r="D244" s="2" t="s">
        <v>64</v>
      </c>
      <c r="E244" s="2">
        <v>3</v>
      </c>
      <c r="F244" s="2" t="s">
        <v>796</v>
      </c>
      <c r="G244" s="5">
        <v>88.33</v>
      </c>
      <c r="H244" s="5">
        <v>94.33</v>
      </c>
      <c r="I244" s="5">
        <v>88</v>
      </c>
      <c r="J244" s="5">
        <v>92</v>
      </c>
      <c r="K244" s="5">
        <v>95.5</v>
      </c>
      <c r="L244" s="5">
        <v>91.631999999999991</v>
      </c>
    </row>
    <row r="245" spans="1:12" x14ac:dyDescent="0.3">
      <c r="A245" s="2" t="s">
        <v>185</v>
      </c>
      <c r="B245" s="2" t="s">
        <v>190</v>
      </c>
      <c r="C245" s="2" t="s">
        <v>191</v>
      </c>
      <c r="D245" s="2" t="s">
        <v>189</v>
      </c>
      <c r="E245" s="2">
        <v>4</v>
      </c>
      <c r="F245" s="2" t="s">
        <v>797</v>
      </c>
      <c r="G245" s="5">
        <v>93</v>
      </c>
      <c r="H245" s="5">
        <v>94</v>
      </c>
      <c r="I245" s="5">
        <v>97</v>
      </c>
      <c r="J245" s="5">
        <v>96</v>
      </c>
      <c r="K245" s="5">
        <v>99.5</v>
      </c>
      <c r="L245" s="5">
        <v>95.9</v>
      </c>
    </row>
    <row r="246" spans="1:12" x14ac:dyDescent="0.3">
      <c r="A246" s="2" t="s">
        <v>185</v>
      </c>
      <c r="B246" s="2" t="s">
        <v>192</v>
      </c>
      <c r="C246" s="2" t="s">
        <v>193</v>
      </c>
      <c r="D246" s="2" t="s">
        <v>188</v>
      </c>
      <c r="E246" s="2">
        <v>1</v>
      </c>
      <c r="F246" s="2" t="s">
        <v>791</v>
      </c>
      <c r="G246" s="5">
        <v>87</v>
      </c>
      <c r="H246" s="5">
        <v>89</v>
      </c>
      <c r="I246" s="5">
        <v>84</v>
      </c>
      <c r="J246" s="5">
        <v>90</v>
      </c>
      <c r="K246" s="5">
        <v>82.5</v>
      </c>
      <c r="L246" s="5">
        <v>86.5</v>
      </c>
    </row>
    <row r="247" spans="1:12" x14ac:dyDescent="0.3">
      <c r="A247" s="2" t="s">
        <v>185</v>
      </c>
      <c r="B247" s="2" t="s">
        <v>192</v>
      </c>
      <c r="C247" s="2" t="s">
        <v>193</v>
      </c>
      <c r="D247" s="2" t="s">
        <v>301</v>
      </c>
      <c r="E247" s="2">
        <v>2</v>
      </c>
      <c r="F247" s="2" t="s">
        <v>795</v>
      </c>
      <c r="G247" s="5">
        <v>68.88</v>
      </c>
      <c r="H247" s="5">
        <v>72.88</v>
      </c>
      <c r="I247" s="5">
        <v>66</v>
      </c>
      <c r="J247" s="5">
        <v>74</v>
      </c>
      <c r="K247" s="5">
        <v>59.5</v>
      </c>
      <c r="L247" s="5">
        <v>68.251999999999995</v>
      </c>
    </row>
    <row r="248" spans="1:12" x14ac:dyDescent="0.3">
      <c r="A248" s="2" t="s">
        <v>185</v>
      </c>
      <c r="B248" s="2" t="s">
        <v>192</v>
      </c>
      <c r="C248" s="2" t="s">
        <v>193</v>
      </c>
      <c r="D248" s="2" t="s">
        <v>64</v>
      </c>
      <c r="E248" s="2">
        <v>3</v>
      </c>
      <c r="F248" s="2" t="s">
        <v>796</v>
      </c>
      <c r="G248" s="5">
        <v>75.22</v>
      </c>
      <c r="H248" s="5">
        <v>75.22</v>
      </c>
      <c r="I248" s="5">
        <v>62</v>
      </c>
      <c r="J248" s="5">
        <v>73.5</v>
      </c>
      <c r="K248" s="5">
        <v>68</v>
      </c>
      <c r="L248" s="5">
        <v>70.787999999999997</v>
      </c>
    </row>
    <row r="249" spans="1:12" x14ac:dyDescent="0.3">
      <c r="A249" s="2" t="s">
        <v>185</v>
      </c>
      <c r="B249" s="2" t="s">
        <v>192</v>
      </c>
      <c r="C249" s="2" t="s">
        <v>193</v>
      </c>
      <c r="D249" s="2" t="s">
        <v>189</v>
      </c>
      <c r="E249" s="2">
        <v>4</v>
      </c>
      <c r="F249" s="2" t="s">
        <v>797</v>
      </c>
      <c r="G249" s="5">
        <v>73.06</v>
      </c>
      <c r="H249" s="5">
        <v>76.06</v>
      </c>
      <c r="I249" s="5">
        <v>74.5</v>
      </c>
      <c r="J249" s="5">
        <v>72.5</v>
      </c>
      <c r="K249" s="5">
        <v>88</v>
      </c>
      <c r="L249" s="5">
        <v>76.823999999999998</v>
      </c>
    </row>
    <row r="250" spans="1:12" x14ac:dyDescent="0.3">
      <c r="A250" s="2" t="s">
        <v>185</v>
      </c>
      <c r="B250" s="2" t="s">
        <v>194</v>
      </c>
      <c r="C250" s="2" t="s">
        <v>195</v>
      </c>
      <c r="D250" s="2" t="s">
        <v>188</v>
      </c>
      <c r="E250" s="2">
        <v>1</v>
      </c>
      <c r="F250" s="2" t="s">
        <v>791</v>
      </c>
      <c r="G250" s="5">
        <v>81.62</v>
      </c>
      <c r="H250" s="5">
        <v>87.62</v>
      </c>
      <c r="I250" s="5">
        <v>84</v>
      </c>
      <c r="J250" s="5">
        <v>84</v>
      </c>
      <c r="K250" s="5">
        <v>82</v>
      </c>
      <c r="L250" s="5">
        <v>83.847999999999999</v>
      </c>
    </row>
    <row r="251" spans="1:12" x14ac:dyDescent="0.3">
      <c r="A251" s="2" t="s">
        <v>185</v>
      </c>
      <c r="B251" s="2" t="s">
        <v>194</v>
      </c>
      <c r="C251" s="2" t="s">
        <v>195</v>
      </c>
      <c r="D251" s="2" t="s">
        <v>301</v>
      </c>
      <c r="E251" s="2">
        <v>2</v>
      </c>
      <c r="F251" s="2" t="s">
        <v>795</v>
      </c>
      <c r="G251" s="5">
        <v>87.24</v>
      </c>
      <c r="H251" s="5">
        <v>89.24</v>
      </c>
      <c r="I251" s="5">
        <v>88</v>
      </c>
      <c r="J251" s="5">
        <v>91.5</v>
      </c>
      <c r="K251" s="5">
        <v>82.3</v>
      </c>
      <c r="L251" s="5">
        <v>87.656000000000006</v>
      </c>
    </row>
    <row r="252" spans="1:12" x14ac:dyDescent="0.3">
      <c r="A252" s="2" t="s">
        <v>185</v>
      </c>
      <c r="B252" s="2" t="s">
        <v>194</v>
      </c>
      <c r="C252" s="2" t="s">
        <v>195</v>
      </c>
      <c r="D252" s="2" t="s">
        <v>64</v>
      </c>
      <c r="E252" s="2">
        <v>3</v>
      </c>
      <c r="F252" s="2" t="s">
        <v>796</v>
      </c>
      <c r="G252" s="5">
        <v>84</v>
      </c>
      <c r="H252" s="5">
        <v>88</v>
      </c>
      <c r="I252" s="5">
        <v>85</v>
      </c>
      <c r="J252" s="5">
        <v>80</v>
      </c>
      <c r="K252" s="5">
        <v>83</v>
      </c>
      <c r="L252" s="5">
        <v>84</v>
      </c>
    </row>
    <row r="253" spans="1:12" x14ac:dyDescent="0.3">
      <c r="A253" s="2" t="s">
        <v>185</v>
      </c>
      <c r="B253" s="2" t="s">
        <v>194</v>
      </c>
      <c r="C253" s="2" t="s">
        <v>195</v>
      </c>
      <c r="D253" s="2" t="s">
        <v>189</v>
      </c>
      <c r="E253" s="2">
        <v>4</v>
      </c>
      <c r="F253" s="2" t="s">
        <v>797</v>
      </c>
      <c r="G253" s="5">
        <v>91.5</v>
      </c>
      <c r="H253" s="5">
        <v>93.5</v>
      </c>
      <c r="I253" s="5">
        <v>94</v>
      </c>
      <c r="J253" s="5">
        <v>87.5</v>
      </c>
      <c r="K253" s="5">
        <v>95.5</v>
      </c>
      <c r="L253" s="5">
        <v>92.4</v>
      </c>
    </row>
    <row r="254" spans="1:12" x14ac:dyDescent="0.3">
      <c r="A254" s="2" t="s">
        <v>185</v>
      </c>
      <c r="B254" s="2" t="s">
        <v>196</v>
      </c>
      <c r="C254" s="2" t="s">
        <v>197</v>
      </c>
      <c r="D254" s="2" t="s">
        <v>188</v>
      </c>
      <c r="E254" s="2">
        <v>1</v>
      </c>
      <c r="F254" s="2" t="s">
        <v>791</v>
      </c>
      <c r="G254" s="5">
        <v>85.89</v>
      </c>
      <c r="H254" s="5">
        <v>88.89</v>
      </c>
      <c r="I254" s="5">
        <v>83.5</v>
      </c>
      <c r="J254" s="5">
        <v>87.5</v>
      </c>
      <c r="K254" s="5">
        <v>85</v>
      </c>
      <c r="L254" s="5">
        <v>86.155999999999992</v>
      </c>
    </row>
    <row r="255" spans="1:12" x14ac:dyDescent="0.3">
      <c r="A255" s="2" t="s">
        <v>185</v>
      </c>
      <c r="B255" s="2" t="s">
        <v>196</v>
      </c>
      <c r="C255" s="2" t="s">
        <v>197</v>
      </c>
      <c r="D255" s="2" t="s">
        <v>301</v>
      </c>
      <c r="E255" s="2">
        <v>2</v>
      </c>
      <c r="F255" s="2" t="s">
        <v>795</v>
      </c>
      <c r="G255" s="5">
        <v>89.96</v>
      </c>
      <c r="H255" s="5">
        <v>91.96</v>
      </c>
      <c r="I255" s="5">
        <v>84</v>
      </c>
      <c r="J255" s="5">
        <v>93.5</v>
      </c>
      <c r="K255" s="5">
        <v>88.3</v>
      </c>
      <c r="L255" s="5">
        <v>89.543999999999997</v>
      </c>
    </row>
    <row r="256" spans="1:12" x14ac:dyDescent="0.3">
      <c r="A256" s="2" t="s">
        <v>185</v>
      </c>
      <c r="B256" s="2" t="s">
        <v>196</v>
      </c>
      <c r="C256" s="2" t="s">
        <v>197</v>
      </c>
      <c r="D256" s="2" t="s">
        <v>64</v>
      </c>
      <c r="E256" s="2">
        <v>3</v>
      </c>
      <c r="F256" s="2" t="s">
        <v>796</v>
      </c>
      <c r="G256" s="5">
        <v>91.39</v>
      </c>
      <c r="H256" s="5">
        <v>92.39</v>
      </c>
      <c r="I256" s="5">
        <v>86</v>
      </c>
      <c r="J256" s="5">
        <v>93.5</v>
      </c>
      <c r="K256" s="5">
        <v>92.5</v>
      </c>
      <c r="L256" s="5">
        <v>91.155999999999992</v>
      </c>
    </row>
    <row r="257" spans="1:12" x14ac:dyDescent="0.3">
      <c r="A257" s="2" t="s">
        <v>185</v>
      </c>
      <c r="B257" s="2" t="s">
        <v>196</v>
      </c>
      <c r="C257" s="2" t="s">
        <v>197</v>
      </c>
      <c r="D257" s="2" t="s">
        <v>189</v>
      </c>
      <c r="E257" s="2">
        <v>4</v>
      </c>
      <c r="F257" s="2" t="s">
        <v>797</v>
      </c>
      <c r="G257" s="5">
        <v>96.38</v>
      </c>
      <c r="H257" s="5">
        <v>96.38</v>
      </c>
      <c r="I257" s="5">
        <v>93</v>
      </c>
      <c r="J257" s="5">
        <v>98</v>
      </c>
      <c r="K257" s="5">
        <v>98.5</v>
      </c>
      <c r="L257" s="5">
        <v>96.451999999999998</v>
      </c>
    </row>
    <row r="258" spans="1:12" x14ac:dyDescent="0.3">
      <c r="A258" s="2" t="s">
        <v>185</v>
      </c>
      <c r="B258" s="2" t="s">
        <v>198</v>
      </c>
      <c r="C258" s="2" t="s">
        <v>199</v>
      </c>
      <c r="D258" s="2" t="s">
        <v>188</v>
      </c>
      <c r="E258" s="2">
        <v>1</v>
      </c>
      <c r="F258" s="2" t="s">
        <v>791</v>
      </c>
      <c r="G258" s="5">
        <v>95.62</v>
      </c>
      <c r="H258" s="5">
        <v>95.62</v>
      </c>
      <c r="I258" s="5">
        <v>94.5</v>
      </c>
      <c r="J258" s="5">
        <v>95.5</v>
      </c>
      <c r="K258" s="5">
        <v>91.9</v>
      </c>
      <c r="L258" s="5">
        <v>94.628</v>
      </c>
    </row>
    <row r="259" spans="1:12" x14ac:dyDescent="0.3">
      <c r="A259" s="2" t="s">
        <v>185</v>
      </c>
      <c r="B259" s="2" t="s">
        <v>198</v>
      </c>
      <c r="C259" s="2" t="s">
        <v>199</v>
      </c>
      <c r="D259" s="2" t="s">
        <v>301</v>
      </c>
      <c r="E259" s="2">
        <v>2</v>
      </c>
      <c r="F259" s="2" t="s">
        <v>795</v>
      </c>
      <c r="G259" s="5">
        <v>87.04</v>
      </c>
      <c r="H259" s="5">
        <v>93.04</v>
      </c>
      <c r="I259" s="5">
        <v>93.5</v>
      </c>
      <c r="J259" s="5">
        <v>95.5</v>
      </c>
      <c r="K259" s="5">
        <v>89.2</v>
      </c>
      <c r="L259" s="5">
        <v>91.656000000000006</v>
      </c>
    </row>
    <row r="260" spans="1:12" x14ac:dyDescent="0.3">
      <c r="A260" s="2" t="s">
        <v>185</v>
      </c>
      <c r="B260" s="2" t="s">
        <v>198</v>
      </c>
      <c r="C260" s="2" t="s">
        <v>199</v>
      </c>
      <c r="D260" s="2" t="s">
        <v>64</v>
      </c>
      <c r="E260" s="2">
        <v>3</v>
      </c>
      <c r="F260" s="2" t="s">
        <v>796</v>
      </c>
      <c r="G260" s="5">
        <v>93.5</v>
      </c>
      <c r="H260" s="5">
        <v>95.5</v>
      </c>
      <c r="I260" s="5">
        <v>92.5</v>
      </c>
      <c r="J260" s="5">
        <v>96</v>
      </c>
      <c r="K260" s="5">
        <v>96.5</v>
      </c>
      <c r="L260" s="5">
        <v>94.8</v>
      </c>
    </row>
    <row r="261" spans="1:12" x14ac:dyDescent="0.3">
      <c r="A261" s="2" t="s">
        <v>185</v>
      </c>
      <c r="B261" s="2" t="s">
        <v>198</v>
      </c>
      <c r="C261" s="2" t="s">
        <v>199</v>
      </c>
      <c r="D261" s="2" t="s">
        <v>189</v>
      </c>
      <c r="E261" s="2">
        <v>4</v>
      </c>
      <c r="F261" s="2" t="s">
        <v>797</v>
      </c>
      <c r="G261" s="5">
        <v>95.31</v>
      </c>
      <c r="H261" s="5">
        <v>97.31</v>
      </c>
      <c r="I261" s="5">
        <v>99.5</v>
      </c>
      <c r="J261" s="5">
        <v>99</v>
      </c>
      <c r="K261" s="5">
        <v>99.5</v>
      </c>
      <c r="L261" s="5">
        <v>98.123999999999995</v>
      </c>
    </row>
    <row r="262" spans="1:12" x14ac:dyDescent="0.3">
      <c r="A262" s="2" t="s">
        <v>185</v>
      </c>
      <c r="B262" s="2" t="s">
        <v>200</v>
      </c>
      <c r="C262" s="2" t="s">
        <v>201</v>
      </c>
      <c r="D262" s="2" t="s">
        <v>188</v>
      </c>
      <c r="E262" s="2">
        <v>1</v>
      </c>
      <c r="F262" s="2" t="s">
        <v>791</v>
      </c>
      <c r="G262" s="5">
        <v>89</v>
      </c>
      <c r="H262" s="5">
        <v>93</v>
      </c>
      <c r="I262" s="5">
        <v>89.5</v>
      </c>
      <c r="J262" s="5">
        <v>95</v>
      </c>
      <c r="K262" s="5">
        <v>88.3</v>
      </c>
      <c r="L262" s="5">
        <v>90.960000000000008</v>
      </c>
    </row>
    <row r="263" spans="1:12" x14ac:dyDescent="0.3">
      <c r="A263" s="2" t="s">
        <v>185</v>
      </c>
      <c r="B263" s="2" t="s">
        <v>200</v>
      </c>
      <c r="C263" s="2" t="s">
        <v>201</v>
      </c>
      <c r="D263" s="2" t="s">
        <v>301</v>
      </c>
      <c r="E263" s="2">
        <v>2</v>
      </c>
      <c r="F263" s="2" t="s">
        <v>795</v>
      </c>
      <c r="G263" s="5">
        <v>81.84</v>
      </c>
      <c r="H263" s="5">
        <v>87.84</v>
      </c>
      <c r="I263" s="5">
        <v>84.5</v>
      </c>
      <c r="J263" s="5">
        <v>86</v>
      </c>
      <c r="K263" s="5">
        <v>81.3</v>
      </c>
      <c r="L263" s="5">
        <v>84.296000000000006</v>
      </c>
    </row>
    <row r="264" spans="1:12" x14ac:dyDescent="0.3">
      <c r="A264" s="2" t="s">
        <v>185</v>
      </c>
      <c r="B264" s="2" t="s">
        <v>200</v>
      </c>
      <c r="C264" s="2" t="s">
        <v>201</v>
      </c>
      <c r="D264" s="2" t="s">
        <v>64</v>
      </c>
      <c r="E264" s="2">
        <v>3</v>
      </c>
      <c r="F264" s="2" t="s">
        <v>796</v>
      </c>
      <c r="G264" s="5">
        <v>83.22</v>
      </c>
      <c r="H264" s="5">
        <v>89.22</v>
      </c>
      <c r="I264" s="5">
        <v>81.5</v>
      </c>
      <c r="J264" s="5">
        <v>88</v>
      </c>
      <c r="K264" s="5">
        <v>88</v>
      </c>
      <c r="L264" s="5">
        <v>85.988</v>
      </c>
    </row>
    <row r="265" spans="1:12" x14ac:dyDescent="0.3">
      <c r="A265" s="2" t="s">
        <v>185</v>
      </c>
      <c r="B265" s="2" t="s">
        <v>200</v>
      </c>
      <c r="C265" s="2" t="s">
        <v>201</v>
      </c>
      <c r="D265" s="2" t="s">
        <v>189</v>
      </c>
      <c r="E265" s="2">
        <v>4</v>
      </c>
      <c r="F265" s="2" t="s">
        <v>797</v>
      </c>
      <c r="G265" s="5">
        <v>92.38</v>
      </c>
      <c r="H265" s="5">
        <v>92.38</v>
      </c>
      <c r="I265" s="5">
        <v>91</v>
      </c>
      <c r="J265" s="5">
        <v>87.5</v>
      </c>
      <c r="K265" s="5">
        <v>95</v>
      </c>
      <c r="L265" s="5">
        <v>91.652000000000001</v>
      </c>
    </row>
    <row r="266" spans="1:12" x14ac:dyDescent="0.3">
      <c r="A266" s="2" t="s">
        <v>185</v>
      </c>
      <c r="B266" s="2" t="s">
        <v>202</v>
      </c>
      <c r="C266" s="2" t="s">
        <v>203</v>
      </c>
      <c r="D266" s="2" t="s">
        <v>188</v>
      </c>
      <c r="E266" s="2">
        <v>1</v>
      </c>
      <c r="F266" s="2" t="s">
        <v>791</v>
      </c>
      <c r="G266" s="5">
        <v>84.19</v>
      </c>
      <c r="H266" s="5">
        <v>87.19</v>
      </c>
      <c r="I266" s="5">
        <v>85</v>
      </c>
      <c r="J266" s="5">
        <v>90.5</v>
      </c>
      <c r="K266" s="5">
        <v>82</v>
      </c>
      <c r="L266" s="5">
        <v>85.775999999999996</v>
      </c>
    </row>
    <row r="267" spans="1:12" x14ac:dyDescent="0.3">
      <c r="A267" s="2" t="s">
        <v>185</v>
      </c>
      <c r="B267" s="2" t="s">
        <v>202</v>
      </c>
      <c r="C267" s="2" t="s">
        <v>203</v>
      </c>
      <c r="D267" s="2" t="s">
        <v>301</v>
      </c>
      <c r="E267" s="2">
        <v>2</v>
      </c>
      <c r="F267" s="2" t="s">
        <v>795</v>
      </c>
      <c r="G267" s="5">
        <v>82.08</v>
      </c>
      <c r="H267" s="5">
        <v>87.08</v>
      </c>
      <c r="I267" s="5">
        <v>88.5</v>
      </c>
      <c r="J267" s="5">
        <v>81.5</v>
      </c>
      <c r="K267" s="5">
        <v>80.900000000000006</v>
      </c>
      <c r="L267" s="5">
        <v>84.012</v>
      </c>
    </row>
    <row r="268" spans="1:12" x14ac:dyDescent="0.3">
      <c r="A268" s="2" t="s">
        <v>185</v>
      </c>
      <c r="B268" s="2" t="s">
        <v>202</v>
      </c>
      <c r="C268" s="2" t="s">
        <v>203</v>
      </c>
      <c r="D268" s="2" t="s">
        <v>64</v>
      </c>
      <c r="E268" s="2">
        <v>3</v>
      </c>
      <c r="F268" s="2" t="s">
        <v>796</v>
      </c>
      <c r="G268" s="5">
        <v>84.89</v>
      </c>
      <c r="H268" s="5">
        <v>86.89</v>
      </c>
      <c r="I268" s="5">
        <v>85</v>
      </c>
      <c r="J268" s="5">
        <v>86</v>
      </c>
      <c r="K268" s="5">
        <v>75.5</v>
      </c>
      <c r="L268" s="5">
        <v>83.655999999999992</v>
      </c>
    </row>
    <row r="269" spans="1:12" x14ac:dyDescent="0.3">
      <c r="A269" s="2" t="s">
        <v>185</v>
      </c>
      <c r="B269" s="2" t="s">
        <v>202</v>
      </c>
      <c r="C269" s="2" t="s">
        <v>203</v>
      </c>
      <c r="D269" s="2" t="s">
        <v>189</v>
      </c>
      <c r="E269" s="2">
        <v>4</v>
      </c>
      <c r="F269" s="2" t="s">
        <v>797</v>
      </c>
      <c r="G269" s="5">
        <v>89.63</v>
      </c>
      <c r="H269" s="5">
        <v>94.63</v>
      </c>
      <c r="I269" s="5">
        <v>91</v>
      </c>
      <c r="J269" s="5">
        <v>90.5</v>
      </c>
      <c r="K269" s="5">
        <v>99</v>
      </c>
      <c r="L269" s="5">
        <v>92.951999999999998</v>
      </c>
    </row>
    <row r="270" spans="1:12" x14ac:dyDescent="0.3">
      <c r="A270" s="2" t="s">
        <v>185</v>
      </c>
      <c r="B270" s="2" t="s">
        <v>204</v>
      </c>
      <c r="C270" s="2" t="s">
        <v>205</v>
      </c>
      <c r="D270" s="2" t="s">
        <v>188</v>
      </c>
      <c r="E270" s="2">
        <v>1</v>
      </c>
      <c r="F270" s="2" t="s">
        <v>791</v>
      </c>
      <c r="G270" s="5">
        <v>86.58</v>
      </c>
      <c r="H270" s="5">
        <v>90.58</v>
      </c>
      <c r="I270" s="5">
        <v>85.5</v>
      </c>
      <c r="J270" s="5">
        <v>92.5</v>
      </c>
      <c r="K270" s="5">
        <v>85.7</v>
      </c>
      <c r="L270" s="5">
        <v>88.171999999999997</v>
      </c>
    </row>
    <row r="271" spans="1:12" x14ac:dyDescent="0.3">
      <c r="A271" s="2" t="s">
        <v>185</v>
      </c>
      <c r="B271" s="2" t="s">
        <v>204</v>
      </c>
      <c r="C271" s="2" t="s">
        <v>205</v>
      </c>
      <c r="D271" s="2" t="s">
        <v>301</v>
      </c>
      <c r="E271" s="2">
        <v>2</v>
      </c>
      <c r="F271" s="2" t="s">
        <v>795</v>
      </c>
      <c r="G271" s="5">
        <v>80.28</v>
      </c>
      <c r="H271" s="5">
        <v>84.28</v>
      </c>
      <c r="I271" s="5">
        <v>82.5</v>
      </c>
      <c r="J271" s="5">
        <v>82</v>
      </c>
      <c r="K271" s="5">
        <v>73.7</v>
      </c>
      <c r="L271" s="5">
        <v>80.551999999999992</v>
      </c>
    </row>
    <row r="272" spans="1:12" x14ac:dyDescent="0.3">
      <c r="A272" s="2" t="s">
        <v>185</v>
      </c>
      <c r="B272" s="2" t="s">
        <v>204</v>
      </c>
      <c r="C272" s="2" t="s">
        <v>205</v>
      </c>
      <c r="D272" s="2" t="s">
        <v>64</v>
      </c>
      <c r="E272" s="2">
        <v>3</v>
      </c>
      <c r="F272" s="2" t="s">
        <v>796</v>
      </c>
      <c r="G272" s="5">
        <v>86.28</v>
      </c>
      <c r="H272" s="5">
        <v>87.28</v>
      </c>
      <c r="I272" s="5">
        <v>81.5</v>
      </c>
      <c r="J272" s="5">
        <v>86</v>
      </c>
      <c r="K272" s="5">
        <v>83.5</v>
      </c>
      <c r="L272" s="5">
        <v>84.912000000000006</v>
      </c>
    </row>
    <row r="273" spans="1:12" x14ac:dyDescent="0.3">
      <c r="A273" s="2" t="s">
        <v>185</v>
      </c>
      <c r="B273" s="2" t="s">
        <v>204</v>
      </c>
      <c r="C273" s="2" t="s">
        <v>205</v>
      </c>
      <c r="D273" s="2" t="s">
        <v>189</v>
      </c>
      <c r="E273" s="2">
        <v>4</v>
      </c>
      <c r="F273" s="2" t="s">
        <v>797</v>
      </c>
      <c r="G273" s="5">
        <v>88.75</v>
      </c>
      <c r="H273" s="5">
        <v>92.75</v>
      </c>
      <c r="I273" s="5">
        <v>91</v>
      </c>
      <c r="J273" s="5">
        <v>89</v>
      </c>
      <c r="K273" s="5">
        <v>92</v>
      </c>
      <c r="L273" s="5">
        <v>90.7</v>
      </c>
    </row>
    <row r="274" spans="1:12" x14ac:dyDescent="0.3">
      <c r="A274" s="2" t="s">
        <v>185</v>
      </c>
      <c r="B274" s="2" t="s">
        <v>206</v>
      </c>
      <c r="C274" s="2" t="s">
        <v>207</v>
      </c>
      <c r="D274" s="2" t="s">
        <v>188</v>
      </c>
      <c r="E274" s="2">
        <v>1</v>
      </c>
      <c r="F274" s="2" t="s">
        <v>791</v>
      </c>
      <c r="G274" s="5">
        <v>85.73</v>
      </c>
      <c r="H274" s="5">
        <v>90.73</v>
      </c>
      <c r="I274" s="5">
        <v>88.5</v>
      </c>
      <c r="J274" s="5">
        <v>89.5</v>
      </c>
      <c r="K274" s="5">
        <v>85.1</v>
      </c>
      <c r="L274" s="5">
        <v>87.912000000000006</v>
      </c>
    </row>
    <row r="275" spans="1:12" x14ac:dyDescent="0.3">
      <c r="A275" s="2" t="s">
        <v>185</v>
      </c>
      <c r="B275" s="2" t="s">
        <v>206</v>
      </c>
      <c r="C275" s="2" t="s">
        <v>207</v>
      </c>
      <c r="D275" s="2" t="s">
        <v>301</v>
      </c>
      <c r="E275" s="2">
        <v>2</v>
      </c>
      <c r="F275" s="2" t="s">
        <v>795</v>
      </c>
      <c r="G275" s="5">
        <v>96.16</v>
      </c>
      <c r="H275" s="5">
        <v>97.16</v>
      </c>
      <c r="I275" s="5">
        <v>96</v>
      </c>
      <c r="J275" s="5">
        <v>100</v>
      </c>
      <c r="K275" s="5">
        <v>94.4</v>
      </c>
      <c r="L275" s="5">
        <v>96.744</v>
      </c>
    </row>
    <row r="276" spans="1:12" x14ac:dyDescent="0.3">
      <c r="A276" s="2" t="s">
        <v>185</v>
      </c>
      <c r="B276" s="2" t="s">
        <v>206</v>
      </c>
      <c r="C276" s="2" t="s">
        <v>207</v>
      </c>
      <c r="D276" s="2" t="s">
        <v>64</v>
      </c>
      <c r="E276" s="2">
        <v>3</v>
      </c>
      <c r="F276" s="2" t="s">
        <v>796</v>
      </c>
      <c r="G276" s="5">
        <v>94.67</v>
      </c>
      <c r="H276" s="5">
        <v>97.67</v>
      </c>
      <c r="I276" s="5">
        <v>93.5</v>
      </c>
      <c r="J276" s="5">
        <v>97</v>
      </c>
      <c r="K276" s="5">
        <v>99</v>
      </c>
      <c r="L276" s="5">
        <v>96.368000000000009</v>
      </c>
    </row>
    <row r="277" spans="1:12" x14ac:dyDescent="0.3">
      <c r="A277" s="2" t="s">
        <v>185</v>
      </c>
      <c r="B277" s="2" t="s">
        <v>206</v>
      </c>
      <c r="C277" s="2" t="s">
        <v>207</v>
      </c>
      <c r="D277" s="2" t="s">
        <v>189</v>
      </c>
      <c r="E277" s="2">
        <v>4</v>
      </c>
      <c r="F277" s="2" t="s">
        <v>797</v>
      </c>
      <c r="G277" s="5">
        <v>98.44</v>
      </c>
      <c r="H277" s="5">
        <v>98.44</v>
      </c>
      <c r="I277" s="5">
        <v>96.5</v>
      </c>
      <c r="J277" s="5">
        <v>100</v>
      </c>
      <c r="K277" s="5">
        <v>100</v>
      </c>
      <c r="L277" s="5">
        <v>98.676000000000002</v>
      </c>
    </row>
    <row r="278" spans="1:12" x14ac:dyDescent="0.3">
      <c r="A278" s="2" t="s">
        <v>185</v>
      </c>
      <c r="B278" s="2" t="s">
        <v>208</v>
      </c>
      <c r="C278" s="2" t="s">
        <v>209</v>
      </c>
      <c r="D278" s="2" t="s">
        <v>188</v>
      </c>
      <c r="E278" s="2">
        <v>1</v>
      </c>
      <c r="F278" s="2" t="s">
        <v>791</v>
      </c>
      <c r="G278" s="5">
        <v>91.12</v>
      </c>
      <c r="H278" s="5">
        <v>94.12</v>
      </c>
      <c r="I278" s="5">
        <v>93</v>
      </c>
      <c r="J278" s="5">
        <v>92.5</v>
      </c>
      <c r="K278" s="5">
        <v>89.7</v>
      </c>
      <c r="L278" s="5">
        <v>92.087999999999994</v>
      </c>
    </row>
    <row r="279" spans="1:12" x14ac:dyDescent="0.3">
      <c r="A279" s="2" t="s">
        <v>185</v>
      </c>
      <c r="B279" s="2" t="s">
        <v>208</v>
      </c>
      <c r="C279" s="2" t="s">
        <v>209</v>
      </c>
      <c r="D279" s="2" t="s">
        <v>301</v>
      </c>
      <c r="E279" s="2">
        <v>2</v>
      </c>
      <c r="F279" s="2" t="s">
        <v>795</v>
      </c>
      <c r="G279" s="5">
        <v>75.16</v>
      </c>
      <c r="H279" s="5">
        <v>79.16</v>
      </c>
      <c r="I279" s="5">
        <v>83</v>
      </c>
      <c r="J279" s="5">
        <v>77.5</v>
      </c>
      <c r="K279" s="5">
        <v>66.900000000000006</v>
      </c>
      <c r="L279" s="5">
        <v>76.344000000000008</v>
      </c>
    </row>
    <row r="280" spans="1:12" x14ac:dyDescent="0.3">
      <c r="A280" s="2" t="s">
        <v>185</v>
      </c>
      <c r="B280" s="2" t="s">
        <v>208</v>
      </c>
      <c r="C280" s="2" t="s">
        <v>209</v>
      </c>
      <c r="D280" s="2" t="s">
        <v>64</v>
      </c>
      <c r="E280" s="2">
        <v>3</v>
      </c>
      <c r="F280" s="2" t="s">
        <v>796</v>
      </c>
      <c r="G280" s="5">
        <v>83.56</v>
      </c>
      <c r="H280" s="5">
        <v>84.56</v>
      </c>
      <c r="I280" s="5">
        <v>81.5</v>
      </c>
      <c r="J280" s="5">
        <v>81.5</v>
      </c>
      <c r="K280" s="5">
        <v>82</v>
      </c>
      <c r="L280" s="5">
        <v>82.623999999999995</v>
      </c>
    </row>
    <row r="281" spans="1:12" x14ac:dyDescent="0.3">
      <c r="A281" s="2" t="s">
        <v>185</v>
      </c>
      <c r="B281" s="2" t="s">
        <v>208</v>
      </c>
      <c r="C281" s="2" t="s">
        <v>209</v>
      </c>
      <c r="D281" s="2" t="s">
        <v>189</v>
      </c>
      <c r="E281" s="2">
        <v>4</v>
      </c>
      <c r="F281" s="2" t="s">
        <v>797</v>
      </c>
      <c r="G281" s="5">
        <v>86.31</v>
      </c>
      <c r="H281" s="5">
        <v>89.31</v>
      </c>
      <c r="I281" s="5">
        <v>87.5</v>
      </c>
      <c r="J281" s="5">
        <v>84</v>
      </c>
      <c r="K281" s="5">
        <v>96</v>
      </c>
      <c r="L281" s="5">
        <v>88.623999999999995</v>
      </c>
    </row>
    <row r="282" spans="1:12" x14ac:dyDescent="0.3">
      <c r="A282" s="2" t="s">
        <v>185</v>
      </c>
      <c r="B282" s="2" t="s">
        <v>210</v>
      </c>
      <c r="C282" s="2" t="s">
        <v>211</v>
      </c>
      <c r="D282" s="2" t="s">
        <v>188</v>
      </c>
      <c r="E282" s="2">
        <v>1</v>
      </c>
      <c r="F282" s="2" t="s">
        <v>791</v>
      </c>
      <c r="G282" s="5">
        <v>85.89</v>
      </c>
      <c r="H282" s="5">
        <v>85.89</v>
      </c>
      <c r="I282" s="5">
        <v>79</v>
      </c>
      <c r="J282" s="5">
        <v>87.5</v>
      </c>
      <c r="K282" s="5">
        <v>79.900000000000006</v>
      </c>
      <c r="L282" s="5">
        <v>83.635999999999996</v>
      </c>
    </row>
    <row r="283" spans="1:12" x14ac:dyDescent="0.3">
      <c r="A283" s="2" t="s">
        <v>185</v>
      </c>
      <c r="B283" s="2" t="s">
        <v>210</v>
      </c>
      <c r="C283" s="2" t="s">
        <v>211</v>
      </c>
      <c r="D283" s="2" t="s">
        <v>301</v>
      </c>
      <c r="E283" s="2">
        <v>2</v>
      </c>
      <c r="F283" s="2" t="s">
        <v>795</v>
      </c>
      <c r="G283" s="5">
        <v>80.760000000000005</v>
      </c>
      <c r="H283" s="5">
        <v>86.76</v>
      </c>
      <c r="I283" s="5">
        <v>78.5</v>
      </c>
      <c r="J283" s="5">
        <v>95.5</v>
      </c>
      <c r="K283" s="5">
        <v>80.599999999999994</v>
      </c>
      <c r="L283" s="5">
        <v>84.424000000000007</v>
      </c>
    </row>
    <row r="284" spans="1:12" x14ac:dyDescent="0.3">
      <c r="A284" s="2" t="s">
        <v>185</v>
      </c>
      <c r="B284" s="2" t="s">
        <v>210</v>
      </c>
      <c r="C284" s="2" t="s">
        <v>211</v>
      </c>
      <c r="D284" s="2" t="s">
        <v>64</v>
      </c>
      <c r="E284" s="2">
        <v>3</v>
      </c>
      <c r="F284" s="2" t="s">
        <v>796</v>
      </c>
      <c r="G284" s="5">
        <v>90.67</v>
      </c>
      <c r="H284" s="5">
        <v>91.67</v>
      </c>
      <c r="I284" s="5">
        <v>79.5</v>
      </c>
      <c r="J284" s="5">
        <v>93.5</v>
      </c>
      <c r="K284" s="5">
        <v>90.5</v>
      </c>
      <c r="L284" s="5">
        <v>89.168000000000006</v>
      </c>
    </row>
    <row r="285" spans="1:12" x14ac:dyDescent="0.3">
      <c r="A285" s="2" t="s">
        <v>185</v>
      </c>
      <c r="B285" s="2" t="s">
        <v>210</v>
      </c>
      <c r="C285" s="2" t="s">
        <v>211</v>
      </c>
      <c r="D285" s="2" t="s">
        <v>189</v>
      </c>
      <c r="E285" s="2">
        <v>4</v>
      </c>
      <c r="F285" s="2" t="s">
        <v>797</v>
      </c>
      <c r="G285" s="5">
        <v>91.25</v>
      </c>
      <c r="H285" s="5">
        <v>95.25</v>
      </c>
      <c r="I285" s="5">
        <v>88.5</v>
      </c>
      <c r="J285" s="5">
        <v>98</v>
      </c>
      <c r="K285" s="5">
        <v>100</v>
      </c>
      <c r="L285" s="5">
        <v>94.6</v>
      </c>
    </row>
    <row r="286" spans="1:12" x14ac:dyDescent="0.3">
      <c r="A286" s="2" t="s">
        <v>185</v>
      </c>
      <c r="B286" s="2" t="s">
        <v>212</v>
      </c>
      <c r="C286" s="2" t="s">
        <v>213</v>
      </c>
      <c r="D286" s="2" t="s">
        <v>188</v>
      </c>
      <c r="E286" s="2">
        <v>1</v>
      </c>
      <c r="F286" s="2" t="s">
        <v>791</v>
      </c>
      <c r="G286" s="5">
        <v>78.540000000000006</v>
      </c>
      <c r="H286" s="5">
        <v>84.54</v>
      </c>
      <c r="I286" s="5">
        <v>76</v>
      </c>
      <c r="J286" s="5">
        <v>80.5</v>
      </c>
      <c r="K286" s="5">
        <v>79</v>
      </c>
      <c r="L286" s="5">
        <v>79.716000000000008</v>
      </c>
    </row>
    <row r="287" spans="1:12" x14ac:dyDescent="0.3">
      <c r="A287" s="2" t="s">
        <v>185</v>
      </c>
      <c r="B287" s="2" t="s">
        <v>212</v>
      </c>
      <c r="C287" s="2" t="s">
        <v>213</v>
      </c>
      <c r="D287" s="2" t="s">
        <v>301</v>
      </c>
      <c r="E287" s="2">
        <v>2</v>
      </c>
      <c r="F287" s="2" t="s">
        <v>795</v>
      </c>
      <c r="G287" s="5">
        <v>83.44</v>
      </c>
      <c r="H287" s="5">
        <v>85.44</v>
      </c>
      <c r="I287" s="5">
        <v>83</v>
      </c>
      <c r="J287" s="5">
        <v>80</v>
      </c>
      <c r="K287" s="5">
        <v>79.2</v>
      </c>
      <c r="L287" s="5">
        <v>82.215999999999994</v>
      </c>
    </row>
    <row r="288" spans="1:12" x14ac:dyDescent="0.3">
      <c r="A288" s="2" t="s">
        <v>185</v>
      </c>
      <c r="B288" s="2" t="s">
        <v>212</v>
      </c>
      <c r="C288" s="2" t="s">
        <v>213</v>
      </c>
      <c r="D288" s="2" t="s">
        <v>64</v>
      </c>
      <c r="E288" s="2">
        <v>3</v>
      </c>
      <c r="F288" s="2" t="s">
        <v>796</v>
      </c>
      <c r="G288" s="5">
        <v>80.5</v>
      </c>
      <c r="H288" s="5">
        <v>84.5</v>
      </c>
      <c r="I288" s="5">
        <v>83.5</v>
      </c>
      <c r="J288" s="5">
        <v>75.5</v>
      </c>
      <c r="K288" s="5">
        <v>81.5</v>
      </c>
      <c r="L288" s="5">
        <v>81.099999999999994</v>
      </c>
    </row>
    <row r="289" spans="1:12" x14ac:dyDescent="0.3">
      <c r="A289" s="2" t="s">
        <v>185</v>
      </c>
      <c r="B289" s="2" t="s">
        <v>212</v>
      </c>
      <c r="C289" s="2" t="s">
        <v>213</v>
      </c>
      <c r="D289" s="2" t="s">
        <v>189</v>
      </c>
      <c r="E289" s="2">
        <v>4</v>
      </c>
      <c r="F289" s="2" t="s">
        <v>797</v>
      </c>
      <c r="G289" s="5">
        <v>77.38</v>
      </c>
      <c r="H289" s="5">
        <v>82.38</v>
      </c>
      <c r="I289" s="5">
        <v>84</v>
      </c>
      <c r="J289" s="5">
        <v>73</v>
      </c>
      <c r="K289" s="5">
        <v>81.5</v>
      </c>
      <c r="L289" s="5">
        <v>79.652000000000001</v>
      </c>
    </row>
    <row r="290" spans="1:12" x14ac:dyDescent="0.3">
      <c r="A290" s="2" t="s">
        <v>185</v>
      </c>
      <c r="B290" s="2" t="s">
        <v>214</v>
      </c>
      <c r="C290" s="2" t="s">
        <v>215</v>
      </c>
      <c r="D290" s="2" t="s">
        <v>188</v>
      </c>
      <c r="E290" s="2">
        <v>1</v>
      </c>
      <c r="F290" s="2" t="s">
        <v>791</v>
      </c>
      <c r="G290" s="5">
        <v>90.35</v>
      </c>
      <c r="H290" s="5">
        <v>90.35</v>
      </c>
      <c r="I290" s="5">
        <v>84.5</v>
      </c>
      <c r="J290" s="5">
        <v>91</v>
      </c>
      <c r="K290" s="5">
        <v>85.7</v>
      </c>
      <c r="L290" s="5">
        <v>88.38</v>
      </c>
    </row>
    <row r="291" spans="1:12" x14ac:dyDescent="0.3">
      <c r="A291" s="2" t="s">
        <v>185</v>
      </c>
      <c r="B291" s="2" t="s">
        <v>214</v>
      </c>
      <c r="C291" s="2" t="s">
        <v>215</v>
      </c>
      <c r="D291" s="2" t="s">
        <v>301</v>
      </c>
      <c r="E291" s="2">
        <v>2</v>
      </c>
      <c r="F291" s="2" t="s">
        <v>795</v>
      </c>
      <c r="G291" s="5">
        <v>74.760000000000005</v>
      </c>
      <c r="H291" s="5">
        <v>75.760000000000005</v>
      </c>
      <c r="I291" s="5">
        <v>76</v>
      </c>
      <c r="J291" s="5">
        <v>76</v>
      </c>
      <c r="K291" s="5">
        <v>63.5</v>
      </c>
      <c r="L291" s="5">
        <v>73.203999999999994</v>
      </c>
    </row>
    <row r="292" spans="1:12" x14ac:dyDescent="0.3">
      <c r="A292" s="2" t="s">
        <v>185</v>
      </c>
      <c r="B292" s="2" t="s">
        <v>214</v>
      </c>
      <c r="C292" s="2" t="s">
        <v>215</v>
      </c>
      <c r="D292" s="2" t="s">
        <v>64</v>
      </c>
      <c r="E292" s="2">
        <v>3</v>
      </c>
      <c r="F292" s="2" t="s">
        <v>796</v>
      </c>
      <c r="G292" s="5">
        <v>78.06</v>
      </c>
      <c r="H292" s="5">
        <v>83.06</v>
      </c>
      <c r="I292" s="5">
        <v>76.5</v>
      </c>
      <c r="J292" s="5">
        <v>76</v>
      </c>
      <c r="K292" s="5">
        <v>80.5</v>
      </c>
      <c r="L292" s="5">
        <v>78.823999999999998</v>
      </c>
    </row>
    <row r="293" spans="1:12" x14ac:dyDescent="0.3">
      <c r="A293" s="2" t="s">
        <v>185</v>
      </c>
      <c r="B293" s="2" t="s">
        <v>214</v>
      </c>
      <c r="C293" s="2" t="s">
        <v>215</v>
      </c>
      <c r="D293" s="2" t="s">
        <v>189</v>
      </c>
      <c r="E293" s="2">
        <v>4</v>
      </c>
      <c r="F293" s="2" t="s">
        <v>797</v>
      </c>
      <c r="G293" s="5">
        <v>84.75</v>
      </c>
      <c r="H293" s="5">
        <v>88.75</v>
      </c>
      <c r="I293" s="5">
        <v>88</v>
      </c>
      <c r="J293" s="5">
        <v>82.5</v>
      </c>
      <c r="K293" s="5">
        <v>90.5</v>
      </c>
      <c r="L293" s="5">
        <v>86.9</v>
      </c>
    </row>
    <row r="294" spans="1:12" x14ac:dyDescent="0.3">
      <c r="A294" s="2" t="s">
        <v>185</v>
      </c>
      <c r="B294" s="2" t="s">
        <v>216</v>
      </c>
      <c r="C294" s="2" t="s">
        <v>217</v>
      </c>
      <c r="D294" s="2" t="s">
        <v>188</v>
      </c>
      <c r="E294" s="2">
        <v>1</v>
      </c>
      <c r="F294" s="2" t="s">
        <v>791</v>
      </c>
      <c r="G294" s="5">
        <v>77.040000000000006</v>
      </c>
      <c r="H294" s="5">
        <v>78.040000000000006</v>
      </c>
      <c r="I294" s="5">
        <v>69.5</v>
      </c>
      <c r="J294" s="5">
        <v>87.5</v>
      </c>
      <c r="K294" s="5">
        <v>70.3</v>
      </c>
      <c r="L294" s="5">
        <v>76.475999999999999</v>
      </c>
    </row>
    <row r="295" spans="1:12" x14ac:dyDescent="0.3">
      <c r="A295" s="2" t="s">
        <v>185</v>
      </c>
      <c r="B295" s="2" t="s">
        <v>216</v>
      </c>
      <c r="C295" s="2" t="s">
        <v>217</v>
      </c>
      <c r="D295" s="2" t="s">
        <v>301</v>
      </c>
      <c r="E295" s="2">
        <v>2</v>
      </c>
      <c r="F295" s="2" t="s">
        <v>795</v>
      </c>
      <c r="G295" s="5">
        <v>81.8</v>
      </c>
      <c r="H295" s="5">
        <v>85.8</v>
      </c>
      <c r="I295" s="5">
        <v>86</v>
      </c>
      <c r="J295" s="5">
        <v>84</v>
      </c>
      <c r="K295" s="5">
        <v>79.900000000000006</v>
      </c>
      <c r="L295" s="5">
        <v>83.5</v>
      </c>
    </row>
    <row r="296" spans="1:12" x14ac:dyDescent="0.3">
      <c r="A296" s="2" t="s">
        <v>185</v>
      </c>
      <c r="B296" s="2" t="s">
        <v>216</v>
      </c>
      <c r="C296" s="2" t="s">
        <v>217</v>
      </c>
      <c r="D296" s="2" t="s">
        <v>64</v>
      </c>
      <c r="E296" s="2">
        <v>3</v>
      </c>
      <c r="F296" s="2" t="s">
        <v>796</v>
      </c>
      <c r="G296" s="5">
        <v>83.22</v>
      </c>
      <c r="H296" s="5">
        <v>86.22</v>
      </c>
      <c r="I296" s="5">
        <v>85.5</v>
      </c>
      <c r="J296" s="5">
        <v>78</v>
      </c>
      <c r="K296" s="5">
        <v>84.5</v>
      </c>
      <c r="L296" s="5">
        <v>83.488</v>
      </c>
    </row>
    <row r="297" spans="1:12" x14ac:dyDescent="0.3">
      <c r="A297" s="2" t="s">
        <v>185</v>
      </c>
      <c r="B297" s="2" t="s">
        <v>216</v>
      </c>
      <c r="C297" s="2" t="s">
        <v>217</v>
      </c>
      <c r="D297" s="2" t="s">
        <v>189</v>
      </c>
      <c r="E297" s="2">
        <v>4</v>
      </c>
      <c r="F297" s="2" t="s">
        <v>797</v>
      </c>
      <c r="G297" s="5">
        <v>85.38</v>
      </c>
      <c r="H297" s="5">
        <v>85.38</v>
      </c>
      <c r="I297" s="5">
        <v>87.5</v>
      </c>
      <c r="J297" s="5">
        <v>87.5</v>
      </c>
      <c r="K297" s="5">
        <v>98</v>
      </c>
      <c r="L297" s="5">
        <v>88.751999999999995</v>
      </c>
    </row>
    <row r="298" spans="1:12" x14ac:dyDescent="0.3">
      <c r="A298" s="2" t="s">
        <v>185</v>
      </c>
      <c r="B298" s="2" t="s">
        <v>218</v>
      </c>
      <c r="C298" s="2" t="s">
        <v>219</v>
      </c>
      <c r="D298" s="2" t="s">
        <v>188</v>
      </c>
      <c r="E298" s="2">
        <v>1</v>
      </c>
      <c r="F298" s="2" t="s">
        <v>791</v>
      </c>
      <c r="G298" s="5">
        <v>72.27</v>
      </c>
      <c r="H298" s="5">
        <v>76.27</v>
      </c>
      <c r="I298" s="5">
        <v>78</v>
      </c>
      <c r="J298" s="5">
        <v>69.5</v>
      </c>
      <c r="K298" s="5">
        <v>59.5</v>
      </c>
      <c r="L298" s="5">
        <v>71.10799999999999</v>
      </c>
    </row>
    <row r="299" spans="1:12" x14ac:dyDescent="0.3">
      <c r="A299" s="2" t="s">
        <v>185</v>
      </c>
      <c r="B299" s="2" t="s">
        <v>218</v>
      </c>
      <c r="C299" s="2" t="s">
        <v>219</v>
      </c>
      <c r="D299" s="2" t="s">
        <v>301</v>
      </c>
      <c r="E299" s="2">
        <v>2</v>
      </c>
      <c r="F299" s="2" t="s">
        <v>795</v>
      </c>
      <c r="G299" s="5">
        <v>89.12</v>
      </c>
      <c r="H299" s="5">
        <v>95.12</v>
      </c>
      <c r="I299" s="5">
        <v>96</v>
      </c>
      <c r="J299" s="5">
        <v>95.5</v>
      </c>
      <c r="K299" s="5">
        <v>93.7</v>
      </c>
      <c r="L299" s="5">
        <v>93.888000000000005</v>
      </c>
    </row>
    <row r="300" spans="1:12" x14ac:dyDescent="0.3">
      <c r="A300" s="2" t="s">
        <v>185</v>
      </c>
      <c r="B300" s="2" t="s">
        <v>218</v>
      </c>
      <c r="C300" s="2" t="s">
        <v>219</v>
      </c>
      <c r="D300" s="2" t="s">
        <v>64</v>
      </c>
      <c r="E300" s="2">
        <v>3</v>
      </c>
      <c r="F300" s="2" t="s">
        <v>796</v>
      </c>
      <c r="G300" s="5">
        <v>95.06</v>
      </c>
      <c r="H300" s="5">
        <v>95.06</v>
      </c>
      <c r="I300" s="5">
        <v>95</v>
      </c>
      <c r="J300" s="5">
        <v>89</v>
      </c>
      <c r="K300" s="5">
        <v>98</v>
      </c>
      <c r="L300" s="5">
        <v>94.424000000000007</v>
      </c>
    </row>
    <row r="301" spans="1:12" x14ac:dyDescent="0.3">
      <c r="A301" s="2" t="s">
        <v>185</v>
      </c>
      <c r="B301" s="2" t="s">
        <v>218</v>
      </c>
      <c r="C301" s="2" t="s">
        <v>219</v>
      </c>
      <c r="D301" s="2" t="s">
        <v>189</v>
      </c>
      <c r="E301" s="2">
        <v>4</v>
      </c>
      <c r="F301" s="2" t="s">
        <v>797</v>
      </c>
      <c r="G301" s="5">
        <v>92.56</v>
      </c>
      <c r="H301" s="5">
        <v>96.56</v>
      </c>
      <c r="I301" s="5">
        <v>95.5</v>
      </c>
      <c r="J301" s="5">
        <v>97</v>
      </c>
      <c r="K301" s="5">
        <v>98</v>
      </c>
      <c r="L301" s="5">
        <v>95.924000000000007</v>
      </c>
    </row>
    <row r="302" spans="1:12" x14ac:dyDescent="0.3">
      <c r="A302" s="2" t="s">
        <v>185</v>
      </c>
      <c r="B302" s="2" t="s">
        <v>220</v>
      </c>
      <c r="C302" s="2" t="s">
        <v>221</v>
      </c>
      <c r="D302" s="2" t="s">
        <v>188</v>
      </c>
      <c r="E302" s="2">
        <v>1</v>
      </c>
      <c r="F302" s="2" t="s">
        <v>791</v>
      </c>
      <c r="G302" s="5">
        <v>78.89</v>
      </c>
      <c r="H302" s="5">
        <v>79.89</v>
      </c>
      <c r="I302" s="5">
        <v>74</v>
      </c>
      <c r="J302" s="5">
        <v>69</v>
      </c>
      <c r="K302" s="5">
        <v>75.3</v>
      </c>
      <c r="L302" s="5">
        <v>75.415999999999997</v>
      </c>
    </row>
    <row r="303" spans="1:12" x14ac:dyDescent="0.3">
      <c r="A303" s="2" t="s">
        <v>185</v>
      </c>
      <c r="B303" s="2" t="s">
        <v>220</v>
      </c>
      <c r="C303" s="2" t="s">
        <v>221</v>
      </c>
      <c r="D303" s="2" t="s">
        <v>301</v>
      </c>
      <c r="E303" s="2">
        <v>2</v>
      </c>
      <c r="F303" s="2" t="s">
        <v>795</v>
      </c>
      <c r="G303" s="5">
        <v>82.24</v>
      </c>
      <c r="H303" s="5">
        <v>83.24</v>
      </c>
      <c r="I303" s="5">
        <v>85</v>
      </c>
      <c r="J303" s="5">
        <v>82.5</v>
      </c>
      <c r="K303" s="5">
        <v>73.599999999999994</v>
      </c>
      <c r="L303" s="5">
        <v>81.316000000000003</v>
      </c>
    </row>
    <row r="304" spans="1:12" x14ac:dyDescent="0.3">
      <c r="A304" s="2" t="s">
        <v>185</v>
      </c>
      <c r="B304" s="2" t="s">
        <v>220</v>
      </c>
      <c r="C304" s="2" t="s">
        <v>221</v>
      </c>
      <c r="D304" s="2" t="s">
        <v>64</v>
      </c>
      <c r="E304" s="2">
        <v>3</v>
      </c>
      <c r="F304" s="2" t="s">
        <v>796</v>
      </c>
      <c r="G304" s="5">
        <v>83.72</v>
      </c>
      <c r="H304" s="5">
        <v>85.72</v>
      </c>
      <c r="I304" s="5">
        <v>77.5</v>
      </c>
      <c r="J304" s="5">
        <v>85.5</v>
      </c>
      <c r="K304" s="5">
        <v>82</v>
      </c>
      <c r="L304" s="5">
        <v>82.888000000000005</v>
      </c>
    </row>
    <row r="305" spans="1:12" x14ac:dyDescent="0.3">
      <c r="A305" s="2" t="s">
        <v>185</v>
      </c>
      <c r="B305" s="2" t="s">
        <v>220</v>
      </c>
      <c r="C305" s="2" t="s">
        <v>221</v>
      </c>
      <c r="D305" s="2" t="s">
        <v>189</v>
      </c>
      <c r="E305" s="2">
        <v>4</v>
      </c>
      <c r="F305" s="2" t="s">
        <v>797</v>
      </c>
      <c r="G305" s="5">
        <v>88.69</v>
      </c>
      <c r="H305" s="5">
        <v>92.69</v>
      </c>
      <c r="I305" s="5">
        <v>90.5</v>
      </c>
      <c r="J305" s="5">
        <v>96</v>
      </c>
      <c r="K305" s="5">
        <v>96</v>
      </c>
      <c r="L305" s="5">
        <v>92.775999999999996</v>
      </c>
    </row>
    <row r="306" spans="1:12" x14ac:dyDescent="0.3">
      <c r="A306" s="2" t="s">
        <v>185</v>
      </c>
      <c r="B306" s="2" t="s">
        <v>222</v>
      </c>
      <c r="C306" s="2" t="s">
        <v>223</v>
      </c>
      <c r="D306" s="2" t="s">
        <v>188</v>
      </c>
      <c r="E306" s="2">
        <v>1</v>
      </c>
      <c r="F306" s="2" t="s">
        <v>791</v>
      </c>
      <c r="G306" s="5">
        <v>81.040000000000006</v>
      </c>
      <c r="H306" s="5">
        <v>81.040000000000006</v>
      </c>
      <c r="I306" s="5">
        <v>84.5</v>
      </c>
      <c r="J306" s="5">
        <v>86</v>
      </c>
      <c r="K306" s="5">
        <v>66.3</v>
      </c>
      <c r="L306" s="5">
        <v>79.77600000000001</v>
      </c>
    </row>
    <row r="307" spans="1:12" x14ac:dyDescent="0.3">
      <c r="A307" s="2" t="s">
        <v>185</v>
      </c>
      <c r="B307" s="2" t="s">
        <v>222</v>
      </c>
      <c r="C307" s="2" t="s">
        <v>223</v>
      </c>
      <c r="D307" s="2" t="s">
        <v>301</v>
      </c>
      <c r="E307" s="2">
        <v>2</v>
      </c>
      <c r="F307" s="2" t="s">
        <v>795</v>
      </c>
      <c r="G307" s="5">
        <v>86.12</v>
      </c>
      <c r="H307" s="5">
        <v>88.12</v>
      </c>
      <c r="I307" s="5">
        <v>88</v>
      </c>
      <c r="J307" s="5">
        <v>90</v>
      </c>
      <c r="K307" s="5">
        <v>82.4</v>
      </c>
      <c r="L307" s="5">
        <v>86.927999999999997</v>
      </c>
    </row>
    <row r="308" spans="1:12" x14ac:dyDescent="0.3">
      <c r="A308" s="2" t="s">
        <v>185</v>
      </c>
      <c r="B308" s="2" t="s">
        <v>222</v>
      </c>
      <c r="C308" s="2" t="s">
        <v>223</v>
      </c>
      <c r="D308" s="2" t="s">
        <v>64</v>
      </c>
      <c r="E308" s="2">
        <v>3</v>
      </c>
      <c r="F308" s="2" t="s">
        <v>796</v>
      </c>
      <c r="G308" s="5">
        <v>87.06</v>
      </c>
      <c r="H308" s="5">
        <v>88.06</v>
      </c>
      <c r="I308" s="5">
        <v>83</v>
      </c>
      <c r="J308" s="5">
        <v>92</v>
      </c>
      <c r="K308" s="5">
        <v>85.5</v>
      </c>
      <c r="L308" s="5">
        <v>87.123999999999995</v>
      </c>
    </row>
    <row r="309" spans="1:12" x14ac:dyDescent="0.3">
      <c r="A309" s="2" t="s">
        <v>185</v>
      </c>
      <c r="B309" s="2" t="s">
        <v>222</v>
      </c>
      <c r="C309" s="2" t="s">
        <v>223</v>
      </c>
      <c r="D309" s="2" t="s">
        <v>189</v>
      </c>
      <c r="E309" s="2">
        <v>4</v>
      </c>
      <c r="F309" s="2" t="s">
        <v>797</v>
      </c>
      <c r="G309" s="5">
        <v>84.5</v>
      </c>
      <c r="H309" s="5">
        <v>90.5</v>
      </c>
      <c r="I309" s="5">
        <v>91.5</v>
      </c>
      <c r="J309" s="5">
        <v>92</v>
      </c>
      <c r="K309" s="5">
        <v>96</v>
      </c>
      <c r="L309" s="5">
        <v>90.9</v>
      </c>
    </row>
    <row r="310" spans="1:12" x14ac:dyDescent="0.3">
      <c r="A310" s="2" t="s">
        <v>185</v>
      </c>
      <c r="B310" s="2" t="s">
        <v>224</v>
      </c>
      <c r="C310" s="2" t="s">
        <v>225</v>
      </c>
      <c r="D310" s="2" t="s">
        <v>188</v>
      </c>
      <c r="E310" s="2">
        <v>1</v>
      </c>
      <c r="F310" s="2" t="s">
        <v>791</v>
      </c>
      <c r="G310" s="5">
        <v>91.08</v>
      </c>
      <c r="H310" s="5">
        <v>93.08</v>
      </c>
      <c r="I310" s="5">
        <v>92</v>
      </c>
      <c r="J310" s="5">
        <v>92.5</v>
      </c>
      <c r="K310" s="5">
        <v>91.3</v>
      </c>
      <c r="L310" s="5">
        <v>91.99199999999999</v>
      </c>
    </row>
    <row r="311" spans="1:12" x14ac:dyDescent="0.3">
      <c r="A311" s="2" t="s">
        <v>185</v>
      </c>
      <c r="B311" s="2" t="s">
        <v>224</v>
      </c>
      <c r="C311" s="2" t="s">
        <v>225</v>
      </c>
      <c r="D311" s="2" t="s">
        <v>301</v>
      </c>
      <c r="E311" s="2">
        <v>2</v>
      </c>
      <c r="F311" s="2" t="s">
        <v>795</v>
      </c>
      <c r="G311" s="5">
        <v>79.48</v>
      </c>
      <c r="H311" s="5">
        <v>80.48</v>
      </c>
      <c r="I311" s="5">
        <v>78</v>
      </c>
      <c r="J311" s="5">
        <v>78.5</v>
      </c>
      <c r="K311" s="5">
        <v>70.3</v>
      </c>
      <c r="L311" s="5">
        <v>77.352000000000004</v>
      </c>
    </row>
    <row r="312" spans="1:12" x14ac:dyDescent="0.3">
      <c r="A312" s="2" t="s">
        <v>185</v>
      </c>
      <c r="B312" s="2" t="s">
        <v>224</v>
      </c>
      <c r="C312" s="2" t="s">
        <v>225</v>
      </c>
      <c r="D312" s="2" t="s">
        <v>64</v>
      </c>
      <c r="E312" s="2">
        <v>3</v>
      </c>
      <c r="F312" s="2" t="s">
        <v>796</v>
      </c>
      <c r="G312" s="5">
        <v>77.17</v>
      </c>
      <c r="H312" s="5">
        <v>82.17</v>
      </c>
      <c r="I312" s="5">
        <v>70</v>
      </c>
      <c r="J312" s="5">
        <v>76.5</v>
      </c>
      <c r="K312" s="5">
        <v>74</v>
      </c>
      <c r="L312" s="5">
        <v>75.968000000000004</v>
      </c>
    </row>
    <row r="313" spans="1:12" x14ac:dyDescent="0.3">
      <c r="A313" s="2" t="s">
        <v>185</v>
      </c>
      <c r="B313" s="2" t="s">
        <v>224</v>
      </c>
      <c r="C313" s="2" t="s">
        <v>225</v>
      </c>
      <c r="D313" s="2" t="s">
        <v>189</v>
      </c>
      <c r="E313" s="2">
        <v>4</v>
      </c>
      <c r="F313" s="2" t="s">
        <v>797</v>
      </c>
      <c r="G313" s="5">
        <v>84.25</v>
      </c>
      <c r="H313" s="5">
        <v>85.25</v>
      </c>
      <c r="I313" s="5">
        <v>86</v>
      </c>
      <c r="J313" s="5">
        <v>87.5</v>
      </c>
      <c r="K313" s="5">
        <v>91.5</v>
      </c>
      <c r="L313" s="5">
        <v>86.9</v>
      </c>
    </row>
    <row r="314" spans="1:12" x14ac:dyDescent="0.3">
      <c r="A314" s="2" t="s">
        <v>185</v>
      </c>
      <c r="B314" s="2" t="s">
        <v>226</v>
      </c>
      <c r="C314" s="2" t="s">
        <v>227</v>
      </c>
      <c r="D314" s="2" t="s">
        <v>188</v>
      </c>
      <c r="E314" s="2">
        <v>1</v>
      </c>
      <c r="F314" s="2" t="s">
        <v>791</v>
      </c>
      <c r="G314" s="5">
        <v>83.42</v>
      </c>
      <c r="H314" s="5">
        <v>86.42</v>
      </c>
      <c r="I314" s="5">
        <v>84.5</v>
      </c>
      <c r="J314" s="5">
        <v>85.5</v>
      </c>
      <c r="K314" s="5">
        <v>78.3</v>
      </c>
      <c r="L314" s="5">
        <v>83.628</v>
      </c>
    </row>
    <row r="315" spans="1:12" x14ac:dyDescent="0.3">
      <c r="A315" s="2" t="s">
        <v>185</v>
      </c>
      <c r="B315" s="2" t="s">
        <v>226</v>
      </c>
      <c r="C315" s="2" t="s">
        <v>227</v>
      </c>
      <c r="D315" s="2" t="s">
        <v>301</v>
      </c>
      <c r="E315" s="2">
        <v>2</v>
      </c>
      <c r="F315" s="2" t="s">
        <v>795</v>
      </c>
      <c r="G315" s="5">
        <v>78.52</v>
      </c>
      <c r="H315" s="5">
        <v>83.52</v>
      </c>
      <c r="I315" s="5">
        <v>89.5</v>
      </c>
      <c r="J315" s="5">
        <v>78</v>
      </c>
      <c r="K315" s="5">
        <v>72.599999999999994</v>
      </c>
      <c r="L315" s="5">
        <v>80.427999999999997</v>
      </c>
    </row>
    <row r="316" spans="1:12" x14ac:dyDescent="0.3">
      <c r="A316" s="2" t="s">
        <v>185</v>
      </c>
      <c r="B316" s="2" t="s">
        <v>226</v>
      </c>
      <c r="C316" s="2" t="s">
        <v>227</v>
      </c>
      <c r="D316" s="2" t="s">
        <v>64</v>
      </c>
      <c r="E316" s="2">
        <v>3</v>
      </c>
      <c r="F316" s="2" t="s">
        <v>796</v>
      </c>
      <c r="G316" s="5">
        <v>85.83</v>
      </c>
      <c r="H316" s="5">
        <v>85.83</v>
      </c>
      <c r="I316" s="5">
        <v>83</v>
      </c>
      <c r="J316" s="5">
        <v>69.5</v>
      </c>
      <c r="K316" s="5">
        <v>87.5</v>
      </c>
      <c r="L316" s="5">
        <v>82.331999999999994</v>
      </c>
    </row>
    <row r="317" spans="1:12" x14ac:dyDescent="0.3">
      <c r="A317" s="2" t="s">
        <v>185</v>
      </c>
      <c r="B317" s="2" t="s">
        <v>226</v>
      </c>
      <c r="C317" s="2" t="s">
        <v>227</v>
      </c>
      <c r="D317" s="2" t="s">
        <v>189</v>
      </c>
      <c r="E317" s="2">
        <v>4</v>
      </c>
      <c r="F317" s="2" t="s">
        <v>797</v>
      </c>
      <c r="G317" s="5">
        <v>90.88</v>
      </c>
      <c r="H317" s="5">
        <v>90.88</v>
      </c>
      <c r="I317" s="5">
        <v>96</v>
      </c>
      <c r="J317" s="5">
        <v>83</v>
      </c>
      <c r="K317" s="5">
        <v>92.5</v>
      </c>
      <c r="L317" s="5">
        <v>90.652000000000001</v>
      </c>
    </row>
    <row r="318" spans="1:12" x14ac:dyDescent="0.3">
      <c r="A318" s="2" t="s">
        <v>185</v>
      </c>
      <c r="B318" s="2" t="s">
        <v>228</v>
      </c>
      <c r="C318" s="2" t="s">
        <v>229</v>
      </c>
      <c r="D318" s="2" t="s">
        <v>188</v>
      </c>
      <c r="E318" s="2">
        <v>1</v>
      </c>
      <c r="F318" s="2" t="s">
        <v>791</v>
      </c>
      <c r="G318" s="5">
        <v>84.65</v>
      </c>
      <c r="H318" s="5">
        <v>84.65</v>
      </c>
      <c r="I318" s="5">
        <v>80.5</v>
      </c>
      <c r="J318" s="5">
        <v>84</v>
      </c>
      <c r="K318" s="5">
        <v>74.099999999999994</v>
      </c>
      <c r="L318" s="5">
        <v>81.58</v>
      </c>
    </row>
    <row r="319" spans="1:12" x14ac:dyDescent="0.3">
      <c r="A319" s="2" t="s">
        <v>185</v>
      </c>
      <c r="B319" s="2" t="s">
        <v>228</v>
      </c>
      <c r="C319" s="2" t="s">
        <v>229</v>
      </c>
      <c r="D319" s="2" t="s">
        <v>301</v>
      </c>
      <c r="E319" s="2">
        <v>2</v>
      </c>
      <c r="F319" s="2" t="s">
        <v>795</v>
      </c>
      <c r="G319" s="5">
        <v>80.36</v>
      </c>
      <c r="H319" s="5">
        <v>85.36</v>
      </c>
      <c r="I319" s="5">
        <v>85.5</v>
      </c>
      <c r="J319" s="5">
        <v>86.5</v>
      </c>
      <c r="K319" s="5">
        <v>77</v>
      </c>
      <c r="L319" s="5">
        <v>82.944000000000003</v>
      </c>
    </row>
    <row r="320" spans="1:12" x14ac:dyDescent="0.3">
      <c r="A320" s="2" t="s">
        <v>185</v>
      </c>
      <c r="B320" s="2" t="s">
        <v>228</v>
      </c>
      <c r="C320" s="2" t="s">
        <v>229</v>
      </c>
      <c r="D320" s="2" t="s">
        <v>64</v>
      </c>
      <c r="E320" s="2">
        <v>3</v>
      </c>
      <c r="F320" s="2" t="s">
        <v>796</v>
      </c>
      <c r="G320" s="5">
        <v>82</v>
      </c>
      <c r="H320" s="5">
        <v>84</v>
      </c>
      <c r="I320" s="5">
        <v>76</v>
      </c>
      <c r="J320" s="5">
        <v>79.5</v>
      </c>
      <c r="K320" s="5">
        <v>83</v>
      </c>
      <c r="L320" s="5">
        <v>80.900000000000006</v>
      </c>
    </row>
    <row r="321" spans="1:12" x14ac:dyDescent="0.3">
      <c r="A321" s="2" t="s">
        <v>185</v>
      </c>
      <c r="B321" s="2" t="s">
        <v>228</v>
      </c>
      <c r="C321" s="2" t="s">
        <v>229</v>
      </c>
      <c r="D321" s="2" t="s">
        <v>189</v>
      </c>
      <c r="E321" s="2">
        <v>4</v>
      </c>
      <c r="F321" s="2" t="s">
        <v>797</v>
      </c>
      <c r="G321" s="5">
        <v>83.94</v>
      </c>
      <c r="H321" s="5">
        <v>87.94</v>
      </c>
      <c r="I321" s="5">
        <v>88.5</v>
      </c>
      <c r="J321" s="5">
        <v>79</v>
      </c>
      <c r="K321" s="5">
        <v>93.5</v>
      </c>
      <c r="L321" s="5">
        <v>86.575999999999993</v>
      </c>
    </row>
    <row r="322" spans="1:12" x14ac:dyDescent="0.3">
      <c r="A322" s="2" t="s">
        <v>185</v>
      </c>
      <c r="B322" s="2" t="s">
        <v>230</v>
      </c>
      <c r="C322" s="2" t="s">
        <v>231</v>
      </c>
      <c r="D322" s="2" t="s">
        <v>188</v>
      </c>
      <c r="E322" s="2">
        <v>1</v>
      </c>
      <c r="F322" s="2" t="s">
        <v>791</v>
      </c>
      <c r="G322" s="5">
        <v>80.31</v>
      </c>
      <c r="H322" s="5">
        <v>80.31</v>
      </c>
      <c r="I322" s="5">
        <v>84.5</v>
      </c>
      <c r="J322" s="5">
        <v>68</v>
      </c>
      <c r="K322" s="5">
        <v>72.8</v>
      </c>
      <c r="L322" s="5">
        <v>77.183999999999997</v>
      </c>
    </row>
    <row r="323" spans="1:12" x14ac:dyDescent="0.3">
      <c r="A323" s="2" t="s">
        <v>185</v>
      </c>
      <c r="B323" s="2" t="s">
        <v>230</v>
      </c>
      <c r="C323" s="2" t="s">
        <v>231</v>
      </c>
      <c r="D323" s="2" t="s">
        <v>301</v>
      </c>
      <c r="E323" s="2">
        <v>2</v>
      </c>
      <c r="F323" s="2" t="s">
        <v>795</v>
      </c>
      <c r="G323" s="5">
        <v>89.56</v>
      </c>
      <c r="H323" s="5">
        <v>89.56</v>
      </c>
      <c r="I323" s="5">
        <v>83</v>
      </c>
      <c r="J323" s="5">
        <v>86</v>
      </c>
      <c r="K323" s="5">
        <v>85.6</v>
      </c>
      <c r="L323" s="5">
        <v>86.744</v>
      </c>
    </row>
    <row r="324" spans="1:12" x14ac:dyDescent="0.3">
      <c r="A324" s="2" t="s">
        <v>185</v>
      </c>
      <c r="B324" s="2" t="s">
        <v>230</v>
      </c>
      <c r="C324" s="2" t="s">
        <v>231</v>
      </c>
      <c r="D324" s="2" t="s">
        <v>64</v>
      </c>
      <c r="E324" s="2">
        <v>3</v>
      </c>
      <c r="F324" s="2" t="s">
        <v>796</v>
      </c>
      <c r="G324" s="5">
        <v>86.17</v>
      </c>
      <c r="H324" s="5">
        <v>90.17</v>
      </c>
      <c r="I324" s="5">
        <v>82</v>
      </c>
      <c r="J324" s="5">
        <v>79.5</v>
      </c>
      <c r="K324" s="5">
        <v>92.5</v>
      </c>
      <c r="L324" s="5">
        <v>86.068000000000012</v>
      </c>
    </row>
    <row r="325" spans="1:12" x14ac:dyDescent="0.3">
      <c r="A325" s="2" t="s">
        <v>185</v>
      </c>
      <c r="B325" s="2" t="s">
        <v>230</v>
      </c>
      <c r="C325" s="2" t="s">
        <v>231</v>
      </c>
      <c r="D325" s="2" t="s">
        <v>189</v>
      </c>
      <c r="E325" s="2">
        <v>4</v>
      </c>
      <c r="F325" s="2" t="s">
        <v>797</v>
      </c>
      <c r="G325" s="5">
        <v>91.13</v>
      </c>
      <c r="H325" s="5">
        <v>94.13</v>
      </c>
      <c r="I325" s="5">
        <v>93.5</v>
      </c>
      <c r="J325" s="5">
        <v>93.5</v>
      </c>
      <c r="K325" s="5">
        <v>96.5</v>
      </c>
      <c r="L325" s="5">
        <v>93.751999999999995</v>
      </c>
    </row>
    <row r="326" spans="1:12" x14ac:dyDescent="0.3">
      <c r="A326" s="2" t="s">
        <v>185</v>
      </c>
      <c r="B326" s="2" t="s">
        <v>232</v>
      </c>
      <c r="C326" s="2" t="s">
        <v>233</v>
      </c>
      <c r="D326" s="2" t="s">
        <v>188</v>
      </c>
      <c r="E326" s="2">
        <v>1</v>
      </c>
      <c r="F326" s="2" t="s">
        <v>791</v>
      </c>
      <c r="G326" s="5">
        <v>83.46</v>
      </c>
      <c r="H326" s="5">
        <v>89.46</v>
      </c>
      <c r="I326" s="5">
        <v>85</v>
      </c>
      <c r="J326" s="5">
        <v>86</v>
      </c>
      <c r="K326" s="5">
        <v>81.400000000000006</v>
      </c>
      <c r="L326" s="5">
        <v>85.063999999999993</v>
      </c>
    </row>
    <row r="327" spans="1:12" x14ac:dyDescent="0.3">
      <c r="A327" s="2" t="s">
        <v>185</v>
      </c>
      <c r="B327" s="2" t="s">
        <v>232</v>
      </c>
      <c r="C327" s="2" t="s">
        <v>233</v>
      </c>
      <c r="D327" s="2" t="s">
        <v>301</v>
      </c>
      <c r="E327" s="2">
        <v>2</v>
      </c>
      <c r="F327" s="2" t="s">
        <v>795</v>
      </c>
      <c r="G327" s="5">
        <v>75.760000000000005</v>
      </c>
      <c r="H327" s="5">
        <v>81.760000000000005</v>
      </c>
      <c r="I327" s="5">
        <v>78.5</v>
      </c>
      <c r="J327" s="5">
        <v>85</v>
      </c>
      <c r="K327" s="5">
        <v>72.599999999999994</v>
      </c>
      <c r="L327" s="5">
        <v>78.724000000000004</v>
      </c>
    </row>
    <row r="328" spans="1:12" x14ac:dyDescent="0.3">
      <c r="A328" s="2" t="s">
        <v>185</v>
      </c>
      <c r="B328" s="2" t="s">
        <v>232</v>
      </c>
      <c r="C328" s="2" t="s">
        <v>233</v>
      </c>
      <c r="D328" s="2" t="s">
        <v>64</v>
      </c>
      <c r="E328" s="2">
        <v>3</v>
      </c>
      <c r="F328" s="2" t="s">
        <v>796</v>
      </c>
      <c r="G328" s="5">
        <v>83.67</v>
      </c>
      <c r="H328" s="5">
        <v>85.67</v>
      </c>
      <c r="I328" s="5">
        <v>74.5</v>
      </c>
      <c r="J328" s="5">
        <v>83.5</v>
      </c>
      <c r="K328" s="5">
        <v>83.5</v>
      </c>
      <c r="L328" s="5">
        <v>82.168000000000006</v>
      </c>
    </row>
    <row r="329" spans="1:12" x14ac:dyDescent="0.3">
      <c r="A329" s="2" t="s">
        <v>185</v>
      </c>
      <c r="B329" s="2" t="s">
        <v>232</v>
      </c>
      <c r="C329" s="2" t="s">
        <v>233</v>
      </c>
      <c r="D329" s="2" t="s">
        <v>189</v>
      </c>
      <c r="E329" s="2">
        <v>4</v>
      </c>
      <c r="F329" s="2" t="s">
        <v>797</v>
      </c>
      <c r="G329" s="5">
        <v>86.06</v>
      </c>
      <c r="H329" s="5">
        <v>89.06</v>
      </c>
      <c r="I329" s="5">
        <v>81.5</v>
      </c>
      <c r="J329" s="5">
        <v>90.5</v>
      </c>
      <c r="K329" s="5">
        <v>92.5</v>
      </c>
      <c r="L329" s="5">
        <v>87.924000000000007</v>
      </c>
    </row>
    <row r="330" spans="1:12" x14ac:dyDescent="0.3">
      <c r="A330" s="2" t="s">
        <v>185</v>
      </c>
      <c r="B330" s="2" t="s">
        <v>234</v>
      </c>
      <c r="C330" s="2" t="s">
        <v>235</v>
      </c>
      <c r="D330" s="2" t="s">
        <v>188</v>
      </c>
      <c r="E330" s="2">
        <v>1</v>
      </c>
      <c r="F330" s="2" t="s">
        <v>791</v>
      </c>
      <c r="G330" s="5">
        <v>79.39</v>
      </c>
      <c r="H330" s="5">
        <v>81.39</v>
      </c>
      <c r="I330" s="5">
        <v>84.5</v>
      </c>
      <c r="J330" s="5">
        <v>80.5</v>
      </c>
      <c r="K330" s="5">
        <v>67.8</v>
      </c>
      <c r="L330" s="5">
        <v>78.715999999999994</v>
      </c>
    </row>
    <row r="331" spans="1:12" x14ac:dyDescent="0.3">
      <c r="A331" s="2" t="s">
        <v>185</v>
      </c>
      <c r="B331" s="2" t="s">
        <v>234</v>
      </c>
      <c r="C331" s="2" t="s">
        <v>235</v>
      </c>
      <c r="D331" s="2" t="s">
        <v>301</v>
      </c>
      <c r="E331" s="2">
        <v>2</v>
      </c>
      <c r="F331" s="2" t="s">
        <v>795</v>
      </c>
      <c r="G331" s="5">
        <v>89.88</v>
      </c>
      <c r="H331" s="5">
        <v>95.88</v>
      </c>
      <c r="I331" s="5">
        <v>89.5</v>
      </c>
      <c r="J331" s="5">
        <v>99.5</v>
      </c>
      <c r="K331" s="5">
        <v>94.5</v>
      </c>
      <c r="L331" s="5">
        <v>93.852000000000004</v>
      </c>
    </row>
    <row r="332" spans="1:12" x14ac:dyDescent="0.3">
      <c r="A332" s="2" t="s">
        <v>185</v>
      </c>
      <c r="B332" s="2" t="s">
        <v>234</v>
      </c>
      <c r="C332" s="2" t="s">
        <v>235</v>
      </c>
      <c r="D332" s="2" t="s">
        <v>64</v>
      </c>
      <c r="E332" s="2">
        <v>3</v>
      </c>
      <c r="F332" s="2" t="s">
        <v>796</v>
      </c>
      <c r="G332" s="5">
        <v>91.56</v>
      </c>
      <c r="H332" s="5">
        <v>97.56</v>
      </c>
      <c r="I332" s="5">
        <v>92</v>
      </c>
      <c r="J332" s="5">
        <v>100</v>
      </c>
      <c r="K332" s="5">
        <v>98</v>
      </c>
      <c r="L332" s="5">
        <v>95.823999999999998</v>
      </c>
    </row>
    <row r="333" spans="1:12" x14ac:dyDescent="0.3">
      <c r="A333" s="2" t="s">
        <v>185</v>
      </c>
      <c r="B333" s="2" t="s">
        <v>234</v>
      </c>
      <c r="C333" s="2" t="s">
        <v>235</v>
      </c>
      <c r="D333" s="2" t="s">
        <v>189</v>
      </c>
      <c r="E333" s="2">
        <v>4</v>
      </c>
      <c r="F333" s="2" t="s">
        <v>797</v>
      </c>
      <c r="G333" s="5">
        <v>95.81</v>
      </c>
      <c r="H333" s="5">
        <v>97.81</v>
      </c>
      <c r="I333" s="5">
        <v>94</v>
      </c>
      <c r="J333" s="5">
        <v>99.5</v>
      </c>
      <c r="K333" s="5">
        <v>100</v>
      </c>
      <c r="L333" s="5">
        <v>97.424000000000007</v>
      </c>
    </row>
    <row r="334" spans="1:12" x14ac:dyDescent="0.3">
      <c r="A334" s="2" t="s">
        <v>185</v>
      </c>
      <c r="B334" s="2" t="s">
        <v>236</v>
      </c>
      <c r="C334" s="2" t="s">
        <v>237</v>
      </c>
      <c r="D334" s="2" t="s">
        <v>188</v>
      </c>
      <c r="E334" s="2">
        <v>1</v>
      </c>
      <c r="F334" s="2" t="s">
        <v>791</v>
      </c>
      <c r="G334" s="5">
        <v>91.46</v>
      </c>
      <c r="H334" s="5">
        <v>92.46</v>
      </c>
      <c r="I334" s="5">
        <v>88</v>
      </c>
      <c r="J334" s="5">
        <v>94</v>
      </c>
      <c r="K334" s="5">
        <v>88.8</v>
      </c>
      <c r="L334" s="5">
        <v>90.943999999999988</v>
      </c>
    </row>
    <row r="335" spans="1:12" x14ac:dyDescent="0.3">
      <c r="A335" s="2" t="s">
        <v>185</v>
      </c>
      <c r="B335" s="2" t="s">
        <v>236</v>
      </c>
      <c r="C335" s="2" t="s">
        <v>237</v>
      </c>
      <c r="D335" s="2" t="s">
        <v>301</v>
      </c>
      <c r="E335" s="2">
        <v>2</v>
      </c>
      <c r="F335" s="2" t="s">
        <v>795</v>
      </c>
      <c r="G335" s="5">
        <v>76.400000000000006</v>
      </c>
      <c r="H335" s="5">
        <v>80.400000000000006</v>
      </c>
      <c r="I335" s="5">
        <v>79.5</v>
      </c>
      <c r="J335" s="5">
        <v>69</v>
      </c>
      <c r="K335" s="5">
        <v>74.8</v>
      </c>
      <c r="L335" s="5">
        <v>76.02000000000001</v>
      </c>
    </row>
    <row r="336" spans="1:12" x14ac:dyDescent="0.3">
      <c r="A336" s="2" t="s">
        <v>185</v>
      </c>
      <c r="B336" s="2" t="s">
        <v>236</v>
      </c>
      <c r="C336" s="2" t="s">
        <v>237</v>
      </c>
      <c r="D336" s="2" t="s">
        <v>64</v>
      </c>
      <c r="E336" s="2">
        <v>3</v>
      </c>
      <c r="F336" s="2" t="s">
        <v>796</v>
      </c>
      <c r="G336" s="5">
        <v>82.72</v>
      </c>
      <c r="H336" s="5">
        <v>82.72</v>
      </c>
      <c r="I336" s="5">
        <v>71</v>
      </c>
      <c r="J336" s="5">
        <v>79.5</v>
      </c>
      <c r="K336" s="5">
        <v>77</v>
      </c>
      <c r="L336" s="5">
        <v>78.587999999999994</v>
      </c>
    </row>
    <row r="337" spans="1:12" x14ac:dyDescent="0.3">
      <c r="A337" s="2" t="s">
        <v>185</v>
      </c>
      <c r="B337" s="2" t="s">
        <v>236</v>
      </c>
      <c r="C337" s="2" t="s">
        <v>237</v>
      </c>
      <c r="D337" s="2" t="s">
        <v>189</v>
      </c>
      <c r="E337" s="2">
        <v>4</v>
      </c>
      <c r="F337" s="2" t="s">
        <v>797</v>
      </c>
      <c r="G337" s="5">
        <v>82.19</v>
      </c>
      <c r="H337" s="5">
        <v>83.19</v>
      </c>
      <c r="I337" s="5">
        <v>86.5</v>
      </c>
      <c r="J337" s="5">
        <v>85</v>
      </c>
      <c r="K337" s="5">
        <v>94</v>
      </c>
      <c r="L337" s="5">
        <v>86.176000000000002</v>
      </c>
    </row>
    <row r="338" spans="1:12" x14ac:dyDescent="0.3">
      <c r="A338" s="2" t="s">
        <v>185</v>
      </c>
      <c r="B338" s="2" t="s">
        <v>238</v>
      </c>
      <c r="C338" s="2" t="s">
        <v>239</v>
      </c>
      <c r="D338" s="2" t="s">
        <v>188</v>
      </c>
      <c r="E338" s="2">
        <v>1</v>
      </c>
      <c r="F338" s="2" t="s">
        <v>791</v>
      </c>
      <c r="G338" s="5">
        <v>63.73</v>
      </c>
      <c r="H338" s="5">
        <v>68.73</v>
      </c>
      <c r="I338" s="5">
        <v>66.5</v>
      </c>
      <c r="J338" s="5">
        <v>67</v>
      </c>
      <c r="K338" s="5">
        <v>58.6</v>
      </c>
      <c r="L338" s="5">
        <v>64.912000000000006</v>
      </c>
    </row>
    <row r="339" spans="1:12" x14ac:dyDescent="0.3">
      <c r="A339" s="2" t="s">
        <v>185</v>
      </c>
      <c r="B339" s="2" t="s">
        <v>238</v>
      </c>
      <c r="C339" s="2" t="s">
        <v>239</v>
      </c>
      <c r="D339" s="2" t="s">
        <v>301</v>
      </c>
      <c r="E339" s="2">
        <v>2</v>
      </c>
      <c r="F339" s="2" t="s">
        <v>795</v>
      </c>
      <c r="G339" s="5">
        <v>86.56</v>
      </c>
      <c r="H339" s="5">
        <v>86.56</v>
      </c>
      <c r="I339" s="5">
        <v>83.5</v>
      </c>
      <c r="J339" s="5">
        <v>89.5</v>
      </c>
      <c r="K339" s="5">
        <v>79</v>
      </c>
      <c r="L339" s="5">
        <v>85.024000000000001</v>
      </c>
    </row>
    <row r="340" spans="1:12" x14ac:dyDescent="0.3">
      <c r="A340" s="2" t="s">
        <v>185</v>
      </c>
      <c r="B340" s="2" t="s">
        <v>238</v>
      </c>
      <c r="C340" s="2" t="s">
        <v>239</v>
      </c>
      <c r="D340" s="2" t="s">
        <v>64</v>
      </c>
      <c r="E340" s="2">
        <v>3</v>
      </c>
      <c r="F340" s="2" t="s">
        <v>796</v>
      </c>
      <c r="G340" s="5">
        <v>86.56</v>
      </c>
      <c r="H340" s="5">
        <v>91.56</v>
      </c>
      <c r="I340" s="5">
        <v>86.5</v>
      </c>
      <c r="J340" s="5">
        <v>90.5</v>
      </c>
      <c r="K340" s="5">
        <v>93</v>
      </c>
      <c r="L340" s="5">
        <v>89.623999999999995</v>
      </c>
    </row>
    <row r="341" spans="1:12" x14ac:dyDescent="0.3">
      <c r="A341" s="2" t="s">
        <v>185</v>
      </c>
      <c r="B341" s="2" t="s">
        <v>238</v>
      </c>
      <c r="C341" s="2" t="s">
        <v>239</v>
      </c>
      <c r="D341" s="2" t="s">
        <v>189</v>
      </c>
      <c r="E341" s="2">
        <v>4</v>
      </c>
      <c r="F341" s="2" t="s">
        <v>797</v>
      </c>
      <c r="G341" s="5">
        <v>93.5</v>
      </c>
      <c r="H341" s="5">
        <v>94.5</v>
      </c>
      <c r="I341" s="5">
        <v>94</v>
      </c>
      <c r="J341" s="5">
        <v>97.5</v>
      </c>
      <c r="K341" s="5">
        <v>99.5</v>
      </c>
      <c r="L341" s="5">
        <v>95.8</v>
      </c>
    </row>
    <row r="342" spans="1:12" x14ac:dyDescent="0.3">
      <c r="A342" s="2" t="s">
        <v>185</v>
      </c>
      <c r="B342" s="2" t="s">
        <v>240</v>
      </c>
      <c r="C342" s="2" t="s">
        <v>241</v>
      </c>
      <c r="D342" s="2" t="s">
        <v>188</v>
      </c>
      <c r="E342" s="2">
        <v>1</v>
      </c>
      <c r="F342" s="2" t="s">
        <v>791</v>
      </c>
      <c r="G342" s="5">
        <v>87.15</v>
      </c>
      <c r="H342" s="5">
        <v>89.15</v>
      </c>
      <c r="I342" s="5">
        <v>88</v>
      </c>
      <c r="J342" s="5">
        <v>90.5</v>
      </c>
      <c r="K342" s="5">
        <v>84.7</v>
      </c>
      <c r="L342" s="5">
        <v>87.9</v>
      </c>
    </row>
    <row r="343" spans="1:12" x14ac:dyDescent="0.3">
      <c r="A343" s="2" t="s">
        <v>185</v>
      </c>
      <c r="B343" s="2" t="s">
        <v>240</v>
      </c>
      <c r="C343" s="2" t="s">
        <v>241</v>
      </c>
      <c r="D343" s="2" t="s">
        <v>301</v>
      </c>
      <c r="E343" s="2">
        <v>2</v>
      </c>
      <c r="F343" s="2" t="s">
        <v>795</v>
      </c>
      <c r="G343" s="5">
        <v>85.84</v>
      </c>
      <c r="H343" s="5">
        <v>90.84</v>
      </c>
      <c r="I343" s="5">
        <v>90</v>
      </c>
      <c r="J343" s="5">
        <v>85</v>
      </c>
      <c r="K343" s="5">
        <v>87.7</v>
      </c>
      <c r="L343" s="5">
        <v>87.876000000000005</v>
      </c>
    </row>
    <row r="344" spans="1:12" x14ac:dyDescent="0.3">
      <c r="A344" s="2" t="s">
        <v>185</v>
      </c>
      <c r="B344" s="2" t="s">
        <v>240</v>
      </c>
      <c r="C344" s="2" t="s">
        <v>241</v>
      </c>
      <c r="D344" s="2" t="s">
        <v>64</v>
      </c>
      <c r="E344" s="2">
        <v>3</v>
      </c>
      <c r="F344" s="2" t="s">
        <v>796</v>
      </c>
      <c r="G344" s="5">
        <v>90.72</v>
      </c>
      <c r="H344" s="5">
        <v>91.72</v>
      </c>
      <c r="I344" s="5">
        <v>86.5</v>
      </c>
      <c r="J344" s="5">
        <v>85</v>
      </c>
      <c r="K344" s="5">
        <v>90</v>
      </c>
      <c r="L344" s="5">
        <v>88.787999999999997</v>
      </c>
    </row>
    <row r="345" spans="1:12" x14ac:dyDescent="0.3">
      <c r="A345" s="2" t="s">
        <v>185</v>
      </c>
      <c r="B345" s="2" t="s">
        <v>240</v>
      </c>
      <c r="C345" s="2" t="s">
        <v>241</v>
      </c>
      <c r="D345" s="2" t="s">
        <v>189</v>
      </c>
      <c r="E345" s="2">
        <v>4</v>
      </c>
      <c r="F345" s="2" t="s">
        <v>797</v>
      </c>
      <c r="G345" s="5">
        <v>91.75</v>
      </c>
      <c r="H345" s="5">
        <v>93.75</v>
      </c>
      <c r="I345" s="5">
        <v>98.5</v>
      </c>
      <c r="J345" s="5">
        <v>86.5</v>
      </c>
      <c r="K345" s="5">
        <v>97.5</v>
      </c>
      <c r="L345" s="5">
        <v>93.6</v>
      </c>
    </row>
    <row r="346" spans="1:12" x14ac:dyDescent="0.3">
      <c r="A346" s="2" t="s">
        <v>185</v>
      </c>
      <c r="B346" s="2" t="s">
        <v>242</v>
      </c>
      <c r="C346" s="2" t="s">
        <v>243</v>
      </c>
      <c r="D346" s="2" t="s">
        <v>188</v>
      </c>
      <c r="E346" s="2">
        <v>1</v>
      </c>
      <c r="F346" s="2" t="s">
        <v>791</v>
      </c>
      <c r="G346" s="5">
        <v>78.23</v>
      </c>
      <c r="H346" s="5">
        <v>83.23</v>
      </c>
      <c r="I346" s="5">
        <v>81.5</v>
      </c>
      <c r="J346" s="5">
        <v>76</v>
      </c>
      <c r="K346" s="5">
        <v>76.7</v>
      </c>
      <c r="L346" s="5">
        <v>79.132000000000005</v>
      </c>
    </row>
    <row r="347" spans="1:12" x14ac:dyDescent="0.3">
      <c r="A347" s="2" t="s">
        <v>185</v>
      </c>
      <c r="B347" s="2" t="s">
        <v>242</v>
      </c>
      <c r="C347" s="2" t="s">
        <v>243</v>
      </c>
      <c r="D347" s="2" t="s">
        <v>301</v>
      </c>
      <c r="E347" s="2">
        <v>2</v>
      </c>
      <c r="F347" s="2" t="s">
        <v>795</v>
      </c>
      <c r="G347" s="5">
        <v>93.36</v>
      </c>
      <c r="H347" s="5">
        <v>96.36</v>
      </c>
      <c r="I347" s="5">
        <v>96</v>
      </c>
      <c r="J347" s="5">
        <v>95</v>
      </c>
      <c r="K347" s="5">
        <v>94.2</v>
      </c>
      <c r="L347" s="5">
        <v>94.984000000000009</v>
      </c>
    </row>
    <row r="348" spans="1:12" x14ac:dyDescent="0.3">
      <c r="A348" s="2" t="s">
        <v>185</v>
      </c>
      <c r="B348" s="2" t="s">
        <v>242</v>
      </c>
      <c r="C348" s="2" t="s">
        <v>243</v>
      </c>
      <c r="D348" s="2" t="s">
        <v>64</v>
      </c>
      <c r="E348" s="2">
        <v>3</v>
      </c>
      <c r="F348" s="2" t="s">
        <v>796</v>
      </c>
      <c r="G348" s="5">
        <v>95.78</v>
      </c>
      <c r="H348" s="5">
        <v>95.78</v>
      </c>
      <c r="I348" s="5">
        <v>95</v>
      </c>
      <c r="J348" s="5">
        <v>90.5</v>
      </c>
      <c r="K348" s="5">
        <v>98</v>
      </c>
      <c r="L348" s="5">
        <v>95.012</v>
      </c>
    </row>
    <row r="349" spans="1:12" x14ac:dyDescent="0.3">
      <c r="A349" s="2" t="s">
        <v>185</v>
      </c>
      <c r="B349" s="2" t="s">
        <v>242</v>
      </c>
      <c r="C349" s="2" t="s">
        <v>243</v>
      </c>
      <c r="D349" s="2" t="s">
        <v>189</v>
      </c>
      <c r="E349" s="2">
        <v>4</v>
      </c>
      <c r="F349" s="2" t="s">
        <v>797</v>
      </c>
      <c r="G349" s="5">
        <v>93.31</v>
      </c>
      <c r="H349" s="5">
        <v>96.31</v>
      </c>
      <c r="I349" s="5">
        <v>98</v>
      </c>
      <c r="J349" s="5">
        <v>98.5</v>
      </c>
      <c r="K349" s="5">
        <v>99</v>
      </c>
      <c r="L349" s="5">
        <v>97.024000000000001</v>
      </c>
    </row>
    <row r="350" spans="1:12" x14ac:dyDescent="0.3">
      <c r="A350" s="2" t="s">
        <v>185</v>
      </c>
      <c r="B350" s="2" t="s">
        <v>244</v>
      </c>
      <c r="C350" s="2" t="s">
        <v>245</v>
      </c>
      <c r="D350" s="2" t="s">
        <v>188</v>
      </c>
      <c r="E350" s="2">
        <v>1</v>
      </c>
      <c r="F350" s="2" t="s">
        <v>791</v>
      </c>
      <c r="G350" s="5">
        <v>87.58</v>
      </c>
      <c r="H350" s="5">
        <v>90.58</v>
      </c>
      <c r="I350" s="5">
        <v>89</v>
      </c>
      <c r="J350" s="5">
        <v>90.5</v>
      </c>
      <c r="K350" s="5">
        <v>84.4</v>
      </c>
      <c r="L350" s="5">
        <v>88.411999999999992</v>
      </c>
    </row>
    <row r="351" spans="1:12" x14ac:dyDescent="0.3">
      <c r="A351" s="2" t="s">
        <v>185</v>
      </c>
      <c r="B351" s="2" t="s">
        <v>244</v>
      </c>
      <c r="C351" s="2" t="s">
        <v>245</v>
      </c>
      <c r="D351" s="2" t="s">
        <v>301</v>
      </c>
      <c r="E351" s="2">
        <v>2</v>
      </c>
      <c r="F351" s="2" t="s">
        <v>795</v>
      </c>
      <c r="G351" s="5">
        <v>92.32</v>
      </c>
      <c r="H351" s="5">
        <v>92.32</v>
      </c>
      <c r="I351" s="5">
        <v>92</v>
      </c>
      <c r="J351" s="5">
        <v>89</v>
      </c>
      <c r="K351" s="5">
        <v>88.5</v>
      </c>
      <c r="L351" s="5">
        <v>90.828000000000003</v>
      </c>
    </row>
    <row r="352" spans="1:12" x14ac:dyDescent="0.3">
      <c r="A352" s="2" t="s">
        <v>185</v>
      </c>
      <c r="B352" s="2" t="s">
        <v>244</v>
      </c>
      <c r="C352" s="2" t="s">
        <v>245</v>
      </c>
      <c r="D352" s="2" t="s">
        <v>64</v>
      </c>
      <c r="E352" s="2">
        <v>3</v>
      </c>
      <c r="F352" s="2" t="s">
        <v>796</v>
      </c>
      <c r="G352" s="5">
        <v>88.44</v>
      </c>
      <c r="H352" s="5">
        <v>94.44</v>
      </c>
      <c r="I352" s="5">
        <v>92</v>
      </c>
      <c r="J352" s="5">
        <v>93</v>
      </c>
      <c r="K352" s="5">
        <v>92</v>
      </c>
      <c r="L352" s="5">
        <v>91.975999999999999</v>
      </c>
    </row>
    <row r="353" spans="1:12" x14ac:dyDescent="0.3">
      <c r="A353" s="2" t="s">
        <v>185</v>
      </c>
      <c r="B353" s="2" t="s">
        <v>244</v>
      </c>
      <c r="C353" s="2" t="s">
        <v>245</v>
      </c>
      <c r="D353" s="2" t="s">
        <v>189</v>
      </c>
      <c r="E353" s="2">
        <v>4</v>
      </c>
      <c r="F353" s="2" t="s">
        <v>797</v>
      </c>
      <c r="G353" s="5">
        <v>94.88</v>
      </c>
      <c r="H353" s="5">
        <v>96.88</v>
      </c>
      <c r="I353" s="5">
        <v>96.5</v>
      </c>
      <c r="J353" s="5">
        <v>94.5</v>
      </c>
      <c r="K353" s="5">
        <v>97</v>
      </c>
      <c r="L353" s="5">
        <v>95.951999999999998</v>
      </c>
    </row>
    <row r="354" spans="1:12" x14ac:dyDescent="0.3">
      <c r="A354" s="2" t="s">
        <v>185</v>
      </c>
      <c r="B354" s="2" t="s">
        <v>246</v>
      </c>
      <c r="C354" s="2" t="s">
        <v>247</v>
      </c>
      <c r="D354" s="2" t="s">
        <v>188</v>
      </c>
      <c r="E354" s="2">
        <v>1</v>
      </c>
      <c r="F354" s="2" t="s">
        <v>791</v>
      </c>
      <c r="G354" s="5">
        <v>0</v>
      </c>
      <c r="H354" s="5">
        <v>0</v>
      </c>
      <c r="I354" s="5">
        <v>0</v>
      </c>
      <c r="J354" s="5">
        <v>0</v>
      </c>
      <c r="K354" s="5">
        <v>0</v>
      </c>
      <c r="L354" s="5">
        <v>0</v>
      </c>
    </row>
    <row r="355" spans="1:12" x14ac:dyDescent="0.3">
      <c r="A355" s="2" t="s">
        <v>185</v>
      </c>
      <c r="B355" s="2" t="s">
        <v>246</v>
      </c>
      <c r="C355" s="2" t="s">
        <v>247</v>
      </c>
      <c r="D355" s="2" t="s">
        <v>301</v>
      </c>
      <c r="E355" s="2">
        <v>2</v>
      </c>
      <c r="F355" s="2" t="s">
        <v>795</v>
      </c>
      <c r="G355" s="5">
        <v>80.88</v>
      </c>
      <c r="H355" s="5">
        <v>80.88</v>
      </c>
      <c r="I355" s="5">
        <v>75</v>
      </c>
      <c r="J355" s="5">
        <v>78.5</v>
      </c>
      <c r="K355" s="5">
        <v>73.2</v>
      </c>
      <c r="L355" s="5">
        <v>77.691999999999993</v>
      </c>
    </row>
    <row r="356" spans="1:12" x14ac:dyDescent="0.3">
      <c r="A356" s="2" t="s">
        <v>185</v>
      </c>
      <c r="B356" s="2" t="s">
        <v>246</v>
      </c>
      <c r="C356" s="2" t="s">
        <v>247</v>
      </c>
      <c r="D356" s="2" t="s">
        <v>64</v>
      </c>
      <c r="E356" s="2">
        <v>3</v>
      </c>
      <c r="F356" s="2" t="s">
        <v>796</v>
      </c>
      <c r="G356" s="5">
        <v>76.67</v>
      </c>
      <c r="H356" s="5">
        <v>80.67</v>
      </c>
      <c r="I356" s="5">
        <v>75</v>
      </c>
      <c r="J356" s="5">
        <v>76.5</v>
      </c>
      <c r="K356" s="5">
        <v>75.5</v>
      </c>
      <c r="L356" s="5">
        <v>76.868000000000009</v>
      </c>
    </row>
    <row r="357" spans="1:12" x14ac:dyDescent="0.3">
      <c r="A357" s="2" t="s">
        <v>185</v>
      </c>
      <c r="B357" s="2" t="s">
        <v>246</v>
      </c>
      <c r="C357" s="2" t="s">
        <v>247</v>
      </c>
      <c r="D357" s="2" t="s">
        <v>189</v>
      </c>
      <c r="E357" s="2">
        <v>4</v>
      </c>
      <c r="F357" s="2" t="s">
        <v>797</v>
      </c>
      <c r="G357" s="5">
        <v>70.81</v>
      </c>
      <c r="H357" s="5">
        <v>76.81</v>
      </c>
      <c r="I357" s="5">
        <v>77</v>
      </c>
      <c r="J357" s="5">
        <v>72.5</v>
      </c>
      <c r="K357" s="5">
        <v>90.5</v>
      </c>
      <c r="L357" s="5">
        <v>77.524000000000001</v>
      </c>
    </row>
    <row r="358" spans="1:12" x14ac:dyDescent="0.3">
      <c r="A358" s="2" t="s">
        <v>185</v>
      </c>
      <c r="B358" s="2" t="s">
        <v>248</v>
      </c>
      <c r="C358" s="2" t="s">
        <v>249</v>
      </c>
      <c r="D358" s="2" t="s">
        <v>188</v>
      </c>
      <c r="E358" s="2">
        <v>1</v>
      </c>
      <c r="F358" s="2" t="s">
        <v>791</v>
      </c>
      <c r="G358" s="5">
        <v>65.27</v>
      </c>
      <c r="H358" s="5">
        <v>71.27</v>
      </c>
      <c r="I358" s="5">
        <v>77.5</v>
      </c>
      <c r="J358" s="5">
        <v>68</v>
      </c>
      <c r="K358" s="5">
        <v>55.5</v>
      </c>
      <c r="L358" s="5">
        <v>67.507999999999996</v>
      </c>
    </row>
    <row r="359" spans="1:12" x14ac:dyDescent="0.3">
      <c r="A359" s="2" t="s">
        <v>185</v>
      </c>
      <c r="B359" s="2" t="s">
        <v>248</v>
      </c>
      <c r="C359" s="2" t="s">
        <v>249</v>
      </c>
      <c r="D359" s="2" t="s">
        <v>301</v>
      </c>
      <c r="E359" s="2">
        <v>2</v>
      </c>
      <c r="F359" s="2" t="s">
        <v>795</v>
      </c>
      <c r="G359" s="5">
        <v>93.44</v>
      </c>
      <c r="H359" s="5">
        <v>95.44</v>
      </c>
      <c r="I359" s="5">
        <v>95.5</v>
      </c>
      <c r="J359" s="5">
        <v>97.5</v>
      </c>
      <c r="K359" s="5">
        <v>92.3</v>
      </c>
      <c r="L359" s="5">
        <v>94.835999999999999</v>
      </c>
    </row>
    <row r="360" spans="1:12" x14ac:dyDescent="0.3">
      <c r="A360" s="2" t="s">
        <v>185</v>
      </c>
      <c r="B360" s="2" t="s">
        <v>248</v>
      </c>
      <c r="C360" s="2" t="s">
        <v>249</v>
      </c>
      <c r="D360" s="2" t="s">
        <v>64</v>
      </c>
      <c r="E360" s="2">
        <v>3</v>
      </c>
      <c r="F360" s="2" t="s">
        <v>796</v>
      </c>
      <c r="G360" s="5">
        <v>94.39</v>
      </c>
      <c r="H360" s="5">
        <v>94.39</v>
      </c>
      <c r="I360" s="5">
        <v>91.5</v>
      </c>
      <c r="J360" s="5">
        <v>92</v>
      </c>
      <c r="K360" s="5">
        <v>96</v>
      </c>
      <c r="L360" s="5">
        <v>93.655999999999992</v>
      </c>
    </row>
    <row r="361" spans="1:12" x14ac:dyDescent="0.3">
      <c r="A361" s="2" t="s">
        <v>185</v>
      </c>
      <c r="B361" s="2" t="s">
        <v>248</v>
      </c>
      <c r="C361" s="2" t="s">
        <v>249</v>
      </c>
      <c r="D361" s="2" t="s">
        <v>189</v>
      </c>
      <c r="E361" s="2">
        <v>4</v>
      </c>
      <c r="F361" s="2" t="s">
        <v>797</v>
      </c>
      <c r="G361" s="5">
        <v>89.94</v>
      </c>
      <c r="H361" s="5">
        <v>95.94</v>
      </c>
      <c r="I361" s="5">
        <v>98.5</v>
      </c>
      <c r="J361" s="5">
        <v>92</v>
      </c>
      <c r="K361" s="5">
        <v>93.5</v>
      </c>
      <c r="L361" s="5">
        <v>93.975999999999999</v>
      </c>
    </row>
    <row r="362" spans="1:12" x14ac:dyDescent="0.3">
      <c r="A362" s="2" t="s">
        <v>185</v>
      </c>
      <c r="B362" s="2" t="s">
        <v>250</v>
      </c>
      <c r="C362" s="2" t="s">
        <v>251</v>
      </c>
      <c r="D362" s="2" t="s">
        <v>188</v>
      </c>
      <c r="E362" s="2">
        <v>1</v>
      </c>
      <c r="F362" s="2" t="s">
        <v>791</v>
      </c>
      <c r="G362" s="5">
        <v>69.39</v>
      </c>
      <c r="H362" s="5">
        <v>74.39</v>
      </c>
      <c r="I362" s="5">
        <v>80</v>
      </c>
      <c r="J362" s="5">
        <v>72</v>
      </c>
      <c r="K362" s="5">
        <v>62</v>
      </c>
      <c r="L362" s="5">
        <v>71.555999999999997</v>
      </c>
    </row>
    <row r="363" spans="1:12" x14ac:dyDescent="0.3">
      <c r="A363" s="2" t="s">
        <v>185</v>
      </c>
      <c r="B363" s="2" t="s">
        <v>250</v>
      </c>
      <c r="C363" s="2" t="s">
        <v>251</v>
      </c>
      <c r="D363" s="2" t="s">
        <v>301</v>
      </c>
      <c r="E363" s="2">
        <v>2</v>
      </c>
      <c r="F363" s="2" t="s">
        <v>795</v>
      </c>
      <c r="G363" s="5">
        <v>87.04</v>
      </c>
      <c r="H363" s="5">
        <v>89.04</v>
      </c>
      <c r="I363" s="5">
        <v>83.5</v>
      </c>
      <c r="J363" s="5">
        <v>88</v>
      </c>
      <c r="K363" s="5">
        <v>83.1</v>
      </c>
      <c r="L363" s="5">
        <v>86.135999999999996</v>
      </c>
    </row>
    <row r="364" spans="1:12" x14ac:dyDescent="0.3">
      <c r="A364" s="2" t="s">
        <v>185</v>
      </c>
      <c r="B364" s="2" t="s">
        <v>250</v>
      </c>
      <c r="C364" s="2" t="s">
        <v>251</v>
      </c>
      <c r="D364" s="2" t="s">
        <v>64</v>
      </c>
      <c r="E364" s="2">
        <v>3</v>
      </c>
      <c r="F364" s="2" t="s">
        <v>796</v>
      </c>
      <c r="G364" s="5">
        <v>82.89</v>
      </c>
      <c r="H364" s="5">
        <v>87.89</v>
      </c>
      <c r="I364" s="5">
        <v>77.5</v>
      </c>
      <c r="J364" s="5">
        <v>89</v>
      </c>
      <c r="K364" s="5">
        <v>86</v>
      </c>
      <c r="L364" s="5">
        <v>84.655999999999992</v>
      </c>
    </row>
    <row r="365" spans="1:12" x14ac:dyDescent="0.3">
      <c r="A365" s="2" t="s">
        <v>185</v>
      </c>
      <c r="B365" s="2" t="s">
        <v>250</v>
      </c>
      <c r="C365" s="2" t="s">
        <v>251</v>
      </c>
      <c r="D365" s="2" t="s">
        <v>189</v>
      </c>
      <c r="E365" s="2">
        <v>4</v>
      </c>
      <c r="F365" s="2" t="s">
        <v>797</v>
      </c>
      <c r="G365" s="5">
        <v>90.13</v>
      </c>
      <c r="H365" s="5">
        <v>95.13</v>
      </c>
      <c r="I365" s="5">
        <v>92</v>
      </c>
      <c r="J365" s="5">
        <v>94.5</v>
      </c>
      <c r="K365" s="5">
        <v>97.5</v>
      </c>
      <c r="L365" s="5">
        <v>93.852000000000004</v>
      </c>
    </row>
    <row r="366" spans="1:12" x14ac:dyDescent="0.3">
      <c r="A366" s="2" t="s">
        <v>185</v>
      </c>
      <c r="B366" s="2" t="s">
        <v>252</v>
      </c>
      <c r="C366" s="2" t="s">
        <v>253</v>
      </c>
      <c r="D366" s="2" t="s">
        <v>188</v>
      </c>
      <c r="E366" s="2">
        <v>1</v>
      </c>
      <c r="F366" s="2" t="s">
        <v>791</v>
      </c>
      <c r="G366" s="5">
        <v>74.42</v>
      </c>
      <c r="H366" s="5">
        <v>79.42</v>
      </c>
      <c r="I366" s="5">
        <v>81</v>
      </c>
      <c r="J366" s="5">
        <v>80.5</v>
      </c>
      <c r="K366" s="5">
        <v>65.599999999999994</v>
      </c>
      <c r="L366" s="5">
        <v>76.188000000000002</v>
      </c>
    </row>
    <row r="367" spans="1:12" x14ac:dyDescent="0.3">
      <c r="A367" s="2" t="s">
        <v>185</v>
      </c>
      <c r="B367" s="2" t="s">
        <v>252</v>
      </c>
      <c r="C367" s="2" t="s">
        <v>253</v>
      </c>
      <c r="D367" s="2" t="s">
        <v>301</v>
      </c>
      <c r="E367" s="2">
        <v>2</v>
      </c>
      <c r="F367" s="2" t="s">
        <v>795</v>
      </c>
      <c r="G367" s="5">
        <v>73.64</v>
      </c>
      <c r="H367" s="5">
        <v>79.64</v>
      </c>
      <c r="I367" s="5">
        <v>84</v>
      </c>
      <c r="J367" s="5">
        <v>80</v>
      </c>
      <c r="K367" s="5">
        <v>65.5</v>
      </c>
      <c r="L367" s="5">
        <v>76.555999999999997</v>
      </c>
    </row>
    <row r="368" spans="1:12" x14ac:dyDescent="0.3">
      <c r="A368" s="2" t="s">
        <v>185</v>
      </c>
      <c r="B368" s="2" t="s">
        <v>252</v>
      </c>
      <c r="C368" s="2" t="s">
        <v>253</v>
      </c>
      <c r="D368" s="2" t="s">
        <v>64</v>
      </c>
      <c r="E368" s="2">
        <v>3</v>
      </c>
      <c r="F368" s="2" t="s">
        <v>796</v>
      </c>
      <c r="G368" s="5">
        <v>77.44</v>
      </c>
      <c r="H368" s="5">
        <v>83.44</v>
      </c>
      <c r="I368" s="5">
        <v>76.5</v>
      </c>
      <c r="J368" s="5">
        <v>73</v>
      </c>
      <c r="K368" s="5">
        <v>74</v>
      </c>
      <c r="L368" s="5">
        <v>76.876000000000005</v>
      </c>
    </row>
    <row r="369" spans="1:12" x14ac:dyDescent="0.3">
      <c r="A369" s="2" t="s">
        <v>185</v>
      </c>
      <c r="B369" s="2" t="s">
        <v>252</v>
      </c>
      <c r="C369" s="2" t="s">
        <v>253</v>
      </c>
      <c r="D369" s="2" t="s">
        <v>189</v>
      </c>
      <c r="E369" s="2">
        <v>4</v>
      </c>
      <c r="F369" s="2" t="s">
        <v>797</v>
      </c>
      <c r="G369" s="5">
        <v>82.5</v>
      </c>
      <c r="H369" s="5">
        <v>86.5</v>
      </c>
      <c r="I369" s="5">
        <v>87.5</v>
      </c>
      <c r="J369" s="5">
        <v>71.5</v>
      </c>
      <c r="K369" s="5">
        <v>94</v>
      </c>
      <c r="L369" s="5">
        <v>84.4</v>
      </c>
    </row>
    <row r="370" spans="1:12" x14ac:dyDescent="0.3">
      <c r="A370" s="2" t="s">
        <v>185</v>
      </c>
      <c r="B370" s="2" t="s">
        <v>254</v>
      </c>
      <c r="C370" s="2" t="s">
        <v>255</v>
      </c>
      <c r="D370" s="2" t="s">
        <v>188</v>
      </c>
      <c r="E370" s="2">
        <v>1</v>
      </c>
      <c r="F370" s="2" t="s">
        <v>791</v>
      </c>
      <c r="G370" s="5">
        <v>87.96</v>
      </c>
      <c r="H370" s="5">
        <v>88.96</v>
      </c>
      <c r="I370" s="5">
        <v>79.5</v>
      </c>
      <c r="J370" s="5">
        <v>87</v>
      </c>
      <c r="K370" s="5">
        <v>85.7</v>
      </c>
      <c r="L370" s="5">
        <v>85.823999999999998</v>
      </c>
    </row>
    <row r="371" spans="1:12" x14ac:dyDescent="0.3">
      <c r="A371" s="2" t="s">
        <v>185</v>
      </c>
      <c r="B371" s="2" t="s">
        <v>254</v>
      </c>
      <c r="C371" s="2" t="s">
        <v>255</v>
      </c>
      <c r="D371" s="2" t="s">
        <v>301</v>
      </c>
      <c r="E371" s="2">
        <v>2</v>
      </c>
      <c r="F371" s="2" t="s">
        <v>795</v>
      </c>
      <c r="G371" s="5">
        <v>92.88</v>
      </c>
      <c r="H371" s="5">
        <v>97.88</v>
      </c>
      <c r="I371" s="5">
        <v>93</v>
      </c>
      <c r="J371" s="5">
        <v>99.5</v>
      </c>
      <c r="K371" s="5">
        <v>97.6</v>
      </c>
      <c r="L371" s="5">
        <v>96.171999999999997</v>
      </c>
    </row>
    <row r="372" spans="1:12" x14ac:dyDescent="0.3">
      <c r="A372" s="2" t="s">
        <v>185</v>
      </c>
      <c r="B372" s="2" t="s">
        <v>254</v>
      </c>
      <c r="C372" s="2" t="s">
        <v>255</v>
      </c>
      <c r="D372" s="2" t="s">
        <v>64</v>
      </c>
      <c r="E372" s="2">
        <v>3</v>
      </c>
      <c r="F372" s="2" t="s">
        <v>796</v>
      </c>
      <c r="G372" s="5">
        <v>92.44</v>
      </c>
      <c r="H372" s="5">
        <v>97.44</v>
      </c>
      <c r="I372" s="5">
        <v>95.5</v>
      </c>
      <c r="J372" s="5">
        <v>97.5</v>
      </c>
      <c r="K372" s="5">
        <v>100</v>
      </c>
      <c r="L372" s="5">
        <v>96.575999999999993</v>
      </c>
    </row>
    <row r="373" spans="1:12" x14ac:dyDescent="0.3">
      <c r="A373" s="2" t="s">
        <v>185</v>
      </c>
      <c r="B373" s="2" t="s">
        <v>254</v>
      </c>
      <c r="C373" s="2" t="s">
        <v>255</v>
      </c>
      <c r="D373" s="2" t="s">
        <v>189</v>
      </c>
      <c r="E373" s="2">
        <v>4</v>
      </c>
      <c r="F373" s="2" t="s">
        <v>797</v>
      </c>
      <c r="G373" s="5">
        <v>93.38</v>
      </c>
      <c r="H373" s="5">
        <v>98.38</v>
      </c>
      <c r="I373" s="5">
        <v>98.5</v>
      </c>
      <c r="J373" s="5">
        <v>100</v>
      </c>
      <c r="K373" s="5">
        <v>99.5</v>
      </c>
      <c r="L373" s="5">
        <v>97.951999999999998</v>
      </c>
    </row>
    <row r="374" spans="1:12" x14ac:dyDescent="0.3">
      <c r="A374" s="2" t="s">
        <v>185</v>
      </c>
      <c r="B374" s="2" t="s">
        <v>256</v>
      </c>
      <c r="C374" s="2" t="s">
        <v>257</v>
      </c>
      <c r="D374" s="2" t="s">
        <v>188</v>
      </c>
      <c r="E374" s="2">
        <v>1</v>
      </c>
      <c r="F374" s="2" t="s">
        <v>791</v>
      </c>
      <c r="G374" s="5">
        <v>75.42</v>
      </c>
      <c r="H374" s="5">
        <v>81.42</v>
      </c>
      <c r="I374" s="5">
        <v>79.5</v>
      </c>
      <c r="J374" s="5">
        <v>85</v>
      </c>
      <c r="K374" s="5">
        <v>72</v>
      </c>
      <c r="L374" s="5">
        <v>78.668000000000006</v>
      </c>
    </row>
    <row r="375" spans="1:12" x14ac:dyDescent="0.3">
      <c r="A375" s="2" t="s">
        <v>185</v>
      </c>
      <c r="B375" s="2" t="s">
        <v>256</v>
      </c>
      <c r="C375" s="2" t="s">
        <v>257</v>
      </c>
      <c r="D375" s="2" t="s">
        <v>301</v>
      </c>
      <c r="E375" s="2">
        <v>2</v>
      </c>
      <c r="F375" s="2" t="s">
        <v>795</v>
      </c>
      <c r="G375" s="5">
        <v>84.8</v>
      </c>
      <c r="H375" s="5">
        <v>90.8</v>
      </c>
      <c r="I375" s="5">
        <v>86.5</v>
      </c>
      <c r="J375" s="5">
        <v>88</v>
      </c>
      <c r="K375" s="5">
        <v>87.8</v>
      </c>
      <c r="L375" s="5">
        <v>87.58</v>
      </c>
    </row>
    <row r="376" spans="1:12" x14ac:dyDescent="0.3">
      <c r="A376" s="2" t="s">
        <v>185</v>
      </c>
      <c r="B376" s="2" t="s">
        <v>256</v>
      </c>
      <c r="C376" s="2" t="s">
        <v>257</v>
      </c>
      <c r="D376" s="2" t="s">
        <v>64</v>
      </c>
      <c r="E376" s="2">
        <v>3</v>
      </c>
      <c r="F376" s="2" t="s">
        <v>796</v>
      </c>
      <c r="G376" s="5">
        <v>93.17</v>
      </c>
      <c r="H376" s="5">
        <v>95.17</v>
      </c>
      <c r="I376" s="5">
        <v>84</v>
      </c>
      <c r="J376" s="5">
        <v>95</v>
      </c>
      <c r="K376" s="5">
        <v>91</v>
      </c>
      <c r="L376" s="5">
        <v>91.668000000000006</v>
      </c>
    </row>
    <row r="377" spans="1:12" x14ac:dyDescent="0.3">
      <c r="A377" s="2" t="s">
        <v>185</v>
      </c>
      <c r="B377" s="2" t="s">
        <v>256</v>
      </c>
      <c r="C377" s="2" t="s">
        <v>257</v>
      </c>
      <c r="D377" s="2" t="s">
        <v>189</v>
      </c>
      <c r="E377" s="2">
        <v>4</v>
      </c>
      <c r="F377" s="2" t="s">
        <v>797</v>
      </c>
      <c r="G377" s="5">
        <v>87.25</v>
      </c>
      <c r="H377" s="5">
        <v>92.25</v>
      </c>
      <c r="I377" s="5">
        <v>92</v>
      </c>
      <c r="J377" s="5">
        <v>93.5</v>
      </c>
      <c r="K377" s="5">
        <v>97.5</v>
      </c>
      <c r="L377" s="5">
        <v>92.5</v>
      </c>
    </row>
    <row r="378" spans="1:12" x14ac:dyDescent="0.3">
      <c r="A378" s="2" t="s">
        <v>185</v>
      </c>
      <c r="B378" s="2" t="s">
        <v>258</v>
      </c>
      <c r="C378" s="2" t="s">
        <v>259</v>
      </c>
      <c r="D378" s="2" t="s">
        <v>188</v>
      </c>
      <c r="E378" s="2">
        <v>1</v>
      </c>
      <c r="F378" s="2" t="s">
        <v>791</v>
      </c>
      <c r="G378" s="5">
        <v>71.73</v>
      </c>
      <c r="H378" s="5">
        <v>76.73</v>
      </c>
      <c r="I378" s="5">
        <v>79</v>
      </c>
      <c r="J378" s="5">
        <v>75</v>
      </c>
      <c r="K378" s="5">
        <v>59.8</v>
      </c>
      <c r="L378" s="5">
        <v>72.452000000000012</v>
      </c>
    </row>
    <row r="379" spans="1:12" x14ac:dyDescent="0.3">
      <c r="A379" s="2" t="s">
        <v>185</v>
      </c>
      <c r="B379" s="2" t="s">
        <v>258</v>
      </c>
      <c r="C379" s="2" t="s">
        <v>259</v>
      </c>
      <c r="D379" s="2" t="s">
        <v>301</v>
      </c>
      <c r="E379" s="2">
        <v>2</v>
      </c>
      <c r="F379" s="2" t="s">
        <v>795</v>
      </c>
      <c r="G379" s="5">
        <v>81.08</v>
      </c>
      <c r="H379" s="5">
        <v>83.08</v>
      </c>
      <c r="I379" s="5">
        <v>83.5</v>
      </c>
      <c r="J379" s="5">
        <v>85.5</v>
      </c>
      <c r="K379" s="5">
        <v>72.8</v>
      </c>
      <c r="L379" s="5">
        <v>81.191999999999993</v>
      </c>
    </row>
    <row r="380" spans="1:12" x14ac:dyDescent="0.3">
      <c r="A380" s="2" t="s">
        <v>185</v>
      </c>
      <c r="B380" s="2" t="s">
        <v>258</v>
      </c>
      <c r="C380" s="2" t="s">
        <v>259</v>
      </c>
      <c r="D380" s="2" t="s">
        <v>64</v>
      </c>
      <c r="E380" s="2">
        <v>3</v>
      </c>
      <c r="F380" s="2" t="s">
        <v>796</v>
      </c>
      <c r="G380" s="5">
        <v>85.78</v>
      </c>
      <c r="H380" s="5">
        <v>91.78</v>
      </c>
      <c r="I380" s="5">
        <v>85.5</v>
      </c>
      <c r="J380" s="5">
        <v>87</v>
      </c>
      <c r="K380" s="5">
        <v>86.5</v>
      </c>
      <c r="L380" s="5">
        <v>87.311999999999998</v>
      </c>
    </row>
    <row r="381" spans="1:12" x14ac:dyDescent="0.3">
      <c r="A381" s="2" t="s">
        <v>185</v>
      </c>
      <c r="B381" s="2" t="s">
        <v>258</v>
      </c>
      <c r="C381" s="2" t="s">
        <v>259</v>
      </c>
      <c r="D381" s="2" t="s">
        <v>189</v>
      </c>
      <c r="E381" s="2">
        <v>4</v>
      </c>
      <c r="F381" s="2" t="s">
        <v>797</v>
      </c>
      <c r="G381" s="5">
        <v>94.44</v>
      </c>
      <c r="H381" s="5">
        <v>95.44</v>
      </c>
      <c r="I381" s="5">
        <v>95.5</v>
      </c>
      <c r="J381" s="5">
        <v>97</v>
      </c>
      <c r="K381" s="5">
        <v>97.5</v>
      </c>
      <c r="L381" s="5">
        <v>95.975999999999999</v>
      </c>
    </row>
    <row r="382" spans="1:12" x14ac:dyDescent="0.3">
      <c r="A382" s="2" t="s">
        <v>185</v>
      </c>
      <c r="B382" s="2" t="s">
        <v>260</v>
      </c>
      <c r="C382" s="2" t="s">
        <v>261</v>
      </c>
      <c r="D382" s="2" t="s">
        <v>188</v>
      </c>
      <c r="E382" s="2">
        <v>1</v>
      </c>
      <c r="F382" s="2" t="s">
        <v>791</v>
      </c>
      <c r="G382" s="5">
        <v>90.73</v>
      </c>
      <c r="H382" s="5">
        <v>94.73</v>
      </c>
      <c r="I382" s="5">
        <v>91.5</v>
      </c>
      <c r="J382" s="5">
        <v>95.5</v>
      </c>
      <c r="K382" s="5">
        <v>91.4</v>
      </c>
      <c r="L382" s="5">
        <v>92.772000000000006</v>
      </c>
    </row>
    <row r="383" spans="1:12" x14ac:dyDescent="0.3">
      <c r="A383" s="2" t="s">
        <v>185</v>
      </c>
      <c r="B383" s="2" t="s">
        <v>260</v>
      </c>
      <c r="C383" s="2" t="s">
        <v>261</v>
      </c>
      <c r="D383" s="2" t="s">
        <v>301</v>
      </c>
      <c r="E383" s="2">
        <v>2</v>
      </c>
      <c r="F383" s="2" t="s">
        <v>795</v>
      </c>
      <c r="G383" s="5">
        <v>72.72</v>
      </c>
      <c r="H383" s="5">
        <v>75.72</v>
      </c>
      <c r="I383" s="5">
        <v>74.5</v>
      </c>
      <c r="J383" s="5">
        <v>65</v>
      </c>
      <c r="K383" s="5">
        <v>60.7</v>
      </c>
      <c r="L383" s="5">
        <v>69.727999999999994</v>
      </c>
    </row>
    <row r="384" spans="1:12" x14ac:dyDescent="0.3">
      <c r="A384" s="2" t="s">
        <v>185</v>
      </c>
      <c r="B384" s="2" t="s">
        <v>260</v>
      </c>
      <c r="C384" s="2" t="s">
        <v>261</v>
      </c>
      <c r="D384" s="2" t="s">
        <v>64</v>
      </c>
      <c r="E384" s="2">
        <v>3</v>
      </c>
      <c r="F384" s="2" t="s">
        <v>796</v>
      </c>
      <c r="G384" s="5">
        <v>78.78</v>
      </c>
      <c r="H384" s="5">
        <v>84.78</v>
      </c>
      <c r="I384" s="5">
        <v>76</v>
      </c>
      <c r="J384" s="5">
        <v>79</v>
      </c>
      <c r="K384" s="5">
        <v>78.5</v>
      </c>
      <c r="L384" s="5">
        <v>79.412000000000006</v>
      </c>
    </row>
    <row r="385" spans="1:12" x14ac:dyDescent="0.3">
      <c r="A385" s="2" t="s">
        <v>185</v>
      </c>
      <c r="B385" s="2" t="s">
        <v>260</v>
      </c>
      <c r="C385" s="2" t="s">
        <v>261</v>
      </c>
      <c r="D385" s="2" t="s">
        <v>189</v>
      </c>
      <c r="E385" s="2">
        <v>4</v>
      </c>
      <c r="F385" s="2" t="s">
        <v>797</v>
      </c>
      <c r="G385" s="5">
        <v>80.13</v>
      </c>
      <c r="H385" s="5">
        <v>82.13</v>
      </c>
      <c r="I385" s="5">
        <v>86.5</v>
      </c>
      <c r="J385" s="5">
        <v>83</v>
      </c>
      <c r="K385" s="5">
        <v>94.5</v>
      </c>
      <c r="L385" s="5">
        <v>85.251999999999995</v>
      </c>
    </row>
    <row r="386" spans="1:12" x14ac:dyDescent="0.3">
      <c r="A386" s="2" t="s">
        <v>185</v>
      </c>
      <c r="B386" s="2" t="s">
        <v>262</v>
      </c>
      <c r="C386" s="2" t="s">
        <v>263</v>
      </c>
      <c r="D386" s="2" t="s">
        <v>188</v>
      </c>
      <c r="E386" s="2">
        <v>1</v>
      </c>
      <c r="F386" s="2" t="s">
        <v>791</v>
      </c>
      <c r="G386" s="5">
        <v>68.959999999999994</v>
      </c>
      <c r="H386" s="5">
        <v>74.959999999999994</v>
      </c>
      <c r="I386" s="5">
        <v>84</v>
      </c>
      <c r="J386" s="5">
        <v>87.5</v>
      </c>
      <c r="K386" s="5">
        <v>52.7</v>
      </c>
      <c r="L386" s="5">
        <v>73.623999999999995</v>
      </c>
    </row>
    <row r="387" spans="1:12" x14ac:dyDescent="0.3">
      <c r="A387" s="2" t="s">
        <v>185</v>
      </c>
      <c r="B387" s="2" t="s">
        <v>262</v>
      </c>
      <c r="C387" s="2" t="s">
        <v>263</v>
      </c>
      <c r="D387" s="2" t="s">
        <v>301</v>
      </c>
      <c r="E387" s="2">
        <v>2</v>
      </c>
      <c r="F387" s="2" t="s">
        <v>795</v>
      </c>
      <c r="G387" s="5">
        <v>94.84</v>
      </c>
      <c r="H387" s="5">
        <v>94.84</v>
      </c>
      <c r="I387" s="5">
        <v>89</v>
      </c>
      <c r="J387" s="5">
        <v>98</v>
      </c>
      <c r="K387" s="5">
        <v>93.3</v>
      </c>
      <c r="L387" s="5">
        <v>93.996000000000009</v>
      </c>
    </row>
    <row r="388" spans="1:12" x14ac:dyDescent="0.3">
      <c r="A388" s="2" t="s">
        <v>185</v>
      </c>
      <c r="B388" s="2" t="s">
        <v>262</v>
      </c>
      <c r="C388" s="2" t="s">
        <v>263</v>
      </c>
      <c r="D388" s="2" t="s">
        <v>64</v>
      </c>
      <c r="E388" s="2">
        <v>3</v>
      </c>
      <c r="F388" s="2" t="s">
        <v>796</v>
      </c>
      <c r="G388" s="5">
        <v>91</v>
      </c>
      <c r="H388" s="5">
        <v>97</v>
      </c>
      <c r="I388" s="5">
        <v>93</v>
      </c>
      <c r="J388" s="5">
        <v>96.5</v>
      </c>
      <c r="K388" s="5">
        <v>93</v>
      </c>
      <c r="L388" s="5">
        <v>94.1</v>
      </c>
    </row>
    <row r="389" spans="1:12" x14ac:dyDescent="0.3">
      <c r="A389" s="2" t="s">
        <v>185</v>
      </c>
      <c r="B389" s="2" t="s">
        <v>262</v>
      </c>
      <c r="C389" s="2" t="s">
        <v>263</v>
      </c>
      <c r="D389" s="2" t="s">
        <v>189</v>
      </c>
      <c r="E389" s="2">
        <v>4</v>
      </c>
      <c r="F389" s="2" t="s">
        <v>797</v>
      </c>
      <c r="G389" s="5">
        <v>93.81</v>
      </c>
      <c r="H389" s="5">
        <v>97.81</v>
      </c>
      <c r="I389" s="5">
        <v>95.5</v>
      </c>
      <c r="J389" s="5">
        <v>99.5</v>
      </c>
      <c r="K389" s="5">
        <v>99.5</v>
      </c>
      <c r="L389" s="5">
        <v>97.224000000000004</v>
      </c>
    </row>
    <row r="390" spans="1:12" x14ac:dyDescent="0.3">
      <c r="A390" s="2" t="s">
        <v>185</v>
      </c>
      <c r="B390" s="2" t="s">
        <v>264</v>
      </c>
      <c r="C390" s="2" t="s">
        <v>265</v>
      </c>
      <c r="D390" s="2" t="s">
        <v>188</v>
      </c>
      <c r="E390" s="2">
        <v>1</v>
      </c>
      <c r="F390" s="2" t="s">
        <v>791</v>
      </c>
      <c r="G390" s="5">
        <v>83.81</v>
      </c>
      <c r="H390" s="5">
        <v>88.81</v>
      </c>
      <c r="I390" s="5">
        <v>85.5</v>
      </c>
      <c r="J390" s="5">
        <v>90.5</v>
      </c>
      <c r="K390" s="5">
        <v>86.2</v>
      </c>
      <c r="L390" s="5">
        <v>86.963999999999999</v>
      </c>
    </row>
    <row r="391" spans="1:12" x14ac:dyDescent="0.3">
      <c r="A391" s="2" t="s">
        <v>185</v>
      </c>
      <c r="B391" s="2" t="s">
        <v>264</v>
      </c>
      <c r="C391" s="2" t="s">
        <v>265</v>
      </c>
      <c r="D391" s="2" t="s">
        <v>301</v>
      </c>
      <c r="E391" s="2">
        <v>2</v>
      </c>
      <c r="F391" s="2" t="s">
        <v>795</v>
      </c>
      <c r="G391" s="5">
        <v>79.959999999999994</v>
      </c>
      <c r="H391" s="5">
        <v>85.96</v>
      </c>
      <c r="I391" s="5">
        <v>81.5</v>
      </c>
      <c r="J391" s="5">
        <v>80</v>
      </c>
      <c r="K391" s="5">
        <v>78.7</v>
      </c>
      <c r="L391" s="5">
        <v>81.22399999999999</v>
      </c>
    </row>
    <row r="392" spans="1:12" x14ac:dyDescent="0.3">
      <c r="A392" s="2" t="s">
        <v>185</v>
      </c>
      <c r="B392" s="2" t="s">
        <v>264</v>
      </c>
      <c r="C392" s="2" t="s">
        <v>265</v>
      </c>
      <c r="D392" s="2" t="s">
        <v>64</v>
      </c>
      <c r="E392" s="2">
        <v>3</v>
      </c>
      <c r="F392" s="2" t="s">
        <v>796</v>
      </c>
      <c r="G392" s="5">
        <v>88.83</v>
      </c>
      <c r="H392" s="5">
        <v>90.83</v>
      </c>
      <c r="I392" s="5">
        <v>85.5</v>
      </c>
      <c r="J392" s="5">
        <v>82.5</v>
      </c>
      <c r="K392" s="5">
        <v>89.5</v>
      </c>
      <c r="L392" s="5">
        <v>87.431999999999988</v>
      </c>
    </row>
    <row r="393" spans="1:12" x14ac:dyDescent="0.3">
      <c r="A393" s="2" t="s">
        <v>185</v>
      </c>
      <c r="B393" s="2" t="s">
        <v>264</v>
      </c>
      <c r="C393" s="2" t="s">
        <v>265</v>
      </c>
      <c r="D393" s="2" t="s">
        <v>189</v>
      </c>
      <c r="E393" s="2">
        <v>4</v>
      </c>
      <c r="F393" s="2" t="s">
        <v>797</v>
      </c>
      <c r="G393" s="5">
        <v>89</v>
      </c>
      <c r="H393" s="5">
        <v>89</v>
      </c>
      <c r="I393" s="5">
        <v>89</v>
      </c>
      <c r="J393" s="5">
        <v>87.5</v>
      </c>
      <c r="K393" s="5">
        <v>93.5</v>
      </c>
      <c r="L393" s="5">
        <v>89.6</v>
      </c>
    </row>
    <row r="394" spans="1:12" x14ac:dyDescent="0.3">
      <c r="A394" s="2" t="s">
        <v>185</v>
      </c>
      <c r="B394" s="2" t="s">
        <v>266</v>
      </c>
      <c r="C394" s="2" t="s">
        <v>267</v>
      </c>
      <c r="D394" s="2" t="s">
        <v>188</v>
      </c>
      <c r="E394" s="2">
        <v>1</v>
      </c>
      <c r="F394" s="2" t="s">
        <v>791</v>
      </c>
      <c r="G394" s="5">
        <v>62.11</v>
      </c>
      <c r="H394" s="5">
        <v>64.11</v>
      </c>
      <c r="I394" s="5">
        <v>67.5</v>
      </c>
      <c r="J394" s="5">
        <v>50</v>
      </c>
      <c r="K394" s="5">
        <v>50.2</v>
      </c>
      <c r="L394" s="5">
        <v>58.784000000000013</v>
      </c>
    </row>
    <row r="395" spans="1:12" x14ac:dyDescent="0.3">
      <c r="A395" s="2" t="s">
        <v>185</v>
      </c>
      <c r="B395" s="2" t="s">
        <v>266</v>
      </c>
      <c r="C395" s="2" t="s">
        <v>267</v>
      </c>
      <c r="D395" s="2" t="s">
        <v>301</v>
      </c>
      <c r="E395" s="2">
        <v>2</v>
      </c>
      <c r="F395" s="2" t="s">
        <v>795</v>
      </c>
      <c r="G395" s="5">
        <v>76.040000000000006</v>
      </c>
      <c r="H395" s="5">
        <v>76.040000000000006</v>
      </c>
      <c r="I395" s="5">
        <v>80</v>
      </c>
      <c r="J395" s="5">
        <v>68.5</v>
      </c>
      <c r="K395" s="5">
        <v>62.2</v>
      </c>
      <c r="L395" s="5">
        <v>72.556000000000012</v>
      </c>
    </row>
    <row r="396" spans="1:12" x14ac:dyDescent="0.3">
      <c r="A396" s="2" t="s">
        <v>185</v>
      </c>
      <c r="B396" s="2" t="s">
        <v>266</v>
      </c>
      <c r="C396" s="2" t="s">
        <v>267</v>
      </c>
      <c r="D396" s="2" t="s">
        <v>64</v>
      </c>
      <c r="E396" s="2">
        <v>3</v>
      </c>
      <c r="F396" s="2" t="s">
        <v>796</v>
      </c>
      <c r="G396" s="5">
        <v>79.83</v>
      </c>
      <c r="H396" s="5">
        <v>80.83</v>
      </c>
      <c r="I396" s="5">
        <v>76</v>
      </c>
      <c r="J396" s="5">
        <v>74.5</v>
      </c>
      <c r="K396" s="5">
        <v>80</v>
      </c>
      <c r="L396" s="5">
        <v>78.231999999999999</v>
      </c>
    </row>
    <row r="397" spans="1:12" x14ac:dyDescent="0.3">
      <c r="A397" s="2" t="s">
        <v>185</v>
      </c>
      <c r="B397" s="2" t="s">
        <v>266</v>
      </c>
      <c r="C397" s="2" t="s">
        <v>267</v>
      </c>
      <c r="D397" s="2" t="s">
        <v>189</v>
      </c>
      <c r="E397" s="2">
        <v>4</v>
      </c>
      <c r="F397" s="2" t="s">
        <v>797</v>
      </c>
      <c r="G397" s="5">
        <v>74.5</v>
      </c>
      <c r="H397" s="5">
        <v>77.5</v>
      </c>
      <c r="I397" s="5">
        <v>81.5</v>
      </c>
      <c r="J397" s="5">
        <v>73.5</v>
      </c>
      <c r="K397" s="5">
        <v>80.5</v>
      </c>
      <c r="L397" s="5">
        <v>77.5</v>
      </c>
    </row>
    <row r="398" spans="1:12" x14ac:dyDescent="0.3">
      <c r="A398" s="2" t="s">
        <v>185</v>
      </c>
      <c r="B398" s="2" t="s">
        <v>268</v>
      </c>
      <c r="C398" s="2" t="s">
        <v>269</v>
      </c>
      <c r="D398" s="2" t="s">
        <v>188</v>
      </c>
      <c r="E398" s="2">
        <v>1</v>
      </c>
      <c r="F398" s="2" t="s">
        <v>791</v>
      </c>
      <c r="G398" s="5">
        <v>81.77</v>
      </c>
      <c r="H398" s="5">
        <v>87.77</v>
      </c>
      <c r="I398" s="5">
        <v>79.5</v>
      </c>
      <c r="J398" s="5">
        <v>89.5</v>
      </c>
      <c r="K398" s="5">
        <v>85.5</v>
      </c>
      <c r="L398" s="5">
        <v>84.807999999999993</v>
      </c>
    </row>
    <row r="399" spans="1:12" x14ac:dyDescent="0.3">
      <c r="A399" s="2" t="s">
        <v>185</v>
      </c>
      <c r="B399" s="2" t="s">
        <v>268</v>
      </c>
      <c r="C399" s="2" t="s">
        <v>269</v>
      </c>
      <c r="D399" s="2" t="s">
        <v>301</v>
      </c>
      <c r="E399" s="2">
        <v>2</v>
      </c>
      <c r="F399" s="2" t="s">
        <v>795</v>
      </c>
      <c r="G399" s="5">
        <v>92.08</v>
      </c>
      <c r="H399" s="5">
        <v>95.08</v>
      </c>
      <c r="I399" s="5">
        <v>86.5</v>
      </c>
      <c r="J399" s="5">
        <v>96</v>
      </c>
      <c r="K399" s="5">
        <v>93.1</v>
      </c>
      <c r="L399" s="5">
        <v>92.551999999999992</v>
      </c>
    </row>
    <row r="400" spans="1:12" x14ac:dyDescent="0.3">
      <c r="A400" s="2" t="s">
        <v>185</v>
      </c>
      <c r="B400" s="2" t="s">
        <v>268</v>
      </c>
      <c r="C400" s="2" t="s">
        <v>269</v>
      </c>
      <c r="D400" s="2" t="s">
        <v>64</v>
      </c>
      <c r="E400" s="2">
        <v>3</v>
      </c>
      <c r="F400" s="2" t="s">
        <v>796</v>
      </c>
      <c r="G400" s="5">
        <v>96.28</v>
      </c>
      <c r="H400" s="5">
        <v>96.28</v>
      </c>
      <c r="I400" s="5">
        <v>91</v>
      </c>
      <c r="J400" s="5">
        <v>96.5</v>
      </c>
      <c r="K400" s="5">
        <v>96</v>
      </c>
      <c r="L400" s="5">
        <v>95.212000000000003</v>
      </c>
    </row>
    <row r="401" spans="1:12" x14ac:dyDescent="0.3">
      <c r="A401" s="2" t="s">
        <v>185</v>
      </c>
      <c r="B401" s="2" t="s">
        <v>268</v>
      </c>
      <c r="C401" s="2" t="s">
        <v>269</v>
      </c>
      <c r="D401" s="2" t="s">
        <v>189</v>
      </c>
      <c r="E401" s="2">
        <v>4</v>
      </c>
      <c r="F401" s="2" t="s">
        <v>797</v>
      </c>
      <c r="G401" s="5">
        <v>90.75</v>
      </c>
      <c r="H401" s="5">
        <v>96.75</v>
      </c>
      <c r="I401" s="5">
        <v>93.5</v>
      </c>
      <c r="J401" s="5">
        <v>99.5</v>
      </c>
      <c r="K401" s="5">
        <v>98.5</v>
      </c>
      <c r="L401" s="5">
        <v>95.8</v>
      </c>
    </row>
    <row r="402" spans="1:12" x14ac:dyDescent="0.3">
      <c r="A402" s="2" t="s">
        <v>185</v>
      </c>
      <c r="B402" s="2" t="s">
        <v>270</v>
      </c>
      <c r="C402" s="2" t="s">
        <v>271</v>
      </c>
      <c r="D402" s="2" t="s">
        <v>188</v>
      </c>
      <c r="E402" s="2">
        <v>1</v>
      </c>
      <c r="F402" s="2" t="s">
        <v>791</v>
      </c>
      <c r="G402" s="5">
        <v>79.27</v>
      </c>
      <c r="H402" s="5">
        <v>79.27</v>
      </c>
      <c r="I402" s="5">
        <v>79.5</v>
      </c>
      <c r="J402" s="5">
        <v>77.5</v>
      </c>
      <c r="K402" s="5">
        <v>70.099999999999994</v>
      </c>
      <c r="L402" s="5">
        <v>77.128</v>
      </c>
    </row>
    <row r="403" spans="1:12" x14ac:dyDescent="0.3">
      <c r="A403" s="2" t="s">
        <v>185</v>
      </c>
      <c r="B403" s="2" t="s">
        <v>270</v>
      </c>
      <c r="C403" s="2" t="s">
        <v>271</v>
      </c>
      <c r="D403" s="2" t="s">
        <v>301</v>
      </c>
      <c r="E403" s="2">
        <v>2</v>
      </c>
      <c r="F403" s="2" t="s">
        <v>795</v>
      </c>
      <c r="G403" s="5">
        <v>88.08</v>
      </c>
      <c r="H403" s="5">
        <v>90.08</v>
      </c>
      <c r="I403" s="5">
        <v>85.5</v>
      </c>
      <c r="J403" s="5">
        <v>87</v>
      </c>
      <c r="K403" s="5">
        <v>84.8</v>
      </c>
      <c r="L403" s="5">
        <v>87.091999999999999</v>
      </c>
    </row>
    <row r="404" spans="1:12" x14ac:dyDescent="0.3">
      <c r="A404" s="2" t="s">
        <v>185</v>
      </c>
      <c r="B404" s="2" t="s">
        <v>270</v>
      </c>
      <c r="C404" s="2" t="s">
        <v>271</v>
      </c>
      <c r="D404" s="2" t="s">
        <v>64</v>
      </c>
      <c r="E404" s="2">
        <v>3</v>
      </c>
      <c r="F404" s="2" t="s">
        <v>796</v>
      </c>
      <c r="G404" s="5">
        <v>90.11</v>
      </c>
      <c r="H404" s="5">
        <v>94.11</v>
      </c>
      <c r="I404" s="5">
        <v>88</v>
      </c>
      <c r="J404" s="5">
        <v>89</v>
      </c>
      <c r="K404" s="5">
        <v>89.5</v>
      </c>
      <c r="L404" s="5">
        <v>90.144000000000005</v>
      </c>
    </row>
    <row r="405" spans="1:12" x14ac:dyDescent="0.3">
      <c r="A405" s="2" t="s">
        <v>185</v>
      </c>
      <c r="B405" s="2" t="s">
        <v>270</v>
      </c>
      <c r="C405" s="2" t="s">
        <v>271</v>
      </c>
      <c r="D405" s="2" t="s">
        <v>189</v>
      </c>
      <c r="E405" s="2">
        <v>4</v>
      </c>
      <c r="F405" s="2" t="s">
        <v>797</v>
      </c>
      <c r="G405" s="5">
        <v>91.69</v>
      </c>
      <c r="H405" s="5">
        <v>93.69</v>
      </c>
      <c r="I405" s="5">
        <v>93.5</v>
      </c>
      <c r="J405" s="5">
        <v>97.5</v>
      </c>
      <c r="K405" s="5">
        <v>97</v>
      </c>
      <c r="L405" s="5">
        <v>94.676000000000002</v>
      </c>
    </row>
    <row r="406" spans="1:12" x14ac:dyDescent="0.3">
      <c r="A406" s="2" t="s">
        <v>185</v>
      </c>
      <c r="B406" s="2" t="s">
        <v>272</v>
      </c>
      <c r="C406" s="2" t="s">
        <v>273</v>
      </c>
      <c r="D406" s="2" t="s">
        <v>188</v>
      </c>
      <c r="E406" s="2">
        <v>1</v>
      </c>
      <c r="F406" s="2" t="s">
        <v>791</v>
      </c>
      <c r="G406" s="5">
        <v>90.73</v>
      </c>
      <c r="H406" s="5">
        <v>92.73</v>
      </c>
      <c r="I406" s="5">
        <v>87</v>
      </c>
      <c r="J406" s="5">
        <v>94</v>
      </c>
      <c r="K406" s="5">
        <v>87.2</v>
      </c>
      <c r="L406" s="5">
        <v>90.332000000000008</v>
      </c>
    </row>
    <row r="407" spans="1:12" x14ac:dyDescent="0.3">
      <c r="A407" s="2" t="s">
        <v>185</v>
      </c>
      <c r="B407" s="2" t="s">
        <v>272</v>
      </c>
      <c r="C407" s="2" t="s">
        <v>273</v>
      </c>
      <c r="D407" s="2" t="s">
        <v>301</v>
      </c>
      <c r="E407" s="2">
        <v>2</v>
      </c>
      <c r="F407" s="2" t="s">
        <v>795</v>
      </c>
      <c r="G407" s="5">
        <v>90.56</v>
      </c>
      <c r="H407" s="5">
        <v>92.56</v>
      </c>
      <c r="I407" s="5">
        <v>85</v>
      </c>
      <c r="J407" s="5">
        <v>97</v>
      </c>
      <c r="K407" s="5">
        <v>89.6</v>
      </c>
      <c r="L407" s="5">
        <v>90.944000000000003</v>
      </c>
    </row>
    <row r="408" spans="1:12" x14ac:dyDescent="0.3">
      <c r="A408" s="2" t="s">
        <v>185</v>
      </c>
      <c r="B408" s="2" t="s">
        <v>272</v>
      </c>
      <c r="C408" s="2" t="s">
        <v>273</v>
      </c>
      <c r="D408" s="2" t="s">
        <v>64</v>
      </c>
      <c r="E408" s="2">
        <v>3</v>
      </c>
      <c r="F408" s="2" t="s">
        <v>796</v>
      </c>
      <c r="G408" s="5">
        <v>92.06</v>
      </c>
      <c r="H408" s="5">
        <v>96.06</v>
      </c>
      <c r="I408" s="5">
        <v>89</v>
      </c>
      <c r="J408" s="5">
        <v>97.5</v>
      </c>
      <c r="K408" s="5">
        <v>91.5</v>
      </c>
      <c r="L408" s="5">
        <v>93.224000000000004</v>
      </c>
    </row>
    <row r="409" spans="1:12" x14ac:dyDescent="0.3">
      <c r="A409" s="2" t="s">
        <v>185</v>
      </c>
      <c r="B409" s="2" t="s">
        <v>272</v>
      </c>
      <c r="C409" s="2" t="s">
        <v>273</v>
      </c>
      <c r="D409" s="2" t="s">
        <v>189</v>
      </c>
      <c r="E409" s="2">
        <v>4</v>
      </c>
      <c r="F409" s="2" t="s">
        <v>797</v>
      </c>
      <c r="G409" s="5">
        <v>93.94</v>
      </c>
      <c r="H409" s="5">
        <v>95.94</v>
      </c>
      <c r="I409" s="5">
        <v>93</v>
      </c>
      <c r="J409" s="5">
        <v>100</v>
      </c>
      <c r="K409" s="5">
        <v>99</v>
      </c>
      <c r="L409" s="5">
        <v>96.376000000000005</v>
      </c>
    </row>
    <row r="410" spans="1:12" x14ac:dyDescent="0.3">
      <c r="A410" s="2" t="s">
        <v>185</v>
      </c>
      <c r="B410" s="2" t="s">
        <v>274</v>
      </c>
      <c r="C410" s="2" t="s">
        <v>275</v>
      </c>
      <c r="D410" s="2" t="s">
        <v>188</v>
      </c>
      <c r="E410" s="2">
        <v>1</v>
      </c>
      <c r="F410" s="2" t="s">
        <v>791</v>
      </c>
      <c r="G410" s="5">
        <v>68.849999999999994</v>
      </c>
      <c r="H410" s="5">
        <v>74.849999999999994</v>
      </c>
      <c r="I410" s="5">
        <v>83.5</v>
      </c>
      <c r="J410" s="5">
        <v>70</v>
      </c>
      <c r="K410" s="5">
        <v>58.2</v>
      </c>
      <c r="L410" s="5">
        <v>71.08</v>
      </c>
    </row>
    <row r="411" spans="1:12" x14ac:dyDescent="0.3">
      <c r="A411" s="2" t="s">
        <v>185</v>
      </c>
      <c r="B411" s="2" t="s">
        <v>274</v>
      </c>
      <c r="C411" s="2" t="s">
        <v>275</v>
      </c>
      <c r="D411" s="2" t="s">
        <v>301</v>
      </c>
      <c r="E411" s="2">
        <v>2</v>
      </c>
      <c r="F411" s="2" t="s">
        <v>795</v>
      </c>
      <c r="G411" s="5">
        <v>83.8</v>
      </c>
      <c r="H411" s="5">
        <v>89.8</v>
      </c>
      <c r="I411" s="5">
        <v>94</v>
      </c>
      <c r="J411" s="5">
        <v>87.5</v>
      </c>
      <c r="K411" s="5">
        <v>83.1</v>
      </c>
      <c r="L411" s="5">
        <v>87.640000000000015</v>
      </c>
    </row>
    <row r="412" spans="1:12" x14ac:dyDescent="0.3">
      <c r="A412" s="2" t="s">
        <v>185</v>
      </c>
      <c r="B412" s="2" t="s">
        <v>274</v>
      </c>
      <c r="C412" s="2" t="s">
        <v>275</v>
      </c>
      <c r="D412" s="2" t="s">
        <v>64</v>
      </c>
      <c r="E412" s="2">
        <v>3</v>
      </c>
      <c r="F412" s="2" t="s">
        <v>796</v>
      </c>
      <c r="G412" s="5">
        <v>90.78</v>
      </c>
      <c r="H412" s="5">
        <v>93.78</v>
      </c>
      <c r="I412" s="5">
        <v>93</v>
      </c>
      <c r="J412" s="5">
        <v>94</v>
      </c>
      <c r="K412" s="5">
        <v>88</v>
      </c>
      <c r="L412" s="5">
        <v>91.912000000000006</v>
      </c>
    </row>
    <row r="413" spans="1:12" x14ac:dyDescent="0.3">
      <c r="A413" s="2" t="s">
        <v>185</v>
      </c>
      <c r="B413" s="2" t="s">
        <v>274</v>
      </c>
      <c r="C413" s="2" t="s">
        <v>275</v>
      </c>
      <c r="D413" s="2" t="s">
        <v>189</v>
      </c>
      <c r="E413" s="2">
        <v>4</v>
      </c>
      <c r="F413" s="2" t="s">
        <v>797</v>
      </c>
      <c r="G413" s="5">
        <v>87.44</v>
      </c>
      <c r="H413" s="5">
        <v>93.44</v>
      </c>
      <c r="I413" s="5">
        <v>96</v>
      </c>
      <c r="J413" s="5">
        <v>95</v>
      </c>
      <c r="K413" s="5">
        <v>97</v>
      </c>
      <c r="L413" s="5">
        <v>93.775999999999996</v>
      </c>
    </row>
    <row r="414" spans="1:12" x14ac:dyDescent="0.3">
      <c r="A414" s="2" t="s">
        <v>185</v>
      </c>
      <c r="B414" s="2" t="s">
        <v>276</v>
      </c>
      <c r="C414" s="2" t="s">
        <v>277</v>
      </c>
      <c r="D414" s="2" t="s">
        <v>188</v>
      </c>
      <c r="E414" s="2">
        <v>1</v>
      </c>
      <c r="F414" s="2" t="s">
        <v>791</v>
      </c>
      <c r="G414" s="5">
        <v>85.65</v>
      </c>
      <c r="H414" s="5">
        <v>85.65</v>
      </c>
      <c r="I414" s="5">
        <v>80.5</v>
      </c>
      <c r="J414" s="5">
        <v>78</v>
      </c>
      <c r="K414" s="5">
        <v>79.099999999999994</v>
      </c>
      <c r="L414" s="5">
        <v>81.78</v>
      </c>
    </row>
    <row r="415" spans="1:12" x14ac:dyDescent="0.3">
      <c r="A415" s="2" t="s">
        <v>185</v>
      </c>
      <c r="B415" s="2" t="s">
        <v>276</v>
      </c>
      <c r="C415" s="2" t="s">
        <v>277</v>
      </c>
      <c r="D415" s="2" t="s">
        <v>301</v>
      </c>
      <c r="E415" s="2">
        <v>2</v>
      </c>
      <c r="F415" s="2" t="s">
        <v>795</v>
      </c>
      <c r="G415" s="5">
        <v>88.44</v>
      </c>
      <c r="H415" s="5">
        <v>89.44</v>
      </c>
      <c r="I415" s="5">
        <v>88.5</v>
      </c>
      <c r="J415" s="5">
        <v>84.5</v>
      </c>
      <c r="K415" s="5">
        <v>83.2</v>
      </c>
      <c r="L415" s="5">
        <v>86.816000000000003</v>
      </c>
    </row>
    <row r="416" spans="1:12" x14ac:dyDescent="0.3">
      <c r="A416" s="2" t="s">
        <v>185</v>
      </c>
      <c r="B416" s="2" t="s">
        <v>276</v>
      </c>
      <c r="C416" s="2" t="s">
        <v>277</v>
      </c>
      <c r="D416" s="2" t="s">
        <v>64</v>
      </c>
      <c r="E416" s="2">
        <v>3</v>
      </c>
      <c r="F416" s="2" t="s">
        <v>796</v>
      </c>
      <c r="G416" s="5">
        <v>90.94</v>
      </c>
      <c r="H416" s="5">
        <v>90.94</v>
      </c>
      <c r="I416" s="5">
        <v>84</v>
      </c>
      <c r="J416" s="5">
        <v>86</v>
      </c>
      <c r="K416" s="5">
        <v>86.5</v>
      </c>
      <c r="L416" s="5">
        <v>87.676000000000002</v>
      </c>
    </row>
    <row r="417" spans="1:12" x14ac:dyDescent="0.3">
      <c r="A417" s="2" t="s">
        <v>185</v>
      </c>
      <c r="B417" s="2" t="s">
        <v>276</v>
      </c>
      <c r="C417" s="2" t="s">
        <v>277</v>
      </c>
      <c r="D417" s="2" t="s">
        <v>189</v>
      </c>
      <c r="E417" s="2">
        <v>4</v>
      </c>
      <c r="F417" s="2" t="s">
        <v>797</v>
      </c>
      <c r="G417" s="5">
        <v>85.63</v>
      </c>
      <c r="H417" s="5">
        <v>90.63</v>
      </c>
      <c r="I417" s="5">
        <v>86.5</v>
      </c>
      <c r="J417" s="5">
        <v>89</v>
      </c>
      <c r="K417" s="5">
        <v>95</v>
      </c>
      <c r="L417" s="5">
        <v>89.352000000000004</v>
      </c>
    </row>
    <row r="418" spans="1:12" x14ac:dyDescent="0.3">
      <c r="A418" s="2" t="s">
        <v>185</v>
      </c>
      <c r="B418" s="2" t="s">
        <v>278</v>
      </c>
      <c r="C418" s="2" t="s">
        <v>279</v>
      </c>
      <c r="D418" s="2" t="s">
        <v>188</v>
      </c>
      <c r="E418" s="2">
        <v>1</v>
      </c>
      <c r="F418" s="2" t="s">
        <v>791</v>
      </c>
      <c r="G418" s="5">
        <v>80.69</v>
      </c>
      <c r="H418" s="5">
        <v>81.69</v>
      </c>
      <c r="I418" s="5">
        <v>76</v>
      </c>
      <c r="J418" s="5">
        <v>72.5</v>
      </c>
      <c r="K418" s="5">
        <v>75</v>
      </c>
      <c r="L418" s="5">
        <v>77.176000000000002</v>
      </c>
    </row>
    <row r="419" spans="1:12" x14ac:dyDescent="0.3">
      <c r="A419" s="2" t="s">
        <v>185</v>
      </c>
      <c r="B419" s="2" t="s">
        <v>278</v>
      </c>
      <c r="C419" s="2" t="s">
        <v>279</v>
      </c>
      <c r="D419" s="2" t="s">
        <v>301</v>
      </c>
      <c r="E419" s="2">
        <v>2</v>
      </c>
      <c r="F419" s="2" t="s">
        <v>795</v>
      </c>
      <c r="G419" s="5">
        <v>91.92</v>
      </c>
      <c r="H419" s="5">
        <v>94.92</v>
      </c>
      <c r="I419" s="5">
        <v>94</v>
      </c>
      <c r="J419" s="5">
        <v>95.5</v>
      </c>
      <c r="K419" s="5">
        <v>91.5</v>
      </c>
      <c r="L419" s="5">
        <v>93.568000000000012</v>
      </c>
    </row>
    <row r="420" spans="1:12" x14ac:dyDescent="0.3">
      <c r="A420" s="2" t="s">
        <v>185</v>
      </c>
      <c r="B420" s="2" t="s">
        <v>278</v>
      </c>
      <c r="C420" s="2" t="s">
        <v>279</v>
      </c>
      <c r="D420" s="2" t="s">
        <v>64</v>
      </c>
      <c r="E420" s="2">
        <v>3</v>
      </c>
      <c r="F420" s="2" t="s">
        <v>796</v>
      </c>
      <c r="G420" s="5">
        <v>94.17</v>
      </c>
      <c r="H420" s="5">
        <v>98.17</v>
      </c>
      <c r="I420" s="5">
        <v>96</v>
      </c>
      <c r="J420" s="5">
        <v>98</v>
      </c>
      <c r="K420" s="5">
        <v>99.5</v>
      </c>
      <c r="L420" s="5">
        <v>97.168000000000006</v>
      </c>
    </row>
    <row r="421" spans="1:12" x14ac:dyDescent="0.3">
      <c r="A421" s="2" t="s">
        <v>185</v>
      </c>
      <c r="B421" s="2" t="s">
        <v>278</v>
      </c>
      <c r="C421" s="2" t="s">
        <v>279</v>
      </c>
      <c r="D421" s="2" t="s">
        <v>189</v>
      </c>
      <c r="E421" s="2">
        <v>4</v>
      </c>
      <c r="F421" s="2" t="s">
        <v>797</v>
      </c>
      <c r="G421" s="5">
        <v>97.44</v>
      </c>
      <c r="H421" s="5">
        <v>98.44</v>
      </c>
      <c r="I421" s="5">
        <v>98</v>
      </c>
      <c r="J421" s="5">
        <v>99.5</v>
      </c>
      <c r="K421" s="5">
        <v>100</v>
      </c>
      <c r="L421" s="5">
        <v>98.676000000000002</v>
      </c>
    </row>
    <row r="422" spans="1:12" x14ac:dyDescent="0.3">
      <c r="A422" s="2" t="s">
        <v>185</v>
      </c>
      <c r="B422" s="2" t="s">
        <v>280</v>
      </c>
      <c r="C422" s="2" t="s">
        <v>281</v>
      </c>
      <c r="D422" s="2" t="s">
        <v>188</v>
      </c>
      <c r="E422" s="2">
        <v>1</v>
      </c>
      <c r="F422" s="2" t="s">
        <v>791</v>
      </c>
      <c r="G422" s="5">
        <v>76.31</v>
      </c>
      <c r="H422" s="5">
        <v>80.31</v>
      </c>
      <c r="I422" s="5">
        <v>70.5</v>
      </c>
      <c r="J422" s="5">
        <v>80.5</v>
      </c>
      <c r="K422" s="5">
        <v>71.2</v>
      </c>
      <c r="L422" s="5">
        <v>75.763999999999996</v>
      </c>
    </row>
    <row r="423" spans="1:12" x14ac:dyDescent="0.3">
      <c r="A423" s="2" t="s">
        <v>185</v>
      </c>
      <c r="B423" s="2" t="s">
        <v>280</v>
      </c>
      <c r="C423" s="2" t="s">
        <v>281</v>
      </c>
      <c r="D423" s="2" t="s">
        <v>301</v>
      </c>
      <c r="E423" s="2">
        <v>2</v>
      </c>
      <c r="F423" s="2" t="s">
        <v>795</v>
      </c>
      <c r="G423" s="5">
        <v>80.8</v>
      </c>
      <c r="H423" s="5">
        <v>86.8</v>
      </c>
      <c r="I423" s="5">
        <v>87</v>
      </c>
      <c r="J423" s="5">
        <v>91</v>
      </c>
      <c r="K423" s="5">
        <v>75.7</v>
      </c>
      <c r="L423" s="5">
        <v>84.26</v>
      </c>
    </row>
    <row r="424" spans="1:12" x14ac:dyDescent="0.3">
      <c r="A424" s="2" t="s">
        <v>185</v>
      </c>
      <c r="B424" s="2" t="s">
        <v>280</v>
      </c>
      <c r="C424" s="2" t="s">
        <v>281</v>
      </c>
      <c r="D424" s="2" t="s">
        <v>64</v>
      </c>
      <c r="E424" s="2">
        <v>3</v>
      </c>
      <c r="F424" s="2" t="s">
        <v>796</v>
      </c>
      <c r="G424" s="5">
        <v>89.17</v>
      </c>
      <c r="H424" s="5">
        <v>93.17</v>
      </c>
      <c r="I424" s="5">
        <v>85</v>
      </c>
      <c r="J424" s="5">
        <v>90.5</v>
      </c>
      <c r="K424" s="5">
        <v>92</v>
      </c>
      <c r="L424" s="5">
        <v>89.968000000000004</v>
      </c>
    </row>
    <row r="425" spans="1:12" x14ac:dyDescent="0.3">
      <c r="A425" s="2" t="s">
        <v>185</v>
      </c>
      <c r="B425" s="2" t="s">
        <v>280</v>
      </c>
      <c r="C425" s="2" t="s">
        <v>281</v>
      </c>
      <c r="D425" s="2" t="s">
        <v>189</v>
      </c>
      <c r="E425" s="2">
        <v>4</v>
      </c>
      <c r="F425" s="2" t="s">
        <v>797</v>
      </c>
      <c r="G425" s="5">
        <v>92.56</v>
      </c>
      <c r="H425" s="5">
        <v>93.56</v>
      </c>
      <c r="I425" s="5">
        <v>88.5</v>
      </c>
      <c r="J425" s="5">
        <v>87.5</v>
      </c>
      <c r="K425" s="5">
        <v>98</v>
      </c>
      <c r="L425" s="5">
        <v>92.024000000000001</v>
      </c>
    </row>
    <row r="426" spans="1:12" x14ac:dyDescent="0.3">
      <c r="A426" s="2" t="s">
        <v>185</v>
      </c>
      <c r="B426" s="2" t="s">
        <v>282</v>
      </c>
      <c r="C426" s="2" t="s">
        <v>283</v>
      </c>
      <c r="D426" s="2" t="s">
        <v>188</v>
      </c>
      <c r="E426" s="2">
        <v>1</v>
      </c>
      <c r="F426" s="2" t="s">
        <v>791</v>
      </c>
      <c r="G426" s="5">
        <v>79.849999999999994</v>
      </c>
      <c r="H426" s="5">
        <v>81.849999999999994</v>
      </c>
      <c r="I426" s="5">
        <v>86</v>
      </c>
      <c r="J426" s="5">
        <v>90</v>
      </c>
      <c r="K426" s="5">
        <v>65.099999999999994</v>
      </c>
      <c r="L426" s="5">
        <v>80.559999999999988</v>
      </c>
    </row>
    <row r="427" spans="1:12" x14ac:dyDescent="0.3">
      <c r="A427" s="2" t="s">
        <v>185</v>
      </c>
      <c r="B427" s="2" t="s">
        <v>282</v>
      </c>
      <c r="C427" s="2" t="s">
        <v>283</v>
      </c>
      <c r="D427" s="2" t="s">
        <v>301</v>
      </c>
      <c r="E427" s="2">
        <v>2</v>
      </c>
      <c r="F427" s="2" t="s">
        <v>795</v>
      </c>
      <c r="G427" s="5">
        <v>91.28</v>
      </c>
      <c r="H427" s="5">
        <v>91.28</v>
      </c>
      <c r="I427" s="5">
        <v>86.5</v>
      </c>
      <c r="J427" s="5">
        <v>94</v>
      </c>
      <c r="K427" s="5">
        <v>85</v>
      </c>
      <c r="L427" s="5">
        <v>89.611999999999995</v>
      </c>
    </row>
    <row r="428" spans="1:12" x14ac:dyDescent="0.3">
      <c r="A428" s="2" t="s">
        <v>185</v>
      </c>
      <c r="B428" s="2" t="s">
        <v>282</v>
      </c>
      <c r="C428" s="2" t="s">
        <v>283</v>
      </c>
      <c r="D428" s="2" t="s">
        <v>64</v>
      </c>
      <c r="E428" s="2">
        <v>3</v>
      </c>
      <c r="F428" s="2" t="s">
        <v>796</v>
      </c>
      <c r="G428" s="5">
        <v>93.28</v>
      </c>
      <c r="H428" s="5">
        <v>95.28</v>
      </c>
      <c r="I428" s="5">
        <v>89.5</v>
      </c>
      <c r="J428" s="5">
        <v>94</v>
      </c>
      <c r="K428" s="5">
        <v>93</v>
      </c>
      <c r="L428" s="5">
        <v>93.012</v>
      </c>
    </row>
    <row r="429" spans="1:12" x14ac:dyDescent="0.3">
      <c r="A429" s="2" t="s">
        <v>185</v>
      </c>
      <c r="B429" s="2" t="s">
        <v>282</v>
      </c>
      <c r="C429" s="2" t="s">
        <v>283</v>
      </c>
      <c r="D429" s="2" t="s">
        <v>189</v>
      </c>
      <c r="E429" s="2">
        <v>4</v>
      </c>
      <c r="F429" s="2" t="s">
        <v>797</v>
      </c>
      <c r="G429" s="5">
        <v>92.38</v>
      </c>
      <c r="H429" s="5">
        <v>96.38</v>
      </c>
      <c r="I429" s="5">
        <v>93</v>
      </c>
      <c r="J429" s="5">
        <v>97</v>
      </c>
      <c r="K429" s="5">
        <v>99.5</v>
      </c>
      <c r="L429" s="5">
        <v>95.652000000000001</v>
      </c>
    </row>
    <row r="430" spans="1:12" x14ac:dyDescent="0.3">
      <c r="A430" s="2" t="s">
        <v>185</v>
      </c>
      <c r="B430" s="2" t="s">
        <v>284</v>
      </c>
      <c r="C430" s="2" t="s">
        <v>285</v>
      </c>
      <c r="D430" s="2" t="s">
        <v>188</v>
      </c>
      <c r="E430" s="2">
        <v>1</v>
      </c>
      <c r="F430" s="2" t="s">
        <v>791</v>
      </c>
      <c r="G430" s="5">
        <v>90.23</v>
      </c>
      <c r="H430" s="5">
        <v>92.23</v>
      </c>
      <c r="I430" s="5">
        <v>92.5</v>
      </c>
      <c r="J430" s="5">
        <v>89</v>
      </c>
      <c r="K430" s="5">
        <v>86.4</v>
      </c>
      <c r="L430" s="5">
        <v>90.072000000000003</v>
      </c>
    </row>
    <row r="431" spans="1:12" x14ac:dyDescent="0.3">
      <c r="A431" s="2" t="s">
        <v>185</v>
      </c>
      <c r="B431" s="2" t="s">
        <v>284</v>
      </c>
      <c r="C431" s="2" t="s">
        <v>285</v>
      </c>
      <c r="D431" s="2" t="s">
        <v>301</v>
      </c>
      <c r="E431" s="2">
        <v>2</v>
      </c>
      <c r="F431" s="2" t="s">
        <v>795</v>
      </c>
      <c r="G431" s="5">
        <v>89.16</v>
      </c>
      <c r="H431" s="5">
        <v>94.16</v>
      </c>
      <c r="I431" s="5">
        <v>91.5</v>
      </c>
      <c r="J431" s="5">
        <v>97.5</v>
      </c>
      <c r="K431" s="5">
        <v>90.8</v>
      </c>
      <c r="L431" s="5">
        <v>92.623999999999995</v>
      </c>
    </row>
    <row r="432" spans="1:12" x14ac:dyDescent="0.3">
      <c r="A432" s="2" t="s">
        <v>185</v>
      </c>
      <c r="B432" s="2" t="s">
        <v>284</v>
      </c>
      <c r="C432" s="2" t="s">
        <v>285</v>
      </c>
      <c r="D432" s="2" t="s">
        <v>64</v>
      </c>
      <c r="E432" s="2">
        <v>3</v>
      </c>
      <c r="F432" s="2" t="s">
        <v>796</v>
      </c>
      <c r="G432" s="5">
        <v>92.11</v>
      </c>
      <c r="H432" s="5">
        <v>97.11</v>
      </c>
      <c r="I432" s="5">
        <v>94</v>
      </c>
      <c r="J432" s="5">
        <v>99</v>
      </c>
      <c r="K432" s="5">
        <v>99</v>
      </c>
      <c r="L432" s="5">
        <v>96.244</v>
      </c>
    </row>
    <row r="433" spans="1:12" x14ac:dyDescent="0.3">
      <c r="A433" s="2" t="s">
        <v>185</v>
      </c>
      <c r="B433" s="2" t="s">
        <v>284</v>
      </c>
      <c r="C433" s="2" t="s">
        <v>285</v>
      </c>
      <c r="D433" s="2" t="s">
        <v>189</v>
      </c>
      <c r="E433" s="2">
        <v>4</v>
      </c>
      <c r="F433" s="2" t="s">
        <v>797</v>
      </c>
      <c r="G433" s="5">
        <v>92.56</v>
      </c>
      <c r="H433" s="5">
        <v>97.56</v>
      </c>
      <c r="I433" s="5">
        <v>96</v>
      </c>
      <c r="J433" s="5">
        <v>98</v>
      </c>
      <c r="K433" s="5">
        <v>99</v>
      </c>
      <c r="L433" s="5">
        <v>96.623999999999995</v>
      </c>
    </row>
    <row r="434" spans="1:12" x14ac:dyDescent="0.3">
      <c r="A434" s="2" t="s">
        <v>185</v>
      </c>
      <c r="B434" s="2" t="s">
        <v>286</v>
      </c>
      <c r="C434" s="2" t="s">
        <v>287</v>
      </c>
      <c r="D434" s="2" t="s">
        <v>188</v>
      </c>
      <c r="E434" s="2">
        <v>1</v>
      </c>
      <c r="F434" s="2" t="s">
        <v>791</v>
      </c>
      <c r="G434" s="5">
        <v>81.92</v>
      </c>
      <c r="H434" s="5">
        <v>84.92</v>
      </c>
      <c r="I434" s="5">
        <v>77</v>
      </c>
      <c r="J434" s="5">
        <v>82.5</v>
      </c>
      <c r="K434" s="5">
        <v>82.2</v>
      </c>
      <c r="L434" s="5">
        <v>81.707999999999998</v>
      </c>
    </row>
    <row r="435" spans="1:12" x14ac:dyDescent="0.3">
      <c r="A435" s="2" t="s">
        <v>185</v>
      </c>
      <c r="B435" s="2" t="s">
        <v>286</v>
      </c>
      <c r="C435" s="2" t="s">
        <v>287</v>
      </c>
      <c r="D435" s="2" t="s">
        <v>301</v>
      </c>
      <c r="E435" s="2">
        <v>2</v>
      </c>
      <c r="F435" s="2" t="s">
        <v>795</v>
      </c>
      <c r="G435" s="5">
        <v>65.92</v>
      </c>
      <c r="H435" s="5">
        <v>70.92</v>
      </c>
      <c r="I435" s="5">
        <v>77</v>
      </c>
      <c r="J435" s="5">
        <v>52</v>
      </c>
      <c r="K435" s="5">
        <v>57.5</v>
      </c>
      <c r="L435" s="5">
        <v>64.668000000000006</v>
      </c>
    </row>
    <row r="436" spans="1:12" x14ac:dyDescent="0.3">
      <c r="A436" s="2" t="s">
        <v>185</v>
      </c>
      <c r="B436" s="2" t="s">
        <v>286</v>
      </c>
      <c r="C436" s="2" t="s">
        <v>287</v>
      </c>
      <c r="D436" s="2" t="s">
        <v>64</v>
      </c>
      <c r="E436" s="2">
        <v>3</v>
      </c>
      <c r="F436" s="2" t="s">
        <v>796</v>
      </c>
      <c r="G436" s="5">
        <v>74.22</v>
      </c>
      <c r="H436" s="5">
        <v>78.22</v>
      </c>
      <c r="I436" s="5">
        <v>76</v>
      </c>
      <c r="J436" s="5">
        <v>63.5</v>
      </c>
      <c r="K436" s="5">
        <v>64.5</v>
      </c>
      <c r="L436" s="5">
        <v>71.287999999999997</v>
      </c>
    </row>
    <row r="437" spans="1:12" x14ac:dyDescent="0.3">
      <c r="A437" s="2" t="s">
        <v>185</v>
      </c>
      <c r="B437" s="2" t="s">
        <v>286</v>
      </c>
      <c r="C437" s="2" t="s">
        <v>287</v>
      </c>
      <c r="D437" s="2" t="s">
        <v>189</v>
      </c>
      <c r="E437" s="2">
        <v>4</v>
      </c>
      <c r="F437" s="2" t="s">
        <v>797</v>
      </c>
      <c r="G437" s="5">
        <v>78.69</v>
      </c>
      <c r="H437" s="5">
        <v>79.69</v>
      </c>
      <c r="I437" s="5">
        <v>84</v>
      </c>
      <c r="J437" s="5">
        <v>69.5</v>
      </c>
      <c r="K437" s="5">
        <v>82</v>
      </c>
      <c r="L437" s="5">
        <v>78.775999999999996</v>
      </c>
    </row>
    <row r="438" spans="1:12" x14ac:dyDescent="0.3">
      <c r="A438" s="2" t="s">
        <v>185</v>
      </c>
      <c r="B438" s="2" t="s">
        <v>288</v>
      </c>
      <c r="C438" s="2" t="s">
        <v>289</v>
      </c>
      <c r="D438" s="2" t="s">
        <v>188</v>
      </c>
      <c r="E438" s="2">
        <v>1</v>
      </c>
      <c r="F438" s="2" t="s">
        <v>791</v>
      </c>
      <c r="G438" s="5">
        <v>86.54</v>
      </c>
      <c r="H438" s="5">
        <v>88.54</v>
      </c>
      <c r="I438" s="5">
        <v>89</v>
      </c>
      <c r="J438" s="5">
        <v>89.5</v>
      </c>
      <c r="K438" s="5">
        <v>78.900000000000006</v>
      </c>
      <c r="L438" s="5">
        <v>86.496000000000009</v>
      </c>
    </row>
    <row r="439" spans="1:12" x14ac:dyDescent="0.3">
      <c r="A439" s="2" t="s">
        <v>185</v>
      </c>
      <c r="B439" s="2" t="s">
        <v>288</v>
      </c>
      <c r="C439" s="2" t="s">
        <v>289</v>
      </c>
      <c r="D439" s="2" t="s">
        <v>301</v>
      </c>
      <c r="E439" s="2">
        <v>2</v>
      </c>
      <c r="F439" s="2" t="s">
        <v>795</v>
      </c>
      <c r="G439" s="5">
        <v>95.04</v>
      </c>
      <c r="H439" s="5">
        <v>96.04</v>
      </c>
      <c r="I439" s="5">
        <v>93.5</v>
      </c>
      <c r="J439" s="5">
        <v>100</v>
      </c>
      <c r="K439" s="5">
        <v>93.4</v>
      </c>
      <c r="L439" s="5">
        <v>95.596000000000004</v>
      </c>
    </row>
    <row r="440" spans="1:12" x14ac:dyDescent="0.3">
      <c r="A440" s="2" t="s">
        <v>185</v>
      </c>
      <c r="B440" s="2" t="s">
        <v>288</v>
      </c>
      <c r="C440" s="2" t="s">
        <v>289</v>
      </c>
      <c r="D440" s="2" t="s">
        <v>64</v>
      </c>
      <c r="E440" s="2">
        <v>3</v>
      </c>
      <c r="F440" s="2" t="s">
        <v>796</v>
      </c>
      <c r="G440" s="5">
        <v>91.28</v>
      </c>
      <c r="H440" s="5">
        <v>97.28</v>
      </c>
      <c r="I440" s="5">
        <v>94</v>
      </c>
      <c r="J440" s="5">
        <v>97.5</v>
      </c>
      <c r="K440" s="5">
        <v>99</v>
      </c>
      <c r="L440" s="5">
        <v>95.811999999999998</v>
      </c>
    </row>
    <row r="441" spans="1:12" x14ac:dyDescent="0.3">
      <c r="A441" s="2" t="s">
        <v>185</v>
      </c>
      <c r="B441" s="2" t="s">
        <v>288</v>
      </c>
      <c r="C441" s="2" t="s">
        <v>289</v>
      </c>
      <c r="D441" s="2" t="s">
        <v>189</v>
      </c>
      <c r="E441" s="2">
        <v>4</v>
      </c>
      <c r="F441" s="2" t="s">
        <v>797</v>
      </c>
      <c r="G441" s="5">
        <v>92.13</v>
      </c>
      <c r="H441" s="5">
        <v>98.13</v>
      </c>
      <c r="I441" s="5">
        <v>98.5</v>
      </c>
      <c r="J441" s="5">
        <v>98.5</v>
      </c>
      <c r="K441" s="5">
        <v>100</v>
      </c>
      <c r="L441" s="5">
        <v>97.451999999999998</v>
      </c>
    </row>
    <row r="442" spans="1:12" x14ac:dyDescent="0.3">
      <c r="A442" s="2" t="s">
        <v>185</v>
      </c>
      <c r="B442" s="2" t="s">
        <v>290</v>
      </c>
      <c r="C442" s="2" t="s">
        <v>291</v>
      </c>
      <c r="D442" s="2" t="s">
        <v>188</v>
      </c>
      <c r="E442" s="2">
        <v>1</v>
      </c>
      <c r="F442" s="2" t="s">
        <v>791</v>
      </c>
      <c r="G442" s="5">
        <v>89.42</v>
      </c>
      <c r="H442" s="5">
        <v>94.42</v>
      </c>
      <c r="I442" s="5">
        <v>95.5</v>
      </c>
      <c r="J442" s="5">
        <v>94</v>
      </c>
      <c r="K442" s="5">
        <v>91.4</v>
      </c>
      <c r="L442" s="5">
        <v>92.948000000000008</v>
      </c>
    </row>
    <row r="443" spans="1:12" x14ac:dyDescent="0.3">
      <c r="A443" s="2" t="s">
        <v>185</v>
      </c>
      <c r="B443" s="2" t="s">
        <v>290</v>
      </c>
      <c r="C443" s="2" t="s">
        <v>291</v>
      </c>
      <c r="D443" s="2" t="s">
        <v>301</v>
      </c>
      <c r="E443" s="2">
        <v>2</v>
      </c>
      <c r="F443" s="2" t="s">
        <v>795</v>
      </c>
      <c r="G443" s="5">
        <v>87.64</v>
      </c>
      <c r="H443" s="5">
        <v>92.64</v>
      </c>
      <c r="I443" s="5">
        <v>91.5</v>
      </c>
      <c r="J443" s="5">
        <v>91.5</v>
      </c>
      <c r="K443" s="5">
        <v>88.3</v>
      </c>
      <c r="L443" s="5">
        <v>90.316000000000003</v>
      </c>
    </row>
    <row r="444" spans="1:12" x14ac:dyDescent="0.3">
      <c r="A444" s="2" t="s">
        <v>185</v>
      </c>
      <c r="B444" s="2" t="s">
        <v>290</v>
      </c>
      <c r="C444" s="2" t="s">
        <v>291</v>
      </c>
      <c r="D444" s="2" t="s">
        <v>64</v>
      </c>
      <c r="E444" s="2">
        <v>3</v>
      </c>
      <c r="F444" s="2" t="s">
        <v>796</v>
      </c>
      <c r="G444" s="5">
        <v>90.94</v>
      </c>
      <c r="H444" s="5">
        <v>95.94</v>
      </c>
      <c r="I444" s="5">
        <v>93</v>
      </c>
      <c r="J444" s="5">
        <v>97.5</v>
      </c>
      <c r="K444" s="5">
        <v>93</v>
      </c>
      <c r="L444" s="5">
        <v>94.075999999999993</v>
      </c>
    </row>
    <row r="445" spans="1:12" x14ac:dyDescent="0.3">
      <c r="A445" s="2" t="s">
        <v>185</v>
      </c>
      <c r="B445" s="2" t="s">
        <v>290</v>
      </c>
      <c r="C445" s="2" t="s">
        <v>291</v>
      </c>
      <c r="D445" s="2" t="s">
        <v>189</v>
      </c>
      <c r="E445" s="2">
        <v>4</v>
      </c>
      <c r="F445" s="2" t="s">
        <v>797</v>
      </c>
      <c r="G445" s="5">
        <v>92.5</v>
      </c>
      <c r="H445" s="5">
        <v>97.5</v>
      </c>
      <c r="I445" s="5">
        <v>94</v>
      </c>
      <c r="J445" s="5">
        <v>97.5</v>
      </c>
      <c r="K445" s="5">
        <v>100</v>
      </c>
      <c r="L445" s="5">
        <v>96.3</v>
      </c>
    </row>
    <row r="446" spans="1:12" x14ac:dyDescent="0.3">
      <c r="A446" s="2" t="s">
        <v>185</v>
      </c>
      <c r="B446" s="2" t="s">
        <v>292</v>
      </c>
      <c r="C446" s="2" t="s">
        <v>293</v>
      </c>
      <c r="D446" s="2" t="s">
        <v>188</v>
      </c>
      <c r="E446" s="2">
        <v>1</v>
      </c>
      <c r="F446" s="2" t="s">
        <v>791</v>
      </c>
      <c r="G446" s="5">
        <v>74.11</v>
      </c>
      <c r="H446" s="5">
        <v>74.11</v>
      </c>
      <c r="I446" s="5">
        <v>60.5</v>
      </c>
      <c r="J446" s="5">
        <v>66.5</v>
      </c>
      <c r="K446" s="5">
        <v>72.2</v>
      </c>
      <c r="L446" s="5">
        <v>69.484000000000009</v>
      </c>
    </row>
    <row r="447" spans="1:12" x14ac:dyDescent="0.3">
      <c r="A447" s="2" t="s">
        <v>185</v>
      </c>
      <c r="B447" s="2" t="s">
        <v>292</v>
      </c>
      <c r="C447" s="2" t="s">
        <v>293</v>
      </c>
      <c r="D447" s="2" t="s">
        <v>301</v>
      </c>
      <c r="E447" s="2">
        <v>2</v>
      </c>
      <c r="F447" s="2" t="s">
        <v>795</v>
      </c>
      <c r="G447" s="5">
        <v>84</v>
      </c>
      <c r="H447" s="5">
        <v>86</v>
      </c>
      <c r="I447" s="5">
        <v>83.5</v>
      </c>
      <c r="J447" s="5">
        <v>83</v>
      </c>
      <c r="K447" s="5">
        <v>81.7</v>
      </c>
      <c r="L447" s="5">
        <v>83.64</v>
      </c>
    </row>
    <row r="448" spans="1:12" x14ac:dyDescent="0.3">
      <c r="A448" s="2" t="s">
        <v>185</v>
      </c>
      <c r="B448" s="2" t="s">
        <v>292</v>
      </c>
      <c r="C448" s="2" t="s">
        <v>293</v>
      </c>
      <c r="D448" s="2" t="s">
        <v>64</v>
      </c>
      <c r="E448" s="2">
        <v>3</v>
      </c>
      <c r="F448" s="2" t="s">
        <v>796</v>
      </c>
      <c r="G448" s="5">
        <v>89.5</v>
      </c>
      <c r="H448" s="5">
        <v>90.5</v>
      </c>
      <c r="I448" s="5">
        <v>82</v>
      </c>
      <c r="J448" s="5">
        <v>85</v>
      </c>
      <c r="K448" s="5">
        <v>89.5</v>
      </c>
      <c r="L448" s="5">
        <v>87.3</v>
      </c>
    </row>
    <row r="449" spans="1:12" x14ac:dyDescent="0.3">
      <c r="A449" s="2" t="s">
        <v>185</v>
      </c>
      <c r="B449" s="2" t="s">
        <v>292</v>
      </c>
      <c r="C449" s="2" t="s">
        <v>293</v>
      </c>
      <c r="D449" s="2" t="s">
        <v>189</v>
      </c>
      <c r="E449" s="2">
        <v>4</v>
      </c>
      <c r="F449" s="2" t="s">
        <v>797</v>
      </c>
      <c r="G449" s="5">
        <v>91.75</v>
      </c>
      <c r="H449" s="5">
        <v>91.75</v>
      </c>
      <c r="I449" s="5">
        <v>85</v>
      </c>
      <c r="J449" s="5">
        <v>92.5</v>
      </c>
      <c r="K449" s="5">
        <v>97</v>
      </c>
      <c r="L449" s="5">
        <v>91.6</v>
      </c>
    </row>
    <row r="450" spans="1:12" x14ac:dyDescent="0.3">
      <c r="A450" s="2" t="s">
        <v>185</v>
      </c>
      <c r="B450" s="2" t="s">
        <v>294</v>
      </c>
      <c r="C450" s="2" t="s">
        <v>295</v>
      </c>
      <c r="D450" s="2" t="s">
        <v>188</v>
      </c>
      <c r="E450" s="2">
        <v>1</v>
      </c>
      <c r="F450" s="2" t="s">
        <v>791</v>
      </c>
      <c r="G450" s="5">
        <v>68.27</v>
      </c>
      <c r="H450" s="5">
        <v>74.27</v>
      </c>
      <c r="I450" s="5">
        <v>76</v>
      </c>
      <c r="J450" s="5">
        <v>70.5</v>
      </c>
      <c r="K450" s="5">
        <v>63.7</v>
      </c>
      <c r="L450" s="5">
        <v>70.548000000000002</v>
      </c>
    </row>
    <row r="451" spans="1:12" x14ac:dyDescent="0.3">
      <c r="A451" s="2" t="s">
        <v>185</v>
      </c>
      <c r="B451" s="2" t="s">
        <v>294</v>
      </c>
      <c r="C451" s="2" t="s">
        <v>295</v>
      </c>
      <c r="D451" s="2" t="s">
        <v>301</v>
      </c>
      <c r="E451" s="2">
        <v>2</v>
      </c>
      <c r="F451" s="2" t="s">
        <v>795</v>
      </c>
      <c r="G451" s="5">
        <v>89.04</v>
      </c>
      <c r="H451" s="5">
        <v>90.04</v>
      </c>
      <c r="I451" s="5">
        <v>92.5</v>
      </c>
      <c r="J451" s="5">
        <v>91.5</v>
      </c>
      <c r="K451" s="5">
        <v>82.7</v>
      </c>
      <c r="L451" s="5">
        <v>89.156000000000006</v>
      </c>
    </row>
    <row r="452" spans="1:12" x14ac:dyDescent="0.3">
      <c r="A452" s="2" t="s">
        <v>185</v>
      </c>
      <c r="B452" s="2" t="s">
        <v>294</v>
      </c>
      <c r="C452" s="2" t="s">
        <v>295</v>
      </c>
      <c r="D452" s="2" t="s">
        <v>64</v>
      </c>
      <c r="E452" s="2">
        <v>3</v>
      </c>
      <c r="F452" s="2" t="s">
        <v>796</v>
      </c>
      <c r="G452" s="5">
        <v>88.22</v>
      </c>
      <c r="H452" s="5">
        <v>92.22</v>
      </c>
      <c r="I452" s="5">
        <v>92.5</v>
      </c>
      <c r="J452" s="5">
        <v>92.5</v>
      </c>
      <c r="K452" s="5">
        <v>91.5</v>
      </c>
      <c r="L452" s="5">
        <v>91.388000000000005</v>
      </c>
    </row>
    <row r="453" spans="1:12" x14ac:dyDescent="0.3">
      <c r="A453" s="2" t="s">
        <v>185</v>
      </c>
      <c r="B453" s="2" t="s">
        <v>294</v>
      </c>
      <c r="C453" s="2" t="s">
        <v>295</v>
      </c>
      <c r="D453" s="2" t="s">
        <v>189</v>
      </c>
      <c r="E453" s="2">
        <v>4</v>
      </c>
      <c r="F453" s="2" t="s">
        <v>797</v>
      </c>
      <c r="G453" s="5">
        <v>86.31</v>
      </c>
      <c r="H453" s="5">
        <v>92.31</v>
      </c>
      <c r="I453" s="5">
        <v>95.5</v>
      </c>
      <c r="J453" s="5">
        <v>94.5</v>
      </c>
      <c r="K453" s="5">
        <v>96</v>
      </c>
      <c r="L453" s="5">
        <v>92.924000000000007</v>
      </c>
    </row>
    <row r="454" spans="1:12" x14ac:dyDescent="0.3">
      <c r="A454" s="2" t="s">
        <v>185</v>
      </c>
      <c r="B454" s="2" t="s">
        <v>296</v>
      </c>
      <c r="C454" s="2" t="s">
        <v>297</v>
      </c>
      <c r="D454" s="2" t="s">
        <v>188</v>
      </c>
      <c r="E454" s="2">
        <v>1</v>
      </c>
      <c r="F454" s="2" t="s">
        <v>791</v>
      </c>
      <c r="G454" s="5">
        <v>86.77</v>
      </c>
      <c r="H454" s="5">
        <v>89.77</v>
      </c>
      <c r="I454" s="5">
        <v>91.5</v>
      </c>
      <c r="J454" s="5">
        <v>84</v>
      </c>
      <c r="K454" s="5">
        <v>84.3</v>
      </c>
      <c r="L454" s="5">
        <v>87.268000000000001</v>
      </c>
    </row>
    <row r="455" spans="1:12" x14ac:dyDescent="0.3">
      <c r="A455" s="2" t="s">
        <v>185</v>
      </c>
      <c r="B455" s="2" t="s">
        <v>296</v>
      </c>
      <c r="C455" s="2" t="s">
        <v>297</v>
      </c>
      <c r="D455" s="2" t="s">
        <v>301</v>
      </c>
      <c r="E455" s="2">
        <v>2</v>
      </c>
      <c r="F455" s="2" t="s">
        <v>795</v>
      </c>
      <c r="G455" s="5">
        <v>87.6</v>
      </c>
      <c r="H455" s="5">
        <v>93.6</v>
      </c>
      <c r="I455" s="5">
        <v>90</v>
      </c>
      <c r="J455" s="5">
        <v>89.5</v>
      </c>
      <c r="K455" s="5">
        <v>91.3</v>
      </c>
      <c r="L455" s="5">
        <v>90.4</v>
      </c>
    </row>
    <row r="456" spans="1:12" x14ac:dyDescent="0.3">
      <c r="A456" s="2" t="s">
        <v>185</v>
      </c>
      <c r="B456" s="2" t="s">
        <v>296</v>
      </c>
      <c r="C456" s="2" t="s">
        <v>297</v>
      </c>
      <c r="D456" s="2" t="s">
        <v>64</v>
      </c>
      <c r="E456" s="2">
        <v>3</v>
      </c>
      <c r="F456" s="2" t="s">
        <v>796</v>
      </c>
      <c r="G456" s="5">
        <v>90.17</v>
      </c>
      <c r="H456" s="5">
        <v>95.17</v>
      </c>
      <c r="I456" s="5">
        <v>93</v>
      </c>
      <c r="J456" s="5">
        <v>94.5</v>
      </c>
      <c r="K456" s="5">
        <v>92.5</v>
      </c>
      <c r="L456" s="5">
        <v>93.068000000000012</v>
      </c>
    </row>
    <row r="457" spans="1:12" x14ac:dyDescent="0.3">
      <c r="A457" s="2" t="s">
        <v>185</v>
      </c>
      <c r="B457" s="2" t="s">
        <v>296</v>
      </c>
      <c r="C457" s="2" t="s">
        <v>297</v>
      </c>
      <c r="D457" s="2" t="s">
        <v>189</v>
      </c>
      <c r="E457" s="2">
        <v>4</v>
      </c>
      <c r="F457" s="2" t="s">
        <v>797</v>
      </c>
      <c r="G457" s="5">
        <v>92.88</v>
      </c>
      <c r="H457" s="5">
        <v>95.88</v>
      </c>
      <c r="I457" s="5">
        <v>97</v>
      </c>
      <c r="J457" s="5">
        <v>98.5</v>
      </c>
      <c r="K457" s="5">
        <v>99.5</v>
      </c>
      <c r="L457" s="5">
        <v>96.751999999999995</v>
      </c>
    </row>
    <row r="458" spans="1:12" x14ac:dyDescent="0.3">
      <c r="A458" s="2" t="s">
        <v>298</v>
      </c>
      <c r="B458" s="2" t="s">
        <v>299</v>
      </c>
      <c r="C458" s="2" t="s">
        <v>300</v>
      </c>
      <c r="D458" s="2" t="s">
        <v>301</v>
      </c>
      <c r="E458" s="2">
        <v>1</v>
      </c>
      <c r="F458" s="2" t="s">
        <v>791</v>
      </c>
      <c r="G458" s="5">
        <v>80.11</v>
      </c>
      <c r="H458" s="5">
        <v>86.11</v>
      </c>
      <c r="I458" s="5">
        <v>91</v>
      </c>
      <c r="J458" s="5">
        <v>82</v>
      </c>
      <c r="K458" s="5">
        <v>77.8</v>
      </c>
      <c r="L458" s="5">
        <v>83.404000000000011</v>
      </c>
    </row>
    <row r="459" spans="1:12" x14ac:dyDescent="0.3">
      <c r="A459" s="2" t="s">
        <v>298</v>
      </c>
      <c r="B459" s="2" t="s">
        <v>299</v>
      </c>
      <c r="C459" s="2" t="s">
        <v>300</v>
      </c>
      <c r="D459" s="2" t="s">
        <v>64</v>
      </c>
      <c r="E459" s="2">
        <v>2</v>
      </c>
      <c r="F459" s="2" t="s">
        <v>795</v>
      </c>
      <c r="G459" s="5">
        <v>87.52</v>
      </c>
      <c r="H459" s="5">
        <v>88.52</v>
      </c>
      <c r="I459" s="5">
        <v>85</v>
      </c>
      <c r="J459" s="5">
        <v>83.5</v>
      </c>
      <c r="K459" s="5">
        <v>83</v>
      </c>
      <c r="L459" s="5">
        <v>85.507999999999996</v>
      </c>
    </row>
    <row r="460" spans="1:12" x14ac:dyDescent="0.3">
      <c r="A460" s="2" t="s">
        <v>298</v>
      </c>
      <c r="B460" s="2" t="s">
        <v>299</v>
      </c>
      <c r="C460" s="2" t="s">
        <v>300</v>
      </c>
      <c r="D460" s="2" t="s">
        <v>189</v>
      </c>
      <c r="E460" s="2">
        <v>3</v>
      </c>
      <c r="F460" s="2" t="s">
        <v>796</v>
      </c>
      <c r="G460" s="5">
        <v>91.4</v>
      </c>
      <c r="H460" s="5">
        <v>91.4</v>
      </c>
      <c r="I460" s="5">
        <v>91</v>
      </c>
      <c r="J460" s="5">
        <v>84.5</v>
      </c>
      <c r="K460" s="5">
        <v>89</v>
      </c>
      <c r="L460" s="5">
        <v>89.460000000000008</v>
      </c>
    </row>
    <row r="461" spans="1:12" x14ac:dyDescent="0.3">
      <c r="A461" s="2" t="s">
        <v>298</v>
      </c>
      <c r="B461" s="2" t="s">
        <v>299</v>
      </c>
      <c r="C461" s="2" t="s">
        <v>300</v>
      </c>
      <c r="D461" s="2" t="s">
        <v>302</v>
      </c>
      <c r="E461" s="2">
        <v>4</v>
      </c>
      <c r="F461" s="2" t="s">
        <v>797</v>
      </c>
      <c r="G461" s="5">
        <v>88.5</v>
      </c>
      <c r="H461" s="5">
        <v>89.5</v>
      </c>
      <c r="I461" s="5">
        <v>90</v>
      </c>
      <c r="J461" s="5">
        <v>88.5</v>
      </c>
      <c r="K461" s="5">
        <v>91.5</v>
      </c>
      <c r="L461" s="5">
        <v>89.6</v>
      </c>
    </row>
    <row r="462" spans="1:12" x14ac:dyDescent="0.3">
      <c r="A462" s="2" t="s">
        <v>298</v>
      </c>
      <c r="B462" s="2" t="s">
        <v>303</v>
      </c>
      <c r="C462" s="2" t="s">
        <v>304</v>
      </c>
      <c r="D462" s="2" t="s">
        <v>301</v>
      </c>
      <c r="E462" s="2">
        <v>1</v>
      </c>
      <c r="F462" s="2" t="s">
        <v>791</v>
      </c>
      <c r="G462" s="5">
        <v>88.26</v>
      </c>
      <c r="H462" s="5">
        <v>90.26</v>
      </c>
      <c r="I462" s="5">
        <v>83.5</v>
      </c>
      <c r="J462" s="5">
        <v>94.5</v>
      </c>
      <c r="K462" s="5">
        <v>86.5</v>
      </c>
      <c r="L462" s="5">
        <v>88.603999999999999</v>
      </c>
    </row>
    <row r="463" spans="1:12" x14ac:dyDescent="0.3">
      <c r="A463" s="2" t="s">
        <v>298</v>
      </c>
      <c r="B463" s="2" t="s">
        <v>303</v>
      </c>
      <c r="C463" s="2" t="s">
        <v>304</v>
      </c>
      <c r="D463" s="2" t="s">
        <v>64</v>
      </c>
      <c r="E463" s="2">
        <v>2</v>
      </c>
      <c r="F463" s="2" t="s">
        <v>795</v>
      </c>
      <c r="G463" s="5">
        <v>82.24</v>
      </c>
      <c r="H463" s="5">
        <v>88.24</v>
      </c>
      <c r="I463" s="5">
        <v>76.5</v>
      </c>
      <c r="J463" s="5">
        <v>89.5</v>
      </c>
      <c r="K463" s="5">
        <v>86.3</v>
      </c>
      <c r="L463" s="5">
        <v>84.555999999999997</v>
      </c>
    </row>
    <row r="464" spans="1:12" x14ac:dyDescent="0.3">
      <c r="A464" s="2" t="s">
        <v>298</v>
      </c>
      <c r="B464" s="2" t="s">
        <v>303</v>
      </c>
      <c r="C464" s="2" t="s">
        <v>304</v>
      </c>
      <c r="D464" s="2" t="s">
        <v>189</v>
      </c>
      <c r="E464" s="2">
        <v>3</v>
      </c>
      <c r="F464" s="2" t="s">
        <v>796</v>
      </c>
      <c r="G464" s="5">
        <v>86.35</v>
      </c>
      <c r="H464" s="5">
        <v>88.35</v>
      </c>
      <c r="I464" s="5">
        <v>82.5</v>
      </c>
      <c r="J464" s="5">
        <v>95</v>
      </c>
      <c r="K464" s="5">
        <v>92.5</v>
      </c>
      <c r="L464" s="5">
        <v>88.94</v>
      </c>
    </row>
    <row r="465" spans="1:12" x14ac:dyDescent="0.3">
      <c r="A465" s="2" t="s">
        <v>298</v>
      </c>
      <c r="B465" s="2" t="s">
        <v>303</v>
      </c>
      <c r="C465" s="2" t="s">
        <v>304</v>
      </c>
      <c r="D465" s="2" t="s">
        <v>302</v>
      </c>
      <c r="E465" s="2">
        <v>4</v>
      </c>
      <c r="F465" s="2" t="s">
        <v>797</v>
      </c>
      <c r="G465" s="5">
        <v>84.38</v>
      </c>
      <c r="H465" s="5">
        <v>90.38</v>
      </c>
      <c r="I465" s="5">
        <v>92</v>
      </c>
      <c r="J465" s="5">
        <v>90.5</v>
      </c>
      <c r="K465" s="5">
        <v>90</v>
      </c>
      <c r="L465" s="5">
        <v>89.451999999999998</v>
      </c>
    </row>
    <row r="466" spans="1:12" x14ac:dyDescent="0.3">
      <c r="A466" s="2" t="s">
        <v>298</v>
      </c>
      <c r="B466" s="2" t="s">
        <v>305</v>
      </c>
      <c r="C466" s="2" t="s">
        <v>306</v>
      </c>
      <c r="D466" s="2" t="s">
        <v>301</v>
      </c>
      <c r="E466" s="2">
        <v>1</v>
      </c>
      <c r="F466" s="2" t="s">
        <v>791</v>
      </c>
      <c r="G466" s="5">
        <v>86.69</v>
      </c>
      <c r="H466" s="5">
        <v>90.69</v>
      </c>
      <c r="I466" s="5">
        <v>95</v>
      </c>
      <c r="J466" s="5">
        <v>87.5</v>
      </c>
      <c r="K466" s="5">
        <v>87.3</v>
      </c>
      <c r="L466" s="5">
        <v>89.436000000000007</v>
      </c>
    </row>
    <row r="467" spans="1:12" x14ac:dyDescent="0.3">
      <c r="A467" s="2" t="s">
        <v>298</v>
      </c>
      <c r="B467" s="2" t="s">
        <v>305</v>
      </c>
      <c r="C467" s="2" t="s">
        <v>306</v>
      </c>
      <c r="D467" s="2" t="s">
        <v>64</v>
      </c>
      <c r="E467" s="2">
        <v>2</v>
      </c>
      <c r="F467" s="2" t="s">
        <v>795</v>
      </c>
      <c r="G467" s="5">
        <v>91.96</v>
      </c>
      <c r="H467" s="5">
        <v>93.96</v>
      </c>
      <c r="I467" s="5">
        <v>94</v>
      </c>
      <c r="J467" s="5">
        <v>91</v>
      </c>
      <c r="K467" s="5">
        <v>93.6</v>
      </c>
      <c r="L467" s="5">
        <v>92.903999999999996</v>
      </c>
    </row>
    <row r="468" spans="1:12" x14ac:dyDescent="0.3">
      <c r="A468" s="2" t="s">
        <v>298</v>
      </c>
      <c r="B468" s="2" t="s">
        <v>305</v>
      </c>
      <c r="C468" s="2" t="s">
        <v>306</v>
      </c>
      <c r="D468" s="2" t="s">
        <v>189</v>
      </c>
      <c r="E468" s="2">
        <v>3</v>
      </c>
      <c r="F468" s="2" t="s">
        <v>796</v>
      </c>
      <c r="G468" s="5">
        <v>93.4</v>
      </c>
      <c r="H468" s="5">
        <v>96.4</v>
      </c>
      <c r="I468" s="5">
        <v>95</v>
      </c>
      <c r="J468" s="5">
        <v>96.5</v>
      </c>
      <c r="K468" s="5">
        <v>97.5</v>
      </c>
      <c r="L468" s="5">
        <v>95.76</v>
      </c>
    </row>
    <row r="469" spans="1:12" x14ac:dyDescent="0.3">
      <c r="A469" s="2" t="s">
        <v>298</v>
      </c>
      <c r="B469" s="2" t="s">
        <v>305</v>
      </c>
      <c r="C469" s="2" t="s">
        <v>306</v>
      </c>
      <c r="D469" s="2" t="s">
        <v>302</v>
      </c>
      <c r="E469" s="2">
        <v>4</v>
      </c>
      <c r="F469" s="2" t="s">
        <v>797</v>
      </c>
      <c r="G469" s="5">
        <v>91.06</v>
      </c>
      <c r="H469" s="5">
        <v>96.06</v>
      </c>
      <c r="I469" s="5">
        <v>98.5</v>
      </c>
      <c r="J469" s="5">
        <v>98.5</v>
      </c>
      <c r="K469" s="5">
        <v>99.5</v>
      </c>
      <c r="L469" s="5">
        <v>96.724000000000004</v>
      </c>
    </row>
    <row r="470" spans="1:12" x14ac:dyDescent="0.3">
      <c r="A470" s="2" t="s">
        <v>298</v>
      </c>
      <c r="B470" s="2" t="s">
        <v>307</v>
      </c>
      <c r="C470" s="2" t="s">
        <v>308</v>
      </c>
      <c r="D470" s="2" t="s">
        <v>301</v>
      </c>
      <c r="E470" s="2">
        <v>1</v>
      </c>
      <c r="F470" s="2" t="s">
        <v>791</v>
      </c>
      <c r="G470" s="5">
        <v>80.650000000000006</v>
      </c>
      <c r="H470" s="5">
        <v>85.65</v>
      </c>
      <c r="I470" s="5">
        <v>69.5</v>
      </c>
      <c r="J470" s="5">
        <v>84.5</v>
      </c>
      <c r="K470" s="5">
        <v>79.900000000000006</v>
      </c>
      <c r="L470" s="5">
        <v>80.040000000000006</v>
      </c>
    </row>
    <row r="471" spans="1:12" x14ac:dyDescent="0.3">
      <c r="A471" s="2" t="s">
        <v>298</v>
      </c>
      <c r="B471" s="2" t="s">
        <v>307</v>
      </c>
      <c r="C471" s="2" t="s">
        <v>308</v>
      </c>
      <c r="D471" s="2" t="s">
        <v>64</v>
      </c>
      <c r="E471" s="2">
        <v>2</v>
      </c>
      <c r="F471" s="2" t="s">
        <v>795</v>
      </c>
      <c r="G471" s="5">
        <v>87.96</v>
      </c>
      <c r="H471" s="5">
        <v>87.96</v>
      </c>
      <c r="I471" s="5">
        <v>67.5</v>
      </c>
      <c r="J471" s="5">
        <v>90.5</v>
      </c>
      <c r="K471" s="5">
        <v>85.1</v>
      </c>
      <c r="L471" s="5">
        <v>83.804000000000002</v>
      </c>
    </row>
    <row r="472" spans="1:12" x14ac:dyDescent="0.3">
      <c r="A472" s="2" t="s">
        <v>298</v>
      </c>
      <c r="B472" s="2" t="s">
        <v>307</v>
      </c>
      <c r="C472" s="2" t="s">
        <v>308</v>
      </c>
      <c r="D472" s="2" t="s">
        <v>189</v>
      </c>
      <c r="E472" s="2">
        <v>3</v>
      </c>
      <c r="F472" s="2" t="s">
        <v>796</v>
      </c>
      <c r="G472" s="5">
        <v>85.65</v>
      </c>
      <c r="H472" s="5">
        <v>89.65</v>
      </c>
      <c r="I472" s="5">
        <v>75</v>
      </c>
      <c r="J472" s="5">
        <v>95</v>
      </c>
      <c r="K472" s="5">
        <v>82.5</v>
      </c>
      <c r="L472" s="5">
        <v>85.56</v>
      </c>
    </row>
    <row r="473" spans="1:12" x14ac:dyDescent="0.3">
      <c r="A473" s="2" t="s">
        <v>298</v>
      </c>
      <c r="B473" s="2" t="s">
        <v>307</v>
      </c>
      <c r="C473" s="2" t="s">
        <v>308</v>
      </c>
      <c r="D473" s="2" t="s">
        <v>302</v>
      </c>
      <c r="E473" s="2">
        <v>4</v>
      </c>
      <c r="F473" s="2" t="s">
        <v>797</v>
      </c>
      <c r="G473" s="5">
        <v>83.44</v>
      </c>
      <c r="H473" s="5">
        <v>89.44</v>
      </c>
      <c r="I473" s="5">
        <v>83.5</v>
      </c>
      <c r="J473" s="5">
        <v>90.5</v>
      </c>
      <c r="K473" s="5">
        <v>86</v>
      </c>
      <c r="L473" s="5">
        <v>86.575999999999993</v>
      </c>
    </row>
    <row r="474" spans="1:12" x14ac:dyDescent="0.3">
      <c r="A474" s="2" t="s">
        <v>298</v>
      </c>
      <c r="B474" s="2" t="s">
        <v>309</v>
      </c>
      <c r="C474" s="2" t="s">
        <v>310</v>
      </c>
      <c r="D474" s="2" t="s">
        <v>301</v>
      </c>
      <c r="E474" s="2">
        <v>1</v>
      </c>
      <c r="F474" s="2" t="s">
        <v>791</v>
      </c>
      <c r="G474" s="5">
        <v>91.96</v>
      </c>
      <c r="H474" s="5">
        <v>94.96</v>
      </c>
      <c r="I474" s="5">
        <v>89</v>
      </c>
      <c r="J474" s="5">
        <v>99.5</v>
      </c>
      <c r="K474" s="5">
        <v>93.1</v>
      </c>
      <c r="L474" s="5">
        <v>93.703999999999994</v>
      </c>
    </row>
    <row r="475" spans="1:12" x14ac:dyDescent="0.3">
      <c r="A475" s="2" t="s">
        <v>298</v>
      </c>
      <c r="B475" s="2" t="s">
        <v>309</v>
      </c>
      <c r="C475" s="2" t="s">
        <v>310</v>
      </c>
      <c r="D475" s="2" t="s">
        <v>64</v>
      </c>
      <c r="E475" s="2">
        <v>2</v>
      </c>
      <c r="F475" s="2" t="s">
        <v>795</v>
      </c>
      <c r="G475" s="5">
        <v>91.92</v>
      </c>
      <c r="H475" s="5">
        <v>96.92</v>
      </c>
      <c r="I475" s="5">
        <v>96</v>
      </c>
      <c r="J475" s="5">
        <v>96.5</v>
      </c>
      <c r="K475" s="5">
        <v>94.6</v>
      </c>
      <c r="L475" s="5">
        <v>95.188000000000017</v>
      </c>
    </row>
    <row r="476" spans="1:12" x14ac:dyDescent="0.3">
      <c r="A476" s="2" t="s">
        <v>298</v>
      </c>
      <c r="B476" s="2" t="s">
        <v>309</v>
      </c>
      <c r="C476" s="2" t="s">
        <v>310</v>
      </c>
      <c r="D476" s="2" t="s">
        <v>189</v>
      </c>
      <c r="E476" s="2">
        <v>3</v>
      </c>
      <c r="F476" s="2" t="s">
        <v>796</v>
      </c>
      <c r="G476" s="5">
        <v>93.7</v>
      </c>
      <c r="H476" s="5">
        <v>96.7</v>
      </c>
      <c r="I476" s="5">
        <v>96.5</v>
      </c>
      <c r="J476" s="5">
        <v>100</v>
      </c>
      <c r="K476" s="5">
        <v>97.5</v>
      </c>
      <c r="L476" s="5">
        <v>96.88</v>
      </c>
    </row>
    <row r="477" spans="1:12" x14ac:dyDescent="0.3">
      <c r="A477" s="2" t="s">
        <v>298</v>
      </c>
      <c r="B477" s="2" t="s">
        <v>309</v>
      </c>
      <c r="C477" s="2" t="s">
        <v>310</v>
      </c>
      <c r="D477" s="2" t="s">
        <v>302</v>
      </c>
      <c r="E477" s="2">
        <v>4</v>
      </c>
      <c r="F477" s="2" t="s">
        <v>797</v>
      </c>
      <c r="G477" s="5">
        <v>91.06</v>
      </c>
      <c r="H477" s="5">
        <v>95.06</v>
      </c>
      <c r="I477" s="5">
        <v>99</v>
      </c>
      <c r="J477" s="5">
        <v>96</v>
      </c>
      <c r="K477" s="5">
        <v>98.5</v>
      </c>
      <c r="L477" s="5">
        <v>95.924000000000007</v>
      </c>
    </row>
    <row r="478" spans="1:12" x14ac:dyDescent="0.3">
      <c r="A478" s="2" t="s">
        <v>298</v>
      </c>
      <c r="B478" s="2" t="s">
        <v>311</v>
      </c>
      <c r="C478" s="2" t="s">
        <v>312</v>
      </c>
      <c r="D478" s="2" t="s">
        <v>301</v>
      </c>
      <c r="E478" s="2">
        <v>1</v>
      </c>
      <c r="F478" s="2" t="s">
        <v>791</v>
      </c>
      <c r="G478" s="5">
        <v>84.69</v>
      </c>
      <c r="H478" s="5">
        <v>87.69</v>
      </c>
      <c r="I478" s="5">
        <v>88.5</v>
      </c>
      <c r="J478" s="5">
        <v>81.5</v>
      </c>
      <c r="K478" s="5">
        <v>81.5</v>
      </c>
      <c r="L478" s="5">
        <v>84.775999999999996</v>
      </c>
    </row>
    <row r="479" spans="1:12" x14ac:dyDescent="0.3">
      <c r="A479" s="2" t="s">
        <v>298</v>
      </c>
      <c r="B479" s="2" t="s">
        <v>311</v>
      </c>
      <c r="C479" s="2" t="s">
        <v>312</v>
      </c>
      <c r="D479" s="2" t="s">
        <v>64</v>
      </c>
      <c r="E479" s="2">
        <v>2</v>
      </c>
      <c r="F479" s="2" t="s">
        <v>795</v>
      </c>
      <c r="G479" s="5">
        <v>85.44</v>
      </c>
      <c r="H479" s="5">
        <v>90.44</v>
      </c>
      <c r="I479" s="5">
        <v>89</v>
      </c>
      <c r="J479" s="5">
        <v>90</v>
      </c>
      <c r="K479" s="5">
        <v>83.9</v>
      </c>
      <c r="L479" s="5">
        <v>87.756</v>
      </c>
    </row>
    <row r="480" spans="1:12" x14ac:dyDescent="0.3">
      <c r="A480" s="2" t="s">
        <v>298</v>
      </c>
      <c r="B480" s="2" t="s">
        <v>311</v>
      </c>
      <c r="C480" s="2" t="s">
        <v>312</v>
      </c>
      <c r="D480" s="2" t="s">
        <v>189</v>
      </c>
      <c r="E480" s="2">
        <v>3</v>
      </c>
      <c r="F480" s="2" t="s">
        <v>796</v>
      </c>
      <c r="G480" s="5">
        <v>92.05</v>
      </c>
      <c r="H480" s="5">
        <v>93.05</v>
      </c>
      <c r="I480" s="5">
        <v>88.5</v>
      </c>
      <c r="J480" s="5">
        <v>89</v>
      </c>
      <c r="K480" s="5">
        <v>87.5</v>
      </c>
      <c r="L480" s="5">
        <v>90.02000000000001</v>
      </c>
    </row>
    <row r="481" spans="1:12" x14ac:dyDescent="0.3">
      <c r="A481" s="2" t="s">
        <v>298</v>
      </c>
      <c r="B481" s="2" t="s">
        <v>311</v>
      </c>
      <c r="C481" s="2" t="s">
        <v>312</v>
      </c>
      <c r="D481" s="2" t="s">
        <v>302</v>
      </c>
      <c r="E481" s="2">
        <v>4</v>
      </c>
      <c r="F481" s="2" t="s">
        <v>797</v>
      </c>
      <c r="G481" s="5">
        <v>89.13</v>
      </c>
      <c r="H481" s="5">
        <v>93.13</v>
      </c>
      <c r="I481" s="5">
        <v>90.5</v>
      </c>
      <c r="J481" s="5">
        <v>93</v>
      </c>
      <c r="K481" s="5">
        <v>92</v>
      </c>
      <c r="L481" s="5">
        <v>91.551999999999992</v>
      </c>
    </row>
    <row r="482" spans="1:12" x14ac:dyDescent="0.3">
      <c r="A482" s="2" t="s">
        <v>298</v>
      </c>
      <c r="B482" s="2" t="s">
        <v>313</v>
      </c>
      <c r="C482" s="2" t="s">
        <v>314</v>
      </c>
      <c r="D482" s="2" t="s">
        <v>301</v>
      </c>
      <c r="E482" s="2">
        <v>1</v>
      </c>
      <c r="F482" s="2" t="s">
        <v>791</v>
      </c>
      <c r="G482" s="5">
        <v>78.260000000000005</v>
      </c>
      <c r="H482" s="5">
        <v>83.26</v>
      </c>
      <c r="I482" s="5">
        <v>77.5</v>
      </c>
      <c r="J482" s="5">
        <v>90.5</v>
      </c>
      <c r="K482" s="5">
        <v>72.099999999999994</v>
      </c>
      <c r="L482" s="5">
        <v>80.323999999999998</v>
      </c>
    </row>
    <row r="483" spans="1:12" x14ac:dyDescent="0.3">
      <c r="A483" s="2" t="s">
        <v>298</v>
      </c>
      <c r="B483" s="2" t="s">
        <v>313</v>
      </c>
      <c r="C483" s="2" t="s">
        <v>314</v>
      </c>
      <c r="D483" s="2" t="s">
        <v>64</v>
      </c>
      <c r="E483" s="2">
        <v>2</v>
      </c>
      <c r="F483" s="2" t="s">
        <v>795</v>
      </c>
      <c r="G483" s="5">
        <v>82.04</v>
      </c>
      <c r="H483" s="5">
        <v>88.04</v>
      </c>
      <c r="I483" s="5">
        <v>81.5</v>
      </c>
      <c r="J483" s="5">
        <v>86.5</v>
      </c>
      <c r="K483" s="5">
        <v>83.8</v>
      </c>
      <c r="L483" s="5">
        <v>84.376000000000005</v>
      </c>
    </row>
    <row r="484" spans="1:12" x14ac:dyDescent="0.3">
      <c r="A484" s="2" t="s">
        <v>298</v>
      </c>
      <c r="B484" s="2" t="s">
        <v>313</v>
      </c>
      <c r="C484" s="2" t="s">
        <v>314</v>
      </c>
      <c r="D484" s="2" t="s">
        <v>189</v>
      </c>
      <c r="E484" s="2">
        <v>3</v>
      </c>
      <c r="F484" s="2" t="s">
        <v>796</v>
      </c>
      <c r="G484" s="5">
        <v>86.3</v>
      </c>
      <c r="H484" s="5">
        <v>90.3</v>
      </c>
      <c r="I484" s="5">
        <v>87</v>
      </c>
      <c r="J484" s="5">
        <v>90.5</v>
      </c>
      <c r="K484" s="5">
        <v>85</v>
      </c>
      <c r="L484" s="5">
        <v>87.820000000000007</v>
      </c>
    </row>
    <row r="485" spans="1:12" x14ac:dyDescent="0.3">
      <c r="A485" s="2" t="s">
        <v>298</v>
      </c>
      <c r="B485" s="2" t="s">
        <v>313</v>
      </c>
      <c r="C485" s="2" t="s">
        <v>314</v>
      </c>
      <c r="D485" s="2" t="s">
        <v>302</v>
      </c>
      <c r="E485" s="2">
        <v>4</v>
      </c>
      <c r="F485" s="2" t="s">
        <v>797</v>
      </c>
      <c r="G485" s="5">
        <v>87.88</v>
      </c>
      <c r="H485" s="5">
        <v>88.88</v>
      </c>
      <c r="I485" s="5">
        <v>86</v>
      </c>
      <c r="J485" s="5">
        <v>93</v>
      </c>
      <c r="K485" s="5">
        <v>89.5</v>
      </c>
      <c r="L485" s="5">
        <v>89.051999999999992</v>
      </c>
    </row>
    <row r="486" spans="1:12" x14ac:dyDescent="0.3">
      <c r="A486" s="2" t="s">
        <v>298</v>
      </c>
      <c r="B486" s="2" t="s">
        <v>315</v>
      </c>
      <c r="C486" s="2" t="s">
        <v>316</v>
      </c>
      <c r="D486" s="2" t="s">
        <v>301</v>
      </c>
      <c r="E486" s="2">
        <v>1</v>
      </c>
      <c r="F486" s="2" t="s">
        <v>791</v>
      </c>
      <c r="G486" s="5">
        <v>71.92</v>
      </c>
      <c r="H486" s="5">
        <v>73.92</v>
      </c>
      <c r="I486" s="5">
        <v>78</v>
      </c>
      <c r="J486" s="5">
        <v>61</v>
      </c>
      <c r="K486" s="5">
        <v>61.7</v>
      </c>
      <c r="L486" s="5">
        <v>69.308000000000007</v>
      </c>
    </row>
    <row r="487" spans="1:12" x14ac:dyDescent="0.3">
      <c r="A487" s="2" t="s">
        <v>298</v>
      </c>
      <c r="B487" s="2" t="s">
        <v>315</v>
      </c>
      <c r="C487" s="2" t="s">
        <v>316</v>
      </c>
      <c r="D487" s="2" t="s">
        <v>64</v>
      </c>
      <c r="E487" s="2">
        <v>2</v>
      </c>
      <c r="F487" s="2" t="s">
        <v>795</v>
      </c>
      <c r="G487" s="5">
        <v>70.44</v>
      </c>
      <c r="H487" s="5">
        <v>73.44</v>
      </c>
      <c r="I487" s="5">
        <v>79.5</v>
      </c>
      <c r="J487" s="5">
        <v>61</v>
      </c>
      <c r="K487" s="5">
        <v>61</v>
      </c>
      <c r="L487" s="5">
        <v>69.075999999999993</v>
      </c>
    </row>
    <row r="488" spans="1:12" x14ac:dyDescent="0.3">
      <c r="A488" s="2" t="s">
        <v>298</v>
      </c>
      <c r="B488" s="2" t="s">
        <v>315</v>
      </c>
      <c r="C488" s="2" t="s">
        <v>316</v>
      </c>
      <c r="D488" s="2" t="s">
        <v>189</v>
      </c>
      <c r="E488" s="2">
        <v>3</v>
      </c>
      <c r="F488" s="2" t="s">
        <v>796</v>
      </c>
      <c r="G488" s="5">
        <v>82.3</v>
      </c>
      <c r="H488" s="5">
        <v>83.3</v>
      </c>
      <c r="I488" s="5">
        <v>88.5</v>
      </c>
      <c r="J488" s="5">
        <v>77</v>
      </c>
      <c r="K488" s="5">
        <v>73</v>
      </c>
      <c r="L488" s="5">
        <v>80.820000000000007</v>
      </c>
    </row>
    <row r="489" spans="1:12" x14ac:dyDescent="0.3">
      <c r="A489" s="2" t="s">
        <v>298</v>
      </c>
      <c r="B489" s="2" t="s">
        <v>315</v>
      </c>
      <c r="C489" s="2" t="s">
        <v>316</v>
      </c>
      <c r="D489" s="2" t="s">
        <v>302</v>
      </c>
      <c r="E489" s="2">
        <v>4</v>
      </c>
      <c r="F489" s="2" t="s">
        <v>797</v>
      </c>
      <c r="G489" s="5">
        <v>77.44</v>
      </c>
      <c r="H489" s="5">
        <v>83.44</v>
      </c>
      <c r="I489" s="5">
        <v>82</v>
      </c>
      <c r="J489" s="5">
        <v>88</v>
      </c>
      <c r="K489" s="5">
        <v>79</v>
      </c>
      <c r="L489" s="5">
        <v>81.975999999999999</v>
      </c>
    </row>
    <row r="490" spans="1:12" x14ac:dyDescent="0.3">
      <c r="A490" s="2" t="s">
        <v>298</v>
      </c>
      <c r="B490" s="2" t="s">
        <v>317</v>
      </c>
      <c r="C490" s="2" t="s">
        <v>318</v>
      </c>
      <c r="D490" s="2" t="s">
        <v>301</v>
      </c>
      <c r="E490" s="2">
        <v>1</v>
      </c>
      <c r="F490" s="2" t="s">
        <v>791</v>
      </c>
      <c r="G490" s="5">
        <v>84.26</v>
      </c>
      <c r="H490" s="5">
        <v>89.26</v>
      </c>
      <c r="I490" s="5">
        <v>86</v>
      </c>
      <c r="J490" s="5">
        <v>89.5</v>
      </c>
      <c r="K490" s="5">
        <v>84.7</v>
      </c>
      <c r="L490" s="5">
        <v>86.744</v>
      </c>
    </row>
    <row r="491" spans="1:12" x14ac:dyDescent="0.3">
      <c r="A491" s="2" t="s">
        <v>298</v>
      </c>
      <c r="B491" s="2" t="s">
        <v>317</v>
      </c>
      <c r="C491" s="2" t="s">
        <v>318</v>
      </c>
      <c r="D491" s="2" t="s">
        <v>64</v>
      </c>
      <c r="E491" s="2">
        <v>2</v>
      </c>
      <c r="F491" s="2" t="s">
        <v>795</v>
      </c>
      <c r="G491" s="5">
        <v>90.16</v>
      </c>
      <c r="H491" s="5">
        <v>91.16</v>
      </c>
      <c r="I491" s="5">
        <v>86</v>
      </c>
      <c r="J491" s="5">
        <v>88</v>
      </c>
      <c r="K491" s="5">
        <v>88.4</v>
      </c>
      <c r="L491" s="5">
        <v>88.744</v>
      </c>
    </row>
    <row r="492" spans="1:12" x14ac:dyDescent="0.3">
      <c r="A492" s="2" t="s">
        <v>298</v>
      </c>
      <c r="B492" s="2" t="s">
        <v>317</v>
      </c>
      <c r="C492" s="2" t="s">
        <v>318</v>
      </c>
      <c r="D492" s="2" t="s">
        <v>189</v>
      </c>
      <c r="E492" s="2">
        <v>3</v>
      </c>
      <c r="F492" s="2" t="s">
        <v>796</v>
      </c>
      <c r="G492" s="5">
        <v>95.15</v>
      </c>
      <c r="H492" s="5">
        <v>96.15</v>
      </c>
      <c r="I492" s="5">
        <v>90.5</v>
      </c>
      <c r="J492" s="5">
        <v>93.5</v>
      </c>
      <c r="K492" s="5">
        <v>94.5</v>
      </c>
      <c r="L492" s="5">
        <v>93.960000000000008</v>
      </c>
    </row>
    <row r="493" spans="1:12" x14ac:dyDescent="0.3">
      <c r="A493" s="2" t="s">
        <v>298</v>
      </c>
      <c r="B493" s="2" t="s">
        <v>317</v>
      </c>
      <c r="C493" s="2" t="s">
        <v>318</v>
      </c>
      <c r="D493" s="2" t="s">
        <v>302</v>
      </c>
      <c r="E493" s="2">
        <v>4</v>
      </c>
      <c r="F493" s="2" t="s">
        <v>797</v>
      </c>
      <c r="G493" s="5">
        <v>91.38</v>
      </c>
      <c r="H493" s="5">
        <v>94.38</v>
      </c>
      <c r="I493" s="5">
        <v>95.5</v>
      </c>
      <c r="J493" s="5">
        <v>95</v>
      </c>
      <c r="K493" s="5">
        <v>93.5</v>
      </c>
      <c r="L493" s="5">
        <v>93.951999999999998</v>
      </c>
    </row>
    <row r="494" spans="1:12" x14ac:dyDescent="0.3">
      <c r="A494" s="2" t="s">
        <v>298</v>
      </c>
      <c r="B494" s="2" t="s">
        <v>319</v>
      </c>
      <c r="C494" s="2" t="s">
        <v>320</v>
      </c>
      <c r="D494" s="2" t="s">
        <v>301</v>
      </c>
      <c r="E494" s="2">
        <v>1</v>
      </c>
      <c r="F494" s="2" t="s">
        <v>791</v>
      </c>
      <c r="G494" s="5">
        <v>83.03</v>
      </c>
      <c r="H494" s="5">
        <v>86.03</v>
      </c>
      <c r="I494" s="5">
        <v>93.5</v>
      </c>
      <c r="J494" s="5">
        <v>80.5</v>
      </c>
      <c r="K494" s="5">
        <v>75.900000000000006</v>
      </c>
      <c r="L494" s="5">
        <v>83.792000000000002</v>
      </c>
    </row>
    <row r="495" spans="1:12" x14ac:dyDescent="0.3">
      <c r="A495" s="2" t="s">
        <v>298</v>
      </c>
      <c r="B495" s="2" t="s">
        <v>319</v>
      </c>
      <c r="C495" s="2" t="s">
        <v>320</v>
      </c>
      <c r="D495" s="2" t="s">
        <v>64</v>
      </c>
      <c r="E495" s="2">
        <v>2</v>
      </c>
      <c r="F495" s="2" t="s">
        <v>795</v>
      </c>
      <c r="G495" s="5">
        <v>85.76</v>
      </c>
      <c r="H495" s="5">
        <v>90.76</v>
      </c>
      <c r="I495" s="5">
        <v>94</v>
      </c>
      <c r="J495" s="5">
        <v>80.5</v>
      </c>
      <c r="K495" s="5">
        <v>86.8</v>
      </c>
      <c r="L495" s="5">
        <v>87.563999999999993</v>
      </c>
    </row>
    <row r="496" spans="1:12" x14ac:dyDescent="0.3">
      <c r="A496" s="2" t="s">
        <v>298</v>
      </c>
      <c r="B496" s="2" t="s">
        <v>319</v>
      </c>
      <c r="C496" s="2" t="s">
        <v>320</v>
      </c>
      <c r="D496" s="2" t="s">
        <v>189</v>
      </c>
      <c r="E496" s="2">
        <v>3</v>
      </c>
      <c r="F496" s="2" t="s">
        <v>796</v>
      </c>
      <c r="G496" s="5">
        <v>91.4</v>
      </c>
      <c r="H496" s="5">
        <v>94.4</v>
      </c>
      <c r="I496" s="5">
        <v>94</v>
      </c>
      <c r="J496" s="5">
        <v>94.5</v>
      </c>
      <c r="K496" s="5">
        <v>91.5</v>
      </c>
      <c r="L496" s="5">
        <v>93.16</v>
      </c>
    </row>
    <row r="497" spans="1:12" x14ac:dyDescent="0.3">
      <c r="A497" s="2" t="s">
        <v>298</v>
      </c>
      <c r="B497" s="2" t="s">
        <v>319</v>
      </c>
      <c r="C497" s="2" t="s">
        <v>320</v>
      </c>
      <c r="D497" s="2" t="s">
        <v>302</v>
      </c>
      <c r="E497" s="2">
        <v>4</v>
      </c>
      <c r="F497" s="2" t="s">
        <v>797</v>
      </c>
      <c r="G497" s="5">
        <v>87.69</v>
      </c>
      <c r="H497" s="5">
        <v>89.69</v>
      </c>
      <c r="I497" s="5">
        <v>94</v>
      </c>
      <c r="J497" s="5">
        <v>89</v>
      </c>
      <c r="K497" s="5">
        <v>88.5</v>
      </c>
      <c r="L497" s="5">
        <v>89.775999999999996</v>
      </c>
    </row>
    <row r="498" spans="1:12" x14ac:dyDescent="0.3">
      <c r="A498" s="2" t="s">
        <v>298</v>
      </c>
      <c r="B498" s="2" t="s">
        <v>321</v>
      </c>
      <c r="C498" s="2" t="s">
        <v>322</v>
      </c>
      <c r="D498" s="2" t="s">
        <v>301</v>
      </c>
      <c r="E498" s="2">
        <v>1</v>
      </c>
      <c r="F498" s="2" t="s">
        <v>791</v>
      </c>
      <c r="G498" s="5">
        <v>86.65</v>
      </c>
      <c r="H498" s="5">
        <v>90.65</v>
      </c>
      <c r="I498" s="5">
        <v>89.5</v>
      </c>
      <c r="J498" s="5">
        <v>92</v>
      </c>
      <c r="K498" s="5">
        <v>86.3</v>
      </c>
      <c r="L498" s="5">
        <v>89.02000000000001</v>
      </c>
    </row>
    <row r="499" spans="1:12" x14ac:dyDescent="0.3">
      <c r="A499" s="2" t="s">
        <v>298</v>
      </c>
      <c r="B499" s="2" t="s">
        <v>321</v>
      </c>
      <c r="C499" s="2" t="s">
        <v>322</v>
      </c>
      <c r="D499" s="2" t="s">
        <v>64</v>
      </c>
      <c r="E499" s="2">
        <v>2</v>
      </c>
      <c r="F499" s="2" t="s">
        <v>795</v>
      </c>
      <c r="G499" s="5">
        <v>90.72</v>
      </c>
      <c r="H499" s="5">
        <v>93.72</v>
      </c>
      <c r="I499" s="5">
        <v>94</v>
      </c>
      <c r="J499" s="5">
        <v>93</v>
      </c>
      <c r="K499" s="5">
        <v>92.3</v>
      </c>
      <c r="L499" s="5">
        <v>92.748000000000005</v>
      </c>
    </row>
    <row r="500" spans="1:12" x14ac:dyDescent="0.3">
      <c r="A500" s="2" t="s">
        <v>298</v>
      </c>
      <c r="B500" s="2" t="s">
        <v>321</v>
      </c>
      <c r="C500" s="2" t="s">
        <v>322</v>
      </c>
      <c r="D500" s="2" t="s">
        <v>189</v>
      </c>
      <c r="E500" s="2">
        <v>3</v>
      </c>
      <c r="F500" s="2" t="s">
        <v>796</v>
      </c>
      <c r="G500" s="5">
        <v>94.7</v>
      </c>
      <c r="H500" s="5">
        <v>95.7</v>
      </c>
      <c r="I500" s="5">
        <v>95.5</v>
      </c>
      <c r="J500" s="5">
        <v>98</v>
      </c>
      <c r="K500" s="5">
        <v>90.5</v>
      </c>
      <c r="L500" s="5">
        <v>94.88</v>
      </c>
    </row>
    <row r="501" spans="1:12" x14ac:dyDescent="0.3">
      <c r="A501" s="2" t="s">
        <v>298</v>
      </c>
      <c r="B501" s="2" t="s">
        <v>321</v>
      </c>
      <c r="C501" s="2" t="s">
        <v>322</v>
      </c>
      <c r="D501" s="2" t="s">
        <v>302</v>
      </c>
      <c r="E501" s="2">
        <v>4</v>
      </c>
      <c r="F501" s="2" t="s">
        <v>797</v>
      </c>
      <c r="G501" s="5">
        <v>90.56</v>
      </c>
      <c r="H501" s="5">
        <v>96.56</v>
      </c>
      <c r="I501" s="5">
        <v>96</v>
      </c>
      <c r="J501" s="5">
        <v>96.5</v>
      </c>
      <c r="K501" s="5">
        <v>94</v>
      </c>
      <c r="L501" s="5">
        <v>94.724000000000004</v>
      </c>
    </row>
    <row r="502" spans="1:12" x14ac:dyDescent="0.3">
      <c r="A502" s="2" t="s">
        <v>298</v>
      </c>
      <c r="B502" s="2" t="s">
        <v>323</v>
      </c>
      <c r="C502" s="2" t="s">
        <v>324</v>
      </c>
      <c r="D502" s="2" t="s">
        <v>301</v>
      </c>
      <c r="E502" s="2">
        <v>1</v>
      </c>
      <c r="F502" s="2" t="s">
        <v>791</v>
      </c>
      <c r="G502" s="5">
        <v>77.42</v>
      </c>
      <c r="H502" s="5">
        <v>79.42</v>
      </c>
      <c r="I502" s="5">
        <v>82.5</v>
      </c>
      <c r="J502" s="5">
        <v>65.5</v>
      </c>
      <c r="K502" s="5">
        <v>68.2</v>
      </c>
      <c r="L502" s="5">
        <v>74.608000000000004</v>
      </c>
    </row>
    <row r="503" spans="1:12" x14ac:dyDescent="0.3">
      <c r="A503" s="2" t="s">
        <v>298</v>
      </c>
      <c r="B503" s="2" t="s">
        <v>323</v>
      </c>
      <c r="C503" s="2" t="s">
        <v>324</v>
      </c>
      <c r="D503" s="2" t="s">
        <v>64</v>
      </c>
      <c r="E503" s="2">
        <v>2</v>
      </c>
      <c r="F503" s="2" t="s">
        <v>795</v>
      </c>
      <c r="G503" s="5">
        <v>82.52</v>
      </c>
      <c r="H503" s="5">
        <v>82.52</v>
      </c>
      <c r="I503" s="5">
        <v>79.5</v>
      </c>
      <c r="J503" s="5">
        <v>77.5</v>
      </c>
      <c r="K503" s="5">
        <v>75.099999999999994</v>
      </c>
      <c r="L503" s="5">
        <v>79.427999999999997</v>
      </c>
    </row>
    <row r="504" spans="1:12" x14ac:dyDescent="0.3">
      <c r="A504" s="2" t="s">
        <v>298</v>
      </c>
      <c r="B504" s="2" t="s">
        <v>323</v>
      </c>
      <c r="C504" s="2" t="s">
        <v>324</v>
      </c>
      <c r="D504" s="2" t="s">
        <v>189</v>
      </c>
      <c r="E504" s="2">
        <v>3</v>
      </c>
      <c r="F504" s="2" t="s">
        <v>796</v>
      </c>
      <c r="G504" s="5">
        <v>85.65</v>
      </c>
      <c r="H504" s="5">
        <v>86.65</v>
      </c>
      <c r="I504" s="5">
        <v>83</v>
      </c>
      <c r="J504" s="5">
        <v>79.5</v>
      </c>
      <c r="K504" s="5">
        <v>78</v>
      </c>
      <c r="L504" s="5">
        <v>82.56</v>
      </c>
    </row>
    <row r="505" spans="1:12" x14ac:dyDescent="0.3">
      <c r="A505" s="2" t="s">
        <v>298</v>
      </c>
      <c r="B505" s="2" t="s">
        <v>323</v>
      </c>
      <c r="C505" s="2" t="s">
        <v>324</v>
      </c>
      <c r="D505" s="2" t="s">
        <v>302</v>
      </c>
      <c r="E505" s="2">
        <v>4</v>
      </c>
      <c r="F505" s="2" t="s">
        <v>797</v>
      </c>
      <c r="G505" s="5">
        <v>82.69</v>
      </c>
      <c r="H505" s="5">
        <v>83.69</v>
      </c>
      <c r="I505" s="5">
        <v>86</v>
      </c>
      <c r="J505" s="5">
        <v>81</v>
      </c>
      <c r="K505" s="5">
        <v>86.5</v>
      </c>
      <c r="L505" s="5">
        <v>83.975999999999999</v>
      </c>
    </row>
    <row r="506" spans="1:12" x14ac:dyDescent="0.3">
      <c r="A506" s="2" t="s">
        <v>298</v>
      </c>
      <c r="B506" s="2" t="s">
        <v>325</v>
      </c>
      <c r="C506" s="2" t="s">
        <v>326</v>
      </c>
      <c r="D506" s="2" t="s">
        <v>301</v>
      </c>
      <c r="E506" s="2">
        <v>1</v>
      </c>
      <c r="F506" s="2" t="s">
        <v>791</v>
      </c>
      <c r="G506" s="5">
        <v>82.8</v>
      </c>
      <c r="H506" s="5">
        <v>84.8</v>
      </c>
      <c r="I506" s="5">
        <v>89</v>
      </c>
      <c r="J506" s="5">
        <v>88</v>
      </c>
      <c r="K506" s="5">
        <v>75.900000000000006</v>
      </c>
      <c r="L506" s="5">
        <v>84.1</v>
      </c>
    </row>
    <row r="507" spans="1:12" x14ac:dyDescent="0.3">
      <c r="A507" s="2" t="s">
        <v>298</v>
      </c>
      <c r="B507" s="2" t="s">
        <v>325</v>
      </c>
      <c r="C507" s="2" t="s">
        <v>326</v>
      </c>
      <c r="D507" s="2" t="s">
        <v>64</v>
      </c>
      <c r="E507" s="2">
        <v>2</v>
      </c>
      <c r="F507" s="2" t="s">
        <v>795</v>
      </c>
      <c r="G507" s="5">
        <v>89.4</v>
      </c>
      <c r="H507" s="5">
        <v>90.4</v>
      </c>
      <c r="I507" s="5">
        <v>91</v>
      </c>
      <c r="J507" s="5">
        <v>86</v>
      </c>
      <c r="K507" s="5">
        <v>87.1</v>
      </c>
      <c r="L507" s="5">
        <v>88.78</v>
      </c>
    </row>
    <row r="508" spans="1:12" x14ac:dyDescent="0.3">
      <c r="A508" s="2" t="s">
        <v>298</v>
      </c>
      <c r="B508" s="2" t="s">
        <v>325</v>
      </c>
      <c r="C508" s="2" t="s">
        <v>326</v>
      </c>
      <c r="D508" s="2" t="s">
        <v>189</v>
      </c>
      <c r="E508" s="2">
        <v>3</v>
      </c>
      <c r="F508" s="2" t="s">
        <v>796</v>
      </c>
      <c r="G508" s="5">
        <v>89.3</v>
      </c>
      <c r="H508" s="5">
        <v>93.3</v>
      </c>
      <c r="I508" s="5">
        <v>92.5</v>
      </c>
      <c r="J508" s="5">
        <v>98</v>
      </c>
      <c r="K508" s="5">
        <v>90.5</v>
      </c>
      <c r="L508" s="5">
        <v>92.72</v>
      </c>
    </row>
    <row r="509" spans="1:12" x14ac:dyDescent="0.3">
      <c r="A509" s="2" t="s">
        <v>298</v>
      </c>
      <c r="B509" s="2" t="s">
        <v>325</v>
      </c>
      <c r="C509" s="2" t="s">
        <v>326</v>
      </c>
      <c r="D509" s="2" t="s">
        <v>302</v>
      </c>
      <c r="E509" s="2">
        <v>4</v>
      </c>
      <c r="F509" s="2" t="s">
        <v>797</v>
      </c>
      <c r="G509" s="5">
        <v>88.88</v>
      </c>
      <c r="H509" s="5">
        <v>91.88</v>
      </c>
      <c r="I509" s="5">
        <v>92</v>
      </c>
      <c r="J509" s="5">
        <v>92</v>
      </c>
      <c r="K509" s="5">
        <v>92</v>
      </c>
      <c r="L509" s="5">
        <v>91.352000000000004</v>
      </c>
    </row>
    <row r="510" spans="1:12" x14ac:dyDescent="0.3">
      <c r="A510" s="2" t="s">
        <v>298</v>
      </c>
      <c r="B510" s="2" t="s">
        <v>327</v>
      </c>
      <c r="C510" s="2" t="s">
        <v>328</v>
      </c>
      <c r="D510" s="2" t="s">
        <v>301</v>
      </c>
      <c r="E510" s="2">
        <v>1</v>
      </c>
      <c r="F510" s="2" t="s">
        <v>791</v>
      </c>
      <c r="G510" s="5">
        <v>87.38</v>
      </c>
      <c r="H510" s="5">
        <v>87.38</v>
      </c>
      <c r="I510" s="5">
        <v>83</v>
      </c>
      <c r="J510" s="5">
        <v>86.5</v>
      </c>
      <c r="K510" s="5">
        <v>81.5</v>
      </c>
      <c r="L510" s="5">
        <v>85.152000000000001</v>
      </c>
    </row>
    <row r="511" spans="1:12" x14ac:dyDescent="0.3">
      <c r="A511" s="2" t="s">
        <v>298</v>
      </c>
      <c r="B511" s="2" t="s">
        <v>327</v>
      </c>
      <c r="C511" s="2" t="s">
        <v>328</v>
      </c>
      <c r="D511" s="2" t="s">
        <v>64</v>
      </c>
      <c r="E511" s="2">
        <v>2</v>
      </c>
      <c r="F511" s="2" t="s">
        <v>795</v>
      </c>
      <c r="G511" s="5">
        <v>90.56</v>
      </c>
      <c r="H511" s="5">
        <v>91.56</v>
      </c>
      <c r="I511" s="5">
        <v>87.5</v>
      </c>
      <c r="J511" s="5">
        <v>87</v>
      </c>
      <c r="K511" s="5">
        <v>88</v>
      </c>
      <c r="L511" s="5">
        <v>88.924000000000007</v>
      </c>
    </row>
    <row r="512" spans="1:12" x14ac:dyDescent="0.3">
      <c r="A512" s="2" t="s">
        <v>298</v>
      </c>
      <c r="B512" s="2" t="s">
        <v>327</v>
      </c>
      <c r="C512" s="2" t="s">
        <v>328</v>
      </c>
      <c r="D512" s="2" t="s">
        <v>189</v>
      </c>
      <c r="E512" s="2">
        <v>3</v>
      </c>
      <c r="F512" s="2" t="s">
        <v>796</v>
      </c>
      <c r="G512" s="5">
        <v>89.85</v>
      </c>
      <c r="H512" s="5">
        <v>94.85</v>
      </c>
      <c r="I512" s="5">
        <v>93.5</v>
      </c>
      <c r="J512" s="5">
        <v>94.5</v>
      </c>
      <c r="K512" s="5">
        <v>90</v>
      </c>
      <c r="L512" s="5">
        <v>92.539999999999992</v>
      </c>
    </row>
    <row r="513" spans="1:12" x14ac:dyDescent="0.3">
      <c r="A513" s="2" t="s">
        <v>298</v>
      </c>
      <c r="B513" s="2" t="s">
        <v>327</v>
      </c>
      <c r="C513" s="2" t="s">
        <v>328</v>
      </c>
      <c r="D513" s="2" t="s">
        <v>302</v>
      </c>
      <c r="E513" s="2">
        <v>4</v>
      </c>
      <c r="F513" s="2" t="s">
        <v>797</v>
      </c>
      <c r="G513" s="5">
        <v>82.94</v>
      </c>
      <c r="H513" s="5">
        <v>88.94</v>
      </c>
      <c r="I513" s="5">
        <v>91</v>
      </c>
      <c r="J513" s="5">
        <v>86</v>
      </c>
      <c r="K513" s="5">
        <v>88.5</v>
      </c>
      <c r="L513" s="5">
        <v>87.475999999999999</v>
      </c>
    </row>
    <row r="514" spans="1:12" x14ac:dyDescent="0.3">
      <c r="A514" s="2" t="s">
        <v>298</v>
      </c>
      <c r="B514" s="2" t="s">
        <v>329</v>
      </c>
      <c r="C514" s="2" t="s">
        <v>330</v>
      </c>
      <c r="D514" s="2" t="s">
        <v>301</v>
      </c>
      <c r="E514" s="2">
        <v>1</v>
      </c>
      <c r="F514" s="2" t="s">
        <v>791</v>
      </c>
      <c r="G514" s="5">
        <v>78.69</v>
      </c>
      <c r="H514" s="5">
        <v>81.69</v>
      </c>
      <c r="I514" s="5">
        <v>81.5</v>
      </c>
      <c r="J514" s="5">
        <v>88</v>
      </c>
      <c r="K514" s="5">
        <v>70.7</v>
      </c>
      <c r="L514" s="5">
        <v>80.116</v>
      </c>
    </row>
    <row r="515" spans="1:12" x14ac:dyDescent="0.3">
      <c r="A515" s="2" t="s">
        <v>298</v>
      </c>
      <c r="B515" s="2" t="s">
        <v>329</v>
      </c>
      <c r="C515" s="2" t="s">
        <v>330</v>
      </c>
      <c r="D515" s="2" t="s">
        <v>64</v>
      </c>
      <c r="E515" s="2">
        <v>2</v>
      </c>
      <c r="F515" s="2" t="s">
        <v>795</v>
      </c>
      <c r="G515" s="5">
        <v>84.96</v>
      </c>
      <c r="H515" s="5">
        <v>84.96</v>
      </c>
      <c r="I515" s="5">
        <v>83</v>
      </c>
      <c r="J515" s="5">
        <v>75.5</v>
      </c>
      <c r="K515" s="5">
        <v>78.7</v>
      </c>
      <c r="L515" s="5">
        <v>81.424000000000007</v>
      </c>
    </row>
    <row r="516" spans="1:12" x14ac:dyDescent="0.3">
      <c r="A516" s="2" t="s">
        <v>298</v>
      </c>
      <c r="B516" s="2" t="s">
        <v>329</v>
      </c>
      <c r="C516" s="2" t="s">
        <v>330</v>
      </c>
      <c r="D516" s="2" t="s">
        <v>189</v>
      </c>
      <c r="E516" s="2">
        <v>3</v>
      </c>
      <c r="F516" s="2" t="s">
        <v>796</v>
      </c>
      <c r="G516" s="5">
        <v>85.95</v>
      </c>
      <c r="H516" s="5">
        <v>89.95</v>
      </c>
      <c r="I516" s="5">
        <v>86.5</v>
      </c>
      <c r="J516" s="5">
        <v>94</v>
      </c>
      <c r="K516" s="5">
        <v>85.5</v>
      </c>
      <c r="L516" s="5">
        <v>88.38</v>
      </c>
    </row>
    <row r="517" spans="1:12" x14ac:dyDescent="0.3">
      <c r="A517" s="2" t="s">
        <v>298</v>
      </c>
      <c r="B517" s="2" t="s">
        <v>329</v>
      </c>
      <c r="C517" s="2" t="s">
        <v>330</v>
      </c>
      <c r="D517" s="2" t="s">
        <v>302</v>
      </c>
      <c r="E517" s="2">
        <v>4</v>
      </c>
      <c r="F517" s="2" t="s">
        <v>797</v>
      </c>
      <c r="G517" s="5">
        <v>75</v>
      </c>
      <c r="H517" s="5">
        <v>81</v>
      </c>
      <c r="I517" s="5">
        <v>90</v>
      </c>
      <c r="J517" s="5">
        <v>78.5</v>
      </c>
      <c r="K517" s="5">
        <v>79</v>
      </c>
      <c r="L517" s="5">
        <v>80.7</v>
      </c>
    </row>
    <row r="518" spans="1:12" x14ac:dyDescent="0.3">
      <c r="A518" s="2" t="s">
        <v>298</v>
      </c>
      <c r="B518" s="2" t="s">
        <v>331</v>
      </c>
      <c r="C518" s="2" t="s">
        <v>332</v>
      </c>
      <c r="D518" s="2" t="s">
        <v>301</v>
      </c>
      <c r="E518" s="2">
        <v>1</v>
      </c>
      <c r="F518" s="2" t="s">
        <v>791</v>
      </c>
      <c r="G518" s="5">
        <v>76.42</v>
      </c>
      <c r="H518" s="5">
        <v>79.42</v>
      </c>
      <c r="I518" s="5">
        <v>75.5</v>
      </c>
      <c r="J518" s="5">
        <v>81</v>
      </c>
      <c r="K518" s="5">
        <v>71.8</v>
      </c>
      <c r="L518" s="5">
        <v>76.828000000000003</v>
      </c>
    </row>
    <row r="519" spans="1:12" x14ac:dyDescent="0.3">
      <c r="A519" s="2" t="s">
        <v>298</v>
      </c>
      <c r="B519" s="2" t="s">
        <v>331</v>
      </c>
      <c r="C519" s="2" t="s">
        <v>332</v>
      </c>
      <c r="D519" s="2" t="s">
        <v>64</v>
      </c>
      <c r="E519" s="2">
        <v>2</v>
      </c>
      <c r="F519" s="2" t="s">
        <v>795</v>
      </c>
      <c r="G519" s="5">
        <v>80.319999999999993</v>
      </c>
      <c r="H519" s="5">
        <v>82.32</v>
      </c>
      <c r="I519" s="5">
        <v>69</v>
      </c>
      <c r="J519" s="5">
        <v>80.5</v>
      </c>
      <c r="K519" s="5">
        <v>78.3</v>
      </c>
      <c r="L519" s="5">
        <v>78.087999999999994</v>
      </c>
    </row>
    <row r="520" spans="1:12" x14ac:dyDescent="0.3">
      <c r="A520" s="2" t="s">
        <v>298</v>
      </c>
      <c r="B520" s="2" t="s">
        <v>331</v>
      </c>
      <c r="C520" s="2" t="s">
        <v>332</v>
      </c>
      <c r="D520" s="2" t="s">
        <v>189</v>
      </c>
      <c r="E520" s="2">
        <v>3</v>
      </c>
      <c r="F520" s="2" t="s">
        <v>796</v>
      </c>
      <c r="G520" s="5">
        <v>82.35</v>
      </c>
      <c r="H520" s="5">
        <v>84.35</v>
      </c>
      <c r="I520" s="5">
        <v>72</v>
      </c>
      <c r="J520" s="5">
        <v>89.5</v>
      </c>
      <c r="K520" s="5">
        <v>85</v>
      </c>
      <c r="L520" s="5">
        <v>82.64</v>
      </c>
    </row>
    <row r="521" spans="1:12" x14ac:dyDescent="0.3">
      <c r="A521" s="2" t="s">
        <v>298</v>
      </c>
      <c r="B521" s="2" t="s">
        <v>331</v>
      </c>
      <c r="C521" s="2" t="s">
        <v>332</v>
      </c>
      <c r="D521" s="2" t="s">
        <v>302</v>
      </c>
      <c r="E521" s="2">
        <v>4</v>
      </c>
      <c r="F521" s="2" t="s">
        <v>797</v>
      </c>
      <c r="G521" s="5">
        <v>77.5</v>
      </c>
      <c r="H521" s="5">
        <v>81.5</v>
      </c>
      <c r="I521" s="5">
        <v>76</v>
      </c>
      <c r="J521" s="5">
        <v>82</v>
      </c>
      <c r="K521" s="5">
        <v>84.5</v>
      </c>
      <c r="L521" s="5">
        <v>80.3</v>
      </c>
    </row>
    <row r="522" spans="1:12" x14ac:dyDescent="0.3">
      <c r="A522" s="2" t="s">
        <v>298</v>
      </c>
      <c r="B522" s="2" t="s">
        <v>333</v>
      </c>
      <c r="C522" s="2" t="s">
        <v>334</v>
      </c>
      <c r="D522" s="2" t="s">
        <v>301</v>
      </c>
      <c r="E522" s="2">
        <v>1</v>
      </c>
      <c r="F522" s="2" t="s">
        <v>791</v>
      </c>
      <c r="G522" s="5">
        <v>77.92</v>
      </c>
      <c r="H522" s="5">
        <v>83.92</v>
      </c>
      <c r="I522" s="5">
        <v>84</v>
      </c>
      <c r="J522" s="5">
        <v>88.5</v>
      </c>
      <c r="K522" s="5">
        <v>73</v>
      </c>
      <c r="L522" s="5">
        <v>81.468000000000004</v>
      </c>
    </row>
    <row r="523" spans="1:12" x14ac:dyDescent="0.3">
      <c r="A523" s="2" t="s">
        <v>298</v>
      </c>
      <c r="B523" s="2" t="s">
        <v>333</v>
      </c>
      <c r="C523" s="2" t="s">
        <v>334</v>
      </c>
      <c r="D523" s="2" t="s">
        <v>64</v>
      </c>
      <c r="E523" s="2">
        <v>2</v>
      </c>
      <c r="F523" s="2" t="s">
        <v>795</v>
      </c>
      <c r="G523" s="5">
        <v>83.44</v>
      </c>
      <c r="H523" s="5">
        <v>85.44</v>
      </c>
      <c r="I523" s="5">
        <v>78</v>
      </c>
      <c r="J523" s="5">
        <v>87.5</v>
      </c>
      <c r="K523" s="5">
        <v>77.3</v>
      </c>
      <c r="L523" s="5">
        <v>82.335999999999999</v>
      </c>
    </row>
    <row r="524" spans="1:12" x14ac:dyDescent="0.3">
      <c r="A524" s="2" t="s">
        <v>298</v>
      </c>
      <c r="B524" s="2" t="s">
        <v>333</v>
      </c>
      <c r="C524" s="2" t="s">
        <v>334</v>
      </c>
      <c r="D524" s="2" t="s">
        <v>189</v>
      </c>
      <c r="E524" s="2">
        <v>3</v>
      </c>
      <c r="F524" s="2" t="s">
        <v>796</v>
      </c>
      <c r="G524" s="5">
        <v>81.25</v>
      </c>
      <c r="H524" s="5">
        <v>84.25</v>
      </c>
      <c r="I524" s="5">
        <v>75</v>
      </c>
      <c r="J524" s="5">
        <v>84.5</v>
      </c>
      <c r="K524" s="5">
        <v>81.5</v>
      </c>
      <c r="L524" s="5">
        <v>81.3</v>
      </c>
    </row>
    <row r="525" spans="1:12" x14ac:dyDescent="0.3">
      <c r="A525" s="2" t="s">
        <v>298</v>
      </c>
      <c r="B525" s="2" t="s">
        <v>333</v>
      </c>
      <c r="C525" s="2" t="s">
        <v>334</v>
      </c>
      <c r="D525" s="2" t="s">
        <v>302</v>
      </c>
      <c r="E525" s="2">
        <v>4</v>
      </c>
      <c r="F525" s="2" t="s">
        <v>797</v>
      </c>
      <c r="G525" s="5">
        <v>82</v>
      </c>
      <c r="H525" s="5">
        <v>84</v>
      </c>
      <c r="I525" s="5">
        <v>84.5</v>
      </c>
      <c r="J525" s="5">
        <v>84.5</v>
      </c>
      <c r="K525" s="5">
        <v>85</v>
      </c>
      <c r="L525" s="5">
        <v>84</v>
      </c>
    </row>
    <row r="526" spans="1:12" x14ac:dyDescent="0.3">
      <c r="A526" s="2" t="s">
        <v>298</v>
      </c>
      <c r="B526" s="2" t="s">
        <v>335</v>
      </c>
      <c r="C526" s="2" t="s">
        <v>336</v>
      </c>
      <c r="D526" s="2" t="s">
        <v>301</v>
      </c>
      <c r="E526" s="2">
        <v>1</v>
      </c>
      <c r="F526" s="2" t="s">
        <v>791</v>
      </c>
      <c r="G526" s="5">
        <v>75.69</v>
      </c>
      <c r="H526" s="5">
        <v>77.69</v>
      </c>
      <c r="I526" s="5">
        <v>83</v>
      </c>
      <c r="J526" s="5">
        <v>74.5</v>
      </c>
      <c r="K526" s="5">
        <v>64.8</v>
      </c>
      <c r="L526" s="5">
        <v>75.135999999999996</v>
      </c>
    </row>
    <row r="527" spans="1:12" x14ac:dyDescent="0.3">
      <c r="A527" s="2" t="s">
        <v>298</v>
      </c>
      <c r="B527" s="2" t="s">
        <v>335</v>
      </c>
      <c r="C527" s="2" t="s">
        <v>336</v>
      </c>
      <c r="D527" s="2" t="s">
        <v>64</v>
      </c>
      <c r="E527" s="2">
        <v>2</v>
      </c>
      <c r="F527" s="2" t="s">
        <v>795</v>
      </c>
      <c r="G527" s="5">
        <v>79.8</v>
      </c>
      <c r="H527" s="5">
        <v>81.8</v>
      </c>
      <c r="I527" s="5">
        <v>81.5</v>
      </c>
      <c r="J527" s="5">
        <v>73.5</v>
      </c>
      <c r="K527" s="5">
        <v>74.099999999999994</v>
      </c>
      <c r="L527" s="5">
        <v>78.14</v>
      </c>
    </row>
    <row r="528" spans="1:12" x14ac:dyDescent="0.3">
      <c r="A528" s="2" t="s">
        <v>298</v>
      </c>
      <c r="B528" s="2" t="s">
        <v>335</v>
      </c>
      <c r="C528" s="2" t="s">
        <v>336</v>
      </c>
      <c r="D528" s="2" t="s">
        <v>189</v>
      </c>
      <c r="E528" s="2">
        <v>3</v>
      </c>
      <c r="F528" s="2" t="s">
        <v>796</v>
      </c>
      <c r="G528" s="5">
        <v>86.3</v>
      </c>
      <c r="H528" s="5">
        <v>86.3</v>
      </c>
      <c r="I528" s="5">
        <v>83</v>
      </c>
      <c r="J528" s="5">
        <v>81.5</v>
      </c>
      <c r="K528" s="5">
        <v>80.5</v>
      </c>
      <c r="L528" s="5">
        <v>83.52000000000001</v>
      </c>
    </row>
    <row r="529" spans="1:12" x14ac:dyDescent="0.3">
      <c r="A529" s="2" t="s">
        <v>298</v>
      </c>
      <c r="B529" s="2" t="s">
        <v>335</v>
      </c>
      <c r="C529" s="2" t="s">
        <v>336</v>
      </c>
      <c r="D529" s="2" t="s">
        <v>302</v>
      </c>
      <c r="E529" s="2">
        <v>4</v>
      </c>
      <c r="F529" s="2" t="s">
        <v>797</v>
      </c>
      <c r="G529" s="5">
        <v>77.25</v>
      </c>
      <c r="H529" s="5">
        <v>82.25</v>
      </c>
      <c r="I529" s="5">
        <v>82.5</v>
      </c>
      <c r="J529" s="5">
        <v>79.5</v>
      </c>
      <c r="K529" s="5">
        <v>79</v>
      </c>
      <c r="L529" s="5">
        <v>80.099999999999994</v>
      </c>
    </row>
    <row r="530" spans="1:12" x14ac:dyDescent="0.3">
      <c r="A530" s="2" t="s">
        <v>298</v>
      </c>
      <c r="B530" s="2" t="s">
        <v>337</v>
      </c>
      <c r="C530" s="2" t="s">
        <v>338</v>
      </c>
      <c r="D530" s="2" t="s">
        <v>301</v>
      </c>
      <c r="E530" s="2">
        <v>1</v>
      </c>
      <c r="F530" s="2" t="s">
        <v>791</v>
      </c>
      <c r="G530" s="5">
        <v>75.61</v>
      </c>
      <c r="H530" s="5">
        <v>76.61</v>
      </c>
      <c r="I530" s="5">
        <v>70</v>
      </c>
      <c r="J530" s="5">
        <v>74</v>
      </c>
      <c r="K530" s="5">
        <v>63.7</v>
      </c>
      <c r="L530" s="5">
        <v>71.984000000000009</v>
      </c>
    </row>
    <row r="531" spans="1:12" x14ac:dyDescent="0.3">
      <c r="A531" s="2" t="s">
        <v>298</v>
      </c>
      <c r="B531" s="2" t="s">
        <v>337</v>
      </c>
      <c r="C531" s="2" t="s">
        <v>338</v>
      </c>
      <c r="D531" s="2" t="s">
        <v>64</v>
      </c>
      <c r="E531" s="2">
        <v>2</v>
      </c>
      <c r="F531" s="2" t="s">
        <v>795</v>
      </c>
      <c r="G531" s="5">
        <v>78.599999999999994</v>
      </c>
      <c r="H531" s="5">
        <v>78.599999999999994</v>
      </c>
      <c r="I531" s="5">
        <v>73.5</v>
      </c>
      <c r="J531" s="5">
        <v>68.5</v>
      </c>
      <c r="K531" s="5">
        <v>69.3</v>
      </c>
      <c r="L531" s="5">
        <v>73.7</v>
      </c>
    </row>
    <row r="532" spans="1:12" x14ac:dyDescent="0.3">
      <c r="A532" s="2" t="s">
        <v>298</v>
      </c>
      <c r="B532" s="2" t="s">
        <v>337</v>
      </c>
      <c r="C532" s="2" t="s">
        <v>338</v>
      </c>
      <c r="D532" s="2" t="s">
        <v>189</v>
      </c>
      <c r="E532" s="2">
        <v>3</v>
      </c>
      <c r="F532" s="2" t="s">
        <v>796</v>
      </c>
      <c r="G532" s="5">
        <v>81.95</v>
      </c>
      <c r="H532" s="5">
        <v>81.95</v>
      </c>
      <c r="I532" s="5">
        <v>74.5</v>
      </c>
      <c r="J532" s="5">
        <v>72.5</v>
      </c>
      <c r="K532" s="5">
        <v>71</v>
      </c>
      <c r="L532" s="5">
        <v>76.38</v>
      </c>
    </row>
    <row r="533" spans="1:12" x14ac:dyDescent="0.3">
      <c r="A533" s="2" t="s">
        <v>298</v>
      </c>
      <c r="B533" s="2" t="s">
        <v>337</v>
      </c>
      <c r="C533" s="2" t="s">
        <v>338</v>
      </c>
      <c r="D533" s="2" t="s">
        <v>302</v>
      </c>
      <c r="E533" s="2">
        <v>4</v>
      </c>
      <c r="F533" s="2" t="s">
        <v>797</v>
      </c>
      <c r="G533" s="5">
        <v>66.06</v>
      </c>
      <c r="H533" s="5">
        <v>71.06</v>
      </c>
      <c r="I533" s="5">
        <v>74.5</v>
      </c>
      <c r="J533" s="5">
        <v>58</v>
      </c>
      <c r="K533" s="5">
        <v>74.5</v>
      </c>
      <c r="L533" s="5">
        <v>68.823999999999998</v>
      </c>
    </row>
    <row r="534" spans="1:12" x14ac:dyDescent="0.3">
      <c r="A534" s="2" t="s">
        <v>298</v>
      </c>
      <c r="B534" s="2" t="s">
        <v>339</v>
      </c>
      <c r="C534" s="2" t="s">
        <v>340</v>
      </c>
      <c r="D534" s="2" t="s">
        <v>301</v>
      </c>
      <c r="E534" s="2">
        <v>1</v>
      </c>
      <c r="F534" s="2" t="s">
        <v>791</v>
      </c>
      <c r="G534" s="5">
        <v>81.260000000000005</v>
      </c>
      <c r="H534" s="5">
        <v>86.26</v>
      </c>
      <c r="I534" s="5">
        <v>84</v>
      </c>
      <c r="J534" s="5">
        <v>83</v>
      </c>
      <c r="K534" s="5">
        <v>79</v>
      </c>
      <c r="L534" s="5">
        <v>82.703999999999994</v>
      </c>
    </row>
    <row r="535" spans="1:12" x14ac:dyDescent="0.3">
      <c r="A535" s="2" t="s">
        <v>298</v>
      </c>
      <c r="B535" s="2" t="s">
        <v>339</v>
      </c>
      <c r="C535" s="2" t="s">
        <v>340</v>
      </c>
      <c r="D535" s="2" t="s">
        <v>64</v>
      </c>
      <c r="E535" s="2">
        <v>2</v>
      </c>
      <c r="F535" s="2" t="s">
        <v>795</v>
      </c>
      <c r="G535" s="5">
        <v>83.48</v>
      </c>
      <c r="H535" s="5">
        <v>86.48</v>
      </c>
      <c r="I535" s="5">
        <v>90.5</v>
      </c>
      <c r="J535" s="5">
        <v>80</v>
      </c>
      <c r="K535" s="5">
        <v>81.7</v>
      </c>
      <c r="L535" s="5">
        <v>84.432000000000002</v>
      </c>
    </row>
    <row r="536" spans="1:12" x14ac:dyDescent="0.3">
      <c r="A536" s="2" t="s">
        <v>298</v>
      </c>
      <c r="B536" s="2" t="s">
        <v>339</v>
      </c>
      <c r="C536" s="2" t="s">
        <v>340</v>
      </c>
      <c r="D536" s="2" t="s">
        <v>189</v>
      </c>
      <c r="E536" s="2">
        <v>3</v>
      </c>
      <c r="F536" s="2" t="s">
        <v>796</v>
      </c>
      <c r="G536" s="5">
        <v>85</v>
      </c>
      <c r="H536" s="5">
        <v>90</v>
      </c>
      <c r="I536" s="5">
        <v>91</v>
      </c>
      <c r="J536" s="5">
        <v>83.5</v>
      </c>
      <c r="K536" s="5">
        <v>91</v>
      </c>
      <c r="L536" s="5">
        <v>88.1</v>
      </c>
    </row>
    <row r="537" spans="1:12" x14ac:dyDescent="0.3">
      <c r="A537" s="2" t="s">
        <v>298</v>
      </c>
      <c r="B537" s="2" t="s">
        <v>339</v>
      </c>
      <c r="C537" s="2" t="s">
        <v>340</v>
      </c>
      <c r="D537" s="2" t="s">
        <v>302</v>
      </c>
      <c r="E537" s="2">
        <v>4</v>
      </c>
      <c r="F537" s="2" t="s">
        <v>797</v>
      </c>
      <c r="G537" s="5">
        <v>85.75</v>
      </c>
      <c r="H537" s="5">
        <v>87.75</v>
      </c>
      <c r="I537" s="5">
        <v>95</v>
      </c>
      <c r="J537" s="5">
        <v>77</v>
      </c>
      <c r="K537" s="5">
        <v>85.5</v>
      </c>
      <c r="L537" s="5">
        <v>86.2</v>
      </c>
    </row>
    <row r="538" spans="1:12" x14ac:dyDescent="0.3">
      <c r="A538" s="2" t="s">
        <v>298</v>
      </c>
      <c r="B538" s="2" t="s">
        <v>341</v>
      </c>
      <c r="C538" s="2" t="s">
        <v>342</v>
      </c>
      <c r="D538" s="2" t="s">
        <v>301</v>
      </c>
      <c r="E538" s="2">
        <v>1</v>
      </c>
      <c r="F538" s="2" t="s">
        <v>791</v>
      </c>
      <c r="G538" s="5">
        <v>88.07</v>
      </c>
      <c r="H538" s="5">
        <v>88.07</v>
      </c>
      <c r="I538" s="5">
        <v>92</v>
      </c>
      <c r="J538" s="5">
        <v>90</v>
      </c>
      <c r="K538" s="5">
        <v>80.3</v>
      </c>
      <c r="L538" s="5">
        <v>87.688000000000002</v>
      </c>
    </row>
    <row r="539" spans="1:12" x14ac:dyDescent="0.3">
      <c r="A539" s="2" t="s">
        <v>298</v>
      </c>
      <c r="B539" s="2" t="s">
        <v>341</v>
      </c>
      <c r="C539" s="2" t="s">
        <v>342</v>
      </c>
      <c r="D539" s="2" t="s">
        <v>64</v>
      </c>
      <c r="E539" s="2">
        <v>2</v>
      </c>
      <c r="F539" s="2" t="s">
        <v>795</v>
      </c>
      <c r="G539" s="5">
        <v>87.56</v>
      </c>
      <c r="H539" s="5">
        <v>91.56</v>
      </c>
      <c r="I539" s="5">
        <v>93</v>
      </c>
      <c r="J539" s="5">
        <v>89</v>
      </c>
      <c r="K539" s="5">
        <v>87.9</v>
      </c>
      <c r="L539" s="5">
        <v>89.804000000000002</v>
      </c>
    </row>
    <row r="540" spans="1:12" x14ac:dyDescent="0.3">
      <c r="A540" s="2" t="s">
        <v>298</v>
      </c>
      <c r="B540" s="2" t="s">
        <v>341</v>
      </c>
      <c r="C540" s="2" t="s">
        <v>342</v>
      </c>
      <c r="D540" s="2" t="s">
        <v>189</v>
      </c>
      <c r="E540" s="2">
        <v>3</v>
      </c>
      <c r="F540" s="2" t="s">
        <v>796</v>
      </c>
      <c r="G540" s="5">
        <v>91.95</v>
      </c>
      <c r="H540" s="5">
        <v>94.95</v>
      </c>
      <c r="I540" s="5">
        <v>94</v>
      </c>
      <c r="J540" s="5">
        <v>95</v>
      </c>
      <c r="K540" s="5">
        <v>96</v>
      </c>
      <c r="L540" s="5">
        <v>94.38</v>
      </c>
    </row>
    <row r="541" spans="1:12" x14ac:dyDescent="0.3">
      <c r="A541" s="2" t="s">
        <v>298</v>
      </c>
      <c r="B541" s="2" t="s">
        <v>341</v>
      </c>
      <c r="C541" s="2" t="s">
        <v>342</v>
      </c>
      <c r="D541" s="2" t="s">
        <v>302</v>
      </c>
      <c r="E541" s="2">
        <v>4</v>
      </c>
      <c r="F541" s="2" t="s">
        <v>797</v>
      </c>
      <c r="G541" s="5">
        <v>91.75</v>
      </c>
      <c r="H541" s="5">
        <v>93.75</v>
      </c>
      <c r="I541" s="5">
        <v>98</v>
      </c>
      <c r="J541" s="5">
        <v>93</v>
      </c>
      <c r="K541" s="5">
        <v>94.5</v>
      </c>
      <c r="L541" s="5">
        <v>94.2</v>
      </c>
    </row>
    <row r="542" spans="1:12" x14ac:dyDescent="0.3">
      <c r="A542" s="2" t="s">
        <v>298</v>
      </c>
      <c r="B542" s="2" t="s">
        <v>343</v>
      </c>
      <c r="C542" s="2" t="s">
        <v>344</v>
      </c>
      <c r="D542" s="2" t="s">
        <v>301</v>
      </c>
      <c r="E542" s="2">
        <v>1</v>
      </c>
      <c r="F542" s="2" t="s">
        <v>791</v>
      </c>
      <c r="G542" s="5">
        <v>93.34</v>
      </c>
      <c r="H542" s="5">
        <v>93.34</v>
      </c>
      <c r="I542" s="5">
        <v>92</v>
      </c>
      <c r="J542" s="5">
        <v>96</v>
      </c>
      <c r="K542" s="5">
        <v>90.2</v>
      </c>
      <c r="L542" s="5">
        <v>92.975999999999999</v>
      </c>
    </row>
    <row r="543" spans="1:12" x14ac:dyDescent="0.3">
      <c r="A543" s="2" t="s">
        <v>298</v>
      </c>
      <c r="B543" s="2" t="s">
        <v>343</v>
      </c>
      <c r="C543" s="2" t="s">
        <v>344</v>
      </c>
      <c r="D543" s="2" t="s">
        <v>64</v>
      </c>
      <c r="E543" s="2">
        <v>2</v>
      </c>
      <c r="F543" s="2" t="s">
        <v>795</v>
      </c>
      <c r="G543" s="5">
        <v>92.92</v>
      </c>
      <c r="H543" s="5">
        <v>96.92</v>
      </c>
      <c r="I543" s="5">
        <v>98</v>
      </c>
      <c r="J543" s="5">
        <v>99.5</v>
      </c>
      <c r="K543" s="5">
        <v>94</v>
      </c>
      <c r="L543" s="5">
        <v>96.268000000000001</v>
      </c>
    </row>
    <row r="544" spans="1:12" x14ac:dyDescent="0.3">
      <c r="A544" s="2" t="s">
        <v>298</v>
      </c>
      <c r="B544" s="2" t="s">
        <v>343</v>
      </c>
      <c r="C544" s="2" t="s">
        <v>344</v>
      </c>
      <c r="D544" s="2" t="s">
        <v>189</v>
      </c>
      <c r="E544" s="2">
        <v>3</v>
      </c>
      <c r="F544" s="2" t="s">
        <v>796</v>
      </c>
      <c r="G544" s="5">
        <v>94.4</v>
      </c>
      <c r="H544" s="5">
        <v>96.4</v>
      </c>
      <c r="I544" s="5">
        <v>97.5</v>
      </c>
      <c r="J544" s="5">
        <v>99.5</v>
      </c>
      <c r="K544" s="5">
        <v>97</v>
      </c>
      <c r="L544" s="5">
        <v>96.960000000000008</v>
      </c>
    </row>
    <row r="545" spans="1:12" x14ac:dyDescent="0.3">
      <c r="A545" s="2" t="s">
        <v>298</v>
      </c>
      <c r="B545" s="2" t="s">
        <v>343</v>
      </c>
      <c r="C545" s="2" t="s">
        <v>344</v>
      </c>
      <c r="D545" s="2" t="s">
        <v>302</v>
      </c>
      <c r="E545" s="2">
        <v>4</v>
      </c>
      <c r="F545" s="2" t="s">
        <v>797</v>
      </c>
      <c r="G545" s="5">
        <v>90.19</v>
      </c>
      <c r="H545" s="5">
        <v>93.19</v>
      </c>
      <c r="I545" s="5">
        <v>94.5</v>
      </c>
      <c r="J545" s="5">
        <v>92.5</v>
      </c>
      <c r="K545" s="5">
        <v>97.5</v>
      </c>
      <c r="L545" s="5">
        <v>93.575999999999993</v>
      </c>
    </row>
    <row r="546" spans="1:12" x14ac:dyDescent="0.3">
      <c r="A546" s="2" t="s">
        <v>298</v>
      </c>
      <c r="B546" s="2" t="s">
        <v>345</v>
      </c>
      <c r="C546" s="2" t="s">
        <v>346</v>
      </c>
      <c r="D546" s="2" t="s">
        <v>301</v>
      </c>
      <c r="E546" s="2">
        <v>1</v>
      </c>
      <c r="F546" s="2" t="s">
        <v>791</v>
      </c>
      <c r="G546" s="5">
        <v>74.42</v>
      </c>
      <c r="H546" s="5">
        <v>80.42</v>
      </c>
      <c r="I546" s="5">
        <v>71.5</v>
      </c>
      <c r="J546" s="5">
        <v>77.5</v>
      </c>
      <c r="K546" s="5">
        <v>70.2</v>
      </c>
      <c r="L546" s="5">
        <v>74.808000000000007</v>
      </c>
    </row>
    <row r="547" spans="1:12" x14ac:dyDescent="0.3">
      <c r="A547" s="2" t="s">
        <v>298</v>
      </c>
      <c r="B547" s="2" t="s">
        <v>345</v>
      </c>
      <c r="C547" s="2" t="s">
        <v>346</v>
      </c>
      <c r="D547" s="2" t="s">
        <v>64</v>
      </c>
      <c r="E547" s="2">
        <v>2</v>
      </c>
      <c r="F547" s="2" t="s">
        <v>795</v>
      </c>
      <c r="G547" s="5">
        <v>88.48</v>
      </c>
      <c r="H547" s="5">
        <v>91.48</v>
      </c>
      <c r="I547" s="5">
        <v>82.5</v>
      </c>
      <c r="J547" s="5">
        <v>81.5</v>
      </c>
      <c r="K547" s="5">
        <v>89.6</v>
      </c>
      <c r="L547" s="5">
        <v>86.712000000000003</v>
      </c>
    </row>
    <row r="548" spans="1:12" x14ac:dyDescent="0.3">
      <c r="A548" s="2" t="s">
        <v>298</v>
      </c>
      <c r="B548" s="2" t="s">
        <v>345</v>
      </c>
      <c r="C548" s="2" t="s">
        <v>346</v>
      </c>
      <c r="D548" s="2" t="s">
        <v>189</v>
      </c>
      <c r="E548" s="2">
        <v>3</v>
      </c>
      <c r="F548" s="2" t="s">
        <v>796</v>
      </c>
      <c r="G548" s="5">
        <v>91</v>
      </c>
      <c r="H548" s="5">
        <v>94</v>
      </c>
      <c r="I548" s="5">
        <v>91.5</v>
      </c>
      <c r="J548" s="5">
        <v>97</v>
      </c>
      <c r="K548" s="5">
        <v>91</v>
      </c>
      <c r="L548" s="5">
        <v>92.9</v>
      </c>
    </row>
    <row r="549" spans="1:12" x14ac:dyDescent="0.3">
      <c r="A549" s="2" t="s">
        <v>298</v>
      </c>
      <c r="B549" s="2" t="s">
        <v>345</v>
      </c>
      <c r="C549" s="2" t="s">
        <v>346</v>
      </c>
      <c r="D549" s="2" t="s">
        <v>302</v>
      </c>
      <c r="E549" s="2">
        <v>4</v>
      </c>
      <c r="F549" s="2" t="s">
        <v>797</v>
      </c>
      <c r="G549" s="5">
        <v>91.81</v>
      </c>
      <c r="H549" s="5">
        <v>93.81</v>
      </c>
      <c r="I549" s="5">
        <v>93.5</v>
      </c>
      <c r="J549" s="5">
        <v>90</v>
      </c>
      <c r="K549" s="5">
        <v>92.5</v>
      </c>
      <c r="L549" s="5">
        <v>92.323999999999998</v>
      </c>
    </row>
    <row r="550" spans="1:12" x14ac:dyDescent="0.3">
      <c r="A550" s="2" t="s">
        <v>298</v>
      </c>
      <c r="B550" s="2" t="s">
        <v>347</v>
      </c>
      <c r="C550" s="2" t="s">
        <v>348</v>
      </c>
      <c r="D550" s="2" t="s">
        <v>301</v>
      </c>
      <c r="E550" s="2">
        <v>1</v>
      </c>
      <c r="F550" s="2" t="s">
        <v>791</v>
      </c>
      <c r="G550" s="5">
        <v>92.73</v>
      </c>
      <c r="H550" s="5">
        <v>92.73</v>
      </c>
      <c r="I550" s="5">
        <v>93.5</v>
      </c>
      <c r="J550" s="5">
        <v>97</v>
      </c>
      <c r="K550" s="5">
        <v>89.1</v>
      </c>
      <c r="L550" s="5">
        <v>93.012</v>
      </c>
    </row>
    <row r="551" spans="1:12" x14ac:dyDescent="0.3">
      <c r="A551" s="2" t="s">
        <v>298</v>
      </c>
      <c r="B551" s="2" t="s">
        <v>347</v>
      </c>
      <c r="C551" s="2" t="s">
        <v>348</v>
      </c>
      <c r="D551" s="2" t="s">
        <v>64</v>
      </c>
      <c r="E551" s="2">
        <v>2</v>
      </c>
      <c r="F551" s="2" t="s">
        <v>795</v>
      </c>
      <c r="G551" s="5">
        <v>91.6</v>
      </c>
      <c r="H551" s="5">
        <v>97.6</v>
      </c>
      <c r="I551" s="5">
        <v>94.5</v>
      </c>
      <c r="J551" s="5">
        <v>97.5</v>
      </c>
      <c r="K551" s="5">
        <v>96.8</v>
      </c>
      <c r="L551" s="5">
        <v>95.6</v>
      </c>
    </row>
    <row r="552" spans="1:12" x14ac:dyDescent="0.3">
      <c r="A552" s="2" t="s">
        <v>298</v>
      </c>
      <c r="B552" s="2" t="s">
        <v>347</v>
      </c>
      <c r="C552" s="2" t="s">
        <v>348</v>
      </c>
      <c r="D552" s="2" t="s">
        <v>189</v>
      </c>
      <c r="E552" s="2">
        <v>3</v>
      </c>
      <c r="F552" s="2" t="s">
        <v>796</v>
      </c>
      <c r="G552" s="5">
        <v>97.6</v>
      </c>
      <c r="H552" s="5">
        <v>97.6</v>
      </c>
      <c r="I552" s="5">
        <v>95.5</v>
      </c>
      <c r="J552" s="5">
        <v>99.5</v>
      </c>
      <c r="K552" s="5">
        <v>96</v>
      </c>
      <c r="L552" s="5">
        <v>97.24</v>
      </c>
    </row>
    <row r="553" spans="1:12" x14ac:dyDescent="0.3">
      <c r="A553" s="2" t="s">
        <v>298</v>
      </c>
      <c r="B553" s="2" t="s">
        <v>347</v>
      </c>
      <c r="C553" s="2" t="s">
        <v>348</v>
      </c>
      <c r="D553" s="2" t="s">
        <v>302</v>
      </c>
      <c r="E553" s="2">
        <v>4</v>
      </c>
      <c r="F553" s="2" t="s">
        <v>797</v>
      </c>
      <c r="G553" s="5">
        <v>94.81</v>
      </c>
      <c r="H553" s="5">
        <v>96.81</v>
      </c>
      <c r="I553" s="5">
        <v>97.5</v>
      </c>
      <c r="J553" s="5">
        <v>96.5</v>
      </c>
      <c r="K553" s="5">
        <v>94</v>
      </c>
      <c r="L553" s="5">
        <v>95.924000000000007</v>
      </c>
    </row>
    <row r="554" spans="1:12" x14ac:dyDescent="0.3">
      <c r="A554" s="2" t="s">
        <v>298</v>
      </c>
      <c r="B554" s="2" t="s">
        <v>349</v>
      </c>
      <c r="C554" s="2" t="s">
        <v>350</v>
      </c>
      <c r="D554" s="2" t="s">
        <v>301</v>
      </c>
      <c r="E554" s="2">
        <v>1</v>
      </c>
      <c r="F554" s="2" t="s">
        <v>791</v>
      </c>
      <c r="G554" s="5">
        <v>76.569999999999993</v>
      </c>
      <c r="H554" s="5">
        <v>81.569999999999993</v>
      </c>
      <c r="I554" s="5">
        <v>87</v>
      </c>
      <c r="J554" s="5">
        <v>78.5</v>
      </c>
      <c r="K554" s="5">
        <v>72.7</v>
      </c>
      <c r="L554" s="5">
        <v>79.268000000000001</v>
      </c>
    </row>
    <row r="555" spans="1:12" x14ac:dyDescent="0.3">
      <c r="A555" s="2" t="s">
        <v>298</v>
      </c>
      <c r="B555" s="2" t="s">
        <v>349</v>
      </c>
      <c r="C555" s="2" t="s">
        <v>350</v>
      </c>
      <c r="D555" s="2" t="s">
        <v>64</v>
      </c>
      <c r="E555" s="2">
        <v>2</v>
      </c>
      <c r="F555" s="2" t="s">
        <v>795</v>
      </c>
      <c r="G555" s="5">
        <v>88.2</v>
      </c>
      <c r="H555" s="5">
        <v>89.2</v>
      </c>
      <c r="I555" s="5">
        <v>87.5</v>
      </c>
      <c r="J555" s="5">
        <v>83</v>
      </c>
      <c r="K555" s="5">
        <v>84.9</v>
      </c>
      <c r="L555" s="5">
        <v>86.56</v>
      </c>
    </row>
    <row r="556" spans="1:12" x14ac:dyDescent="0.3">
      <c r="A556" s="2" t="s">
        <v>298</v>
      </c>
      <c r="B556" s="2" t="s">
        <v>349</v>
      </c>
      <c r="C556" s="2" t="s">
        <v>350</v>
      </c>
      <c r="D556" s="2" t="s">
        <v>189</v>
      </c>
      <c r="E556" s="2">
        <v>3</v>
      </c>
      <c r="F556" s="2" t="s">
        <v>796</v>
      </c>
      <c r="G556" s="5">
        <v>86.3</v>
      </c>
      <c r="H556" s="5">
        <v>89.3</v>
      </c>
      <c r="I556" s="5">
        <v>90.5</v>
      </c>
      <c r="J556" s="5">
        <v>82.5</v>
      </c>
      <c r="K556" s="5">
        <v>84.5</v>
      </c>
      <c r="L556" s="5">
        <v>86.62</v>
      </c>
    </row>
    <row r="557" spans="1:12" x14ac:dyDescent="0.3">
      <c r="A557" s="2" t="s">
        <v>298</v>
      </c>
      <c r="B557" s="2" t="s">
        <v>349</v>
      </c>
      <c r="C557" s="2" t="s">
        <v>350</v>
      </c>
      <c r="D557" s="2" t="s">
        <v>302</v>
      </c>
      <c r="E557" s="2">
        <v>4</v>
      </c>
      <c r="F557" s="2" t="s">
        <v>797</v>
      </c>
      <c r="G557" s="5">
        <v>85.06</v>
      </c>
      <c r="H557" s="5">
        <v>88.06</v>
      </c>
      <c r="I557" s="5">
        <v>92</v>
      </c>
      <c r="J557" s="5">
        <v>80.5</v>
      </c>
      <c r="K557" s="5">
        <v>85</v>
      </c>
      <c r="L557" s="5">
        <v>86.123999999999995</v>
      </c>
    </row>
    <row r="558" spans="1:12" x14ac:dyDescent="0.3">
      <c r="A558" s="2" t="s">
        <v>298</v>
      </c>
      <c r="B558" s="2" t="s">
        <v>351</v>
      </c>
      <c r="C558" s="2" t="s">
        <v>352</v>
      </c>
      <c r="D558" s="2" t="s">
        <v>301</v>
      </c>
      <c r="E558" s="2">
        <v>1</v>
      </c>
      <c r="F558" s="2" t="s">
        <v>791</v>
      </c>
      <c r="G558" s="5">
        <v>90.61</v>
      </c>
      <c r="H558" s="5">
        <v>90.61</v>
      </c>
      <c r="I558" s="5">
        <v>87.5</v>
      </c>
      <c r="J558" s="5">
        <v>91</v>
      </c>
      <c r="K558" s="5">
        <v>85.4</v>
      </c>
      <c r="L558" s="5">
        <v>89.024000000000001</v>
      </c>
    </row>
    <row r="559" spans="1:12" x14ac:dyDescent="0.3">
      <c r="A559" s="2" t="s">
        <v>298</v>
      </c>
      <c r="B559" s="2" t="s">
        <v>351</v>
      </c>
      <c r="C559" s="2" t="s">
        <v>352</v>
      </c>
      <c r="D559" s="2" t="s">
        <v>64</v>
      </c>
      <c r="E559" s="2">
        <v>2</v>
      </c>
      <c r="F559" s="2" t="s">
        <v>795</v>
      </c>
      <c r="G559" s="5">
        <v>84.88</v>
      </c>
      <c r="H559" s="5">
        <v>89.88</v>
      </c>
      <c r="I559" s="5">
        <v>81</v>
      </c>
      <c r="J559" s="5">
        <v>92</v>
      </c>
      <c r="K559" s="5">
        <v>86.6</v>
      </c>
      <c r="L559" s="5">
        <v>86.872</v>
      </c>
    </row>
    <row r="560" spans="1:12" x14ac:dyDescent="0.3">
      <c r="A560" s="2" t="s">
        <v>298</v>
      </c>
      <c r="B560" s="2" t="s">
        <v>351</v>
      </c>
      <c r="C560" s="2" t="s">
        <v>352</v>
      </c>
      <c r="D560" s="2" t="s">
        <v>189</v>
      </c>
      <c r="E560" s="2">
        <v>3</v>
      </c>
      <c r="F560" s="2" t="s">
        <v>796</v>
      </c>
      <c r="G560" s="5">
        <v>88.5</v>
      </c>
      <c r="H560" s="5">
        <v>91.5</v>
      </c>
      <c r="I560" s="5">
        <v>86.5</v>
      </c>
      <c r="J560" s="5">
        <v>93</v>
      </c>
      <c r="K560" s="5">
        <v>87.5</v>
      </c>
      <c r="L560" s="5">
        <v>89.4</v>
      </c>
    </row>
    <row r="561" spans="1:12" x14ac:dyDescent="0.3">
      <c r="A561" s="2" t="s">
        <v>298</v>
      </c>
      <c r="B561" s="2" t="s">
        <v>351</v>
      </c>
      <c r="C561" s="2" t="s">
        <v>352</v>
      </c>
      <c r="D561" s="2" t="s">
        <v>302</v>
      </c>
      <c r="E561" s="2">
        <v>4</v>
      </c>
      <c r="F561" s="2" t="s">
        <v>797</v>
      </c>
      <c r="G561" s="5">
        <v>91.31</v>
      </c>
      <c r="H561" s="5">
        <v>92.31</v>
      </c>
      <c r="I561" s="5">
        <v>87.5</v>
      </c>
      <c r="J561" s="5">
        <v>91.5</v>
      </c>
      <c r="K561" s="5">
        <v>96.5</v>
      </c>
      <c r="L561" s="5">
        <v>91.823999999999998</v>
      </c>
    </row>
    <row r="562" spans="1:12" x14ac:dyDescent="0.3">
      <c r="A562" s="2" t="s">
        <v>298</v>
      </c>
      <c r="B562" s="2" t="s">
        <v>353</v>
      </c>
      <c r="C562" s="2" t="s">
        <v>354</v>
      </c>
      <c r="D562" s="2" t="s">
        <v>301</v>
      </c>
      <c r="E562" s="2">
        <v>1</v>
      </c>
      <c r="F562" s="2" t="s">
        <v>791</v>
      </c>
      <c r="G562" s="5">
        <v>75.88</v>
      </c>
      <c r="H562" s="5">
        <v>77.88</v>
      </c>
      <c r="I562" s="5">
        <v>87.5</v>
      </c>
      <c r="J562" s="5">
        <v>66</v>
      </c>
      <c r="K562" s="5">
        <v>64.3</v>
      </c>
      <c r="L562" s="5">
        <v>74.311999999999998</v>
      </c>
    </row>
    <row r="563" spans="1:12" x14ac:dyDescent="0.3">
      <c r="A563" s="2" t="s">
        <v>298</v>
      </c>
      <c r="B563" s="2" t="s">
        <v>353</v>
      </c>
      <c r="C563" s="2" t="s">
        <v>354</v>
      </c>
      <c r="D563" s="2" t="s">
        <v>64</v>
      </c>
      <c r="E563" s="2">
        <v>2</v>
      </c>
      <c r="F563" s="2" t="s">
        <v>795</v>
      </c>
      <c r="G563" s="5">
        <v>77.84</v>
      </c>
      <c r="H563" s="5">
        <v>81.84</v>
      </c>
      <c r="I563" s="5">
        <v>86.5</v>
      </c>
      <c r="J563" s="5">
        <v>74.5</v>
      </c>
      <c r="K563" s="5">
        <v>74.8</v>
      </c>
      <c r="L563" s="5">
        <v>79.096000000000004</v>
      </c>
    </row>
    <row r="564" spans="1:12" x14ac:dyDescent="0.3">
      <c r="A564" s="2" t="s">
        <v>298</v>
      </c>
      <c r="B564" s="2" t="s">
        <v>353</v>
      </c>
      <c r="C564" s="2" t="s">
        <v>354</v>
      </c>
      <c r="D564" s="2" t="s">
        <v>189</v>
      </c>
      <c r="E564" s="2">
        <v>3</v>
      </c>
      <c r="F564" s="2" t="s">
        <v>796</v>
      </c>
      <c r="G564" s="5">
        <v>80.95</v>
      </c>
      <c r="H564" s="5">
        <v>83.95</v>
      </c>
      <c r="I564" s="5">
        <v>82.5</v>
      </c>
      <c r="J564" s="5">
        <v>76.5</v>
      </c>
      <c r="K564" s="5">
        <v>84.5</v>
      </c>
      <c r="L564" s="5">
        <v>81.679999999999993</v>
      </c>
    </row>
    <row r="565" spans="1:12" x14ac:dyDescent="0.3">
      <c r="A565" s="2" t="s">
        <v>298</v>
      </c>
      <c r="B565" s="2" t="s">
        <v>353</v>
      </c>
      <c r="C565" s="2" t="s">
        <v>354</v>
      </c>
      <c r="D565" s="2" t="s">
        <v>302</v>
      </c>
      <c r="E565" s="2">
        <v>4</v>
      </c>
      <c r="F565" s="2" t="s">
        <v>797</v>
      </c>
      <c r="G565" s="5">
        <v>64.88</v>
      </c>
      <c r="H565" s="5">
        <v>67.88</v>
      </c>
      <c r="I565" s="5">
        <v>83.5</v>
      </c>
      <c r="J565" s="5">
        <v>62.5</v>
      </c>
      <c r="K565" s="5">
        <v>67.5</v>
      </c>
      <c r="L565" s="5">
        <v>69.251999999999995</v>
      </c>
    </row>
    <row r="566" spans="1:12" x14ac:dyDescent="0.3">
      <c r="A566" s="2" t="s">
        <v>298</v>
      </c>
      <c r="B566" s="2" t="s">
        <v>355</v>
      </c>
      <c r="C566" s="2" t="s">
        <v>356</v>
      </c>
      <c r="D566" s="2" t="s">
        <v>301</v>
      </c>
      <c r="E566" s="2">
        <v>1</v>
      </c>
      <c r="F566" s="2" t="s">
        <v>791</v>
      </c>
      <c r="G566" s="5">
        <v>77.61</v>
      </c>
      <c r="H566" s="5">
        <v>81.61</v>
      </c>
      <c r="I566" s="5">
        <v>82</v>
      </c>
      <c r="J566" s="5">
        <v>81</v>
      </c>
      <c r="K566" s="5">
        <v>71.099999999999994</v>
      </c>
      <c r="L566" s="5">
        <v>78.664000000000016</v>
      </c>
    </row>
    <row r="567" spans="1:12" x14ac:dyDescent="0.3">
      <c r="A567" s="2" t="s">
        <v>298</v>
      </c>
      <c r="B567" s="2" t="s">
        <v>355</v>
      </c>
      <c r="C567" s="2" t="s">
        <v>356</v>
      </c>
      <c r="D567" s="2" t="s">
        <v>64</v>
      </c>
      <c r="E567" s="2">
        <v>2</v>
      </c>
      <c r="F567" s="2" t="s">
        <v>795</v>
      </c>
      <c r="G567" s="5">
        <v>81.36</v>
      </c>
      <c r="H567" s="5">
        <v>83.36</v>
      </c>
      <c r="I567" s="5">
        <v>76</v>
      </c>
      <c r="J567" s="5">
        <v>67</v>
      </c>
      <c r="K567" s="5">
        <v>79.3</v>
      </c>
      <c r="L567" s="5">
        <v>77.404000000000011</v>
      </c>
    </row>
    <row r="568" spans="1:12" x14ac:dyDescent="0.3">
      <c r="A568" s="2" t="s">
        <v>298</v>
      </c>
      <c r="B568" s="2" t="s">
        <v>355</v>
      </c>
      <c r="C568" s="2" t="s">
        <v>356</v>
      </c>
      <c r="D568" s="2" t="s">
        <v>189</v>
      </c>
      <c r="E568" s="2">
        <v>3</v>
      </c>
      <c r="F568" s="2" t="s">
        <v>796</v>
      </c>
      <c r="G568" s="5">
        <v>86.15</v>
      </c>
      <c r="H568" s="5">
        <v>90.15</v>
      </c>
      <c r="I568" s="5">
        <v>84</v>
      </c>
      <c r="J568" s="5">
        <v>93.5</v>
      </c>
      <c r="K568" s="5">
        <v>83.5</v>
      </c>
      <c r="L568" s="5">
        <v>87.460000000000008</v>
      </c>
    </row>
    <row r="569" spans="1:12" x14ac:dyDescent="0.3">
      <c r="A569" s="2" t="s">
        <v>298</v>
      </c>
      <c r="B569" s="2" t="s">
        <v>355</v>
      </c>
      <c r="C569" s="2" t="s">
        <v>356</v>
      </c>
      <c r="D569" s="2" t="s">
        <v>302</v>
      </c>
      <c r="E569" s="2">
        <v>4</v>
      </c>
      <c r="F569" s="2" t="s">
        <v>797</v>
      </c>
      <c r="G569" s="5">
        <v>90.19</v>
      </c>
      <c r="H569" s="5">
        <v>94.19</v>
      </c>
      <c r="I569" s="5">
        <v>96</v>
      </c>
      <c r="J569" s="5">
        <v>93</v>
      </c>
      <c r="K569" s="5">
        <v>88.5</v>
      </c>
      <c r="L569" s="5">
        <v>92.376000000000005</v>
      </c>
    </row>
    <row r="570" spans="1:12" x14ac:dyDescent="0.3">
      <c r="A570" s="2" t="s">
        <v>298</v>
      </c>
      <c r="B570" s="2" t="s">
        <v>357</v>
      </c>
      <c r="C570" s="2" t="s">
        <v>358</v>
      </c>
      <c r="D570" s="2" t="s">
        <v>301</v>
      </c>
      <c r="E570" s="2">
        <v>1</v>
      </c>
      <c r="F570" s="2" t="s">
        <v>791</v>
      </c>
      <c r="G570" s="5">
        <v>82.19</v>
      </c>
      <c r="H570" s="5">
        <v>87.19</v>
      </c>
      <c r="I570" s="5">
        <v>88.5</v>
      </c>
      <c r="J570" s="5">
        <v>91</v>
      </c>
      <c r="K570" s="5">
        <v>79.7</v>
      </c>
      <c r="L570" s="5">
        <v>85.715999999999994</v>
      </c>
    </row>
    <row r="571" spans="1:12" x14ac:dyDescent="0.3">
      <c r="A571" s="2" t="s">
        <v>298</v>
      </c>
      <c r="B571" s="2" t="s">
        <v>357</v>
      </c>
      <c r="C571" s="2" t="s">
        <v>358</v>
      </c>
      <c r="D571" s="2" t="s">
        <v>64</v>
      </c>
      <c r="E571" s="2">
        <v>2</v>
      </c>
      <c r="F571" s="2" t="s">
        <v>795</v>
      </c>
      <c r="G571" s="5">
        <v>91.12</v>
      </c>
      <c r="H571" s="5">
        <v>92.12</v>
      </c>
      <c r="I571" s="5">
        <v>87.5</v>
      </c>
      <c r="J571" s="5">
        <v>92.5</v>
      </c>
      <c r="K571" s="5">
        <v>88.2</v>
      </c>
      <c r="L571" s="5">
        <v>90.287999999999997</v>
      </c>
    </row>
    <row r="572" spans="1:12" x14ac:dyDescent="0.3">
      <c r="A572" s="2" t="s">
        <v>298</v>
      </c>
      <c r="B572" s="2" t="s">
        <v>357</v>
      </c>
      <c r="C572" s="2" t="s">
        <v>358</v>
      </c>
      <c r="D572" s="2" t="s">
        <v>189</v>
      </c>
      <c r="E572" s="2">
        <v>3</v>
      </c>
      <c r="F572" s="2" t="s">
        <v>796</v>
      </c>
      <c r="G572" s="5">
        <v>94.75</v>
      </c>
      <c r="H572" s="5">
        <v>94.75</v>
      </c>
      <c r="I572" s="5">
        <v>88.5</v>
      </c>
      <c r="J572" s="5">
        <v>97.5</v>
      </c>
      <c r="K572" s="5">
        <v>98</v>
      </c>
      <c r="L572" s="5">
        <v>94.7</v>
      </c>
    </row>
    <row r="573" spans="1:12" x14ac:dyDescent="0.3">
      <c r="A573" s="2" t="s">
        <v>298</v>
      </c>
      <c r="B573" s="2" t="s">
        <v>357</v>
      </c>
      <c r="C573" s="2" t="s">
        <v>358</v>
      </c>
      <c r="D573" s="2" t="s">
        <v>302</v>
      </c>
      <c r="E573" s="2">
        <v>4</v>
      </c>
      <c r="F573" s="2" t="s">
        <v>797</v>
      </c>
      <c r="G573" s="5">
        <v>89.94</v>
      </c>
      <c r="H573" s="5">
        <v>94.94</v>
      </c>
      <c r="I573" s="5">
        <v>93</v>
      </c>
      <c r="J573" s="5">
        <v>97.5</v>
      </c>
      <c r="K573" s="5">
        <v>96</v>
      </c>
      <c r="L573" s="5">
        <v>94.275999999999996</v>
      </c>
    </row>
    <row r="574" spans="1:12" x14ac:dyDescent="0.3">
      <c r="A574" s="2" t="s">
        <v>298</v>
      </c>
      <c r="B574" s="2" t="s">
        <v>359</v>
      </c>
      <c r="C574" s="2" t="s">
        <v>360</v>
      </c>
      <c r="D574" s="2" t="s">
        <v>301</v>
      </c>
      <c r="E574" s="2">
        <v>1</v>
      </c>
      <c r="F574" s="2" t="s">
        <v>791</v>
      </c>
      <c r="G574" s="5">
        <v>68.88</v>
      </c>
      <c r="H574" s="5">
        <v>74.88</v>
      </c>
      <c r="I574" s="5">
        <v>81</v>
      </c>
      <c r="J574" s="5">
        <v>66</v>
      </c>
      <c r="K574" s="5">
        <v>68.8</v>
      </c>
      <c r="L574" s="5">
        <v>71.912000000000006</v>
      </c>
    </row>
    <row r="575" spans="1:12" x14ac:dyDescent="0.3">
      <c r="A575" s="2" t="s">
        <v>298</v>
      </c>
      <c r="B575" s="2" t="s">
        <v>359</v>
      </c>
      <c r="C575" s="2" t="s">
        <v>360</v>
      </c>
      <c r="D575" s="2" t="s">
        <v>64</v>
      </c>
      <c r="E575" s="2">
        <v>2</v>
      </c>
      <c r="F575" s="2" t="s">
        <v>795</v>
      </c>
      <c r="G575" s="5">
        <v>75.599999999999994</v>
      </c>
      <c r="H575" s="5">
        <v>80.599999999999994</v>
      </c>
      <c r="I575" s="5">
        <v>88</v>
      </c>
      <c r="J575" s="5">
        <v>75.5</v>
      </c>
      <c r="K575" s="5">
        <v>72.8</v>
      </c>
      <c r="L575" s="5">
        <v>78.5</v>
      </c>
    </row>
    <row r="576" spans="1:12" x14ac:dyDescent="0.3">
      <c r="A576" s="2" t="s">
        <v>298</v>
      </c>
      <c r="B576" s="2" t="s">
        <v>359</v>
      </c>
      <c r="C576" s="2" t="s">
        <v>360</v>
      </c>
      <c r="D576" s="2" t="s">
        <v>189</v>
      </c>
      <c r="E576" s="2">
        <v>3</v>
      </c>
      <c r="F576" s="2" t="s">
        <v>796</v>
      </c>
      <c r="G576" s="5">
        <v>83.3</v>
      </c>
      <c r="H576" s="5">
        <v>84.3</v>
      </c>
      <c r="I576" s="5">
        <v>84.5</v>
      </c>
      <c r="J576" s="5">
        <v>80</v>
      </c>
      <c r="K576" s="5">
        <v>81.5</v>
      </c>
      <c r="L576" s="5">
        <v>82.72</v>
      </c>
    </row>
    <row r="577" spans="1:12" x14ac:dyDescent="0.3">
      <c r="A577" s="2" t="s">
        <v>298</v>
      </c>
      <c r="B577" s="2" t="s">
        <v>359</v>
      </c>
      <c r="C577" s="2" t="s">
        <v>360</v>
      </c>
      <c r="D577" s="2" t="s">
        <v>302</v>
      </c>
      <c r="E577" s="2">
        <v>4</v>
      </c>
      <c r="F577" s="2" t="s">
        <v>797</v>
      </c>
      <c r="G577" s="5">
        <v>71.31</v>
      </c>
      <c r="H577" s="5">
        <v>75.31</v>
      </c>
      <c r="I577" s="5">
        <v>84.5</v>
      </c>
      <c r="J577" s="5">
        <v>71.5</v>
      </c>
      <c r="K577" s="5">
        <v>75.5</v>
      </c>
      <c r="L577" s="5">
        <v>75.623999999999995</v>
      </c>
    </row>
    <row r="578" spans="1:12" x14ac:dyDescent="0.3">
      <c r="A578" s="2" t="s">
        <v>298</v>
      </c>
      <c r="B578" s="2" t="s">
        <v>361</v>
      </c>
      <c r="C578" s="2" t="s">
        <v>362</v>
      </c>
      <c r="D578" s="2" t="s">
        <v>301</v>
      </c>
      <c r="E578" s="2">
        <v>1</v>
      </c>
      <c r="F578" s="2" t="s">
        <v>791</v>
      </c>
      <c r="G578" s="5">
        <v>78.88</v>
      </c>
      <c r="H578" s="5">
        <v>83.88</v>
      </c>
      <c r="I578" s="5">
        <v>81.5</v>
      </c>
      <c r="J578" s="5">
        <v>76</v>
      </c>
      <c r="K578" s="5">
        <v>75.400000000000006</v>
      </c>
      <c r="L578" s="5">
        <v>79.131999999999991</v>
      </c>
    </row>
    <row r="579" spans="1:12" x14ac:dyDescent="0.3">
      <c r="A579" s="2" t="s">
        <v>298</v>
      </c>
      <c r="B579" s="2" t="s">
        <v>361</v>
      </c>
      <c r="C579" s="2" t="s">
        <v>362</v>
      </c>
      <c r="D579" s="2" t="s">
        <v>64</v>
      </c>
      <c r="E579" s="2">
        <v>2</v>
      </c>
      <c r="F579" s="2" t="s">
        <v>795</v>
      </c>
      <c r="G579" s="5">
        <v>83.72</v>
      </c>
      <c r="H579" s="5">
        <v>85.72</v>
      </c>
      <c r="I579" s="5">
        <v>85.5</v>
      </c>
      <c r="J579" s="5">
        <v>84</v>
      </c>
      <c r="K579" s="5">
        <v>79.5</v>
      </c>
      <c r="L579" s="5">
        <v>83.688000000000002</v>
      </c>
    </row>
    <row r="580" spans="1:12" x14ac:dyDescent="0.3">
      <c r="A580" s="2" t="s">
        <v>298</v>
      </c>
      <c r="B580" s="2" t="s">
        <v>361</v>
      </c>
      <c r="C580" s="2" t="s">
        <v>362</v>
      </c>
      <c r="D580" s="2" t="s">
        <v>189</v>
      </c>
      <c r="E580" s="2">
        <v>3</v>
      </c>
      <c r="F580" s="2" t="s">
        <v>796</v>
      </c>
      <c r="G580" s="5">
        <v>85.4</v>
      </c>
      <c r="H580" s="5">
        <v>91.4</v>
      </c>
      <c r="I580" s="5">
        <v>91</v>
      </c>
      <c r="J580" s="5">
        <v>90</v>
      </c>
      <c r="K580" s="5">
        <v>92.5</v>
      </c>
      <c r="L580" s="5">
        <v>90.06</v>
      </c>
    </row>
    <row r="581" spans="1:12" x14ac:dyDescent="0.3">
      <c r="A581" s="2" t="s">
        <v>298</v>
      </c>
      <c r="B581" s="2" t="s">
        <v>361</v>
      </c>
      <c r="C581" s="2" t="s">
        <v>362</v>
      </c>
      <c r="D581" s="2" t="s">
        <v>302</v>
      </c>
      <c r="E581" s="2">
        <v>4</v>
      </c>
      <c r="F581" s="2" t="s">
        <v>797</v>
      </c>
      <c r="G581" s="5">
        <v>83.06</v>
      </c>
      <c r="H581" s="5">
        <v>86.06</v>
      </c>
      <c r="I581" s="5">
        <v>87</v>
      </c>
      <c r="J581" s="5">
        <v>79</v>
      </c>
      <c r="K581" s="5">
        <v>88</v>
      </c>
      <c r="L581" s="5">
        <v>84.623999999999995</v>
      </c>
    </row>
    <row r="582" spans="1:12" x14ac:dyDescent="0.3">
      <c r="A582" s="2" t="s">
        <v>298</v>
      </c>
      <c r="B582" s="2" t="s">
        <v>363</v>
      </c>
      <c r="C582" s="2" t="s">
        <v>364</v>
      </c>
      <c r="D582" s="2" t="s">
        <v>301</v>
      </c>
      <c r="E582" s="2">
        <v>1</v>
      </c>
      <c r="F582" s="2" t="s">
        <v>791</v>
      </c>
      <c r="G582" s="5">
        <v>81.34</v>
      </c>
      <c r="H582" s="5">
        <v>82.34</v>
      </c>
      <c r="I582" s="5">
        <v>81</v>
      </c>
      <c r="J582" s="5">
        <v>85.5</v>
      </c>
      <c r="K582" s="5">
        <v>69.099999999999994</v>
      </c>
      <c r="L582" s="5">
        <v>79.855999999999995</v>
      </c>
    </row>
    <row r="583" spans="1:12" x14ac:dyDescent="0.3">
      <c r="A583" s="2" t="s">
        <v>298</v>
      </c>
      <c r="B583" s="2" t="s">
        <v>363</v>
      </c>
      <c r="C583" s="2" t="s">
        <v>364</v>
      </c>
      <c r="D583" s="2" t="s">
        <v>64</v>
      </c>
      <c r="E583" s="2">
        <v>2</v>
      </c>
      <c r="F583" s="2" t="s">
        <v>795</v>
      </c>
      <c r="G583" s="5">
        <v>92.76</v>
      </c>
      <c r="H583" s="5">
        <v>94.76</v>
      </c>
      <c r="I583" s="5">
        <v>94</v>
      </c>
      <c r="J583" s="5">
        <v>95.5</v>
      </c>
      <c r="K583" s="5">
        <v>95.2</v>
      </c>
      <c r="L583" s="5">
        <v>94.443999999999988</v>
      </c>
    </row>
    <row r="584" spans="1:12" x14ac:dyDescent="0.3">
      <c r="A584" s="2" t="s">
        <v>298</v>
      </c>
      <c r="B584" s="2" t="s">
        <v>363</v>
      </c>
      <c r="C584" s="2" t="s">
        <v>364</v>
      </c>
      <c r="D584" s="2" t="s">
        <v>189</v>
      </c>
      <c r="E584" s="2">
        <v>3</v>
      </c>
      <c r="F584" s="2" t="s">
        <v>796</v>
      </c>
      <c r="G584" s="5">
        <v>93.9</v>
      </c>
      <c r="H584" s="5">
        <v>97.9</v>
      </c>
      <c r="I584" s="5">
        <v>97</v>
      </c>
      <c r="J584" s="5">
        <v>98</v>
      </c>
      <c r="K584" s="5">
        <v>100</v>
      </c>
      <c r="L584" s="5">
        <v>97.36</v>
      </c>
    </row>
    <row r="585" spans="1:12" x14ac:dyDescent="0.3">
      <c r="A585" s="2" t="s">
        <v>298</v>
      </c>
      <c r="B585" s="2" t="s">
        <v>363</v>
      </c>
      <c r="C585" s="2" t="s">
        <v>364</v>
      </c>
      <c r="D585" s="2" t="s">
        <v>302</v>
      </c>
      <c r="E585" s="2">
        <v>4</v>
      </c>
      <c r="F585" s="2" t="s">
        <v>797</v>
      </c>
      <c r="G585" s="5">
        <v>95.94</v>
      </c>
      <c r="H585" s="5">
        <v>98.94</v>
      </c>
      <c r="I585" s="5">
        <v>99</v>
      </c>
      <c r="J585" s="5">
        <v>99.5</v>
      </c>
      <c r="K585" s="5">
        <v>99.5</v>
      </c>
      <c r="L585" s="5">
        <v>98.575999999999993</v>
      </c>
    </row>
    <row r="586" spans="1:12" x14ac:dyDescent="0.3">
      <c r="A586" s="2" t="s">
        <v>298</v>
      </c>
      <c r="B586" s="2" t="s">
        <v>365</v>
      </c>
      <c r="C586" s="2" t="s">
        <v>366</v>
      </c>
      <c r="D586" s="2" t="s">
        <v>301</v>
      </c>
      <c r="E586" s="2">
        <v>1</v>
      </c>
      <c r="F586" s="2" t="s">
        <v>791</v>
      </c>
      <c r="G586" s="5">
        <v>85.61</v>
      </c>
      <c r="H586" s="5">
        <v>87.61</v>
      </c>
      <c r="I586" s="5">
        <v>86</v>
      </c>
      <c r="J586" s="5">
        <v>80</v>
      </c>
      <c r="K586" s="5">
        <v>83.2</v>
      </c>
      <c r="L586" s="5">
        <v>84.484000000000009</v>
      </c>
    </row>
    <row r="587" spans="1:12" x14ac:dyDescent="0.3">
      <c r="A587" s="2" t="s">
        <v>298</v>
      </c>
      <c r="B587" s="2" t="s">
        <v>365</v>
      </c>
      <c r="C587" s="2" t="s">
        <v>366</v>
      </c>
      <c r="D587" s="2" t="s">
        <v>64</v>
      </c>
      <c r="E587" s="2">
        <v>2</v>
      </c>
      <c r="F587" s="2" t="s">
        <v>795</v>
      </c>
      <c r="G587" s="5">
        <v>81.760000000000005</v>
      </c>
      <c r="H587" s="5">
        <v>86.76</v>
      </c>
      <c r="I587" s="5">
        <v>87.5</v>
      </c>
      <c r="J587" s="5">
        <v>76</v>
      </c>
      <c r="K587" s="5">
        <v>80.7</v>
      </c>
      <c r="L587" s="5">
        <v>82.544000000000011</v>
      </c>
    </row>
    <row r="588" spans="1:12" x14ac:dyDescent="0.3">
      <c r="A588" s="2" t="s">
        <v>298</v>
      </c>
      <c r="B588" s="2" t="s">
        <v>365</v>
      </c>
      <c r="C588" s="2" t="s">
        <v>366</v>
      </c>
      <c r="D588" s="2" t="s">
        <v>189</v>
      </c>
      <c r="E588" s="2">
        <v>3</v>
      </c>
      <c r="F588" s="2" t="s">
        <v>796</v>
      </c>
      <c r="G588" s="5">
        <v>88.95</v>
      </c>
      <c r="H588" s="5">
        <v>89.95</v>
      </c>
      <c r="I588" s="5">
        <v>92</v>
      </c>
      <c r="J588" s="5">
        <v>88.5</v>
      </c>
      <c r="K588" s="5">
        <v>74.5</v>
      </c>
      <c r="L588" s="5">
        <v>86.78</v>
      </c>
    </row>
    <row r="589" spans="1:12" x14ac:dyDescent="0.3">
      <c r="A589" s="2" t="s">
        <v>298</v>
      </c>
      <c r="B589" s="2" t="s">
        <v>365</v>
      </c>
      <c r="C589" s="2" t="s">
        <v>366</v>
      </c>
      <c r="D589" s="2" t="s">
        <v>302</v>
      </c>
      <c r="E589" s="2">
        <v>4</v>
      </c>
      <c r="F589" s="2" t="s">
        <v>797</v>
      </c>
      <c r="G589" s="5">
        <v>83.38</v>
      </c>
      <c r="H589" s="5">
        <v>88.38</v>
      </c>
      <c r="I589" s="5">
        <v>94.5</v>
      </c>
      <c r="J589" s="5">
        <v>86</v>
      </c>
      <c r="K589" s="5">
        <v>87</v>
      </c>
      <c r="L589" s="5">
        <v>87.852000000000004</v>
      </c>
    </row>
    <row r="590" spans="1:12" x14ac:dyDescent="0.3">
      <c r="A590" s="2" t="s">
        <v>298</v>
      </c>
      <c r="B590" s="2" t="s">
        <v>367</v>
      </c>
      <c r="C590" s="2" t="s">
        <v>368</v>
      </c>
      <c r="D590" s="2" t="s">
        <v>301</v>
      </c>
      <c r="E590" s="2">
        <v>1</v>
      </c>
      <c r="F590" s="2" t="s">
        <v>791</v>
      </c>
      <c r="G590" s="5">
        <v>85.57</v>
      </c>
      <c r="H590" s="5">
        <v>91.57</v>
      </c>
      <c r="I590" s="5">
        <v>94</v>
      </c>
      <c r="J590" s="5">
        <v>98</v>
      </c>
      <c r="K590" s="5">
        <v>86.8</v>
      </c>
      <c r="L590" s="5">
        <v>91.188000000000002</v>
      </c>
    </row>
    <row r="591" spans="1:12" x14ac:dyDescent="0.3">
      <c r="A591" s="2" t="s">
        <v>298</v>
      </c>
      <c r="B591" s="2" t="s">
        <v>367</v>
      </c>
      <c r="C591" s="2" t="s">
        <v>368</v>
      </c>
      <c r="D591" s="2" t="s">
        <v>64</v>
      </c>
      <c r="E591" s="2">
        <v>2</v>
      </c>
      <c r="F591" s="2" t="s">
        <v>795</v>
      </c>
      <c r="G591" s="5">
        <v>89.48</v>
      </c>
      <c r="H591" s="5">
        <v>94.48</v>
      </c>
      <c r="I591" s="5">
        <v>96.5</v>
      </c>
      <c r="J591" s="5">
        <v>94.5</v>
      </c>
      <c r="K591" s="5">
        <v>91.2</v>
      </c>
      <c r="L591" s="5">
        <v>93.231999999999999</v>
      </c>
    </row>
    <row r="592" spans="1:12" x14ac:dyDescent="0.3">
      <c r="A592" s="2" t="s">
        <v>298</v>
      </c>
      <c r="B592" s="2" t="s">
        <v>367</v>
      </c>
      <c r="C592" s="2" t="s">
        <v>368</v>
      </c>
      <c r="D592" s="2" t="s">
        <v>189</v>
      </c>
      <c r="E592" s="2">
        <v>3</v>
      </c>
      <c r="F592" s="2" t="s">
        <v>796</v>
      </c>
      <c r="G592" s="5">
        <v>96.65</v>
      </c>
      <c r="H592" s="5">
        <v>96.65</v>
      </c>
      <c r="I592" s="5">
        <v>97.5</v>
      </c>
      <c r="J592" s="5">
        <v>98</v>
      </c>
      <c r="K592" s="5">
        <v>98.5</v>
      </c>
      <c r="L592" s="5">
        <v>97.460000000000008</v>
      </c>
    </row>
    <row r="593" spans="1:12" x14ac:dyDescent="0.3">
      <c r="A593" s="2" t="s">
        <v>298</v>
      </c>
      <c r="B593" s="2" t="s">
        <v>367</v>
      </c>
      <c r="C593" s="2" t="s">
        <v>368</v>
      </c>
      <c r="D593" s="2" t="s">
        <v>302</v>
      </c>
      <c r="E593" s="2">
        <v>4</v>
      </c>
      <c r="F593" s="2" t="s">
        <v>797</v>
      </c>
      <c r="G593" s="5">
        <v>92.19</v>
      </c>
      <c r="H593" s="5">
        <v>97.19</v>
      </c>
      <c r="I593" s="5">
        <v>100</v>
      </c>
      <c r="J593" s="5">
        <v>98</v>
      </c>
      <c r="K593" s="5">
        <v>98.5</v>
      </c>
      <c r="L593" s="5">
        <v>97.176000000000002</v>
      </c>
    </row>
    <row r="594" spans="1:12" x14ac:dyDescent="0.3">
      <c r="A594" s="2" t="s">
        <v>298</v>
      </c>
      <c r="B594" s="2" t="s">
        <v>369</v>
      </c>
      <c r="C594" s="2" t="s">
        <v>370</v>
      </c>
      <c r="D594" s="2" t="s">
        <v>301</v>
      </c>
      <c r="E594" s="2">
        <v>1</v>
      </c>
      <c r="F594" s="2" t="s">
        <v>791</v>
      </c>
      <c r="G594" s="5">
        <v>79.23</v>
      </c>
      <c r="H594" s="5">
        <v>84.23</v>
      </c>
      <c r="I594" s="5">
        <v>82.5</v>
      </c>
      <c r="J594" s="5">
        <v>88.5</v>
      </c>
      <c r="K594" s="5">
        <v>76.099999999999994</v>
      </c>
      <c r="L594" s="5">
        <v>82.111999999999995</v>
      </c>
    </row>
    <row r="595" spans="1:12" x14ac:dyDescent="0.3">
      <c r="A595" s="2" t="s">
        <v>298</v>
      </c>
      <c r="B595" s="2" t="s">
        <v>369</v>
      </c>
      <c r="C595" s="2" t="s">
        <v>370</v>
      </c>
      <c r="D595" s="2" t="s">
        <v>64</v>
      </c>
      <c r="E595" s="2">
        <v>2</v>
      </c>
      <c r="F595" s="2" t="s">
        <v>795</v>
      </c>
      <c r="G595" s="5">
        <v>82.96</v>
      </c>
      <c r="H595" s="5">
        <v>85.96</v>
      </c>
      <c r="I595" s="5">
        <v>86</v>
      </c>
      <c r="J595" s="5">
        <v>80.5</v>
      </c>
      <c r="K595" s="5">
        <v>83.6</v>
      </c>
      <c r="L595" s="5">
        <v>83.804000000000002</v>
      </c>
    </row>
    <row r="596" spans="1:12" x14ac:dyDescent="0.3">
      <c r="A596" s="2" t="s">
        <v>298</v>
      </c>
      <c r="B596" s="2" t="s">
        <v>369</v>
      </c>
      <c r="C596" s="2" t="s">
        <v>370</v>
      </c>
      <c r="D596" s="2" t="s">
        <v>189</v>
      </c>
      <c r="E596" s="2">
        <v>3</v>
      </c>
      <c r="F596" s="2" t="s">
        <v>796</v>
      </c>
      <c r="G596" s="5">
        <v>83.35</v>
      </c>
      <c r="H596" s="5">
        <v>88.35</v>
      </c>
      <c r="I596" s="5">
        <v>84.5</v>
      </c>
      <c r="J596" s="5">
        <v>90</v>
      </c>
      <c r="K596" s="5">
        <v>84.5</v>
      </c>
      <c r="L596" s="5">
        <v>86.14</v>
      </c>
    </row>
    <row r="597" spans="1:12" x14ac:dyDescent="0.3">
      <c r="A597" s="2" t="s">
        <v>298</v>
      </c>
      <c r="B597" s="2" t="s">
        <v>369</v>
      </c>
      <c r="C597" s="2" t="s">
        <v>370</v>
      </c>
      <c r="D597" s="2" t="s">
        <v>302</v>
      </c>
      <c r="E597" s="2">
        <v>4</v>
      </c>
      <c r="F597" s="2" t="s">
        <v>797</v>
      </c>
      <c r="G597" s="5">
        <v>86.44</v>
      </c>
      <c r="H597" s="5">
        <v>87.44</v>
      </c>
      <c r="I597" s="5">
        <v>88</v>
      </c>
      <c r="J597" s="5">
        <v>85.5</v>
      </c>
      <c r="K597" s="5">
        <v>86</v>
      </c>
      <c r="L597" s="5">
        <v>86.676000000000002</v>
      </c>
    </row>
    <row r="598" spans="1:12" x14ac:dyDescent="0.3">
      <c r="A598" s="2" t="s">
        <v>298</v>
      </c>
      <c r="B598" s="2" t="s">
        <v>371</v>
      </c>
      <c r="C598" s="2" t="s">
        <v>372</v>
      </c>
      <c r="D598" s="2" t="s">
        <v>301</v>
      </c>
      <c r="E598" s="2">
        <v>1</v>
      </c>
      <c r="F598" s="2" t="s">
        <v>791</v>
      </c>
      <c r="G598" s="5">
        <v>86.26</v>
      </c>
      <c r="H598" s="5">
        <v>87.26</v>
      </c>
      <c r="I598" s="5">
        <v>85</v>
      </c>
      <c r="J598" s="5">
        <v>95</v>
      </c>
      <c r="K598" s="5">
        <v>77.599999999999994</v>
      </c>
      <c r="L598" s="5">
        <v>86.224000000000004</v>
      </c>
    </row>
    <row r="599" spans="1:12" x14ac:dyDescent="0.3">
      <c r="A599" s="2" t="s">
        <v>298</v>
      </c>
      <c r="B599" s="2" t="s">
        <v>371</v>
      </c>
      <c r="C599" s="2" t="s">
        <v>372</v>
      </c>
      <c r="D599" s="2" t="s">
        <v>64</v>
      </c>
      <c r="E599" s="2">
        <v>2</v>
      </c>
      <c r="F599" s="2" t="s">
        <v>795</v>
      </c>
      <c r="G599" s="5">
        <v>91.08</v>
      </c>
      <c r="H599" s="5">
        <v>92.08</v>
      </c>
      <c r="I599" s="5">
        <v>85.5</v>
      </c>
      <c r="J599" s="5">
        <v>84</v>
      </c>
      <c r="K599" s="5">
        <v>90.4</v>
      </c>
      <c r="L599" s="5">
        <v>88.611999999999995</v>
      </c>
    </row>
    <row r="600" spans="1:12" x14ac:dyDescent="0.3">
      <c r="A600" s="2" t="s">
        <v>298</v>
      </c>
      <c r="B600" s="2" t="s">
        <v>371</v>
      </c>
      <c r="C600" s="2" t="s">
        <v>372</v>
      </c>
      <c r="D600" s="2" t="s">
        <v>189</v>
      </c>
      <c r="E600" s="2">
        <v>3</v>
      </c>
      <c r="F600" s="2" t="s">
        <v>796</v>
      </c>
      <c r="G600" s="5">
        <v>90.65</v>
      </c>
      <c r="H600" s="5">
        <v>94.65</v>
      </c>
      <c r="I600" s="5">
        <v>91.5</v>
      </c>
      <c r="J600" s="5">
        <v>95.5</v>
      </c>
      <c r="K600" s="5">
        <v>91</v>
      </c>
      <c r="L600" s="5">
        <v>92.66</v>
      </c>
    </row>
    <row r="601" spans="1:12" x14ac:dyDescent="0.3">
      <c r="A601" s="2" t="s">
        <v>298</v>
      </c>
      <c r="B601" s="2" t="s">
        <v>371</v>
      </c>
      <c r="C601" s="2" t="s">
        <v>372</v>
      </c>
      <c r="D601" s="2" t="s">
        <v>302</v>
      </c>
      <c r="E601" s="2">
        <v>4</v>
      </c>
      <c r="F601" s="2" t="s">
        <v>797</v>
      </c>
      <c r="G601" s="5">
        <v>91.06</v>
      </c>
      <c r="H601" s="5">
        <v>94.06</v>
      </c>
      <c r="I601" s="5">
        <v>93</v>
      </c>
      <c r="J601" s="5">
        <v>90.5</v>
      </c>
      <c r="K601" s="5">
        <v>94.5</v>
      </c>
      <c r="L601" s="5">
        <v>92.623999999999995</v>
      </c>
    </row>
    <row r="602" spans="1:12" x14ac:dyDescent="0.3">
      <c r="A602" s="2" t="s">
        <v>298</v>
      </c>
      <c r="B602" s="2" t="s">
        <v>373</v>
      </c>
      <c r="C602" s="2" t="s">
        <v>374</v>
      </c>
      <c r="D602" s="2" t="s">
        <v>301</v>
      </c>
      <c r="E602" s="2">
        <v>1</v>
      </c>
      <c r="F602" s="2" t="s">
        <v>791</v>
      </c>
      <c r="G602" s="5">
        <v>81.8</v>
      </c>
      <c r="H602" s="5">
        <v>82.8</v>
      </c>
      <c r="I602" s="5">
        <v>86</v>
      </c>
      <c r="J602" s="5">
        <v>79</v>
      </c>
      <c r="K602" s="5">
        <v>72.099999999999994</v>
      </c>
      <c r="L602" s="5">
        <v>80.34</v>
      </c>
    </row>
    <row r="603" spans="1:12" x14ac:dyDescent="0.3">
      <c r="A603" s="2" t="s">
        <v>298</v>
      </c>
      <c r="B603" s="2" t="s">
        <v>373</v>
      </c>
      <c r="C603" s="2" t="s">
        <v>374</v>
      </c>
      <c r="D603" s="2" t="s">
        <v>64</v>
      </c>
      <c r="E603" s="2">
        <v>2</v>
      </c>
      <c r="F603" s="2" t="s">
        <v>795</v>
      </c>
      <c r="G603" s="5">
        <v>80.12</v>
      </c>
      <c r="H603" s="5">
        <v>86.12</v>
      </c>
      <c r="I603" s="5">
        <v>86</v>
      </c>
      <c r="J603" s="5">
        <v>72</v>
      </c>
      <c r="K603" s="5">
        <v>81.5</v>
      </c>
      <c r="L603" s="5">
        <v>81.147999999999996</v>
      </c>
    </row>
    <row r="604" spans="1:12" x14ac:dyDescent="0.3">
      <c r="A604" s="2" t="s">
        <v>298</v>
      </c>
      <c r="B604" s="2" t="s">
        <v>373</v>
      </c>
      <c r="C604" s="2" t="s">
        <v>374</v>
      </c>
      <c r="D604" s="2" t="s">
        <v>189</v>
      </c>
      <c r="E604" s="2">
        <v>3</v>
      </c>
      <c r="F604" s="2" t="s">
        <v>796</v>
      </c>
      <c r="G604" s="5">
        <v>86.6</v>
      </c>
      <c r="H604" s="5">
        <v>87.6</v>
      </c>
      <c r="I604" s="5">
        <v>88</v>
      </c>
      <c r="J604" s="5">
        <v>84.5</v>
      </c>
      <c r="K604" s="5">
        <v>78</v>
      </c>
      <c r="L604" s="5">
        <v>84.94</v>
      </c>
    </row>
    <row r="605" spans="1:12" x14ac:dyDescent="0.3">
      <c r="A605" s="2" t="s">
        <v>298</v>
      </c>
      <c r="B605" s="2" t="s">
        <v>373</v>
      </c>
      <c r="C605" s="2" t="s">
        <v>374</v>
      </c>
      <c r="D605" s="2" t="s">
        <v>302</v>
      </c>
      <c r="E605" s="2">
        <v>4</v>
      </c>
      <c r="F605" s="2" t="s">
        <v>797</v>
      </c>
      <c r="G605" s="5">
        <v>77.88</v>
      </c>
      <c r="H605" s="5">
        <v>81.88</v>
      </c>
      <c r="I605" s="5">
        <v>85.5</v>
      </c>
      <c r="J605" s="5">
        <v>67</v>
      </c>
      <c r="K605" s="5">
        <v>81</v>
      </c>
      <c r="L605" s="5">
        <v>78.652000000000001</v>
      </c>
    </row>
    <row r="606" spans="1:12" x14ac:dyDescent="0.3">
      <c r="A606" s="2" t="s">
        <v>298</v>
      </c>
      <c r="B606" s="2" t="s">
        <v>375</v>
      </c>
      <c r="C606" s="2" t="s">
        <v>376</v>
      </c>
      <c r="D606" s="2" t="s">
        <v>301</v>
      </c>
      <c r="E606" s="2">
        <v>1</v>
      </c>
      <c r="F606" s="2" t="s">
        <v>791</v>
      </c>
      <c r="G606" s="5">
        <v>71.5</v>
      </c>
      <c r="H606" s="5">
        <v>74.5</v>
      </c>
      <c r="I606" s="5">
        <v>80</v>
      </c>
      <c r="J606" s="5">
        <v>73.5</v>
      </c>
      <c r="K606" s="5">
        <v>66.3</v>
      </c>
      <c r="L606" s="5">
        <v>73.16</v>
      </c>
    </row>
    <row r="607" spans="1:12" x14ac:dyDescent="0.3">
      <c r="A607" s="2" t="s">
        <v>298</v>
      </c>
      <c r="B607" s="2" t="s">
        <v>375</v>
      </c>
      <c r="C607" s="2" t="s">
        <v>376</v>
      </c>
      <c r="D607" s="2" t="s">
        <v>64</v>
      </c>
      <c r="E607" s="2">
        <v>2</v>
      </c>
      <c r="F607" s="2" t="s">
        <v>795</v>
      </c>
      <c r="G607" s="5">
        <v>77.239999999999995</v>
      </c>
      <c r="H607" s="5">
        <v>79.239999999999995</v>
      </c>
      <c r="I607" s="5">
        <v>82</v>
      </c>
      <c r="J607" s="5">
        <v>76.5</v>
      </c>
      <c r="K607" s="5">
        <v>73.599999999999994</v>
      </c>
      <c r="L607" s="5">
        <v>77.715999999999994</v>
      </c>
    </row>
    <row r="608" spans="1:12" x14ac:dyDescent="0.3">
      <c r="A608" s="2" t="s">
        <v>298</v>
      </c>
      <c r="B608" s="2" t="s">
        <v>375</v>
      </c>
      <c r="C608" s="2" t="s">
        <v>376</v>
      </c>
      <c r="D608" s="2" t="s">
        <v>189</v>
      </c>
      <c r="E608" s="2">
        <v>3</v>
      </c>
      <c r="F608" s="2" t="s">
        <v>796</v>
      </c>
      <c r="G608" s="5">
        <v>79.150000000000006</v>
      </c>
      <c r="H608" s="5">
        <v>83.15</v>
      </c>
      <c r="I608" s="5">
        <v>86.5</v>
      </c>
      <c r="J608" s="5">
        <v>82</v>
      </c>
      <c r="K608" s="5">
        <v>77.5</v>
      </c>
      <c r="L608" s="5">
        <v>81.66</v>
      </c>
    </row>
    <row r="609" spans="1:12" x14ac:dyDescent="0.3">
      <c r="A609" s="2" t="s">
        <v>298</v>
      </c>
      <c r="B609" s="2" t="s">
        <v>375</v>
      </c>
      <c r="C609" s="2" t="s">
        <v>376</v>
      </c>
      <c r="D609" s="2" t="s">
        <v>302</v>
      </c>
      <c r="E609" s="2">
        <v>4</v>
      </c>
      <c r="F609" s="2" t="s">
        <v>797</v>
      </c>
      <c r="G609" s="5">
        <v>62.75</v>
      </c>
      <c r="H609" s="5">
        <v>67.75</v>
      </c>
      <c r="I609" s="5">
        <v>83.5</v>
      </c>
      <c r="J609" s="5">
        <v>62</v>
      </c>
      <c r="K609" s="5">
        <v>74</v>
      </c>
      <c r="L609" s="5">
        <v>70</v>
      </c>
    </row>
    <row r="610" spans="1:12" x14ac:dyDescent="0.3">
      <c r="A610" s="2" t="s">
        <v>298</v>
      </c>
      <c r="B610" s="2" t="s">
        <v>377</v>
      </c>
      <c r="C610" s="2" t="s">
        <v>378</v>
      </c>
      <c r="D610" s="2" t="s">
        <v>301</v>
      </c>
      <c r="E610" s="2">
        <v>1</v>
      </c>
      <c r="F610" s="2" t="s">
        <v>791</v>
      </c>
      <c r="G610" s="5">
        <v>74.650000000000006</v>
      </c>
      <c r="H610" s="5">
        <v>78.650000000000006</v>
      </c>
      <c r="I610" s="5">
        <v>85.5</v>
      </c>
      <c r="J610" s="5">
        <v>70</v>
      </c>
      <c r="K610" s="5">
        <v>66.2</v>
      </c>
      <c r="L610" s="5">
        <v>75</v>
      </c>
    </row>
    <row r="611" spans="1:12" x14ac:dyDescent="0.3">
      <c r="A611" s="2" t="s">
        <v>298</v>
      </c>
      <c r="B611" s="2" t="s">
        <v>377</v>
      </c>
      <c r="C611" s="2" t="s">
        <v>378</v>
      </c>
      <c r="D611" s="2" t="s">
        <v>64</v>
      </c>
      <c r="E611" s="2">
        <v>2</v>
      </c>
      <c r="F611" s="2" t="s">
        <v>795</v>
      </c>
      <c r="G611" s="5">
        <v>83.08</v>
      </c>
      <c r="H611" s="5">
        <v>86.08</v>
      </c>
      <c r="I611" s="5">
        <v>89.5</v>
      </c>
      <c r="J611" s="5">
        <v>76.5</v>
      </c>
      <c r="K611" s="5">
        <v>79.7</v>
      </c>
      <c r="L611" s="5">
        <v>82.972000000000008</v>
      </c>
    </row>
    <row r="612" spans="1:12" x14ac:dyDescent="0.3">
      <c r="A612" s="2" t="s">
        <v>298</v>
      </c>
      <c r="B612" s="2" t="s">
        <v>377</v>
      </c>
      <c r="C612" s="2" t="s">
        <v>378</v>
      </c>
      <c r="D612" s="2" t="s">
        <v>189</v>
      </c>
      <c r="E612" s="2">
        <v>3</v>
      </c>
      <c r="F612" s="2" t="s">
        <v>796</v>
      </c>
      <c r="G612" s="5">
        <v>85.25</v>
      </c>
      <c r="H612" s="5">
        <v>89.25</v>
      </c>
      <c r="I612" s="5">
        <v>89</v>
      </c>
      <c r="J612" s="5">
        <v>86.5</v>
      </c>
      <c r="K612" s="5">
        <v>84</v>
      </c>
      <c r="L612" s="5">
        <v>86.8</v>
      </c>
    </row>
    <row r="613" spans="1:12" x14ac:dyDescent="0.3">
      <c r="A613" s="2" t="s">
        <v>298</v>
      </c>
      <c r="B613" s="2" t="s">
        <v>377</v>
      </c>
      <c r="C613" s="2" t="s">
        <v>378</v>
      </c>
      <c r="D613" s="2" t="s">
        <v>302</v>
      </c>
      <c r="E613" s="2">
        <v>4</v>
      </c>
      <c r="F613" s="2" t="s">
        <v>797</v>
      </c>
      <c r="G613" s="5">
        <v>79.06</v>
      </c>
      <c r="H613" s="5">
        <v>82.06</v>
      </c>
      <c r="I613" s="5">
        <v>89.5</v>
      </c>
      <c r="J613" s="5">
        <v>74.5</v>
      </c>
      <c r="K613" s="5">
        <v>80</v>
      </c>
      <c r="L613" s="5">
        <v>81.024000000000001</v>
      </c>
    </row>
    <row r="614" spans="1:12" x14ac:dyDescent="0.3">
      <c r="A614" s="2" t="s">
        <v>298</v>
      </c>
      <c r="B614" s="2" t="s">
        <v>379</v>
      </c>
      <c r="C614" s="2" t="s">
        <v>380</v>
      </c>
      <c r="D614" s="2" t="s">
        <v>301</v>
      </c>
      <c r="E614" s="2">
        <v>1</v>
      </c>
      <c r="F614" s="2" t="s">
        <v>791</v>
      </c>
      <c r="G614" s="5">
        <v>76.03</v>
      </c>
      <c r="H614" s="5">
        <v>79.03</v>
      </c>
      <c r="I614" s="5">
        <v>91</v>
      </c>
      <c r="J614" s="5">
        <v>70.5</v>
      </c>
      <c r="K614" s="5">
        <v>67.599999999999994</v>
      </c>
      <c r="L614" s="5">
        <v>76.831999999999994</v>
      </c>
    </row>
    <row r="615" spans="1:12" x14ac:dyDescent="0.3">
      <c r="A615" s="2" t="s">
        <v>298</v>
      </c>
      <c r="B615" s="2" t="s">
        <v>379</v>
      </c>
      <c r="C615" s="2" t="s">
        <v>380</v>
      </c>
      <c r="D615" s="2" t="s">
        <v>64</v>
      </c>
      <c r="E615" s="2">
        <v>2</v>
      </c>
      <c r="F615" s="2" t="s">
        <v>795</v>
      </c>
      <c r="G615" s="5">
        <v>80.760000000000005</v>
      </c>
      <c r="H615" s="5">
        <v>81.760000000000005</v>
      </c>
      <c r="I615" s="5">
        <v>91.5</v>
      </c>
      <c r="J615" s="5">
        <v>68.5</v>
      </c>
      <c r="K615" s="5">
        <v>75.5</v>
      </c>
      <c r="L615" s="5">
        <v>79.603999999999999</v>
      </c>
    </row>
    <row r="616" spans="1:12" x14ac:dyDescent="0.3">
      <c r="A616" s="2" t="s">
        <v>298</v>
      </c>
      <c r="B616" s="2" t="s">
        <v>379</v>
      </c>
      <c r="C616" s="2" t="s">
        <v>380</v>
      </c>
      <c r="D616" s="2" t="s">
        <v>189</v>
      </c>
      <c r="E616" s="2">
        <v>3</v>
      </c>
      <c r="F616" s="2" t="s">
        <v>796</v>
      </c>
      <c r="G616" s="5">
        <v>85.2</v>
      </c>
      <c r="H616" s="5">
        <v>85.2</v>
      </c>
      <c r="I616" s="5">
        <v>92</v>
      </c>
      <c r="J616" s="5">
        <v>81</v>
      </c>
      <c r="K616" s="5">
        <v>73.5</v>
      </c>
      <c r="L616" s="5">
        <v>83.38</v>
      </c>
    </row>
    <row r="617" spans="1:12" x14ac:dyDescent="0.3">
      <c r="A617" s="2" t="s">
        <v>298</v>
      </c>
      <c r="B617" s="2" t="s">
        <v>379</v>
      </c>
      <c r="C617" s="2" t="s">
        <v>380</v>
      </c>
      <c r="D617" s="2" t="s">
        <v>302</v>
      </c>
      <c r="E617" s="2">
        <v>4</v>
      </c>
      <c r="F617" s="2" t="s">
        <v>797</v>
      </c>
      <c r="G617" s="5">
        <v>76.56</v>
      </c>
      <c r="H617" s="5">
        <v>82.56</v>
      </c>
      <c r="I617" s="5">
        <v>91.5</v>
      </c>
      <c r="J617" s="5">
        <v>73</v>
      </c>
      <c r="K617" s="5">
        <v>85</v>
      </c>
      <c r="L617" s="5">
        <v>81.724000000000004</v>
      </c>
    </row>
    <row r="618" spans="1:12" x14ac:dyDescent="0.3">
      <c r="A618" s="2" t="s">
        <v>298</v>
      </c>
      <c r="B618" s="2" t="s">
        <v>381</v>
      </c>
      <c r="C618" s="2" t="s">
        <v>382</v>
      </c>
      <c r="D618" s="2" t="s">
        <v>301</v>
      </c>
      <c r="E618" s="2">
        <v>1</v>
      </c>
      <c r="F618" s="2" t="s">
        <v>791</v>
      </c>
      <c r="G618" s="5">
        <v>88.57</v>
      </c>
      <c r="H618" s="5">
        <v>92.57</v>
      </c>
      <c r="I618" s="5">
        <v>92</v>
      </c>
      <c r="J618" s="5">
        <v>94.5</v>
      </c>
      <c r="K618" s="5">
        <v>90.6</v>
      </c>
      <c r="L618" s="5">
        <v>91.647999999999996</v>
      </c>
    </row>
    <row r="619" spans="1:12" x14ac:dyDescent="0.3">
      <c r="A619" s="2" t="s">
        <v>298</v>
      </c>
      <c r="B619" s="2" t="s">
        <v>381</v>
      </c>
      <c r="C619" s="2" t="s">
        <v>382</v>
      </c>
      <c r="D619" s="2" t="s">
        <v>64</v>
      </c>
      <c r="E619" s="2">
        <v>2</v>
      </c>
      <c r="F619" s="2" t="s">
        <v>795</v>
      </c>
      <c r="G619" s="5">
        <v>95.76</v>
      </c>
      <c r="H619" s="5">
        <v>95.76</v>
      </c>
      <c r="I619" s="5">
        <v>96.5</v>
      </c>
      <c r="J619" s="5">
        <v>97.5</v>
      </c>
      <c r="K619" s="5">
        <v>94.1</v>
      </c>
      <c r="L619" s="5">
        <v>95.924000000000007</v>
      </c>
    </row>
    <row r="620" spans="1:12" x14ac:dyDescent="0.3">
      <c r="A620" s="2" t="s">
        <v>298</v>
      </c>
      <c r="B620" s="2" t="s">
        <v>381</v>
      </c>
      <c r="C620" s="2" t="s">
        <v>382</v>
      </c>
      <c r="D620" s="2" t="s">
        <v>189</v>
      </c>
      <c r="E620" s="2">
        <v>3</v>
      </c>
      <c r="F620" s="2" t="s">
        <v>796</v>
      </c>
      <c r="G620" s="5">
        <v>94.2</v>
      </c>
      <c r="H620" s="5">
        <v>97.2</v>
      </c>
      <c r="I620" s="5">
        <v>95.5</v>
      </c>
      <c r="J620" s="5">
        <v>99.5</v>
      </c>
      <c r="K620" s="5">
        <v>96.5</v>
      </c>
      <c r="L620" s="5">
        <v>96.58</v>
      </c>
    </row>
    <row r="621" spans="1:12" x14ac:dyDescent="0.3">
      <c r="A621" s="2" t="s">
        <v>298</v>
      </c>
      <c r="B621" s="2" t="s">
        <v>381</v>
      </c>
      <c r="C621" s="2" t="s">
        <v>382</v>
      </c>
      <c r="D621" s="2" t="s">
        <v>302</v>
      </c>
      <c r="E621" s="2">
        <v>4</v>
      </c>
      <c r="F621" s="2" t="s">
        <v>797</v>
      </c>
      <c r="G621" s="5">
        <v>95.69</v>
      </c>
      <c r="H621" s="5">
        <v>96.69</v>
      </c>
      <c r="I621" s="5">
        <v>98.5</v>
      </c>
      <c r="J621" s="5">
        <v>98.5</v>
      </c>
      <c r="K621" s="5">
        <v>98</v>
      </c>
      <c r="L621" s="5">
        <v>97.475999999999999</v>
      </c>
    </row>
    <row r="622" spans="1:12" x14ac:dyDescent="0.3">
      <c r="A622" s="2" t="s">
        <v>298</v>
      </c>
      <c r="B622" s="2" t="s">
        <v>383</v>
      </c>
      <c r="C622" s="2" t="s">
        <v>384</v>
      </c>
      <c r="D622" s="2" t="s">
        <v>301</v>
      </c>
      <c r="E622" s="2">
        <v>1</v>
      </c>
      <c r="F622" s="2" t="s">
        <v>791</v>
      </c>
      <c r="G622" s="5">
        <v>85.38</v>
      </c>
      <c r="H622" s="5">
        <v>88.38</v>
      </c>
      <c r="I622" s="5">
        <v>82.5</v>
      </c>
      <c r="J622" s="5">
        <v>88</v>
      </c>
      <c r="K622" s="5">
        <v>83.2</v>
      </c>
      <c r="L622" s="5">
        <v>85.49199999999999</v>
      </c>
    </row>
    <row r="623" spans="1:12" x14ac:dyDescent="0.3">
      <c r="A623" s="2" t="s">
        <v>298</v>
      </c>
      <c r="B623" s="2" t="s">
        <v>383</v>
      </c>
      <c r="C623" s="2" t="s">
        <v>384</v>
      </c>
      <c r="D623" s="2" t="s">
        <v>64</v>
      </c>
      <c r="E623" s="2">
        <v>2</v>
      </c>
      <c r="F623" s="2" t="s">
        <v>795</v>
      </c>
      <c r="G623" s="5">
        <v>88.68</v>
      </c>
      <c r="H623" s="5">
        <v>89.68</v>
      </c>
      <c r="I623" s="5">
        <v>76.5</v>
      </c>
      <c r="J623" s="5">
        <v>94</v>
      </c>
      <c r="K623" s="5">
        <v>87.2</v>
      </c>
      <c r="L623" s="5">
        <v>87.212000000000003</v>
      </c>
    </row>
    <row r="624" spans="1:12" x14ac:dyDescent="0.3">
      <c r="A624" s="2" t="s">
        <v>298</v>
      </c>
      <c r="B624" s="2" t="s">
        <v>383</v>
      </c>
      <c r="C624" s="2" t="s">
        <v>384</v>
      </c>
      <c r="D624" s="2" t="s">
        <v>189</v>
      </c>
      <c r="E624" s="2">
        <v>3</v>
      </c>
      <c r="F624" s="2" t="s">
        <v>796</v>
      </c>
      <c r="G624" s="5">
        <v>90.45</v>
      </c>
      <c r="H624" s="5">
        <v>94.45</v>
      </c>
      <c r="I624" s="5">
        <v>84.5</v>
      </c>
      <c r="J624" s="5">
        <v>96.5</v>
      </c>
      <c r="K624" s="5">
        <v>94</v>
      </c>
      <c r="L624" s="5">
        <v>91.97999999999999</v>
      </c>
    </row>
    <row r="625" spans="1:12" x14ac:dyDescent="0.3">
      <c r="A625" s="2" t="s">
        <v>298</v>
      </c>
      <c r="B625" s="2" t="s">
        <v>383</v>
      </c>
      <c r="C625" s="2" t="s">
        <v>384</v>
      </c>
      <c r="D625" s="2" t="s">
        <v>302</v>
      </c>
      <c r="E625" s="2">
        <v>4</v>
      </c>
      <c r="F625" s="2" t="s">
        <v>797</v>
      </c>
      <c r="G625" s="5">
        <v>91.81</v>
      </c>
      <c r="H625" s="5">
        <v>93.81</v>
      </c>
      <c r="I625" s="5">
        <v>93.5</v>
      </c>
      <c r="J625" s="5">
        <v>95.5</v>
      </c>
      <c r="K625" s="5">
        <v>94</v>
      </c>
      <c r="L625" s="5">
        <v>93.724000000000004</v>
      </c>
    </row>
    <row r="626" spans="1:12" x14ac:dyDescent="0.3">
      <c r="A626" s="2" t="s">
        <v>298</v>
      </c>
      <c r="B626" s="2" t="s">
        <v>385</v>
      </c>
      <c r="C626" s="2" t="s">
        <v>386</v>
      </c>
      <c r="D626" s="2" t="s">
        <v>301</v>
      </c>
      <c r="E626" s="2">
        <v>1</v>
      </c>
      <c r="F626" s="2" t="s">
        <v>791</v>
      </c>
      <c r="G626" s="5">
        <v>85.42</v>
      </c>
      <c r="H626" s="5">
        <v>86.42</v>
      </c>
      <c r="I626" s="5">
        <v>89</v>
      </c>
      <c r="J626" s="5">
        <v>87.5</v>
      </c>
      <c r="K626" s="5">
        <v>77.3</v>
      </c>
      <c r="L626" s="5">
        <v>85.128000000000014</v>
      </c>
    </row>
    <row r="627" spans="1:12" x14ac:dyDescent="0.3">
      <c r="A627" s="2" t="s">
        <v>298</v>
      </c>
      <c r="B627" s="2" t="s">
        <v>385</v>
      </c>
      <c r="C627" s="2" t="s">
        <v>386</v>
      </c>
      <c r="D627" s="2" t="s">
        <v>64</v>
      </c>
      <c r="E627" s="2">
        <v>2</v>
      </c>
      <c r="F627" s="2" t="s">
        <v>795</v>
      </c>
      <c r="G627" s="5">
        <v>80.72</v>
      </c>
      <c r="H627" s="5">
        <v>86.72</v>
      </c>
      <c r="I627" s="5">
        <v>93</v>
      </c>
      <c r="J627" s="5">
        <v>74.5</v>
      </c>
      <c r="K627" s="5">
        <v>80.400000000000006</v>
      </c>
      <c r="L627" s="5">
        <v>83.068000000000012</v>
      </c>
    </row>
    <row r="628" spans="1:12" x14ac:dyDescent="0.3">
      <c r="A628" s="2" t="s">
        <v>298</v>
      </c>
      <c r="B628" s="2" t="s">
        <v>385</v>
      </c>
      <c r="C628" s="2" t="s">
        <v>386</v>
      </c>
      <c r="D628" s="2" t="s">
        <v>189</v>
      </c>
      <c r="E628" s="2">
        <v>3</v>
      </c>
      <c r="F628" s="2" t="s">
        <v>796</v>
      </c>
      <c r="G628" s="5">
        <v>81.7</v>
      </c>
      <c r="H628" s="5">
        <v>86.7</v>
      </c>
      <c r="I628" s="5">
        <v>93</v>
      </c>
      <c r="J628" s="5">
        <v>83.5</v>
      </c>
      <c r="K628" s="5">
        <v>81.5</v>
      </c>
      <c r="L628" s="5">
        <v>85.28</v>
      </c>
    </row>
    <row r="629" spans="1:12" x14ac:dyDescent="0.3">
      <c r="A629" s="2" t="s">
        <v>298</v>
      </c>
      <c r="B629" s="2" t="s">
        <v>385</v>
      </c>
      <c r="C629" s="2" t="s">
        <v>386</v>
      </c>
      <c r="D629" s="2" t="s">
        <v>302</v>
      </c>
      <c r="E629" s="2">
        <v>4</v>
      </c>
      <c r="F629" s="2" t="s">
        <v>797</v>
      </c>
      <c r="G629" s="5">
        <v>80.38</v>
      </c>
      <c r="H629" s="5">
        <v>85.38</v>
      </c>
      <c r="I629" s="5">
        <v>93.5</v>
      </c>
      <c r="J629" s="5">
        <v>77.5</v>
      </c>
      <c r="K629" s="5">
        <v>81.5</v>
      </c>
      <c r="L629" s="5">
        <v>83.652000000000001</v>
      </c>
    </row>
    <row r="630" spans="1:12" x14ac:dyDescent="0.3">
      <c r="A630" s="2" t="s">
        <v>298</v>
      </c>
      <c r="B630" s="2" t="s">
        <v>387</v>
      </c>
      <c r="C630" s="2" t="s">
        <v>388</v>
      </c>
      <c r="D630" s="2" t="s">
        <v>301</v>
      </c>
      <c r="E630" s="2">
        <v>1</v>
      </c>
      <c r="F630" s="2" t="s">
        <v>791</v>
      </c>
      <c r="G630" s="5">
        <v>88.34</v>
      </c>
      <c r="H630" s="5">
        <v>89.34</v>
      </c>
      <c r="I630" s="5">
        <v>84</v>
      </c>
      <c r="J630" s="5">
        <v>88.5</v>
      </c>
      <c r="K630" s="5">
        <v>83.3</v>
      </c>
      <c r="L630" s="5">
        <v>86.695999999999998</v>
      </c>
    </row>
    <row r="631" spans="1:12" x14ac:dyDescent="0.3">
      <c r="A631" s="2" t="s">
        <v>298</v>
      </c>
      <c r="B631" s="2" t="s">
        <v>387</v>
      </c>
      <c r="C631" s="2" t="s">
        <v>388</v>
      </c>
      <c r="D631" s="2" t="s">
        <v>64</v>
      </c>
      <c r="E631" s="2">
        <v>2</v>
      </c>
      <c r="F631" s="2" t="s">
        <v>795</v>
      </c>
      <c r="G631" s="5">
        <v>82.16</v>
      </c>
      <c r="H631" s="5">
        <v>88.16</v>
      </c>
      <c r="I631" s="5">
        <v>81</v>
      </c>
      <c r="J631" s="5">
        <v>88</v>
      </c>
      <c r="K631" s="5">
        <v>82.6</v>
      </c>
      <c r="L631" s="5">
        <v>84.383999999999986</v>
      </c>
    </row>
    <row r="632" spans="1:12" x14ac:dyDescent="0.3">
      <c r="A632" s="2" t="s">
        <v>298</v>
      </c>
      <c r="B632" s="2" t="s">
        <v>387</v>
      </c>
      <c r="C632" s="2" t="s">
        <v>388</v>
      </c>
      <c r="D632" s="2" t="s">
        <v>189</v>
      </c>
      <c r="E632" s="2">
        <v>3</v>
      </c>
      <c r="F632" s="2" t="s">
        <v>796</v>
      </c>
      <c r="G632" s="5">
        <v>90.8</v>
      </c>
      <c r="H632" s="5">
        <v>91.8</v>
      </c>
      <c r="I632" s="5">
        <v>86</v>
      </c>
      <c r="J632" s="5">
        <v>92</v>
      </c>
      <c r="K632" s="5">
        <v>91</v>
      </c>
      <c r="L632" s="5">
        <v>90.320000000000007</v>
      </c>
    </row>
    <row r="633" spans="1:12" x14ac:dyDescent="0.3">
      <c r="A633" s="2" t="s">
        <v>298</v>
      </c>
      <c r="B633" s="2" t="s">
        <v>387</v>
      </c>
      <c r="C633" s="2" t="s">
        <v>388</v>
      </c>
      <c r="D633" s="2" t="s">
        <v>302</v>
      </c>
      <c r="E633" s="2">
        <v>4</v>
      </c>
      <c r="F633" s="2" t="s">
        <v>797</v>
      </c>
      <c r="G633" s="5">
        <v>89.81</v>
      </c>
      <c r="H633" s="5">
        <v>89.81</v>
      </c>
      <c r="I633" s="5">
        <v>88.5</v>
      </c>
      <c r="J633" s="5">
        <v>93</v>
      </c>
      <c r="K633" s="5">
        <v>89</v>
      </c>
      <c r="L633" s="5">
        <v>90.024000000000001</v>
      </c>
    </row>
    <row r="634" spans="1:12" x14ac:dyDescent="0.3">
      <c r="A634" s="2" t="s">
        <v>298</v>
      </c>
      <c r="B634" s="2" t="s">
        <v>389</v>
      </c>
      <c r="C634" s="2" t="s">
        <v>390</v>
      </c>
      <c r="D634" s="2" t="s">
        <v>301</v>
      </c>
      <c r="E634" s="2">
        <v>1</v>
      </c>
      <c r="F634" s="2" t="s">
        <v>791</v>
      </c>
      <c r="G634" s="5">
        <v>74.69</v>
      </c>
      <c r="H634" s="5">
        <v>79.69</v>
      </c>
      <c r="I634" s="5">
        <v>81.5</v>
      </c>
      <c r="J634" s="5">
        <v>77</v>
      </c>
      <c r="K634" s="5">
        <v>65.3</v>
      </c>
      <c r="L634" s="5">
        <v>75.635999999999996</v>
      </c>
    </row>
    <row r="635" spans="1:12" x14ac:dyDescent="0.3">
      <c r="A635" s="2" t="s">
        <v>298</v>
      </c>
      <c r="B635" s="2" t="s">
        <v>389</v>
      </c>
      <c r="C635" s="2" t="s">
        <v>390</v>
      </c>
      <c r="D635" s="2" t="s">
        <v>64</v>
      </c>
      <c r="E635" s="2">
        <v>2</v>
      </c>
      <c r="F635" s="2" t="s">
        <v>795</v>
      </c>
      <c r="G635" s="5">
        <v>86.24</v>
      </c>
      <c r="H635" s="5">
        <v>88.24</v>
      </c>
      <c r="I635" s="5">
        <v>86.5</v>
      </c>
      <c r="J635" s="5">
        <v>80.5</v>
      </c>
      <c r="K635" s="5">
        <v>84.9</v>
      </c>
      <c r="L635" s="5">
        <v>85.275999999999996</v>
      </c>
    </row>
    <row r="636" spans="1:12" x14ac:dyDescent="0.3">
      <c r="A636" s="2" t="s">
        <v>298</v>
      </c>
      <c r="B636" s="2" t="s">
        <v>389</v>
      </c>
      <c r="C636" s="2" t="s">
        <v>390</v>
      </c>
      <c r="D636" s="2" t="s">
        <v>189</v>
      </c>
      <c r="E636" s="2">
        <v>3</v>
      </c>
      <c r="F636" s="2" t="s">
        <v>796</v>
      </c>
      <c r="G636" s="5">
        <v>88.75</v>
      </c>
      <c r="H636" s="5">
        <v>92.75</v>
      </c>
      <c r="I636" s="5">
        <v>87</v>
      </c>
      <c r="J636" s="5">
        <v>89</v>
      </c>
      <c r="K636" s="5">
        <v>90</v>
      </c>
      <c r="L636" s="5">
        <v>89.5</v>
      </c>
    </row>
    <row r="637" spans="1:12" x14ac:dyDescent="0.3">
      <c r="A637" s="2" t="s">
        <v>298</v>
      </c>
      <c r="B637" s="2" t="s">
        <v>389</v>
      </c>
      <c r="C637" s="2" t="s">
        <v>390</v>
      </c>
      <c r="D637" s="2" t="s">
        <v>302</v>
      </c>
      <c r="E637" s="2">
        <v>4</v>
      </c>
      <c r="F637" s="2" t="s">
        <v>797</v>
      </c>
      <c r="G637" s="5">
        <v>90.69</v>
      </c>
      <c r="H637" s="5">
        <v>93.69</v>
      </c>
      <c r="I637" s="5">
        <v>95</v>
      </c>
      <c r="J637" s="5">
        <v>95.5</v>
      </c>
      <c r="K637" s="5">
        <v>92</v>
      </c>
      <c r="L637" s="5">
        <v>93.376000000000005</v>
      </c>
    </row>
    <row r="638" spans="1:12" x14ac:dyDescent="0.3">
      <c r="A638" s="2" t="s">
        <v>298</v>
      </c>
      <c r="B638" s="2" t="s">
        <v>391</v>
      </c>
      <c r="C638" s="2" t="s">
        <v>392</v>
      </c>
      <c r="D638" s="2" t="s">
        <v>301</v>
      </c>
      <c r="E638" s="2">
        <v>1</v>
      </c>
      <c r="F638" s="2" t="s">
        <v>791</v>
      </c>
      <c r="G638" s="5">
        <v>89.88</v>
      </c>
      <c r="H638" s="5">
        <v>92.88</v>
      </c>
      <c r="I638" s="5">
        <v>93</v>
      </c>
      <c r="J638" s="5">
        <v>95.5</v>
      </c>
      <c r="K638" s="5">
        <v>86.9</v>
      </c>
      <c r="L638" s="5">
        <v>91.631999999999991</v>
      </c>
    </row>
    <row r="639" spans="1:12" x14ac:dyDescent="0.3">
      <c r="A639" s="2" t="s">
        <v>298</v>
      </c>
      <c r="B639" s="2" t="s">
        <v>391</v>
      </c>
      <c r="C639" s="2" t="s">
        <v>392</v>
      </c>
      <c r="D639" s="2" t="s">
        <v>64</v>
      </c>
      <c r="E639" s="2">
        <v>2</v>
      </c>
      <c r="F639" s="2" t="s">
        <v>795</v>
      </c>
      <c r="G639" s="5">
        <v>91.88</v>
      </c>
      <c r="H639" s="5">
        <v>95.88</v>
      </c>
      <c r="I639" s="5">
        <v>93.5</v>
      </c>
      <c r="J639" s="5">
        <v>93</v>
      </c>
      <c r="K639" s="5">
        <v>95.6</v>
      </c>
      <c r="L639" s="5">
        <v>93.972000000000008</v>
      </c>
    </row>
    <row r="640" spans="1:12" x14ac:dyDescent="0.3">
      <c r="A640" s="2" t="s">
        <v>298</v>
      </c>
      <c r="B640" s="2" t="s">
        <v>391</v>
      </c>
      <c r="C640" s="2" t="s">
        <v>392</v>
      </c>
      <c r="D640" s="2" t="s">
        <v>189</v>
      </c>
      <c r="E640" s="2">
        <v>3</v>
      </c>
      <c r="F640" s="2" t="s">
        <v>796</v>
      </c>
      <c r="G640" s="5">
        <v>91</v>
      </c>
      <c r="H640" s="5">
        <v>97</v>
      </c>
      <c r="I640" s="5">
        <v>93.5</v>
      </c>
      <c r="J640" s="5">
        <v>96</v>
      </c>
      <c r="K640" s="5">
        <v>97</v>
      </c>
      <c r="L640" s="5">
        <v>94.9</v>
      </c>
    </row>
    <row r="641" spans="1:12" x14ac:dyDescent="0.3">
      <c r="A641" s="2" t="s">
        <v>298</v>
      </c>
      <c r="B641" s="2" t="s">
        <v>391</v>
      </c>
      <c r="C641" s="2" t="s">
        <v>392</v>
      </c>
      <c r="D641" s="2" t="s">
        <v>302</v>
      </c>
      <c r="E641" s="2">
        <v>4</v>
      </c>
      <c r="F641" s="2" t="s">
        <v>797</v>
      </c>
      <c r="G641" s="5">
        <v>88.25</v>
      </c>
      <c r="H641" s="5">
        <v>94.25</v>
      </c>
      <c r="I641" s="5">
        <v>96</v>
      </c>
      <c r="J641" s="5">
        <v>96.5</v>
      </c>
      <c r="K641" s="5">
        <v>92.5</v>
      </c>
      <c r="L641" s="5">
        <v>93.5</v>
      </c>
    </row>
    <row r="642" spans="1:12" x14ac:dyDescent="0.3">
      <c r="A642" s="2" t="s">
        <v>298</v>
      </c>
      <c r="B642" s="2" t="s">
        <v>393</v>
      </c>
      <c r="C642" s="2" t="s">
        <v>394</v>
      </c>
      <c r="D642" s="2" t="s">
        <v>301</v>
      </c>
      <c r="E642" s="2">
        <v>1</v>
      </c>
      <c r="F642" s="2" t="s">
        <v>791</v>
      </c>
      <c r="G642" s="5">
        <v>86.8</v>
      </c>
      <c r="H642" s="5">
        <v>86.8</v>
      </c>
      <c r="I642" s="5">
        <v>86</v>
      </c>
      <c r="J642" s="5">
        <v>81</v>
      </c>
      <c r="K642" s="5">
        <v>80.2</v>
      </c>
      <c r="L642" s="5">
        <v>84.16</v>
      </c>
    </row>
    <row r="643" spans="1:12" x14ac:dyDescent="0.3">
      <c r="A643" s="2" t="s">
        <v>298</v>
      </c>
      <c r="B643" s="2" t="s">
        <v>393</v>
      </c>
      <c r="C643" s="2" t="s">
        <v>394</v>
      </c>
      <c r="D643" s="2" t="s">
        <v>64</v>
      </c>
      <c r="E643" s="2">
        <v>2</v>
      </c>
      <c r="F643" s="2" t="s">
        <v>795</v>
      </c>
      <c r="G643" s="5">
        <v>87.44</v>
      </c>
      <c r="H643" s="5">
        <v>92.44</v>
      </c>
      <c r="I643" s="5">
        <v>90.5</v>
      </c>
      <c r="J643" s="5">
        <v>88.5</v>
      </c>
      <c r="K643" s="5">
        <v>90.9</v>
      </c>
      <c r="L643" s="5">
        <v>89.955999999999989</v>
      </c>
    </row>
    <row r="644" spans="1:12" x14ac:dyDescent="0.3">
      <c r="A644" s="2" t="s">
        <v>298</v>
      </c>
      <c r="B644" s="2" t="s">
        <v>393</v>
      </c>
      <c r="C644" s="2" t="s">
        <v>394</v>
      </c>
      <c r="D644" s="2" t="s">
        <v>189</v>
      </c>
      <c r="E644" s="2">
        <v>3</v>
      </c>
      <c r="F644" s="2" t="s">
        <v>796</v>
      </c>
      <c r="G644" s="5">
        <v>92.35</v>
      </c>
      <c r="H644" s="5">
        <v>96.35</v>
      </c>
      <c r="I644" s="5">
        <v>93.5</v>
      </c>
      <c r="J644" s="5">
        <v>92.5</v>
      </c>
      <c r="K644" s="5">
        <v>97.5</v>
      </c>
      <c r="L644" s="5">
        <v>94.44</v>
      </c>
    </row>
    <row r="645" spans="1:12" x14ac:dyDescent="0.3">
      <c r="A645" s="2" t="s">
        <v>298</v>
      </c>
      <c r="B645" s="2" t="s">
        <v>393</v>
      </c>
      <c r="C645" s="2" t="s">
        <v>394</v>
      </c>
      <c r="D645" s="2" t="s">
        <v>302</v>
      </c>
      <c r="E645" s="2">
        <v>4</v>
      </c>
      <c r="F645" s="2" t="s">
        <v>797</v>
      </c>
      <c r="G645" s="5">
        <v>87.38</v>
      </c>
      <c r="H645" s="5">
        <v>92.38</v>
      </c>
      <c r="I645" s="5">
        <v>97</v>
      </c>
      <c r="J645" s="5">
        <v>94.5</v>
      </c>
      <c r="K645" s="5">
        <v>95</v>
      </c>
      <c r="L645" s="5">
        <v>93.251999999999995</v>
      </c>
    </row>
    <row r="646" spans="1:12" x14ac:dyDescent="0.3">
      <c r="A646" s="2" t="s">
        <v>298</v>
      </c>
      <c r="B646" s="2" t="s">
        <v>395</v>
      </c>
      <c r="C646" s="2" t="s">
        <v>396</v>
      </c>
      <c r="D646" s="2" t="s">
        <v>301</v>
      </c>
      <c r="E646" s="2">
        <v>1</v>
      </c>
      <c r="F646" s="2" t="s">
        <v>791</v>
      </c>
      <c r="G646" s="5">
        <v>90.42</v>
      </c>
      <c r="H646" s="5">
        <v>92.42</v>
      </c>
      <c r="I646" s="5">
        <v>89.5</v>
      </c>
      <c r="J646" s="5">
        <v>96.5</v>
      </c>
      <c r="K646" s="5">
        <v>88.3</v>
      </c>
      <c r="L646" s="5">
        <v>91.427999999999997</v>
      </c>
    </row>
    <row r="647" spans="1:12" x14ac:dyDescent="0.3">
      <c r="A647" s="2" t="s">
        <v>298</v>
      </c>
      <c r="B647" s="2" t="s">
        <v>395</v>
      </c>
      <c r="C647" s="2" t="s">
        <v>396</v>
      </c>
      <c r="D647" s="2" t="s">
        <v>64</v>
      </c>
      <c r="E647" s="2">
        <v>2</v>
      </c>
      <c r="F647" s="2" t="s">
        <v>795</v>
      </c>
      <c r="G647" s="5">
        <v>92.12</v>
      </c>
      <c r="H647" s="5">
        <v>97.12</v>
      </c>
      <c r="I647" s="5">
        <v>91</v>
      </c>
      <c r="J647" s="5">
        <v>96.5</v>
      </c>
      <c r="K647" s="5">
        <v>96.9</v>
      </c>
      <c r="L647" s="5">
        <v>94.727999999999994</v>
      </c>
    </row>
    <row r="648" spans="1:12" x14ac:dyDescent="0.3">
      <c r="A648" s="2" t="s">
        <v>298</v>
      </c>
      <c r="B648" s="2" t="s">
        <v>395</v>
      </c>
      <c r="C648" s="2" t="s">
        <v>396</v>
      </c>
      <c r="D648" s="2" t="s">
        <v>189</v>
      </c>
      <c r="E648" s="2">
        <v>3</v>
      </c>
      <c r="F648" s="2" t="s">
        <v>796</v>
      </c>
      <c r="G648" s="5">
        <v>94</v>
      </c>
      <c r="H648" s="5">
        <v>97</v>
      </c>
      <c r="I648" s="5">
        <v>94.5</v>
      </c>
      <c r="J648" s="5">
        <v>99.5</v>
      </c>
      <c r="K648" s="5">
        <v>97.5</v>
      </c>
      <c r="L648" s="5">
        <v>96.5</v>
      </c>
    </row>
    <row r="649" spans="1:12" x14ac:dyDescent="0.3">
      <c r="A649" s="2" t="s">
        <v>298</v>
      </c>
      <c r="B649" s="2" t="s">
        <v>395</v>
      </c>
      <c r="C649" s="2" t="s">
        <v>396</v>
      </c>
      <c r="D649" s="2" t="s">
        <v>302</v>
      </c>
      <c r="E649" s="2">
        <v>4</v>
      </c>
      <c r="F649" s="2" t="s">
        <v>797</v>
      </c>
      <c r="G649" s="5">
        <v>92.06</v>
      </c>
      <c r="H649" s="5">
        <v>94.06</v>
      </c>
      <c r="I649" s="5">
        <v>94.5</v>
      </c>
      <c r="J649" s="5">
        <v>99.5</v>
      </c>
      <c r="K649" s="5">
        <v>93</v>
      </c>
      <c r="L649" s="5">
        <v>94.623999999999995</v>
      </c>
    </row>
    <row r="650" spans="1:12" x14ac:dyDescent="0.3">
      <c r="A650" s="2" t="s">
        <v>298</v>
      </c>
      <c r="B650" s="2" t="s">
        <v>397</v>
      </c>
      <c r="C650" s="2" t="s">
        <v>398</v>
      </c>
      <c r="D650" s="2" t="s">
        <v>301</v>
      </c>
      <c r="E650" s="2">
        <v>1</v>
      </c>
      <c r="F650" s="2" t="s">
        <v>791</v>
      </c>
      <c r="G650" s="5">
        <v>78.03</v>
      </c>
      <c r="H650" s="5">
        <v>83.03</v>
      </c>
      <c r="I650" s="5">
        <v>74</v>
      </c>
      <c r="J650" s="5">
        <v>89</v>
      </c>
      <c r="K650" s="5">
        <v>74.3</v>
      </c>
      <c r="L650" s="5">
        <v>79.671999999999997</v>
      </c>
    </row>
    <row r="651" spans="1:12" x14ac:dyDescent="0.3">
      <c r="A651" s="2" t="s">
        <v>298</v>
      </c>
      <c r="B651" s="2" t="s">
        <v>397</v>
      </c>
      <c r="C651" s="2" t="s">
        <v>398</v>
      </c>
      <c r="D651" s="2" t="s">
        <v>64</v>
      </c>
      <c r="E651" s="2">
        <v>2</v>
      </c>
      <c r="F651" s="2" t="s">
        <v>795</v>
      </c>
      <c r="G651" s="5">
        <v>89.28</v>
      </c>
      <c r="H651" s="5">
        <v>92.28</v>
      </c>
      <c r="I651" s="5">
        <v>84</v>
      </c>
      <c r="J651" s="5">
        <v>92.5</v>
      </c>
      <c r="K651" s="5">
        <v>90.6</v>
      </c>
      <c r="L651" s="5">
        <v>89.731999999999999</v>
      </c>
    </row>
    <row r="652" spans="1:12" x14ac:dyDescent="0.3">
      <c r="A652" s="2" t="s">
        <v>298</v>
      </c>
      <c r="B652" s="2" t="s">
        <v>397</v>
      </c>
      <c r="C652" s="2" t="s">
        <v>398</v>
      </c>
      <c r="D652" s="2" t="s">
        <v>189</v>
      </c>
      <c r="E652" s="2">
        <v>3</v>
      </c>
      <c r="F652" s="2" t="s">
        <v>796</v>
      </c>
      <c r="G652" s="5">
        <v>89.7</v>
      </c>
      <c r="H652" s="5">
        <v>92.7</v>
      </c>
      <c r="I652" s="5">
        <v>85.5</v>
      </c>
      <c r="J652" s="5">
        <v>96.5</v>
      </c>
      <c r="K652" s="5">
        <v>94</v>
      </c>
      <c r="L652" s="5">
        <v>91.679999999999993</v>
      </c>
    </row>
    <row r="653" spans="1:12" x14ac:dyDescent="0.3">
      <c r="A653" s="2" t="s">
        <v>298</v>
      </c>
      <c r="B653" s="2" t="s">
        <v>397</v>
      </c>
      <c r="C653" s="2" t="s">
        <v>398</v>
      </c>
      <c r="D653" s="2" t="s">
        <v>302</v>
      </c>
      <c r="E653" s="2">
        <v>4</v>
      </c>
      <c r="F653" s="2" t="s">
        <v>797</v>
      </c>
      <c r="G653" s="5">
        <v>89.63</v>
      </c>
      <c r="H653" s="5">
        <v>93.63</v>
      </c>
      <c r="I653" s="5">
        <v>94.5</v>
      </c>
      <c r="J653" s="5">
        <v>95</v>
      </c>
      <c r="K653" s="5">
        <v>95</v>
      </c>
      <c r="L653" s="5">
        <v>93.551999999999992</v>
      </c>
    </row>
    <row r="654" spans="1:12" x14ac:dyDescent="0.3">
      <c r="A654" s="2" t="s">
        <v>298</v>
      </c>
      <c r="B654" s="2" t="s">
        <v>399</v>
      </c>
      <c r="C654" s="2" t="s">
        <v>400</v>
      </c>
      <c r="D654" s="2" t="s">
        <v>301</v>
      </c>
      <c r="E654" s="2">
        <v>1</v>
      </c>
      <c r="F654" s="2" t="s">
        <v>791</v>
      </c>
      <c r="G654" s="5">
        <v>87.42</v>
      </c>
      <c r="H654" s="5">
        <v>93.42</v>
      </c>
      <c r="I654" s="5">
        <v>92</v>
      </c>
      <c r="J654" s="5">
        <v>94.5</v>
      </c>
      <c r="K654" s="5">
        <v>90.5</v>
      </c>
      <c r="L654" s="5">
        <v>91.568000000000012</v>
      </c>
    </row>
    <row r="655" spans="1:12" x14ac:dyDescent="0.3">
      <c r="A655" s="2" t="s">
        <v>298</v>
      </c>
      <c r="B655" s="2" t="s">
        <v>399</v>
      </c>
      <c r="C655" s="2" t="s">
        <v>400</v>
      </c>
      <c r="D655" s="2" t="s">
        <v>64</v>
      </c>
      <c r="E655" s="2">
        <v>2</v>
      </c>
      <c r="F655" s="2" t="s">
        <v>795</v>
      </c>
      <c r="G655" s="5">
        <v>90.32</v>
      </c>
      <c r="H655" s="5">
        <v>93.32</v>
      </c>
      <c r="I655" s="5">
        <v>92.5</v>
      </c>
      <c r="J655" s="5">
        <v>94</v>
      </c>
      <c r="K655" s="5">
        <v>90.2</v>
      </c>
      <c r="L655" s="5">
        <v>92.067999999999998</v>
      </c>
    </row>
    <row r="656" spans="1:12" x14ac:dyDescent="0.3">
      <c r="A656" s="2" t="s">
        <v>298</v>
      </c>
      <c r="B656" s="2" t="s">
        <v>399</v>
      </c>
      <c r="C656" s="2" t="s">
        <v>400</v>
      </c>
      <c r="D656" s="2" t="s">
        <v>189</v>
      </c>
      <c r="E656" s="2">
        <v>3</v>
      </c>
      <c r="F656" s="2" t="s">
        <v>796</v>
      </c>
      <c r="G656" s="5">
        <v>98.4</v>
      </c>
      <c r="H656" s="5">
        <v>98.4</v>
      </c>
      <c r="I656" s="5">
        <v>95</v>
      </c>
      <c r="J656" s="5">
        <v>98</v>
      </c>
      <c r="K656" s="5">
        <v>98</v>
      </c>
      <c r="L656" s="5">
        <v>97.56</v>
      </c>
    </row>
    <row r="657" spans="1:12" x14ac:dyDescent="0.3">
      <c r="A657" s="2" t="s">
        <v>298</v>
      </c>
      <c r="B657" s="2" t="s">
        <v>399</v>
      </c>
      <c r="C657" s="2" t="s">
        <v>400</v>
      </c>
      <c r="D657" s="2" t="s">
        <v>302</v>
      </c>
      <c r="E657" s="2">
        <v>4</v>
      </c>
      <c r="F657" s="2" t="s">
        <v>797</v>
      </c>
      <c r="G657" s="5">
        <v>91.44</v>
      </c>
      <c r="H657" s="5">
        <v>97.44</v>
      </c>
      <c r="I657" s="5">
        <v>98</v>
      </c>
      <c r="J657" s="5">
        <v>98</v>
      </c>
      <c r="K657" s="5">
        <v>98.5</v>
      </c>
      <c r="L657" s="5">
        <v>96.676000000000002</v>
      </c>
    </row>
    <row r="658" spans="1:12" x14ac:dyDescent="0.3">
      <c r="A658" s="2" t="s">
        <v>298</v>
      </c>
      <c r="B658" s="2" t="s">
        <v>401</v>
      </c>
      <c r="C658" s="2" t="s">
        <v>402</v>
      </c>
      <c r="D658" s="2" t="s">
        <v>301</v>
      </c>
      <c r="E658" s="2">
        <v>1</v>
      </c>
      <c r="F658" s="2" t="s">
        <v>791</v>
      </c>
      <c r="G658" s="5">
        <v>90.11</v>
      </c>
      <c r="H658" s="5">
        <v>95.11</v>
      </c>
      <c r="I658" s="5">
        <v>98</v>
      </c>
      <c r="J658" s="5">
        <v>99.5</v>
      </c>
      <c r="K658" s="5">
        <v>91.4</v>
      </c>
      <c r="L658" s="5">
        <v>94.823999999999998</v>
      </c>
    </row>
    <row r="659" spans="1:12" x14ac:dyDescent="0.3">
      <c r="A659" s="2" t="s">
        <v>298</v>
      </c>
      <c r="B659" s="2" t="s">
        <v>401</v>
      </c>
      <c r="C659" s="2" t="s">
        <v>402</v>
      </c>
      <c r="D659" s="2" t="s">
        <v>64</v>
      </c>
      <c r="E659" s="2">
        <v>2</v>
      </c>
      <c r="F659" s="2" t="s">
        <v>795</v>
      </c>
      <c r="G659" s="5">
        <v>98.6</v>
      </c>
      <c r="H659" s="5">
        <v>98.6</v>
      </c>
      <c r="I659" s="5">
        <v>96</v>
      </c>
      <c r="J659" s="5">
        <v>98.5</v>
      </c>
      <c r="K659" s="5">
        <v>98.3</v>
      </c>
      <c r="L659" s="5">
        <v>98</v>
      </c>
    </row>
    <row r="660" spans="1:12" x14ac:dyDescent="0.3">
      <c r="A660" s="2" t="s">
        <v>298</v>
      </c>
      <c r="B660" s="2" t="s">
        <v>401</v>
      </c>
      <c r="C660" s="2" t="s">
        <v>402</v>
      </c>
      <c r="D660" s="2" t="s">
        <v>189</v>
      </c>
      <c r="E660" s="2">
        <v>3</v>
      </c>
      <c r="F660" s="2" t="s">
        <v>796</v>
      </c>
      <c r="G660" s="5">
        <v>96.35</v>
      </c>
      <c r="H660" s="5">
        <v>99.35</v>
      </c>
      <c r="I660" s="5">
        <v>97.5</v>
      </c>
      <c r="J660" s="5">
        <v>100</v>
      </c>
      <c r="K660" s="5">
        <v>98</v>
      </c>
      <c r="L660" s="5">
        <v>98.24</v>
      </c>
    </row>
    <row r="661" spans="1:12" x14ac:dyDescent="0.3">
      <c r="A661" s="2" t="s">
        <v>298</v>
      </c>
      <c r="B661" s="2" t="s">
        <v>401</v>
      </c>
      <c r="C661" s="2" t="s">
        <v>402</v>
      </c>
      <c r="D661" s="2" t="s">
        <v>302</v>
      </c>
      <c r="E661" s="2">
        <v>4</v>
      </c>
      <c r="F661" s="2" t="s">
        <v>797</v>
      </c>
      <c r="G661" s="5">
        <v>99</v>
      </c>
      <c r="H661" s="5">
        <v>99</v>
      </c>
      <c r="I661" s="5">
        <v>98.5</v>
      </c>
      <c r="J661" s="5">
        <v>100</v>
      </c>
      <c r="K661" s="5">
        <v>99</v>
      </c>
      <c r="L661" s="5">
        <v>99.1</v>
      </c>
    </row>
    <row r="662" spans="1:12" x14ac:dyDescent="0.3">
      <c r="A662" s="2" t="s">
        <v>298</v>
      </c>
      <c r="B662" s="2" t="s">
        <v>403</v>
      </c>
      <c r="C662" s="2" t="s">
        <v>404</v>
      </c>
      <c r="D662" s="2" t="s">
        <v>301</v>
      </c>
      <c r="E662" s="2">
        <v>1</v>
      </c>
      <c r="F662" s="2" t="s">
        <v>791</v>
      </c>
      <c r="G662" s="5">
        <v>89.5</v>
      </c>
      <c r="H662" s="5">
        <v>94.5</v>
      </c>
      <c r="I662" s="5">
        <v>89.5</v>
      </c>
      <c r="J662" s="5">
        <v>97.5</v>
      </c>
      <c r="K662" s="5">
        <v>91.2</v>
      </c>
      <c r="L662" s="5">
        <v>92.44</v>
      </c>
    </row>
    <row r="663" spans="1:12" x14ac:dyDescent="0.3">
      <c r="A663" s="2" t="s">
        <v>298</v>
      </c>
      <c r="B663" s="2" t="s">
        <v>403</v>
      </c>
      <c r="C663" s="2" t="s">
        <v>404</v>
      </c>
      <c r="D663" s="2" t="s">
        <v>64</v>
      </c>
      <c r="E663" s="2">
        <v>2</v>
      </c>
      <c r="F663" s="2" t="s">
        <v>795</v>
      </c>
      <c r="G663" s="5">
        <v>90.08</v>
      </c>
      <c r="H663" s="5">
        <v>92.08</v>
      </c>
      <c r="I663" s="5">
        <v>87</v>
      </c>
      <c r="J663" s="5">
        <v>90.5</v>
      </c>
      <c r="K663" s="5">
        <v>85.9</v>
      </c>
      <c r="L663" s="5">
        <v>89.111999999999995</v>
      </c>
    </row>
    <row r="664" spans="1:12" x14ac:dyDescent="0.3">
      <c r="A664" s="2" t="s">
        <v>298</v>
      </c>
      <c r="B664" s="2" t="s">
        <v>403</v>
      </c>
      <c r="C664" s="2" t="s">
        <v>404</v>
      </c>
      <c r="D664" s="2" t="s">
        <v>189</v>
      </c>
      <c r="E664" s="2">
        <v>3</v>
      </c>
      <c r="F664" s="2" t="s">
        <v>796</v>
      </c>
      <c r="G664" s="5">
        <v>92.25</v>
      </c>
      <c r="H664" s="5">
        <v>95.25</v>
      </c>
      <c r="I664" s="5">
        <v>86.5</v>
      </c>
      <c r="J664" s="5">
        <v>97.5</v>
      </c>
      <c r="K664" s="5">
        <v>96</v>
      </c>
      <c r="L664" s="5">
        <v>93.5</v>
      </c>
    </row>
    <row r="665" spans="1:12" x14ac:dyDescent="0.3">
      <c r="A665" s="2" t="s">
        <v>298</v>
      </c>
      <c r="B665" s="2" t="s">
        <v>403</v>
      </c>
      <c r="C665" s="2" t="s">
        <v>404</v>
      </c>
      <c r="D665" s="2" t="s">
        <v>302</v>
      </c>
      <c r="E665" s="2">
        <v>4</v>
      </c>
      <c r="F665" s="2" t="s">
        <v>797</v>
      </c>
      <c r="G665" s="5">
        <v>90.13</v>
      </c>
      <c r="H665" s="5">
        <v>91.13</v>
      </c>
      <c r="I665" s="5">
        <v>93</v>
      </c>
      <c r="J665" s="5">
        <v>91</v>
      </c>
      <c r="K665" s="5">
        <v>90.5</v>
      </c>
      <c r="L665" s="5">
        <v>91.152000000000001</v>
      </c>
    </row>
    <row r="666" spans="1:12" x14ac:dyDescent="0.3">
      <c r="A666" s="2" t="s">
        <v>298</v>
      </c>
      <c r="B666" s="2" t="s">
        <v>405</v>
      </c>
      <c r="C666" s="2" t="s">
        <v>406</v>
      </c>
      <c r="D666" s="2" t="s">
        <v>301</v>
      </c>
      <c r="E666" s="2">
        <v>1</v>
      </c>
      <c r="F666" s="2" t="s">
        <v>791</v>
      </c>
      <c r="G666" s="5">
        <v>87.53</v>
      </c>
      <c r="H666" s="5">
        <v>87.53</v>
      </c>
      <c r="I666" s="5">
        <v>94</v>
      </c>
      <c r="J666" s="5">
        <v>87.5</v>
      </c>
      <c r="K666" s="5">
        <v>81.2</v>
      </c>
      <c r="L666" s="5">
        <v>87.551999999999992</v>
      </c>
    </row>
    <row r="667" spans="1:12" x14ac:dyDescent="0.3">
      <c r="A667" s="2" t="s">
        <v>298</v>
      </c>
      <c r="B667" s="2" t="s">
        <v>405</v>
      </c>
      <c r="C667" s="2" t="s">
        <v>406</v>
      </c>
      <c r="D667" s="2" t="s">
        <v>64</v>
      </c>
      <c r="E667" s="2">
        <v>2</v>
      </c>
      <c r="F667" s="2" t="s">
        <v>795</v>
      </c>
      <c r="G667" s="5">
        <v>95.2</v>
      </c>
      <c r="H667" s="5">
        <v>96.2</v>
      </c>
      <c r="I667" s="5">
        <v>99</v>
      </c>
      <c r="J667" s="5">
        <v>96</v>
      </c>
      <c r="K667" s="5">
        <v>94.8</v>
      </c>
      <c r="L667" s="5">
        <v>96.24</v>
      </c>
    </row>
    <row r="668" spans="1:12" x14ac:dyDescent="0.3">
      <c r="A668" s="2" t="s">
        <v>298</v>
      </c>
      <c r="B668" s="2" t="s">
        <v>405</v>
      </c>
      <c r="C668" s="2" t="s">
        <v>406</v>
      </c>
      <c r="D668" s="2" t="s">
        <v>189</v>
      </c>
      <c r="E668" s="2">
        <v>3</v>
      </c>
      <c r="F668" s="2" t="s">
        <v>796</v>
      </c>
      <c r="G668" s="5">
        <v>93.55</v>
      </c>
      <c r="H668" s="5">
        <v>99.55</v>
      </c>
      <c r="I668" s="5">
        <v>99.5</v>
      </c>
      <c r="J668" s="5">
        <v>99.5</v>
      </c>
      <c r="K668" s="5">
        <v>99.5</v>
      </c>
      <c r="L668" s="5">
        <v>98.320000000000007</v>
      </c>
    </row>
    <row r="669" spans="1:12" x14ac:dyDescent="0.3">
      <c r="A669" s="2" t="s">
        <v>298</v>
      </c>
      <c r="B669" s="2" t="s">
        <v>405</v>
      </c>
      <c r="C669" s="2" t="s">
        <v>406</v>
      </c>
      <c r="D669" s="2" t="s">
        <v>302</v>
      </c>
      <c r="E669" s="2">
        <v>4</v>
      </c>
      <c r="F669" s="2" t="s">
        <v>797</v>
      </c>
      <c r="G669" s="5">
        <v>96.56</v>
      </c>
      <c r="H669" s="5">
        <v>99.56</v>
      </c>
      <c r="I669" s="5">
        <v>100</v>
      </c>
      <c r="J669" s="5">
        <v>100</v>
      </c>
      <c r="K669" s="5">
        <v>100</v>
      </c>
      <c r="L669" s="5">
        <v>99.224000000000004</v>
      </c>
    </row>
    <row r="670" spans="1:12" x14ac:dyDescent="0.3">
      <c r="A670" s="2" t="s">
        <v>298</v>
      </c>
      <c r="B670" s="2" t="s">
        <v>407</v>
      </c>
      <c r="C670" s="2" t="s">
        <v>408</v>
      </c>
      <c r="D670" s="2" t="s">
        <v>301</v>
      </c>
      <c r="E670" s="2">
        <v>1</v>
      </c>
      <c r="F670" s="2" t="s">
        <v>791</v>
      </c>
      <c r="G670" s="5">
        <v>81.760000000000005</v>
      </c>
      <c r="H670" s="5">
        <v>85.76</v>
      </c>
      <c r="I670" s="5">
        <v>87</v>
      </c>
      <c r="J670" s="5">
        <v>87.5</v>
      </c>
      <c r="K670" s="5">
        <v>77.099999999999994</v>
      </c>
      <c r="L670" s="5">
        <v>83.823999999999998</v>
      </c>
    </row>
    <row r="671" spans="1:12" x14ac:dyDescent="0.3">
      <c r="A671" s="2" t="s">
        <v>298</v>
      </c>
      <c r="B671" s="2" t="s">
        <v>407</v>
      </c>
      <c r="C671" s="2" t="s">
        <v>408</v>
      </c>
      <c r="D671" s="2" t="s">
        <v>64</v>
      </c>
      <c r="E671" s="2">
        <v>2</v>
      </c>
      <c r="F671" s="2" t="s">
        <v>795</v>
      </c>
      <c r="G671" s="5">
        <v>84.8</v>
      </c>
      <c r="H671" s="5">
        <v>90.8</v>
      </c>
      <c r="I671" s="5">
        <v>89</v>
      </c>
      <c r="J671" s="5">
        <v>90.5</v>
      </c>
      <c r="K671" s="5">
        <v>85.4</v>
      </c>
      <c r="L671" s="5">
        <v>88.1</v>
      </c>
    </row>
    <row r="672" spans="1:12" x14ac:dyDescent="0.3">
      <c r="A672" s="2" t="s">
        <v>298</v>
      </c>
      <c r="B672" s="2" t="s">
        <v>407</v>
      </c>
      <c r="C672" s="2" t="s">
        <v>408</v>
      </c>
      <c r="D672" s="2" t="s">
        <v>189</v>
      </c>
      <c r="E672" s="2">
        <v>3</v>
      </c>
      <c r="F672" s="2" t="s">
        <v>796</v>
      </c>
      <c r="G672" s="5">
        <v>91.05</v>
      </c>
      <c r="H672" s="5">
        <v>97.05</v>
      </c>
      <c r="I672" s="5">
        <v>91.5</v>
      </c>
      <c r="J672" s="5">
        <v>98</v>
      </c>
      <c r="K672" s="5">
        <v>96</v>
      </c>
      <c r="L672" s="5">
        <v>94.72</v>
      </c>
    </row>
    <row r="673" spans="1:12" x14ac:dyDescent="0.3">
      <c r="A673" s="2" t="s">
        <v>298</v>
      </c>
      <c r="B673" s="2" t="s">
        <v>407</v>
      </c>
      <c r="C673" s="2" t="s">
        <v>408</v>
      </c>
      <c r="D673" s="2" t="s">
        <v>302</v>
      </c>
      <c r="E673" s="2">
        <v>4</v>
      </c>
      <c r="F673" s="2" t="s">
        <v>797</v>
      </c>
      <c r="G673" s="5">
        <v>88.88</v>
      </c>
      <c r="H673" s="5">
        <v>92.88</v>
      </c>
      <c r="I673" s="5">
        <v>97.5</v>
      </c>
      <c r="J673" s="5">
        <v>93.5</v>
      </c>
      <c r="K673" s="5">
        <v>91.5</v>
      </c>
      <c r="L673" s="5">
        <v>92.852000000000004</v>
      </c>
    </row>
    <row r="674" spans="1:12" x14ac:dyDescent="0.3">
      <c r="A674" s="2" t="s">
        <v>298</v>
      </c>
      <c r="B674" s="2" t="s">
        <v>409</v>
      </c>
      <c r="C674" s="2" t="s">
        <v>410</v>
      </c>
      <c r="D674" s="2" t="s">
        <v>301</v>
      </c>
      <c r="E674" s="2">
        <v>1</v>
      </c>
      <c r="F674" s="2" t="s">
        <v>791</v>
      </c>
      <c r="G674" s="5">
        <v>84.03</v>
      </c>
      <c r="H674" s="5">
        <v>87.03</v>
      </c>
      <c r="I674" s="5">
        <v>81.5</v>
      </c>
      <c r="J674" s="5">
        <v>94</v>
      </c>
      <c r="K674" s="5">
        <v>78</v>
      </c>
      <c r="L674" s="5">
        <v>84.912000000000006</v>
      </c>
    </row>
    <row r="675" spans="1:12" x14ac:dyDescent="0.3">
      <c r="A675" s="2" t="s">
        <v>298</v>
      </c>
      <c r="B675" s="2" t="s">
        <v>409</v>
      </c>
      <c r="C675" s="2" t="s">
        <v>410</v>
      </c>
      <c r="D675" s="2" t="s">
        <v>64</v>
      </c>
      <c r="E675" s="2">
        <v>2</v>
      </c>
      <c r="F675" s="2" t="s">
        <v>795</v>
      </c>
      <c r="G675" s="5">
        <v>84.64</v>
      </c>
      <c r="H675" s="5">
        <v>90.64</v>
      </c>
      <c r="I675" s="5">
        <v>83.5</v>
      </c>
      <c r="J675" s="5">
        <v>88</v>
      </c>
      <c r="K675" s="5">
        <v>89.7</v>
      </c>
      <c r="L675" s="5">
        <v>87.296000000000006</v>
      </c>
    </row>
    <row r="676" spans="1:12" x14ac:dyDescent="0.3">
      <c r="A676" s="2" t="s">
        <v>298</v>
      </c>
      <c r="B676" s="2" t="s">
        <v>409</v>
      </c>
      <c r="C676" s="2" t="s">
        <v>410</v>
      </c>
      <c r="D676" s="2" t="s">
        <v>189</v>
      </c>
      <c r="E676" s="2">
        <v>3</v>
      </c>
      <c r="F676" s="2" t="s">
        <v>796</v>
      </c>
      <c r="G676" s="5">
        <v>88.9</v>
      </c>
      <c r="H676" s="5">
        <v>91.9</v>
      </c>
      <c r="I676" s="5">
        <v>85</v>
      </c>
      <c r="J676" s="5">
        <v>89</v>
      </c>
      <c r="K676" s="5">
        <v>89</v>
      </c>
      <c r="L676" s="5">
        <v>88.76</v>
      </c>
    </row>
    <row r="677" spans="1:12" x14ac:dyDescent="0.3">
      <c r="A677" s="2" t="s">
        <v>298</v>
      </c>
      <c r="B677" s="2" t="s">
        <v>409</v>
      </c>
      <c r="C677" s="2" t="s">
        <v>410</v>
      </c>
      <c r="D677" s="2" t="s">
        <v>302</v>
      </c>
      <c r="E677" s="2">
        <v>4</v>
      </c>
      <c r="F677" s="2" t="s">
        <v>797</v>
      </c>
      <c r="G677" s="5">
        <v>86</v>
      </c>
      <c r="H677" s="5">
        <v>92</v>
      </c>
      <c r="I677" s="5">
        <v>93</v>
      </c>
      <c r="J677" s="5">
        <v>91.5</v>
      </c>
      <c r="K677" s="5">
        <v>93</v>
      </c>
      <c r="L677" s="5">
        <v>91.1</v>
      </c>
    </row>
    <row r="678" spans="1:12" x14ac:dyDescent="0.3">
      <c r="A678" s="2" t="s">
        <v>298</v>
      </c>
      <c r="B678" s="2" t="s">
        <v>411</v>
      </c>
      <c r="C678" s="2" t="s">
        <v>412</v>
      </c>
      <c r="D678" s="2" t="s">
        <v>301</v>
      </c>
      <c r="E678" s="2">
        <v>1</v>
      </c>
      <c r="F678" s="2" t="s">
        <v>791</v>
      </c>
      <c r="G678" s="5">
        <v>80.34</v>
      </c>
      <c r="H678" s="5">
        <v>86.34</v>
      </c>
      <c r="I678" s="5">
        <v>90.5</v>
      </c>
      <c r="J678" s="5">
        <v>88.5</v>
      </c>
      <c r="K678" s="5">
        <v>80.099999999999994</v>
      </c>
      <c r="L678" s="5">
        <v>85.155999999999992</v>
      </c>
    </row>
    <row r="679" spans="1:12" x14ac:dyDescent="0.3">
      <c r="A679" s="2" t="s">
        <v>298</v>
      </c>
      <c r="B679" s="2" t="s">
        <v>411</v>
      </c>
      <c r="C679" s="2" t="s">
        <v>412</v>
      </c>
      <c r="D679" s="2" t="s">
        <v>64</v>
      </c>
      <c r="E679" s="2">
        <v>2</v>
      </c>
      <c r="F679" s="2" t="s">
        <v>795</v>
      </c>
      <c r="G679" s="5">
        <v>89.96</v>
      </c>
      <c r="H679" s="5">
        <v>92.96</v>
      </c>
      <c r="I679" s="5">
        <v>94</v>
      </c>
      <c r="J679" s="5">
        <v>82.5</v>
      </c>
      <c r="K679" s="5">
        <v>92.5</v>
      </c>
      <c r="L679" s="5">
        <v>90.383999999999986</v>
      </c>
    </row>
    <row r="680" spans="1:12" x14ac:dyDescent="0.3">
      <c r="A680" s="2" t="s">
        <v>298</v>
      </c>
      <c r="B680" s="2" t="s">
        <v>411</v>
      </c>
      <c r="C680" s="2" t="s">
        <v>412</v>
      </c>
      <c r="D680" s="2" t="s">
        <v>189</v>
      </c>
      <c r="E680" s="2">
        <v>3</v>
      </c>
      <c r="F680" s="2" t="s">
        <v>796</v>
      </c>
      <c r="G680" s="5">
        <v>88.4</v>
      </c>
      <c r="H680" s="5">
        <v>91.4</v>
      </c>
      <c r="I680" s="5">
        <v>96</v>
      </c>
      <c r="J680" s="5">
        <v>83.5</v>
      </c>
      <c r="K680" s="5">
        <v>88.5</v>
      </c>
      <c r="L680" s="5">
        <v>89.56</v>
      </c>
    </row>
    <row r="681" spans="1:12" x14ac:dyDescent="0.3">
      <c r="A681" s="2" t="s">
        <v>298</v>
      </c>
      <c r="B681" s="2" t="s">
        <v>411</v>
      </c>
      <c r="C681" s="2" t="s">
        <v>412</v>
      </c>
      <c r="D681" s="2" t="s">
        <v>302</v>
      </c>
      <c r="E681" s="2">
        <v>4</v>
      </c>
      <c r="F681" s="2" t="s">
        <v>797</v>
      </c>
      <c r="G681" s="5">
        <v>85.44</v>
      </c>
      <c r="H681" s="5">
        <v>89.44</v>
      </c>
      <c r="I681" s="5">
        <v>93.5</v>
      </c>
      <c r="J681" s="5">
        <v>85.5</v>
      </c>
      <c r="K681" s="5">
        <v>88</v>
      </c>
      <c r="L681" s="5">
        <v>88.376000000000005</v>
      </c>
    </row>
    <row r="682" spans="1:12" x14ac:dyDescent="0.3">
      <c r="A682" s="2" t="s">
        <v>298</v>
      </c>
      <c r="B682" s="2" t="s">
        <v>413</v>
      </c>
      <c r="C682" s="2" t="s">
        <v>414</v>
      </c>
      <c r="D682" s="2" t="s">
        <v>301</v>
      </c>
      <c r="E682" s="2">
        <v>1</v>
      </c>
      <c r="F682" s="2" t="s">
        <v>791</v>
      </c>
      <c r="G682" s="5">
        <v>80.150000000000006</v>
      </c>
      <c r="H682" s="5">
        <v>86.15</v>
      </c>
      <c r="I682" s="5">
        <v>83.5</v>
      </c>
      <c r="J682" s="5">
        <v>85.5</v>
      </c>
      <c r="K682" s="5">
        <v>77.5</v>
      </c>
      <c r="L682" s="5">
        <v>82.56</v>
      </c>
    </row>
    <row r="683" spans="1:12" x14ac:dyDescent="0.3">
      <c r="A683" s="2" t="s">
        <v>298</v>
      </c>
      <c r="B683" s="2" t="s">
        <v>413</v>
      </c>
      <c r="C683" s="2" t="s">
        <v>414</v>
      </c>
      <c r="D683" s="2" t="s">
        <v>64</v>
      </c>
      <c r="E683" s="2">
        <v>2</v>
      </c>
      <c r="F683" s="2" t="s">
        <v>795</v>
      </c>
      <c r="G683" s="5">
        <v>91.24</v>
      </c>
      <c r="H683" s="5">
        <v>93.24</v>
      </c>
      <c r="I683" s="5">
        <v>85</v>
      </c>
      <c r="J683" s="5">
        <v>91.5</v>
      </c>
      <c r="K683" s="5">
        <v>91.9</v>
      </c>
      <c r="L683" s="5">
        <v>90.575999999999993</v>
      </c>
    </row>
    <row r="684" spans="1:12" x14ac:dyDescent="0.3">
      <c r="A684" s="2" t="s">
        <v>298</v>
      </c>
      <c r="B684" s="2" t="s">
        <v>413</v>
      </c>
      <c r="C684" s="2" t="s">
        <v>414</v>
      </c>
      <c r="D684" s="2" t="s">
        <v>189</v>
      </c>
      <c r="E684" s="2">
        <v>3</v>
      </c>
      <c r="F684" s="2" t="s">
        <v>796</v>
      </c>
      <c r="G684" s="5">
        <v>89.35</v>
      </c>
      <c r="H684" s="5">
        <v>94.35</v>
      </c>
      <c r="I684" s="5">
        <v>86</v>
      </c>
      <c r="J684" s="5">
        <v>99.5</v>
      </c>
      <c r="K684" s="5">
        <v>93.5</v>
      </c>
      <c r="L684" s="5">
        <v>92.539999999999992</v>
      </c>
    </row>
    <row r="685" spans="1:12" x14ac:dyDescent="0.3">
      <c r="A685" s="2" t="s">
        <v>298</v>
      </c>
      <c r="B685" s="2" t="s">
        <v>413</v>
      </c>
      <c r="C685" s="2" t="s">
        <v>414</v>
      </c>
      <c r="D685" s="2" t="s">
        <v>302</v>
      </c>
      <c r="E685" s="2">
        <v>4</v>
      </c>
      <c r="F685" s="2" t="s">
        <v>797</v>
      </c>
      <c r="G685" s="5">
        <v>93.5</v>
      </c>
      <c r="H685" s="5">
        <v>95.5</v>
      </c>
      <c r="I685" s="5">
        <v>93.5</v>
      </c>
      <c r="J685" s="5">
        <v>99</v>
      </c>
      <c r="K685" s="5">
        <v>96.5</v>
      </c>
      <c r="L685" s="5">
        <v>95.6</v>
      </c>
    </row>
    <row r="686" spans="1:12" x14ac:dyDescent="0.3">
      <c r="A686" s="2" t="s">
        <v>298</v>
      </c>
      <c r="B686" s="2" t="s">
        <v>415</v>
      </c>
      <c r="C686" s="2" t="s">
        <v>416</v>
      </c>
      <c r="D686" s="2" t="s">
        <v>301</v>
      </c>
      <c r="E686" s="2">
        <v>1</v>
      </c>
      <c r="F686" s="2" t="s">
        <v>791</v>
      </c>
      <c r="G686" s="5">
        <v>89.07</v>
      </c>
      <c r="H686" s="5">
        <v>93.07</v>
      </c>
      <c r="I686" s="5">
        <v>90.5</v>
      </c>
      <c r="J686" s="5">
        <v>98</v>
      </c>
      <c r="K686" s="5">
        <v>87.6</v>
      </c>
      <c r="L686" s="5">
        <v>91.647999999999996</v>
      </c>
    </row>
    <row r="687" spans="1:12" x14ac:dyDescent="0.3">
      <c r="A687" s="2" t="s">
        <v>298</v>
      </c>
      <c r="B687" s="2" t="s">
        <v>415</v>
      </c>
      <c r="C687" s="2" t="s">
        <v>416</v>
      </c>
      <c r="D687" s="2" t="s">
        <v>64</v>
      </c>
      <c r="E687" s="2">
        <v>2</v>
      </c>
      <c r="F687" s="2" t="s">
        <v>795</v>
      </c>
      <c r="G687" s="5">
        <v>93.48</v>
      </c>
      <c r="H687" s="5">
        <v>96.48</v>
      </c>
      <c r="I687" s="5">
        <v>91.5</v>
      </c>
      <c r="J687" s="5">
        <v>97</v>
      </c>
      <c r="K687" s="5">
        <v>95.6</v>
      </c>
      <c r="L687" s="5">
        <v>94.811999999999998</v>
      </c>
    </row>
    <row r="688" spans="1:12" x14ac:dyDescent="0.3">
      <c r="A688" s="2" t="s">
        <v>298</v>
      </c>
      <c r="B688" s="2" t="s">
        <v>415</v>
      </c>
      <c r="C688" s="2" t="s">
        <v>416</v>
      </c>
      <c r="D688" s="2" t="s">
        <v>189</v>
      </c>
      <c r="E688" s="2">
        <v>3</v>
      </c>
      <c r="F688" s="2" t="s">
        <v>796</v>
      </c>
      <c r="G688" s="5">
        <v>96.4</v>
      </c>
      <c r="H688" s="5">
        <v>98.4</v>
      </c>
      <c r="I688" s="5">
        <v>95</v>
      </c>
      <c r="J688" s="5">
        <v>99.5</v>
      </c>
      <c r="K688" s="5">
        <v>99</v>
      </c>
      <c r="L688" s="5">
        <v>97.66</v>
      </c>
    </row>
    <row r="689" spans="1:12" x14ac:dyDescent="0.3">
      <c r="A689" s="2" t="s">
        <v>298</v>
      </c>
      <c r="B689" s="2" t="s">
        <v>415</v>
      </c>
      <c r="C689" s="2" t="s">
        <v>416</v>
      </c>
      <c r="D689" s="2" t="s">
        <v>302</v>
      </c>
      <c r="E689" s="2">
        <v>4</v>
      </c>
      <c r="F689" s="2" t="s">
        <v>797</v>
      </c>
      <c r="G689" s="5">
        <v>94.06</v>
      </c>
      <c r="H689" s="5">
        <v>97.06</v>
      </c>
      <c r="I689" s="5">
        <v>99</v>
      </c>
      <c r="J689" s="5">
        <v>97.5</v>
      </c>
      <c r="K689" s="5">
        <v>97.5</v>
      </c>
      <c r="L689" s="5">
        <v>97.024000000000001</v>
      </c>
    </row>
    <row r="690" spans="1:12" x14ac:dyDescent="0.3">
      <c r="A690" s="2" t="s">
        <v>298</v>
      </c>
      <c r="B690" s="2" t="s">
        <v>417</v>
      </c>
      <c r="C690" s="2" t="s">
        <v>418</v>
      </c>
      <c r="D690" s="2" t="s">
        <v>301</v>
      </c>
      <c r="E690" s="2">
        <v>1</v>
      </c>
      <c r="F690" s="2" t="s">
        <v>791</v>
      </c>
      <c r="G690" s="5">
        <v>83.38</v>
      </c>
      <c r="H690" s="5">
        <v>83.38</v>
      </c>
      <c r="I690" s="5">
        <v>86.5</v>
      </c>
      <c r="J690" s="5">
        <v>85.5</v>
      </c>
      <c r="K690" s="5">
        <v>79.099999999999994</v>
      </c>
      <c r="L690" s="5">
        <v>83.572000000000003</v>
      </c>
    </row>
    <row r="691" spans="1:12" x14ac:dyDescent="0.3">
      <c r="A691" s="2" t="s">
        <v>298</v>
      </c>
      <c r="B691" s="2" t="s">
        <v>417</v>
      </c>
      <c r="C691" s="2" t="s">
        <v>418</v>
      </c>
      <c r="D691" s="2" t="s">
        <v>64</v>
      </c>
      <c r="E691" s="2">
        <v>2</v>
      </c>
      <c r="F691" s="2" t="s">
        <v>795</v>
      </c>
      <c r="G691" s="5">
        <v>87.96</v>
      </c>
      <c r="H691" s="5">
        <v>89.96</v>
      </c>
      <c r="I691" s="5">
        <v>91.5</v>
      </c>
      <c r="J691" s="5">
        <v>87</v>
      </c>
      <c r="K691" s="5">
        <v>88.4</v>
      </c>
      <c r="L691" s="5">
        <v>88.963999999999999</v>
      </c>
    </row>
    <row r="692" spans="1:12" x14ac:dyDescent="0.3">
      <c r="A692" s="2" t="s">
        <v>298</v>
      </c>
      <c r="B692" s="2" t="s">
        <v>417</v>
      </c>
      <c r="C692" s="2" t="s">
        <v>418</v>
      </c>
      <c r="D692" s="2" t="s">
        <v>189</v>
      </c>
      <c r="E692" s="2">
        <v>3</v>
      </c>
      <c r="F692" s="2" t="s">
        <v>796</v>
      </c>
      <c r="G692" s="5">
        <v>88.25</v>
      </c>
      <c r="H692" s="5">
        <v>91.25</v>
      </c>
      <c r="I692" s="5">
        <v>91.5</v>
      </c>
      <c r="J692" s="5">
        <v>94</v>
      </c>
      <c r="K692" s="5">
        <v>92.5</v>
      </c>
      <c r="L692" s="5">
        <v>91.5</v>
      </c>
    </row>
    <row r="693" spans="1:12" x14ac:dyDescent="0.3">
      <c r="A693" s="2" t="s">
        <v>298</v>
      </c>
      <c r="B693" s="2" t="s">
        <v>417</v>
      </c>
      <c r="C693" s="2" t="s">
        <v>418</v>
      </c>
      <c r="D693" s="2" t="s">
        <v>302</v>
      </c>
      <c r="E693" s="2">
        <v>4</v>
      </c>
      <c r="F693" s="2" t="s">
        <v>797</v>
      </c>
      <c r="G693" s="5">
        <v>83.06</v>
      </c>
      <c r="H693" s="5">
        <v>89.06</v>
      </c>
      <c r="I693" s="5">
        <v>93.5</v>
      </c>
      <c r="J693" s="5">
        <v>91.5</v>
      </c>
      <c r="K693" s="5">
        <v>94.5</v>
      </c>
      <c r="L693" s="5">
        <v>90.323999999999998</v>
      </c>
    </row>
    <row r="694" spans="1:12" x14ac:dyDescent="0.3">
      <c r="A694" s="2" t="s">
        <v>419</v>
      </c>
      <c r="B694" s="2" t="s">
        <v>420</v>
      </c>
      <c r="C694" s="2" t="s">
        <v>421</v>
      </c>
      <c r="D694" s="2" t="s">
        <v>64</v>
      </c>
      <c r="E694" s="2">
        <v>1</v>
      </c>
      <c r="F694" s="2" t="s">
        <v>791</v>
      </c>
      <c r="G694" s="5">
        <v>84.5</v>
      </c>
      <c r="H694" s="5">
        <v>85.5</v>
      </c>
      <c r="I694" s="5">
        <v>88.5</v>
      </c>
      <c r="J694" s="5">
        <v>85</v>
      </c>
      <c r="K694" s="5">
        <v>78.5</v>
      </c>
      <c r="L694" s="5">
        <v>84.4</v>
      </c>
    </row>
    <row r="695" spans="1:12" x14ac:dyDescent="0.3">
      <c r="A695" s="2" t="s">
        <v>419</v>
      </c>
      <c r="B695" s="2" t="s">
        <v>420</v>
      </c>
      <c r="C695" s="2" t="s">
        <v>421</v>
      </c>
      <c r="D695" s="2" t="s">
        <v>189</v>
      </c>
      <c r="E695" s="2">
        <v>2</v>
      </c>
      <c r="F695" s="2" t="s">
        <v>795</v>
      </c>
      <c r="G695" s="5">
        <v>83.5</v>
      </c>
      <c r="H695" s="5">
        <v>87.5</v>
      </c>
      <c r="I695" s="5">
        <v>90.5</v>
      </c>
      <c r="J695" s="5">
        <v>89</v>
      </c>
      <c r="K695" s="5">
        <v>92</v>
      </c>
      <c r="L695" s="5">
        <v>88.5</v>
      </c>
    </row>
    <row r="696" spans="1:12" x14ac:dyDescent="0.3">
      <c r="A696" s="2" t="s">
        <v>419</v>
      </c>
      <c r="B696" s="2" t="s">
        <v>420</v>
      </c>
      <c r="C696" s="2" t="s">
        <v>421</v>
      </c>
      <c r="D696" s="2" t="s">
        <v>302</v>
      </c>
      <c r="E696" s="2">
        <v>3</v>
      </c>
      <c r="F696" s="2" t="s">
        <v>796</v>
      </c>
      <c r="G696" s="5">
        <v>82</v>
      </c>
      <c r="H696" s="5">
        <v>85</v>
      </c>
      <c r="I696" s="5">
        <v>77.5</v>
      </c>
      <c r="J696" s="5">
        <v>76</v>
      </c>
      <c r="K696" s="5">
        <v>90</v>
      </c>
      <c r="L696" s="5">
        <v>82.1</v>
      </c>
    </row>
    <row r="697" spans="1:12" x14ac:dyDescent="0.3">
      <c r="A697" s="2" t="s">
        <v>419</v>
      </c>
      <c r="B697" s="2" t="s">
        <v>420</v>
      </c>
      <c r="C697" s="2" t="s">
        <v>421</v>
      </c>
      <c r="D697" s="2" t="s">
        <v>422</v>
      </c>
      <c r="E697" s="2">
        <v>4</v>
      </c>
      <c r="F697" s="2" t="s">
        <v>797</v>
      </c>
      <c r="G697" s="5">
        <v>87.75</v>
      </c>
      <c r="H697" s="5">
        <v>89.75</v>
      </c>
      <c r="I697" s="5">
        <v>90.5</v>
      </c>
      <c r="J697" s="5">
        <v>91.5</v>
      </c>
      <c r="K697" s="5">
        <v>88.5</v>
      </c>
      <c r="L697" s="5">
        <v>89.6</v>
      </c>
    </row>
    <row r="698" spans="1:12" x14ac:dyDescent="0.3">
      <c r="A698" s="2" t="s">
        <v>419</v>
      </c>
      <c r="B698" s="2" t="s">
        <v>423</v>
      </c>
      <c r="C698" s="2" t="s">
        <v>424</v>
      </c>
      <c r="D698" s="2" t="s">
        <v>64</v>
      </c>
      <c r="E698" s="2">
        <v>1</v>
      </c>
      <c r="F698" s="2" t="s">
        <v>791</v>
      </c>
      <c r="G698" s="5">
        <v>78.61</v>
      </c>
      <c r="H698" s="5">
        <v>79.61</v>
      </c>
      <c r="I698" s="5">
        <v>81.5</v>
      </c>
      <c r="J698" s="5">
        <v>71.5</v>
      </c>
      <c r="K698" s="5">
        <v>70.400000000000006</v>
      </c>
      <c r="L698" s="5">
        <v>76.323999999999998</v>
      </c>
    </row>
    <row r="699" spans="1:12" x14ac:dyDescent="0.3">
      <c r="A699" s="2" t="s">
        <v>419</v>
      </c>
      <c r="B699" s="2" t="s">
        <v>423</v>
      </c>
      <c r="C699" s="2" t="s">
        <v>424</v>
      </c>
      <c r="D699" s="2" t="s">
        <v>189</v>
      </c>
      <c r="E699" s="2">
        <v>2</v>
      </c>
      <c r="F699" s="2" t="s">
        <v>795</v>
      </c>
      <c r="G699" s="5">
        <v>81.5</v>
      </c>
      <c r="H699" s="5">
        <v>81.5</v>
      </c>
      <c r="I699" s="5">
        <v>75</v>
      </c>
      <c r="J699" s="5">
        <v>76.900000000000006</v>
      </c>
      <c r="K699" s="5">
        <v>84.11</v>
      </c>
      <c r="L699" s="5">
        <v>79.801999999999992</v>
      </c>
    </row>
    <row r="700" spans="1:12" x14ac:dyDescent="0.3">
      <c r="A700" s="2" t="s">
        <v>419</v>
      </c>
      <c r="B700" s="2" t="s">
        <v>423</v>
      </c>
      <c r="C700" s="2" t="s">
        <v>424</v>
      </c>
      <c r="D700" s="2" t="s">
        <v>302</v>
      </c>
      <c r="E700" s="2">
        <v>3</v>
      </c>
      <c r="F700" s="2" t="s">
        <v>796</v>
      </c>
      <c r="G700" s="5">
        <v>83</v>
      </c>
      <c r="H700" s="5">
        <v>84</v>
      </c>
      <c r="I700" s="5">
        <v>63.5</v>
      </c>
      <c r="J700" s="5">
        <v>76</v>
      </c>
      <c r="K700" s="5">
        <v>94.5</v>
      </c>
      <c r="L700" s="5">
        <v>80.2</v>
      </c>
    </row>
    <row r="701" spans="1:12" x14ac:dyDescent="0.3">
      <c r="A701" s="2" t="s">
        <v>419</v>
      </c>
      <c r="B701" s="2" t="s">
        <v>423</v>
      </c>
      <c r="C701" s="2" t="s">
        <v>424</v>
      </c>
      <c r="D701" s="2" t="s">
        <v>422</v>
      </c>
      <c r="E701" s="2">
        <v>4</v>
      </c>
      <c r="F701" s="2" t="s">
        <v>797</v>
      </c>
      <c r="G701" s="5">
        <v>78.19</v>
      </c>
      <c r="H701" s="5">
        <v>82.19</v>
      </c>
      <c r="I701" s="5">
        <v>84.5</v>
      </c>
      <c r="J701" s="5">
        <v>78</v>
      </c>
      <c r="K701" s="5">
        <v>80.5</v>
      </c>
      <c r="L701" s="5">
        <v>80.676000000000002</v>
      </c>
    </row>
    <row r="702" spans="1:12" x14ac:dyDescent="0.3">
      <c r="A702" s="2" t="s">
        <v>419</v>
      </c>
      <c r="B702" s="2" t="s">
        <v>425</v>
      </c>
      <c r="C702" s="2" t="s">
        <v>426</v>
      </c>
      <c r="D702" s="2" t="s">
        <v>64</v>
      </c>
      <c r="E702" s="2">
        <v>1</v>
      </c>
      <c r="F702" s="2" t="s">
        <v>791</v>
      </c>
      <c r="G702" s="5">
        <v>91.08</v>
      </c>
      <c r="H702" s="5">
        <v>92.08</v>
      </c>
      <c r="I702" s="5">
        <v>86</v>
      </c>
      <c r="J702" s="5">
        <v>94.5</v>
      </c>
      <c r="K702" s="5">
        <v>89.9</v>
      </c>
      <c r="L702" s="5">
        <v>90.711999999999989</v>
      </c>
    </row>
    <row r="703" spans="1:12" x14ac:dyDescent="0.3">
      <c r="A703" s="2" t="s">
        <v>419</v>
      </c>
      <c r="B703" s="2" t="s">
        <v>425</v>
      </c>
      <c r="C703" s="2" t="s">
        <v>426</v>
      </c>
      <c r="D703" s="2" t="s">
        <v>189</v>
      </c>
      <c r="E703" s="2">
        <v>2</v>
      </c>
      <c r="F703" s="2" t="s">
        <v>795</v>
      </c>
      <c r="G703" s="5">
        <v>88</v>
      </c>
      <c r="H703" s="5">
        <v>88</v>
      </c>
      <c r="I703" s="5">
        <v>98</v>
      </c>
      <c r="J703" s="5">
        <v>91</v>
      </c>
      <c r="K703" s="5">
        <v>94.19</v>
      </c>
      <c r="L703" s="5">
        <v>91.837999999999994</v>
      </c>
    </row>
    <row r="704" spans="1:12" x14ac:dyDescent="0.3">
      <c r="A704" s="2" t="s">
        <v>419</v>
      </c>
      <c r="B704" s="2" t="s">
        <v>425</v>
      </c>
      <c r="C704" s="2" t="s">
        <v>426</v>
      </c>
      <c r="D704" s="2" t="s">
        <v>302</v>
      </c>
      <c r="E704" s="2">
        <v>3</v>
      </c>
      <c r="F704" s="2" t="s">
        <v>796</v>
      </c>
      <c r="G704" s="5">
        <v>92</v>
      </c>
      <c r="H704" s="5">
        <v>93</v>
      </c>
      <c r="I704" s="5">
        <v>99</v>
      </c>
      <c r="J704" s="5">
        <v>95.5</v>
      </c>
      <c r="K704" s="5">
        <v>86</v>
      </c>
      <c r="L704" s="5">
        <v>93.1</v>
      </c>
    </row>
    <row r="705" spans="1:12" x14ac:dyDescent="0.3">
      <c r="A705" s="2" t="s">
        <v>419</v>
      </c>
      <c r="B705" s="2" t="s">
        <v>425</v>
      </c>
      <c r="C705" s="2" t="s">
        <v>426</v>
      </c>
      <c r="D705" s="2" t="s">
        <v>422</v>
      </c>
      <c r="E705" s="2">
        <v>4</v>
      </c>
      <c r="F705" s="2" t="s">
        <v>797</v>
      </c>
      <c r="G705" s="5">
        <v>93.94</v>
      </c>
      <c r="H705" s="5">
        <v>95.94</v>
      </c>
      <c r="I705" s="5">
        <v>94</v>
      </c>
      <c r="J705" s="5">
        <v>98.5</v>
      </c>
      <c r="K705" s="5">
        <v>95.5</v>
      </c>
      <c r="L705" s="5">
        <v>95.575999999999993</v>
      </c>
    </row>
    <row r="706" spans="1:12" x14ac:dyDescent="0.3">
      <c r="A706" s="2" t="s">
        <v>419</v>
      </c>
      <c r="B706" s="2" t="s">
        <v>427</v>
      </c>
      <c r="C706" s="2" t="s">
        <v>428</v>
      </c>
      <c r="D706" s="2" t="s">
        <v>64</v>
      </c>
      <c r="E706" s="2">
        <v>1</v>
      </c>
      <c r="F706" s="2" t="s">
        <v>791</v>
      </c>
      <c r="G706" s="5">
        <v>93.15</v>
      </c>
      <c r="H706" s="5">
        <v>94.15</v>
      </c>
      <c r="I706" s="5">
        <v>90.5</v>
      </c>
      <c r="J706" s="5">
        <v>95</v>
      </c>
      <c r="K706" s="5">
        <v>91</v>
      </c>
      <c r="L706" s="5">
        <v>92.76</v>
      </c>
    </row>
    <row r="707" spans="1:12" x14ac:dyDescent="0.3">
      <c r="A707" s="2" t="s">
        <v>419</v>
      </c>
      <c r="B707" s="2" t="s">
        <v>427</v>
      </c>
      <c r="C707" s="2" t="s">
        <v>428</v>
      </c>
      <c r="D707" s="2" t="s">
        <v>189</v>
      </c>
      <c r="E707" s="2">
        <v>2</v>
      </c>
      <c r="F707" s="2" t="s">
        <v>795</v>
      </c>
      <c r="G707" s="5">
        <v>87</v>
      </c>
      <c r="H707" s="5">
        <v>92</v>
      </c>
      <c r="I707" s="5">
        <v>97</v>
      </c>
      <c r="J707" s="5">
        <v>95</v>
      </c>
      <c r="K707" s="5">
        <v>96.78</v>
      </c>
      <c r="L707" s="5">
        <v>93.555999999999997</v>
      </c>
    </row>
    <row r="708" spans="1:12" x14ac:dyDescent="0.3">
      <c r="A708" s="2" t="s">
        <v>419</v>
      </c>
      <c r="B708" s="2" t="s">
        <v>427</v>
      </c>
      <c r="C708" s="2" t="s">
        <v>428</v>
      </c>
      <c r="D708" s="2" t="s">
        <v>302</v>
      </c>
      <c r="E708" s="2">
        <v>3</v>
      </c>
      <c r="F708" s="2" t="s">
        <v>796</v>
      </c>
      <c r="G708" s="5">
        <v>88</v>
      </c>
      <c r="H708" s="5">
        <v>92</v>
      </c>
      <c r="I708" s="5">
        <v>97.5</v>
      </c>
      <c r="J708" s="5">
        <v>97.5</v>
      </c>
      <c r="K708" s="5">
        <v>94</v>
      </c>
      <c r="L708" s="5">
        <v>93.8</v>
      </c>
    </row>
    <row r="709" spans="1:12" x14ac:dyDescent="0.3">
      <c r="A709" s="2" t="s">
        <v>419</v>
      </c>
      <c r="B709" s="2" t="s">
        <v>427</v>
      </c>
      <c r="C709" s="2" t="s">
        <v>428</v>
      </c>
      <c r="D709" s="2" t="s">
        <v>422</v>
      </c>
      <c r="E709" s="2">
        <v>4</v>
      </c>
      <c r="F709" s="2" t="s">
        <v>797</v>
      </c>
      <c r="G709" s="5">
        <v>97.88</v>
      </c>
      <c r="H709" s="5">
        <v>97.88</v>
      </c>
      <c r="I709" s="5">
        <v>98.5</v>
      </c>
      <c r="J709" s="5">
        <v>98</v>
      </c>
      <c r="K709" s="5">
        <v>97</v>
      </c>
      <c r="L709" s="5">
        <v>97.852000000000004</v>
      </c>
    </row>
    <row r="710" spans="1:12" x14ac:dyDescent="0.3">
      <c r="A710" s="2" t="s">
        <v>419</v>
      </c>
      <c r="B710" s="2" t="s">
        <v>429</v>
      </c>
      <c r="C710" s="2" t="s">
        <v>430</v>
      </c>
      <c r="D710" s="2" t="s">
        <v>64</v>
      </c>
      <c r="E710" s="2">
        <v>1</v>
      </c>
      <c r="F710" s="2" t="s">
        <v>791</v>
      </c>
      <c r="G710" s="5">
        <v>81.349999999999994</v>
      </c>
      <c r="H710" s="5">
        <v>86.35</v>
      </c>
      <c r="I710" s="5">
        <v>92</v>
      </c>
      <c r="J710" s="5">
        <v>81.5</v>
      </c>
      <c r="K710" s="5">
        <v>78.8</v>
      </c>
      <c r="L710" s="5">
        <v>84</v>
      </c>
    </row>
    <row r="711" spans="1:12" x14ac:dyDescent="0.3">
      <c r="A711" s="2" t="s">
        <v>419</v>
      </c>
      <c r="B711" s="2" t="s">
        <v>429</v>
      </c>
      <c r="C711" s="2" t="s">
        <v>430</v>
      </c>
      <c r="D711" s="2" t="s">
        <v>189</v>
      </c>
      <c r="E711" s="2">
        <v>2</v>
      </c>
      <c r="F711" s="2" t="s">
        <v>795</v>
      </c>
      <c r="G711" s="5">
        <v>86</v>
      </c>
      <c r="H711" s="5">
        <v>90</v>
      </c>
      <c r="I711" s="5">
        <v>93.5</v>
      </c>
      <c r="J711" s="5">
        <v>86.8</v>
      </c>
      <c r="K711" s="5">
        <v>91.26</v>
      </c>
      <c r="L711" s="5">
        <v>89.512</v>
      </c>
    </row>
    <row r="712" spans="1:12" x14ac:dyDescent="0.3">
      <c r="A712" s="2" t="s">
        <v>419</v>
      </c>
      <c r="B712" s="2" t="s">
        <v>429</v>
      </c>
      <c r="C712" s="2" t="s">
        <v>430</v>
      </c>
      <c r="D712" s="2" t="s">
        <v>302</v>
      </c>
      <c r="E712" s="2">
        <v>3</v>
      </c>
      <c r="F712" s="2" t="s">
        <v>796</v>
      </c>
      <c r="G712" s="5">
        <v>86.5</v>
      </c>
      <c r="H712" s="5">
        <v>90.5</v>
      </c>
      <c r="I712" s="5">
        <v>86</v>
      </c>
      <c r="J712" s="5">
        <v>83</v>
      </c>
      <c r="K712" s="5">
        <v>85.5</v>
      </c>
      <c r="L712" s="5">
        <v>86.3</v>
      </c>
    </row>
    <row r="713" spans="1:12" x14ac:dyDescent="0.3">
      <c r="A713" s="2" t="s">
        <v>419</v>
      </c>
      <c r="B713" s="2" t="s">
        <v>429</v>
      </c>
      <c r="C713" s="2" t="s">
        <v>430</v>
      </c>
      <c r="D713" s="2" t="s">
        <v>422</v>
      </c>
      <c r="E713" s="2">
        <v>4</v>
      </c>
      <c r="F713" s="2" t="s">
        <v>797</v>
      </c>
      <c r="G713" s="5">
        <v>85.75</v>
      </c>
      <c r="H713" s="5">
        <v>87.75</v>
      </c>
      <c r="I713" s="5">
        <v>93.5</v>
      </c>
      <c r="J713" s="5">
        <v>86.5</v>
      </c>
      <c r="K713" s="5">
        <v>89.5</v>
      </c>
      <c r="L713" s="5">
        <v>88.6</v>
      </c>
    </row>
    <row r="714" spans="1:12" x14ac:dyDescent="0.3">
      <c r="A714" s="2" t="s">
        <v>419</v>
      </c>
      <c r="B714" s="2" t="s">
        <v>431</v>
      </c>
      <c r="C714" s="2" t="s">
        <v>432</v>
      </c>
      <c r="D714" s="2" t="s">
        <v>64</v>
      </c>
      <c r="E714" s="2">
        <v>1</v>
      </c>
      <c r="F714" s="2" t="s">
        <v>791</v>
      </c>
      <c r="G714" s="5">
        <v>84.23</v>
      </c>
      <c r="H714" s="5">
        <v>84.23</v>
      </c>
      <c r="I714" s="5">
        <v>91.5</v>
      </c>
      <c r="J714" s="5">
        <v>76.5</v>
      </c>
      <c r="K714" s="5">
        <v>81.7</v>
      </c>
      <c r="L714" s="5">
        <v>83.632000000000005</v>
      </c>
    </row>
    <row r="715" spans="1:12" x14ac:dyDescent="0.3">
      <c r="A715" s="2" t="s">
        <v>419</v>
      </c>
      <c r="B715" s="2" t="s">
        <v>431</v>
      </c>
      <c r="C715" s="2" t="s">
        <v>432</v>
      </c>
      <c r="D715" s="2" t="s">
        <v>189</v>
      </c>
      <c r="E715" s="2">
        <v>2</v>
      </c>
      <c r="F715" s="2" t="s">
        <v>795</v>
      </c>
      <c r="G715" s="5">
        <v>88.5</v>
      </c>
      <c r="H715" s="5">
        <v>92.5</v>
      </c>
      <c r="I715" s="5">
        <v>85.5</v>
      </c>
      <c r="J715" s="5">
        <v>89.3</v>
      </c>
      <c r="K715" s="5">
        <v>90.19</v>
      </c>
      <c r="L715" s="5">
        <v>89.198000000000008</v>
      </c>
    </row>
    <row r="716" spans="1:12" x14ac:dyDescent="0.3">
      <c r="A716" s="2" t="s">
        <v>419</v>
      </c>
      <c r="B716" s="2" t="s">
        <v>431</v>
      </c>
      <c r="C716" s="2" t="s">
        <v>432</v>
      </c>
      <c r="D716" s="2" t="s">
        <v>302</v>
      </c>
      <c r="E716" s="2">
        <v>3</v>
      </c>
      <c r="F716" s="2" t="s">
        <v>796</v>
      </c>
      <c r="G716" s="5">
        <v>88.5</v>
      </c>
      <c r="H716" s="5">
        <v>91.5</v>
      </c>
      <c r="I716" s="5">
        <v>86.5</v>
      </c>
      <c r="J716" s="5">
        <v>85.5</v>
      </c>
      <c r="K716" s="5">
        <v>95</v>
      </c>
      <c r="L716" s="5">
        <v>89.4</v>
      </c>
    </row>
    <row r="717" spans="1:12" x14ac:dyDescent="0.3">
      <c r="A717" s="2" t="s">
        <v>419</v>
      </c>
      <c r="B717" s="2" t="s">
        <v>431</v>
      </c>
      <c r="C717" s="2" t="s">
        <v>432</v>
      </c>
      <c r="D717" s="2" t="s">
        <v>422</v>
      </c>
      <c r="E717" s="2">
        <v>4</v>
      </c>
      <c r="F717" s="2" t="s">
        <v>797</v>
      </c>
      <c r="G717" s="5">
        <v>80.63</v>
      </c>
      <c r="H717" s="5">
        <v>81.63</v>
      </c>
      <c r="I717" s="5">
        <v>92.5</v>
      </c>
      <c r="J717" s="5">
        <v>90.5</v>
      </c>
      <c r="K717" s="5">
        <v>80.5</v>
      </c>
      <c r="L717" s="5">
        <v>85.152000000000001</v>
      </c>
    </row>
    <row r="718" spans="1:12" x14ac:dyDescent="0.3">
      <c r="A718" s="2" t="s">
        <v>419</v>
      </c>
      <c r="B718" s="2" t="s">
        <v>433</v>
      </c>
      <c r="C718" s="2" t="s">
        <v>434</v>
      </c>
      <c r="D718" s="2" t="s">
        <v>64</v>
      </c>
      <c r="E718" s="2">
        <v>1</v>
      </c>
      <c r="F718" s="2" t="s">
        <v>791</v>
      </c>
      <c r="G718" s="5">
        <v>80.959999999999994</v>
      </c>
      <c r="H718" s="5">
        <v>86.96</v>
      </c>
      <c r="I718" s="5">
        <v>84.5</v>
      </c>
      <c r="J718" s="5">
        <v>83</v>
      </c>
      <c r="K718" s="5">
        <v>81.2</v>
      </c>
      <c r="L718" s="5">
        <v>83.323999999999984</v>
      </c>
    </row>
    <row r="719" spans="1:12" x14ac:dyDescent="0.3">
      <c r="A719" s="2" t="s">
        <v>419</v>
      </c>
      <c r="B719" s="2" t="s">
        <v>433</v>
      </c>
      <c r="C719" s="2" t="s">
        <v>434</v>
      </c>
      <c r="D719" s="2" t="s">
        <v>189</v>
      </c>
      <c r="E719" s="2">
        <v>2</v>
      </c>
      <c r="F719" s="2" t="s">
        <v>795</v>
      </c>
      <c r="G719" s="5">
        <v>84.5</v>
      </c>
      <c r="H719" s="5">
        <v>85.5</v>
      </c>
      <c r="I719" s="5">
        <v>91.5</v>
      </c>
      <c r="J719" s="5">
        <v>93.4</v>
      </c>
      <c r="K719" s="5">
        <v>93.82</v>
      </c>
      <c r="L719" s="5">
        <v>89.744</v>
      </c>
    </row>
    <row r="720" spans="1:12" x14ac:dyDescent="0.3">
      <c r="A720" s="2" t="s">
        <v>419</v>
      </c>
      <c r="B720" s="2" t="s">
        <v>433</v>
      </c>
      <c r="C720" s="2" t="s">
        <v>434</v>
      </c>
      <c r="D720" s="2" t="s">
        <v>302</v>
      </c>
      <c r="E720" s="2">
        <v>3</v>
      </c>
      <c r="F720" s="2" t="s">
        <v>796</v>
      </c>
      <c r="G720" s="5">
        <v>83.5</v>
      </c>
      <c r="H720" s="5">
        <v>87.5</v>
      </c>
      <c r="I720" s="5">
        <v>93</v>
      </c>
      <c r="J720" s="5">
        <v>89</v>
      </c>
      <c r="K720" s="5">
        <v>86</v>
      </c>
      <c r="L720" s="5">
        <v>87.8</v>
      </c>
    </row>
    <row r="721" spans="1:12" x14ac:dyDescent="0.3">
      <c r="A721" s="2" t="s">
        <v>419</v>
      </c>
      <c r="B721" s="2" t="s">
        <v>433</v>
      </c>
      <c r="C721" s="2" t="s">
        <v>434</v>
      </c>
      <c r="D721" s="2" t="s">
        <v>422</v>
      </c>
      <c r="E721" s="2">
        <v>4</v>
      </c>
      <c r="F721" s="2" t="s">
        <v>797</v>
      </c>
      <c r="G721" s="5">
        <v>92.81</v>
      </c>
      <c r="H721" s="5">
        <v>96.81</v>
      </c>
      <c r="I721" s="5">
        <v>97</v>
      </c>
      <c r="J721" s="5">
        <v>97.5</v>
      </c>
      <c r="K721" s="5">
        <v>96</v>
      </c>
      <c r="L721" s="5">
        <v>96.024000000000001</v>
      </c>
    </row>
    <row r="722" spans="1:12" x14ac:dyDescent="0.3">
      <c r="A722" s="2" t="s">
        <v>419</v>
      </c>
      <c r="B722" s="2" t="s">
        <v>435</v>
      </c>
      <c r="C722" s="2" t="s">
        <v>436</v>
      </c>
      <c r="D722" s="2" t="s">
        <v>64</v>
      </c>
      <c r="E722" s="2">
        <v>1</v>
      </c>
      <c r="F722" s="2" t="s">
        <v>791</v>
      </c>
      <c r="G722" s="5">
        <v>91.08</v>
      </c>
      <c r="H722" s="5">
        <v>93.08</v>
      </c>
      <c r="I722" s="5">
        <v>95</v>
      </c>
      <c r="J722" s="5">
        <v>90.5</v>
      </c>
      <c r="K722" s="5">
        <v>93.9</v>
      </c>
      <c r="L722" s="5">
        <v>92.711999999999989</v>
      </c>
    </row>
    <row r="723" spans="1:12" x14ac:dyDescent="0.3">
      <c r="A723" s="2" t="s">
        <v>419</v>
      </c>
      <c r="B723" s="2" t="s">
        <v>435</v>
      </c>
      <c r="C723" s="2" t="s">
        <v>436</v>
      </c>
      <c r="D723" s="2" t="s">
        <v>189</v>
      </c>
      <c r="E723" s="2">
        <v>2</v>
      </c>
      <c r="F723" s="2" t="s">
        <v>795</v>
      </c>
      <c r="G723" s="5">
        <v>93.5</v>
      </c>
      <c r="H723" s="5">
        <v>96.5</v>
      </c>
      <c r="I723" s="5">
        <v>94.5</v>
      </c>
      <c r="J723" s="5">
        <v>98</v>
      </c>
      <c r="K723" s="5">
        <v>97.44</v>
      </c>
      <c r="L723" s="5">
        <v>95.988</v>
      </c>
    </row>
    <row r="724" spans="1:12" x14ac:dyDescent="0.3">
      <c r="A724" s="2" t="s">
        <v>419</v>
      </c>
      <c r="B724" s="2" t="s">
        <v>435</v>
      </c>
      <c r="C724" s="2" t="s">
        <v>436</v>
      </c>
      <c r="D724" s="2" t="s">
        <v>302</v>
      </c>
      <c r="E724" s="2">
        <v>3</v>
      </c>
      <c r="F724" s="2" t="s">
        <v>796</v>
      </c>
      <c r="G724" s="5">
        <v>94.5</v>
      </c>
      <c r="H724" s="5">
        <v>98.5</v>
      </c>
      <c r="I724" s="5">
        <v>95.5</v>
      </c>
      <c r="J724" s="5">
        <v>97.5</v>
      </c>
      <c r="K724" s="5">
        <v>99</v>
      </c>
      <c r="L724" s="5">
        <v>97</v>
      </c>
    </row>
    <row r="725" spans="1:12" x14ac:dyDescent="0.3">
      <c r="A725" s="2" t="s">
        <v>419</v>
      </c>
      <c r="B725" s="2" t="s">
        <v>435</v>
      </c>
      <c r="C725" s="2" t="s">
        <v>436</v>
      </c>
      <c r="D725" s="2" t="s">
        <v>422</v>
      </c>
      <c r="E725" s="2">
        <v>4</v>
      </c>
      <c r="F725" s="2" t="s">
        <v>797</v>
      </c>
      <c r="G725" s="5">
        <v>90.69</v>
      </c>
      <c r="H725" s="5">
        <v>95.69</v>
      </c>
      <c r="I725" s="5">
        <v>98.5</v>
      </c>
      <c r="J725" s="5">
        <v>95.5</v>
      </c>
      <c r="K725" s="5">
        <v>97</v>
      </c>
      <c r="L725" s="5">
        <v>95.475999999999999</v>
      </c>
    </row>
    <row r="726" spans="1:12" x14ac:dyDescent="0.3">
      <c r="A726" s="2" t="s">
        <v>419</v>
      </c>
      <c r="B726" s="2" t="s">
        <v>437</v>
      </c>
      <c r="C726" s="2" t="s">
        <v>438</v>
      </c>
      <c r="D726" s="2" t="s">
        <v>64</v>
      </c>
      <c r="E726" s="2">
        <v>1</v>
      </c>
      <c r="F726" s="2" t="s">
        <v>791</v>
      </c>
      <c r="G726" s="5">
        <v>79.58</v>
      </c>
      <c r="H726" s="5">
        <v>83.58</v>
      </c>
      <c r="I726" s="5">
        <v>88.5</v>
      </c>
      <c r="J726" s="5">
        <v>80</v>
      </c>
      <c r="K726" s="5">
        <v>76.5</v>
      </c>
      <c r="L726" s="5">
        <v>81.631999999999991</v>
      </c>
    </row>
    <row r="727" spans="1:12" x14ac:dyDescent="0.3">
      <c r="A727" s="2" t="s">
        <v>419</v>
      </c>
      <c r="B727" s="2" t="s">
        <v>437</v>
      </c>
      <c r="C727" s="2" t="s">
        <v>438</v>
      </c>
      <c r="D727" s="2" t="s">
        <v>189</v>
      </c>
      <c r="E727" s="2">
        <v>2</v>
      </c>
      <c r="F727" s="2" t="s">
        <v>795</v>
      </c>
      <c r="G727" s="5">
        <v>87</v>
      </c>
      <c r="H727" s="5">
        <v>93</v>
      </c>
      <c r="I727" s="5">
        <v>90.5</v>
      </c>
      <c r="J727" s="5">
        <v>91.6</v>
      </c>
      <c r="K727" s="5">
        <v>92.89</v>
      </c>
      <c r="L727" s="5">
        <v>90.998000000000005</v>
      </c>
    </row>
    <row r="728" spans="1:12" x14ac:dyDescent="0.3">
      <c r="A728" s="2" t="s">
        <v>419</v>
      </c>
      <c r="B728" s="2" t="s">
        <v>437</v>
      </c>
      <c r="C728" s="2" t="s">
        <v>438</v>
      </c>
      <c r="D728" s="2" t="s">
        <v>302</v>
      </c>
      <c r="E728" s="2">
        <v>3</v>
      </c>
      <c r="F728" s="2" t="s">
        <v>796</v>
      </c>
      <c r="G728" s="5">
        <v>90</v>
      </c>
      <c r="H728" s="5">
        <v>94</v>
      </c>
      <c r="I728" s="5">
        <v>93</v>
      </c>
      <c r="J728" s="5">
        <v>95</v>
      </c>
      <c r="K728" s="5">
        <v>81.5</v>
      </c>
      <c r="L728" s="5">
        <v>90.7</v>
      </c>
    </row>
    <row r="729" spans="1:12" x14ac:dyDescent="0.3">
      <c r="A729" s="2" t="s">
        <v>419</v>
      </c>
      <c r="B729" s="2" t="s">
        <v>437</v>
      </c>
      <c r="C729" s="2" t="s">
        <v>438</v>
      </c>
      <c r="D729" s="2" t="s">
        <v>422</v>
      </c>
      <c r="E729" s="2">
        <v>4</v>
      </c>
      <c r="F729" s="2" t="s">
        <v>797</v>
      </c>
      <c r="G729" s="5">
        <v>84.44</v>
      </c>
      <c r="H729" s="5">
        <v>87.44</v>
      </c>
      <c r="I729" s="5">
        <v>93.5</v>
      </c>
      <c r="J729" s="5">
        <v>88</v>
      </c>
      <c r="K729" s="5">
        <v>90.5</v>
      </c>
      <c r="L729" s="5">
        <v>88.775999999999996</v>
      </c>
    </row>
    <row r="730" spans="1:12" x14ac:dyDescent="0.3">
      <c r="A730" s="2" t="s">
        <v>419</v>
      </c>
      <c r="B730" s="2" t="s">
        <v>439</v>
      </c>
      <c r="C730" s="2" t="s">
        <v>440</v>
      </c>
      <c r="D730" s="2" t="s">
        <v>64</v>
      </c>
      <c r="E730" s="2">
        <v>1</v>
      </c>
      <c r="F730" s="2" t="s">
        <v>791</v>
      </c>
      <c r="G730" s="5">
        <v>74.849999999999994</v>
      </c>
      <c r="H730" s="5">
        <v>80.849999999999994</v>
      </c>
      <c r="I730" s="5">
        <v>84</v>
      </c>
      <c r="J730" s="5">
        <v>84.5</v>
      </c>
      <c r="K730" s="5">
        <v>74.400000000000006</v>
      </c>
      <c r="L730" s="5">
        <v>79.72</v>
      </c>
    </row>
    <row r="731" spans="1:12" x14ac:dyDescent="0.3">
      <c r="A731" s="2" t="s">
        <v>419</v>
      </c>
      <c r="B731" s="2" t="s">
        <v>439</v>
      </c>
      <c r="C731" s="2" t="s">
        <v>440</v>
      </c>
      <c r="D731" s="2" t="s">
        <v>189</v>
      </c>
      <c r="E731" s="2">
        <v>2</v>
      </c>
      <c r="F731" s="2" t="s">
        <v>795</v>
      </c>
      <c r="G731" s="5">
        <v>82.5</v>
      </c>
      <c r="H731" s="5">
        <v>82.5</v>
      </c>
      <c r="I731" s="5">
        <v>96</v>
      </c>
      <c r="J731" s="5">
        <v>93.5</v>
      </c>
      <c r="K731" s="5">
        <v>92.89</v>
      </c>
      <c r="L731" s="5">
        <v>89.477999999999994</v>
      </c>
    </row>
    <row r="732" spans="1:12" x14ac:dyDescent="0.3">
      <c r="A732" s="2" t="s">
        <v>419</v>
      </c>
      <c r="B732" s="2" t="s">
        <v>439</v>
      </c>
      <c r="C732" s="2" t="s">
        <v>440</v>
      </c>
      <c r="D732" s="2" t="s">
        <v>302</v>
      </c>
      <c r="E732" s="2">
        <v>3</v>
      </c>
      <c r="F732" s="2" t="s">
        <v>796</v>
      </c>
      <c r="G732" s="5">
        <v>88</v>
      </c>
      <c r="H732" s="5">
        <v>90</v>
      </c>
      <c r="I732" s="5">
        <v>98.5</v>
      </c>
      <c r="J732" s="5">
        <v>94.5</v>
      </c>
      <c r="K732" s="5">
        <v>64.5</v>
      </c>
      <c r="L732" s="5">
        <v>87.1</v>
      </c>
    </row>
    <row r="733" spans="1:12" x14ac:dyDescent="0.3">
      <c r="A733" s="2" t="s">
        <v>419</v>
      </c>
      <c r="B733" s="2" t="s">
        <v>439</v>
      </c>
      <c r="C733" s="2" t="s">
        <v>440</v>
      </c>
      <c r="D733" s="2" t="s">
        <v>422</v>
      </c>
      <c r="E733" s="2">
        <v>4</v>
      </c>
      <c r="F733" s="2" t="s">
        <v>797</v>
      </c>
      <c r="G733" s="5">
        <v>85.63</v>
      </c>
      <c r="H733" s="5">
        <v>91.63</v>
      </c>
      <c r="I733" s="5">
        <v>88.5</v>
      </c>
      <c r="J733" s="5">
        <v>92.5</v>
      </c>
      <c r="K733" s="5">
        <v>92.5</v>
      </c>
      <c r="L733" s="5">
        <v>90.152000000000001</v>
      </c>
    </row>
    <row r="734" spans="1:12" x14ac:dyDescent="0.3">
      <c r="A734" s="2" t="s">
        <v>419</v>
      </c>
      <c r="B734" s="2" t="s">
        <v>441</v>
      </c>
      <c r="C734" s="2" t="s">
        <v>442</v>
      </c>
      <c r="D734" s="2" t="s">
        <v>64</v>
      </c>
      <c r="E734" s="2">
        <v>1</v>
      </c>
      <c r="F734" s="2" t="s">
        <v>791</v>
      </c>
      <c r="G734" s="5">
        <v>90</v>
      </c>
      <c r="H734" s="5">
        <v>92</v>
      </c>
      <c r="I734" s="5">
        <v>92.5</v>
      </c>
      <c r="J734" s="5">
        <v>89.5</v>
      </c>
      <c r="K734" s="5">
        <v>90.1</v>
      </c>
      <c r="L734" s="5">
        <v>90.820000000000007</v>
      </c>
    </row>
    <row r="735" spans="1:12" x14ac:dyDescent="0.3">
      <c r="A735" s="2" t="s">
        <v>419</v>
      </c>
      <c r="B735" s="2" t="s">
        <v>441</v>
      </c>
      <c r="C735" s="2" t="s">
        <v>442</v>
      </c>
      <c r="D735" s="2" t="s">
        <v>189</v>
      </c>
      <c r="E735" s="2">
        <v>2</v>
      </c>
      <c r="F735" s="2" t="s">
        <v>795</v>
      </c>
      <c r="G735" s="5">
        <v>86</v>
      </c>
      <c r="H735" s="5">
        <v>90</v>
      </c>
      <c r="I735" s="5">
        <v>93.5</v>
      </c>
      <c r="J735" s="5">
        <v>89.7</v>
      </c>
      <c r="K735" s="5">
        <v>93.3</v>
      </c>
      <c r="L735" s="5">
        <v>90.5</v>
      </c>
    </row>
    <row r="736" spans="1:12" x14ac:dyDescent="0.3">
      <c r="A736" s="2" t="s">
        <v>419</v>
      </c>
      <c r="B736" s="2" t="s">
        <v>441</v>
      </c>
      <c r="C736" s="2" t="s">
        <v>442</v>
      </c>
      <c r="D736" s="2" t="s">
        <v>302</v>
      </c>
      <c r="E736" s="2">
        <v>3</v>
      </c>
      <c r="F736" s="2" t="s">
        <v>796</v>
      </c>
      <c r="G736" s="5">
        <v>91</v>
      </c>
      <c r="H736" s="5">
        <v>91</v>
      </c>
      <c r="I736" s="5">
        <v>96.5</v>
      </c>
      <c r="J736" s="5">
        <v>87.5</v>
      </c>
      <c r="K736" s="5">
        <v>84.5</v>
      </c>
      <c r="L736" s="5">
        <v>90.1</v>
      </c>
    </row>
    <row r="737" spans="1:12" x14ac:dyDescent="0.3">
      <c r="A737" s="2" t="s">
        <v>419</v>
      </c>
      <c r="B737" s="2" t="s">
        <v>441</v>
      </c>
      <c r="C737" s="2" t="s">
        <v>442</v>
      </c>
      <c r="D737" s="2" t="s">
        <v>422</v>
      </c>
      <c r="E737" s="2">
        <v>4</v>
      </c>
      <c r="F737" s="2" t="s">
        <v>797</v>
      </c>
      <c r="G737" s="5">
        <v>85</v>
      </c>
      <c r="H737" s="5">
        <v>90</v>
      </c>
      <c r="I737" s="5">
        <v>96.5</v>
      </c>
      <c r="J737" s="5">
        <v>94</v>
      </c>
      <c r="K737" s="5">
        <v>94.5</v>
      </c>
      <c r="L737" s="5">
        <v>92</v>
      </c>
    </row>
    <row r="738" spans="1:12" x14ac:dyDescent="0.3">
      <c r="A738" s="2" t="s">
        <v>419</v>
      </c>
      <c r="B738" s="2" t="s">
        <v>443</v>
      </c>
      <c r="C738" s="2" t="s">
        <v>444</v>
      </c>
      <c r="D738" s="2" t="s">
        <v>64</v>
      </c>
      <c r="E738" s="2">
        <v>1</v>
      </c>
      <c r="F738" s="2" t="s">
        <v>791</v>
      </c>
      <c r="G738" s="5">
        <v>92.92</v>
      </c>
      <c r="H738" s="5">
        <v>94.92</v>
      </c>
      <c r="I738" s="5">
        <v>89</v>
      </c>
      <c r="J738" s="5">
        <v>95</v>
      </c>
      <c r="K738" s="5">
        <v>92.7</v>
      </c>
      <c r="L738" s="5">
        <v>92.908000000000001</v>
      </c>
    </row>
    <row r="739" spans="1:12" x14ac:dyDescent="0.3">
      <c r="A739" s="2" t="s">
        <v>419</v>
      </c>
      <c r="B739" s="2" t="s">
        <v>443</v>
      </c>
      <c r="C739" s="2" t="s">
        <v>444</v>
      </c>
      <c r="D739" s="2" t="s">
        <v>189</v>
      </c>
      <c r="E739" s="2">
        <v>2</v>
      </c>
      <c r="F739" s="2" t="s">
        <v>795</v>
      </c>
      <c r="G739" s="5">
        <v>93</v>
      </c>
      <c r="H739" s="5">
        <v>95</v>
      </c>
      <c r="I739" s="5">
        <v>99</v>
      </c>
      <c r="J739" s="5">
        <v>96.2</v>
      </c>
      <c r="K739" s="5">
        <v>97.78</v>
      </c>
      <c r="L739" s="5">
        <v>96.195999999999998</v>
      </c>
    </row>
    <row r="740" spans="1:12" x14ac:dyDescent="0.3">
      <c r="A740" s="2" t="s">
        <v>419</v>
      </c>
      <c r="B740" s="2" t="s">
        <v>443</v>
      </c>
      <c r="C740" s="2" t="s">
        <v>444</v>
      </c>
      <c r="D740" s="2" t="s">
        <v>302</v>
      </c>
      <c r="E740" s="2">
        <v>3</v>
      </c>
      <c r="F740" s="2" t="s">
        <v>796</v>
      </c>
      <c r="G740" s="5">
        <v>93.5</v>
      </c>
      <c r="H740" s="5">
        <v>96.5</v>
      </c>
      <c r="I740" s="5">
        <v>99.5</v>
      </c>
      <c r="J740" s="5">
        <v>99</v>
      </c>
      <c r="K740" s="5">
        <v>93</v>
      </c>
      <c r="L740" s="5">
        <v>96.3</v>
      </c>
    </row>
    <row r="741" spans="1:12" x14ac:dyDescent="0.3">
      <c r="A741" s="2" t="s">
        <v>419</v>
      </c>
      <c r="B741" s="2" t="s">
        <v>443</v>
      </c>
      <c r="C741" s="2" t="s">
        <v>444</v>
      </c>
      <c r="D741" s="2" t="s">
        <v>422</v>
      </c>
      <c r="E741" s="2">
        <v>4</v>
      </c>
      <c r="F741" s="2" t="s">
        <v>797</v>
      </c>
      <c r="G741" s="5">
        <v>94.13</v>
      </c>
      <c r="H741" s="5">
        <v>99.13</v>
      </c>
      <c r="I741" s="5">
        <v>98.5</v>
      </c>
      <c r="J741" s="5">
        <v>100</v>
      </c>
      <c r="K741" s="5">
        <v>100</v>
      </c>
      <c r="L741" s="5">
        <v>98.352000000000004</v>
      </c>
    </row>
    <row r="742" spans="1:12" x14ac:dyDescent="0.3">
      <c r="A742" s="2" t="s">
        <v>419</v>
      </c>
      <c r="B742" s="2" t="s">
        <v>445</v>
      </c>
      <c r="C742" s="2" t="s">
        <v>446</v>
      </c>
      <c r="D742" s="2" t="s">
        <v>64</v>
      </c>
      <c r="E742" s="2">
        <v>1</v>
      </c>
      <c r="F742" s="2" t="s">
        <v>791</v>
      </c>
      <c r="G742" s="5">
        <v>84.89</v>
      </c>
      <c r="H742" s="5">
        <v>87.89</v>
      </c>
      <c r="I742" s="5">
        <v>94.5</v>
      </c>
      <c r="J742" s="5">
        <v>80.5</v>
      </c>
      <c r="K742" s="5">
        <v>84</v>
      </c>
      <c r="L742" s="5">
        <v>86.355999999999995</v>
      </c>
    </row>
    <row r="743" spans="1:12" x14ac:dyDescent="0.3">
      <c r="A743" s="2" t="s">
        <v>419</v>
      </c>
      <c r="B743" s="2" t="s">
        <v>445</v>
      </c>
      <c r="C743" s="2" t="s">
        <v>446</v>
      </c>
      <c r="D743" s="2" t="s">
        <v>189</v>
      </c>
      <c r="E743" s="2">
        <v>2</v>
      </c>
      <c r="F743" s="2" t="s">
        <v>795</v>
      </c>
      <c r="G743" s="5">
        <v>85</v>
      </c>
      <c r="H743" s="5">
        <v>87</v>
      </c>
      <c r="I743" s="5">
        <v>87.5</v>
      </c>
      <c r="J743" s="5">
        <v>91.2</v>
      </c>
      <c r="K743" s="5">
        <v>93.15</v>
      </c>
      <c r="L743" s="5">
        <v>88.77000000000001</v>
      </c>
    </row>
    <row r="744" spans="1:12" x14ac:dyDescent="0.3">
      <c r="A744" s="2" t="s">
        <v>419</v>
      </c>
      <c r="B744" s="2" t="s">
        <v>445</v>
      </c>
      <c r="C744" s="2" t="s">
        <v>446</v>
      </c>
      <c r="D744" s="2" t="s">
        <v>302</v>
      </c>
      <c r="E744" s="2">
        <v>3</v>
      </c>
      <c r="F744" s="2" t="s">
        <v>796</v>
      </c>
      <c r="G744" s="5">
        <v>92.5</v>
      </c>
      <c r="H744" s="5">
        <v>94.5</v>
      </c>
      <c r="I744" s="5">
        <v>91.5</v>
      </c>
      <c r="J744" s="5">
        <v>95.5</v>
      </c>
      <c r="K744" s="5">
        <v>75</v>
      </c>
      <c r="L744" s="5">
        <v>89.8</v>
      </c>
    </row>
    <row r="745" spans="1:12" x14ac:dyDescent="0.3">
      <c r="A745" s="2" t="s">
        <v>419</v>
      </c>
      <c r="B745" s="2" t="s">
        <v>445</v>
      </c>
      <c r="C745" s="2" t="s">
        <v>446</v>
      </c>
      <c r="D745" s="2" t="s">
        <v>422</v>
      </c>
      <c r="E745" s="2">
        <v>4</v>
      </c>
      <c r="F745" s="2" t="s">
        <v>797</v>
      </c>
      <c r="G745" s="5">
        <v>87.5</v>
      </c>
      <c r="H745" s="5">
        <v>87.5</v>
      </c>
      <c r="I745" s="5">
        <v>93.5</v>
      </c>
      <c r="J745" s="5">
        <v>86</v>
      </c>
      <c r="K745" s="5">
        <v>85.5</v>
      </c>
      <c r="L745" s="5">
        <v>88</v>
      </c>
    </row>
    <row r="746" spans="1:12" x14ac:dyDescent="0.3">
      <c r="A746" s="2" t="s">
        <v>419</v>
      </c>
      <c r="B746" s="2" t="s">
        <v>447</v>
      </c>
      <c r="C746" s="2" t="s">
        <v>448</v>
      </c>
      <c r="D746" s="2" t="s">
        <v>64</v>
      </c>
      <c r="E746" s="2">
        <v>1</v>
      </c>
      <c r="F746" s="2" t="s">
        <v>791</v>
      </c>
      <c r="G746" s="5">
        <v>89.96</v>
      </c>
      <c r="H746" s="5">
        <v>91.96</v>
      </c>
      <c r="I746" s="5">
        <v>92.5</v>
      </c>
      <c r="J746" s="5">
        <v>84.5</v>
      </c>
      <c r="K746" s="5">
        <v>88.7</v>
      </c>
      <c r="L746" s="5">
        <v>89.524000000000001</v>
      </c>
    </row>
    <row r="747" spans="1:12" x14ac:dyDescent="0.3">
      <c r="A747" s="2" t="s">
        <v>419</v>
      </c>
      <c r="B747" s="2" t="s">
        <v>447</v>
      </c>
      <c r="C747" s="2" t="s">
        <v>448</v>
      </c>
      <c r="D747" s="2" t="s">
        <v>189</v>
      </c>
      <c r="E747" s="2">
        <v>2</v>
      </c>
      <c r="F747" s="2" t="s">
        <v>795</v>
      </c>
      <c r="G747" s="5">
        <v>94</v>
      </c>
      <c r="H747" s="5">
        <v>94</v>
      </c>
      <c r="I747" s="5">
        <v>93</v>
      </c>
      <c r="J747" s="5">
        <v>90.7</v>
      </c>
      <c r="K747" s="5">
        <v>94.85</v>
      </c>
      <c r="L747" s="5">
        <v>93.309999999999988</v>
      </c>
    </row>
    <row r="748" spans="1:12" x14ac:dyDescent="0.3">
      <c r="A748" s="2" t="s">
        <v>419</v>
      </c>
      <c r="B748" s="2" t="s">
        <v>447</v>
      </c>
      <c r="C748" s="2" t="s">
        <v>448</v>
      </c>
      <c r="D748" s="2" t="s">
        <v>302</v>
      </c>
      <c r="E748" s="2">
        <v>3</v>
      </c>
      <c r="F748" s="2" t="s">
        <v>796</v>
      </c>
      <c r="G748" s="5">
        <v>85</v>
      </c>
      <c r="H748" s="5">
        <v>91</v>
      </c>
      <c r="I748" s="5">
        <v>89</v>
      </c>
      <c r="J748" s="5">
        <v>81</v>
      </c>
      <c r="K748" s="5">
        <v>97.5</v>
      </c>
      <c r="L748" s="5">
        <v>88.7</v>
      </c>
    </row>
    <row r="749" spans="1:12" x14ac:dyDescent="0.3">
      <c r="A749" s="2" t="s">
        <v>419</v>
      </c>
      <c r="B749" s="2" t="s">
        <v>447</v>
      </c>
      <c r="C749" s="2" t="s">
        <v>448</v>
      </c>
      <c r="D749" s="2" t="s">
        <v>422</v>
      </c>
      <c r="E749" s="2">
        <v>4</v>
      </c>
      <c r="F749" s="2" t="s">
        <v>797</v>
      </c>
      <c r="G749" s="5">
        <v>90.94</v>
      </c>
      <c r="H749" s="5">
        <v>94.94</v>
      </c>
      <c r="I749" s="5">
        <v>94.5</v>
      </c>
      <c r="J749" s="5">
        <v>96.5</v>
      </c>
      <c r="K749" s="5">
        <v>90.5</v>
      </c>
      <c r="L749" s="5">
        <v>93.475999999999999</v>
      </c>
    </row>
    <row r="750" spans="1:12" x14ac:dyDescent="0.3">
      <c r="A750" s="2" t="s">
        <v>419</v>
      </c>
      <c r="B750" s="2" t="s">
        <v>449</v>
      </c>
      <c r="C750" s="2" t="s">
        <v>450</v>
      </c>
      <c r="D750" s="2" t="s">
        <v>64</v>
      </c>
      <c r="E750" s="2">
        <v>1</v>
      </c>
      <c r="F750" s="2" t="s">
        <v>791</v>
      </c>
      <c r="G750" s="5">
        <v>82.89</v>
      </c>
      <c r="H750" s="5">
        <v>86.89</v>
      </c>
      <c r="I750" s="5">
        <v>80.5</v>
      </c>
      <c r="J750" s="5">
        <v>87.5</v>
      </c>
      <c r="K750" s="5">
        <v>81.7</v>
      </c>
      <c r="L750" s="5">
        <v>83.896000000000001</v>
      </c>
    </row>
    <row r="751" spans="1:12" x14ac:dyDescent="0.3">
      <c r="A751" s="2" t="s">
        <v>419</v>
      </c>
      <c r="B751" s="2" t="s">
        <v>449</v>
      </c>
      <c r="C751" s="2" t="s">
        <v>450</v>
      </c>
      <c r="D751" s="2" t="s">
        <v>189</v>
      </c>
      <c r="E751" s="2">
        <v>2</v>
      </c>
      <c r="F751" s="2" t="s">
        <v>795</v>
      </c>
      <c r="G751" s="5">
        <v>78</v>
      </c>
      <c r="H751" s="5">
        <v>83</v>
      </c>
      <c r="I751" s="5">
        <v>92.5</v>
      </c>
      <c r="J751" s="5">
        <v>86.8</v>
      </c>
      <c r="K751" s="5">
        <v>91.63</v>
      </c>
      <c r="L751" s="5">
        <v>86.385999999999996</v>
      </c>
    </row>
    <row r="752" spans="1:12" x14ac:dyDescent="0.3">
      <c r="A752" s="2" t="s">
        <v>419</v>
      </c>
      <c r="B752" s="2" t="s">
        <v>449</v>
      </c>
      <c r="C752" s="2" t="s">
        <v>450</v>
      </c>
      <c r="D752" s="2" t="s">
        <v>302</v>
      </c>
      <c r="E752" s="2">
        <v>3</v>
      </c>
      <c r="F752" s="2" t="s">
        <v>796</v>
      </c>
      <c r="G752" s="5">
        <v>84</v>
      </c>
      <c r="H752" s="5">
        <v>85</v>
      </c>
      <c r="I752" s="5">
        <v>96</v>
      </c>
      <c r="J752" s="5">
        <v>89.5</v>
      </c>
      <c r="K752" s="5">
        <v>79.5</v>
      </c>
      <c r="L752" s="5">
        <v>86.8</v>
      </c>
    </row>
    <row r="753" spans="1:12" x14ac:dyDescent="0.3">
      <c r="A753" s="2" t="s">
        <v>419</v>
      </c>
      <c r="B753" s="2" t="s">
        <v>449</v>
      </c>
      <c r="C753" s="2" t="s">
        <v>450</v>
      </c>
      <c r="D753" s="2" t="s">
        <v>422</v>
      </c>
      <c r="E753" s="2">
        <v>4</v>
      </c>
      <c r="F753" s="2" t="s">
        <v>797</v>
      </c>
      <c r="G753" s="5">
        <v>86.38</v>
      </c>
      <c r="H753" s="5">
        <v>91.38</v>
      </c>
      <c r="I753" s="5">
        <v>90</v>
      </c>
      <c r="J753" s="5">
        <v>90.5</v>
      </c>
      <c r="K753" s="5">
        <v>88</v>
      </c>
      <c r="L753" s="5">
        <v>89.251999999999995</v>
      </c>
    </row>
    <row r="754" spans="1:12" x14ac:dyDescent="0.3">
      <c r="A754" s="2" t="s">
        <v>419</v>
      </c>
      <c r="B754" s="2" t="s">
        <v>451</v>
      </c>
      <c r="C754" s="2" t="s">
        <v>452</v>
      </c>
      <c r="D754" s="2" t="s">
        <v>64</v>
      </c>
      <c r="E754" s="2">
        <v>1</v>
      </c>
      <c r="F754" s="2" t="s">
        <v>791</v>
      </c>
      <c r="G754" s="5">
        <v>73.959999999999994</v>
      </c>
      <c r="H754" s="5">
        <v>77.959999999999994</v>
      </c>
      <c r="I754" s="5">
        <v>82</v>
      </c>
      <c r="J754" s="5">
        <v>63.5</v>
      </c>
      <c r="K754" s="5">
        <v>71.900000000000006</v>
      </c>
      <c r="L754" s="5">
        <v>73.864000000000004</v>
      </c>
    </row>
    <row r="755" spans="1:12" x14ac:dyDescent="0.3">
      <c r="A755" s="2" t="s">
        <v>419</v>
      </c>
      <c r="B755" s="2" t="s">
        <v>451</v>
      </c>
      <c r="C755" s="2" t="s">
        <v>452</v>
      </c>
      <c r="D755" s="2" t="s">
        <v>189</v>
      </c>
      <c r="E755" s="2">
        <v>2</v>
      </c>
      <c r="F755" s="2" t="s">
        <v>795</v>
      </c>
      <c r="G755" s="5">
        <v>80</v>
      </c>
      <c r="H755" s="5">
        <v>83</v>
      </c>
      <c r="I755" s="5">
        <v>75</v>
      </c>
      <c r="J755" s="5">
        <v>79.5</v>
      </c>
      <c r="K755" s="5">
        <v>84.89</v>
      </c>
      <c r="L755" s="5">
        <v>80.477999999999994</v>
      </c>
    </row>
    <row r="756" spans="1:12" x14ac:dyDescent="0.3">
      <c r="A756" s="2" t="s">
        <v>419</v>
      </c>
      <c r="B756" s="2" t="s">
        <v>451</v>
      </c>
      <c r="C756" s="2" t="s">
        <v>452</v>
      </c>
      <c r="D756" s="2" t="s">
        <v>302</v>
      </c>
      <c r="E756" s="2">
        <v>3</v>
      </c>
      <c r="F756" s="2" t="s">
        <v>796</v>
      </c>
      <c r="G756" s="5">
        <v>79.5</v>
      </c>
      <c r="H756" s="5">
        <v>85.5</v>
      </c>
      <c r="I756" s="5">
        <v>66.5</v>
      </c>
      <c r="J756" s="5">
        <v>72</v>
      </c>
      <c r="K756" s="5">
        <v>78</v>
      </c>
      <c r="L756" s="5">
        <v>76.3</v>
      </c>
    </row>
    <row r="757" spans="1:12" x14ac:dyDescent="0.3">
      <c r="A757" s="2" t="s">
        <v>419</v>
      </c>
      <c r="B757" s="2" t="s">
        <v>451</v>
      </c>
      <c r="C757" s="2" t="s">
        <v>452</v>
      </c>
      <c r="D757" s="2" t="s">
        <v>422</v>
      </c>
      <c r="E757" s="2">
        <v>4</v>
      </c>
      <c r="F757" s="2" t="s">
        <v>797</v>
      </c>
      <c r="G757" s="5">
        <v>73.5</v>
      </c>
      <c r="H757" s="5">
        <v>74.5</v>
      </c>
      <c r="I757" s="5">
        <v>89</v>
      </c>
      <c r="J757" s="5">
        <v>80</v>
      </c>
      <c r="K757" s="5">
        <v>62.5</v>
      </c>
      <c r="L757" s="5">
        <v>75.900000000000006</v>
      </c>
    </row>
    <row r="758" spans="1:12" x14ac:dyDescent="0.3">
      <c r="A758" s="2" t="s">
        <v>419</v>
      </c>
      <c r="B758" s="2" t="s">
        <v>453</v>
      </c>
      <c r="C758" s="2" t="s">
        <v>454</v>
      </c>
      <c r="D758" s="2" t="s">
        <v>64</v>
      </c>
      <c r="E758" s="2">
        <v>1</v>
      </c>
      <c r="F758" s="2" t="s">
        <v>791</v>
      </c>
      <c r="G758" s="5">
        <v>83.65</v>
      </c>
      <c r="H758" s="5">
        <v>88.65</v>
      </c>
      <c r="I758" s="5">
        <v>95</v>
      </c>
      <c r="J758" s="5">
        <v>96.5</v>
      </c>
      <c r="K758" s="5">
        <v>85.4</v>
      </c>
      <c r="L758" s="5">
        <v>89.84</v>
      </c>
    </row>
    <row r="759" spans="1:12" x14ac:dyDescent="0.3">
      <c r="A759" s="2" t="s">
        <v>419</v>
      </c>
      <c r="B759" s="2" t="s">
        <v>453</v>
      </c>
      <c r="C759" s="2" t="s">
        <v>454</v>
      </c>
      <c r="D759" s="2" t="s">
        <v>189</v>
      </c>
      <c r="E759" s="2">
        <v>2</v>
      </c>
      <c r="F759" s="2" t="s">
        <v>795</v>
      </c>
      <c r="G759" s="5">
        <v>93</v>
      </c>
      <c r="H759" s="5">
        <v>95</v>
      </c>
      <c r="I759" s="5">
        <v>97.5</v>
      </c>
      <c r="J759" s="5">
        <v>87.6</v>
      </c>
      <c r="K759" s="5">
        <v>92</v>
      </c>
      <c r="L759" s="5">
        <v>93.02000000000001</v>
      </c>
    </row>
    <row r="760" spans="1:12" x14ac:dyDescent="0.3">
      <c r="A760" s="2" t="s">
        <v>419</v>
      </c>
      <c r="B760" s="2" t="s">
        <v>453</v>
      </c>
      <c r="C760" s="2" t="s">
        <v>454</v>
      </c>
      <c r="D760" s="2" t="s">
        <v>302</v>
      </c>
      <c r="E760" s="2">
        <v>3</v>
      </c>
      <c r="F760" s="2" t="s">
        <v>796</v>
      </c>
      <c r="G760" s="5">
        <v>95.5</v>
      </c>
      <c r="H760" s="5">
        <v>96.5</v>
      </c>
      <c r="I760" s="5">
        <v>94.5</v>
      </c>
      <c r="J760" s="5">
        <v>95.5</v>
      </c>
      <c r="K760" s="5">
        <v>84.5</v>
      </c>
      <c r="L760" s="5">
        <v>93.3</v>
      </c>
    </row>
    <row r="761" spans="1:12" x14ac:dyDescent="0.3">
      <c r="A761" s="2" t="s">
        <v>419</v>
      </c>
      <c r="B761" s="2" t="s">
        <v>453</v>
      </c>
      <c r="C761" s="2" t="s">
        <v>454</v>
      </c>
      <c r="D761" s="2" t="s">
        <v>422</v>
      </c>
      <c r="E761" s="2">
        <v>4</v>
      </c>
      <c r="F761" s="2" t="s">
        <v>797</v>
      </c>
      <c r="G761" s="5">
        <v>91.69</v>
      </c>
      <c r="H761" s="5">
        <v>92.69</v>
      </c>
      <c r="I761" s="5">
        <v>99</v>
      </c>
      <c r="J761" s="5">
        <v>90</v>
      </c>
      <c r="K761" s="5">
        <v>91.5</v>
      </c>
      <c r="L761" s="5">
        <v>92.975999999999999</v>
      </c>
    </row>
    <row r="762" spans="1:12" x14ac:dyDescent="0.3">
      <c r="A762" s="2" t="s">
        <v>419</v>
      </c>
      <c r="B762" s="2" t="s">
        <v>455</v>
      </c>
      <c r="C762" s="2" t="s">
        <v>456</v>
      </c>
      <c r="D762" s="2" t="s">
        <v>64</v>
      </c>
      <c r="E762" s="2">
        <v>1</v>
      </c>
      <c r="F762" s="2" t="s">
        <v>791</v>
      </c>
      <c r="G762" s="5">
        <v>81.27</v>
      </c>
      <c r="H762" s="5">
        <v>85.27</v>
      </c>
      <c r="I762" s="5">
        <v>87.5</v>
      </c>
      <c r="J762" s="5">
        <v>75</v>
      </c>
      <c r="K762" s="5">
        <v>80.5</v>
      </c>
      <c r="L762" s="5">
        <v>81.907999999999987</v>
      </c>
    </row>
    <row r="763" spans="1:12" x14ac:dyDescent="0.3">
      <c r="A763" s="2" t="s">
        <v>419</v>
      </c>
      <c r="B763" s="2" t="s">
        <v>455</v>
      </c>
      <c r="C763" s="2" t="s">
        <v>456</v>
      </c>
      <c r="D763" s="2" t="s">
        <v>189</v>
      </c>
      <c r="E763" s="2">
        <v>2</v>
      </c>
      <c r="F763" s="2" t="s">
        <v>795</v>
      </c>
      <c r="G763" s="5">
        <v>86</v>
      </c>
      <c r="H763" s="5">
        <v>91</v>
      </c>
      <c r="I763" s="5">
        <v>75</v>
      </c>
      <c r="J763" s="5">
        <v>92.3</v>
      </c>
      <c r="K763" s="5">
        <v>91.56</v>
      </c>
      <c r="L763" s="5">
        <v>87.171999999999997</v>
      </c>
    </row>
    <row r="764" spans="1:12" x14ac:dyDescent="0.3">
      <c r="A764" s="2" t="s">
        <v>419</v>
      </c>
      <c r="B764" s="2" t="s">
        <v>455</v>
      </c>
      <c r="C764" s="2" t="s">
        <v>456</v>
      </c>
      <c r="D764" s="2" t="s">
        <v>302</v>
      </c>
      <c r="E764" s="2">
        <v>3</v>
      </c>
      <c r="F764" s="2" t="s">
        <v>796</v>
      </c>
      <c r="G764" s="5">
        <v>91</v>
      </c>
      <c r="H764" s="5">
        <v>95</v>
      </c>
      <c r="I764" s="5">
        <v>75</v>
      </c>
      <c r="J764" s="5">
        <v>80</v>
      </c>
      <c r="K764" s="5">
        <v>72</v>
      </c>
      <c r="L764" s="5">
        <v>82.6</v>
      </c>
    </row>
    <row r="765" spans="1:12" x14ac:dyDescent="0.3">
      <c r="A765" s="2" t="s">
        <v>419</v>
      </c>
      <c r="B765" s="2" t="s">
        <v>455</v>
      </c>
      <c r="C765" s="2" t="s">
        <v>456</v>
      </c>
      <c r="D765" s="2" t="s">
        <v>422</v>
      </c>
      <c r="E765" s="2">
        <v>4</v>
      </c>
      <c r="F765" s="2" t="s">
        <v>797</v>
      </c>
      <c r="G765" s="5">
        <v>84.75</v>
      </c>
      <c r="H765" s="5">
        <v>85.75</v>
      </c>
      <c r="I765" s="5">
        <v>95.5</v>
      </c>
      <c r="J765" s="5">
        <v>79.5</v>
      </c>
      <c r="K765" s="5">
        <v>77</v>
      </c>
      <c r="L765" s="5">
        <v>84.5</v>
      </c>
    </row>
    <row r="766" spans="1:12" x14ac:dyDescent="0.3">
      <c r="A766" s="2" t="s">
        <v>419</v>
      </c>
      <c r="B766" s="2" t="s">
        <v>457</v>
      </c>
      <c r="C766" s="2" t="s">
        <v>458</v>
      </c>
      <c r="D766" s="2" t="s">
        <v>64</v>
      </c>
      <c r="E766" s="2">
        <v>1</v>
      </c>
      <c r="F766" s="2" t="s">
        <v>791</v>
      </c>
      <c r="G766" s="5">
        <v>81.040000000000006</v>
      </c>
      <c r="H766" s="5">
        <v>87.04</v>
      </c>
      <c r="I766" s="5">
        <v>90.5</v>
      </c>
      <c r="J766" s="5">
        <v>91</v>
      </c>
      <c r="K766" s="5">
        <v>76.900000000000006</v>
      </c>
      <c r="L766" s="5">
        <v>85.296000000000006</v>
      </c>
    </row>
    <row r="767" spans="1:12" x14ac:dyDescent="0.3">
      <c r="A767" s="2" t="s">
        <v>419</v>
      </c>
      <c r="B767" s="2" t="s">
        <v>457</v>
      </c>
      <c r="C767" s="2" t="s">
        <v>458</v>
      </c>
      <c r="D767" s="2" t="s">
        <v>189</v>
      </c>
      <c r="E767" s="2">
        <v>2</v>
      </c>
      <c r="F767" s="2" t="s">
        <v>795</v>
      </c>
      <c r="G767" s="5">
        <v>83.5</v>
      </c>
      <c r="H767" s="5">
        <v>89.5</v>
      </c>
      <c r="I767" s="5">
        <v>94</v>
      </c>
      <c r="J767" s="5">
        <v>89.3</v>
      </c>
      <c r="K767" s="5">
        <v>92.89</v>
      </c>
      <c r="L767" s="5">
        <v>89.837999999999994</v>
      </c>
    </row>
    <row r="768" spans="1:12" x14ac:dyDescent="0.3">
      <c r="A768" s="2" t="s">
        <v>419</v>
      </c>
      <c r="B768" s="2" t="s">
        <v>457</v>
      </c>
      <c r="C768" s="2" t="s">
        <v>458</v>
      </c>
      <c r="D768" s="2" t="s">
        <v>302</v>
      </c>
      <c r="E768" s="2">
        <v>3</v>
      </c>
      <c r="F768" s="2" t="s">
        <v>796</v>
      </c>
      <c r="G768" s="5">
        <v>88.5</v>
      </c>
      <c r="H768" s="5">
        <v>92.5</v>
      </c>
      <c r="I768" s="5">
        <v>94.5</v>
      </c>
      <c r="J768" s="5">
        <v>89</v>
      </c>
      <c r="K768" s="5">
        <v>90.5</v>
      </c>
      <c r="L768" s="5">
        <v>91</v>
      </c>
    </row>
    <row r="769" spans="1:12" x14ac:dyDescent="0.3">
      <c r="A769" s="2" t="s">
        <v>419</v>
      </c>
      <c r="B769" s="2" t="s">
        <v>457</v>
      </c>
      <c r="C769" s="2" t="s">
        <v>458</v>
      </c>
      <c r="D769" s="2" t="s">
        <v>422</v>
      </c>
      <c r="E769" s="2">
        <v>4</v>
      </c>
      <c r="F769" s="2" t="s">
        <v>797</v>
      </c>
      <c r="G769" s="5">
        <v>88.88</v>
      </c>
      <c r="H769" s="5">
        <v>94.88</v>
      </c>
      <c r="I769" s="5">
        <v>98.5</v>
      </c>
      <c r="J769" s="5">
        <v>97</v>
      </c>
      <c r="K769" s="5">
        <v>92</v>
      </c>
      <c r="L769" s="5">
        <v>94.251999999999995</v>
      </c>
    </row>
    <row r="770" spans="1:12" x14ac:dyDescent="0.3">
      <c r="A770" s="2" t="s">
        <v>419</v>
      </c>
      <c r="B770" s="2" t="s">
        <v>459</v>
      </c>
      <c r="C770" s="2" t="s">
        <v>460</v>
      </c>
      <c r="D770" s="2" t="s">
        <v>64</v>
      </c>
      <c r="E770" s="2">
        <v>1</v>
      </c>
      <c r="F770" s="2" t="s">
        <v>791</v>
      </c>
      <c r="G770" s="5">
        <v>85.15</v>
      </c>
      <c r="H770" s="5">
        <v>90.15</v>
      </c>
      <c r="I770" s="5">
        <v>88.5</v>
      </c>
      <c r="J770" s="5">
        <v>97</v>
      </c>
      <c r="K770" s="5">
        <v>87.6</v>
      </c>
      <c r="L770" s="5">
        <v>89.679999999999993</v>
      </c>
    </row>
    <row r="771" spans="1:12" x14ac:dyDescent="0.3">
      <c r="A771" s="2" t="s">
        <v>419</v>
      </c>
      <c r="B771" s="2" t="s">
        <v>459</v>
      </c>
      <c r="C771" s="2" t="s">
        <v>460</v>
      </c>
      <c r="D771" s="2" t="s">
        <v>189</v>
      </c>
      <c r="E771" s="2">
        <v>2</v>
      </c>
      <c r="F771" s="2" t="s">
        <v>795</v>
      </c>
      <c r="G771" s="5">
        <v>91</v>
      </c>
      <c r="H771" s="5">
        <v>91</v>
      </c>
      <c r="I771" s="5">
        <v>97.5</v>
      </c>
      <c r="J771" s="5">
        <v>94</v>
      </c>
      <c r="K771" s="5">
        <v>93.78</v>
      </c>
      <c r="L771" s="5">
        <v>93.455999999999989</v>
      </c>
    </row>
    <row r="772" spans="1:12" x14ac:dyDescent="0.3">
      <c r="A772" s="2" t="s">
        <v>419</v>
      </c>
      <c r="B772" s="2" t="s">
        <v>459</v>
      </c>
      <c r="C772" s="2" t="s">
        <v>460</v>
      </c>
      <c r="D772" s="2" t="s">
        <v>302</v>
      </c>
      <c r="E772" s="2">
        <v>3</v>
      </c>
      <c r="F772" s="2" t="s">
        <v>796</v>
      </c>
      <c r="G772" s="5">
        <v>87</v>
      </c>
      <c r="H772" s="5">
        <v>91</v>
      </c>
      <c r="I772" s="5">
        <v>98</v>
      </c>
      <c r="J772" s="5">
        <v>87.5</v>
      </c>
      <c r="K772" s="5">
        <v>90.5</v>
      </c>
      <c r="L772" s="5">
        <v>90.8</v>
      </c>
    </row>
    <row r="773" spans="1:12" x14ac:dyDescent="0.3">
      <c r="A773" s="2" t="s">
        <v>419</v>
      </c>
      <c r="B773" s="2" t="s">
        <v>459</v>
      </c>
      <c r="C773" s="2" t="s">
        <v>460</v>
      </c>
      <c r="D773" s="2" t="s">
        <v>422</v>
      </c>
      <c r="E773" s="2">
        <v>4</v>
      </c>
      <c r="F773" s="2" t="s">
        <v>797</v>
      </c>
      <c r="G773" s="5">
        <v>95.69</v>
      </c>
      <c r="H773" s="5">
        <v>95.69</v>
      </c>
      <c r="I773" s="5">
        <v>97</v>
      </c>
      <c r="J773" s="5">
        <v>94</v>
      </c>
      <c r="K773" s="5">
        <v>96.5</v>
      </c>
      <c r="L773" s="5">
        <v>95.775999999999996</v>
      </c>
    </row>
    <row r="774" spans="1:12" x14ac:dyDescent="0.3">
      <c r="A774" s="2" t="s">
        <v>419</v>
      </c>
      <c r="B774" s="2" t="s">
        <v>461</v>
      </c>
      <c r="C774" s="2" t="s">
        <v>462</v>
      </c>
      <c r="D774" s="2" t="s">
        <v>64</v>
      </c>
      <c r="E774" s="2">
        <v>1</v>
      </c>
      <c r="F774" s="2" t="s">
        <v>791</v>
      </c>
      <c r="G774" s="5">
        <v>82.89</v>
      </c>
      <c r="H774" s="5">
        <v>86.89</v>
      </c>
      <c r="I774" s="5">
        <v>95.5</v>
      </c>
      <c r="J774" s="5">
        <v>81.5</v>
      </c>
      <c r="K774" s="5">
        <v>81.8</v>
      </c>
      <c r="L774" s="5">
        <v>85.715999999999994</v>
      </c>
    </row>
    <row r="775" spans="1:12" x14ac:dyDescent="0.3">
      <c r="A775" s="2" t="s">
        <v>419</v>
      </c>
      <c r="B775" s="2" t="s">
        <v>461</v>
      </c>
      <c r="C775" s="2" t="s">
        <v>462</v>
      </c>
      <c r="D775" s="2" t="s">
        <v>189</v>
      </c>
      <c r="E775" s="2">
        <v>2</v>
      </c>
      <c r="F775" s="2" t="s">
        <v>795</v>
      </c>
      <c r="G775" s="5">
        <v>96</v>
      </c>
      <c r="H775" s="5">
        <v>97</v>
      </c>
      <c r="I775" s="5">
        <v>84</v>
      </c>
      <c r="J775" s="5">
        <v>91.2</v>
      </c>
      <c r="K775" s="5">
        <v>93.15</v>
      </c>
      <c r="L775" s="5">
        <v>92.27000000000001</v>
      </c>
    </row>
    <row r="776" spans="1:12" x14ac:dyDescent="0.3">
      <c r="A776" s="2" t="s">
        <v>419</v>
      </c>
      <c r="B776" s="2" t="s">
        <v>461</v>
      </c>
      <c r="C776" s="2" t="s">
        <v>462</v>
      </c>
      <c r="D776" s="2" t="s">
        <v>302</v>
      </c>
      <c r="E776" s="2">
        <v>3</v>
      </c>
      <c r="F776" s="2" t="s">
        <v>796</v>
      </c>
      <c r="G776" s="5">
        <v>94</v>
      </c>
      <c r="H776" s="5">
        <v>96</v>
      </c>
      <c r="I776" s="5">
        <v>83.5</v>
      </c>
      <c r="J776" s="5">
        <v>86</v>
      </c>
      <c r="K776" s="5">
        <v>86</v>
      </c>
      <c r="L776" s="5">
        <v>89.1</v>
      </c>
    </row>
    <row r="777" spans="1:12" x14ac:dyDescent="0.3">
      <c r="A777" s="2" t="s">
        <v>419</v>
      </c>
      <c r="B777" s="2" t="s">
        <v>461</v>
      </c>
      <c r="C777" s="2" t="s">
        <v>462</v>
      </c>
      <c r="D777" s="2" t="s">
        <v>422</v>
      </c>
      <c r="E777" s="2">
        <v>4</v>
      </c>
      <c r="F777" s="2" t="s">
        <v>797</v>
      </c>
      <c r="G777" s="5">
        <v>86.75</v>
      </c>
      <c r="H777" s="5">
        <v>90.75</v>
      </c>
      <c r="I777" s="5">
        <v>98</v>
      </c>
      <c r="J777" s="5">
        <v>83</v>
      </c>
      <c r="K777" s="5">
        <v>88.5</v>
      </c>
      <c r="L777" s="5">
        <v>89.4</v>
      </c>
    </row>
    <row r="778" spans="1:12" x14ac:dyDescent="0.3">
      <c r="A778" s="2" t="s">
        <v>419</v>
      </c>
      <c r="B778" s="2" t="s">
        <v>463</v>
      </c>
      <c r="C778" s="2" t="s">
        <v>464</v>
      </c>
      <c r="D778" s="2" t="s">
        <v>64</v>
      </c>
      <c r="E778" s="2">
        <v>1</v>
      </c>
      <c r="F778" s="2" t="s">
        <v>791</v>
      </c>
      <c r="G778" s="5">
        <v>84.81</v>
      </c>
      <c r="H778" s="5">
        <v>90.81</v>
      </c>
      <c r="I778" s="5">
        <v>87.5</v>
      </c>
      <c r="J778" s="5">
        <v>89.5</v>
      </c>
      <c r="K778" s="5">
        <v>91.2</v>
      </c>
      <c r="L778" s="5">
        <v>88.763999999999996</v>
      </c>
    </row>
    <row r="779" spans="1:12" x14ac:dyDescent="0.3">
      <c r="A779" s="2" t="s">
        <v>419</v>
      </c>
      <c r="B779" s="2" t="s">
        <v>463</v>
      </c>
      <c r="C779" s="2" t="s">
        <v>464</v>
      </c>
      <c r="D779" s="2" t="s">
        <v>189</v>
      </c>
      <c r="E779" s="2">
        <v>2</v>
      </c>
      <c r="F779" s="2" t="s">
        <v>795</v>
      </c>
      <c r="G779" s="5">
        <v>91.5</v>
      </c>
      <c r="H779" s="5">
        <v>95.5</v>
      </c>
      <c r="I779" s="5">
        <v>91</v>
      </c>
      <c r="J779" s="5">
        <v>93.3</v>
      </c>
      <c r="K779" s="5">
        <v>94.7</v>
      </c>
      <c r="L779" s="5">
        <v>93.2</v>
      </c>
    </row>
    <row r="780" spans="1:12" x14ac:dyDescent="0.3">
      <c r="A780" s="2" t="s">
        <v>419</v>
      </c>
      <c r="B780" s="2" t="s">
        <v>463</v>
      </c>
      <c r="C780" s="2" t="s">
        <v>464</v>
      </c>
      <c r="D780" s="2" t="s">
        <v>302</v>
      </c>
      <c r="E780" s="2">
        <v>3</v>
      </c>
      <c r="F780" s="2" t="s">
        <v>796</v>
      </c>
      <c r="G780" s="5">
        <v>94.5</v>
      </c>
      <c r="H780" s="5">
        <v>95.5</v>
      </c>
      <c r="I780" s="5">
        <v>84</v>
      </c>
      <c r="J780" s="5">
        <v>85.5</v>
      </c>
      <c r="K780" s="5">
        <v>83</v>
      </c>
      <c r="L780" s="5">
        <v>88.5</v>
      </c>
    </row>
    <row r="781" spans="1:12" x14ac:dyDescent="0.3">
      <c r="A781" s="2" t="s">
        <v>419</v>
      </c>
      <c r="B781" s="2" t="s">
        <v>463</v>
      </c>
      <c r="C781" s="2" t="s">
        <v>464</v>
      </c>
      <c r="D781" s="2" t="s">
        <v>422</v>
      </c>
      <c r="E781" s="2">
        <v>4</v>
      </c>
      <c r="F781" s="2" t="s">
        <v>797</v>
      </c>
      <c r="G781" s="5">
        <v>86.44</v>
      </c>
      <c r="H781" s="5">
        <v>91.44</v>
      </c>
      <c r="I781" s="5">
        <v>94.5</v>
      </c>
      <c r="J781" s="5">
        <v>84</v>
      </c>
      <c r="K781" s="5">
        <v>98.5</v>
      </c>
      <c r="L781" s="5">
        <v>90.975999999999999</v>
      </c>
    </row>
    <row r="782" spans="1:12" x14ac:dyDescent="0.3">
      <c r="A782" s="2" t="s">
        <v>419</v>
      </c>
      <c r="B782" s="2" t="s">
        <v>465</v>
      </c>
      <c r="C782" s="2" t="s">
        <v>466</v>
      </c>
      <c r="D782" s="2" t="s">
        <v>64</v>
      </c>
      <c r="E782" s="2">
        <v>1</v>
      </c>
      <c r="F782" s="2" t="s">
        <v>791</v>
      </c>
      <c r="G782" s="5">
        <v>83.65</v>
      </c>
      <c r="H782" s="5">
        <v>89.65</v>
      </c>
      <c r="I782" s="5">
        <v>96</v>
      </c>
      <c r="J782" s="5">
        <v>88</v>
      </c>
      <c r="K782" s="5">
        <v>85.4</v>
      </c>
      <c r="L782" s="5">
        <v>88.54</v>
      </c>
    </row>
    <row r="783" spans="1:12" x14ac:dyDescent="0.3">
      <c r="A783" s="2" t="s">
        <v>419</v>
      </c>
      <c r="B783" s="2" t="s">
        <v>465</v>
      </c>
      <c r="C783" s="2" t="s">
        <v>466</v>
      </c>
      <c r="D783" s="2" t="s">
        <v>189</v>
      </c>
      <c r="E783" s="2">
        <v>2</v>
      </c>
      <c r="F783" s="2" t="s">
        <v>795</v>
      </c>
      <c r="G783" s="5">
        <v>96</v>
      </c>
      <c r="H783" s="5">
        <v>97</v>
      </c>
      <c r="I783" s="5">
        <v>99</v>
      </c>
      <c r="J783" s="5">
        <v>98.1</v>
      </c>
      <c r="K783" s="5">
        <v>98.11</v>
      </c>
      <c r="L783" s="5">
        <v>97.64200000000001</v>
      </c>
    </row>
    <row r="784" spans="1:12" x14ac:dyDescent="0.3">
      <c r="A784" s="2" t="s">
        <v>419</v>
      </c>
      <c r="B784" s="2" t="s">
        <v>465</v>
      </c>
      <c r="C784" s="2" t="s">
        <v>466</v>
      </c>
      <c r="D784" s="2" t="s">
        <v>302</v>
      </c>
      <c r="E784" s="2">
        <v>3</v>
      </c>
      <c r="F784" s="2" t="s">
        <v>796</v>
      </c>
      <c r="G784" s="5">
        <v>96</v>
      </c>
      <c r="H784" s="5">
        <v>98</v>
      </c>
      <c r="I784" s="5">
        <v>99</v>
      </c>
      <c r="J784" s="5">
        <v>94</v>
      </c>
      <c r="K784" s="5">
        <v>90</v>
      </c>
      <c r="L784" s="5">
        <v>95.4</v>
      </c>
    </row>
    <row r="785" spans="1:12" x14ac:dyDescent="0.3">
      <c r="A785" s="2" t="s">
        <v>419</v>
      </c>
      <c r="B785" s="2" t="s">
        <v>465</v>
      </c>
      <c r="C785" s="2" t="s">
        <v>466</v>
      </c>
      <c r="D785" s="2" t="s">
        <v>422</v>
      </c>
      <c r="E785" s="2">
        <v>4</v>
      </c>
      <c r="F785" s="2" t="s">
        <v>797</v>
      </c>
      <c r="G785" s="5">
        <v>90.69</v>
      </c>
      <c r="H785" s="5">
        <v>95.69</v>
      </c>
      <c r="I785" s="5">
        <v>98.5</v>
      </c>
      <c r="J785" s="5">
        <v>96</v>
      </c>
      <c r="K785" s="5">
        <v>100</v>
      </c>
      <c r="L785" s="5">
        <v>96.176000000000002</v>
      </c>
    </row>
    <row r="786" spans="1:12" x14ac:dyDescent="0.3">
      <c r="A786" s="2" t="s">
        <v>419</v>
      </c>
      <c r="B786" s="2" t="s">
        <v>467</v>
      </c>
      <c r="C786" s="2" t="s">
        <v>468</v>
      </c>
      <c r="D786" s="2" t="s">
        <v>64</v>
      </c>
      <c r="E786" s="2">
        <v>1</v>
      </c>
      <c r="F786" s="2" t="s">
        <v>791</v>
      </c>
      <c r="G786" s="5">
        <v>84.19</v>
      </c>
      <c r="H786" s="5">
        <v>88.19</v>
      </c>
      <c r="I786" s="5">
        <v>86</v>
      </c>
      <c r="J786" s="5">
        <v>85.5</v>
      </c>
      <c r="K786" s="5">
        <v>81.2</v>
      </c>
      <c r="L786" s="5">
        <v>85.015999999999991</v>
      </c>
    </row>
    <row r="787" spans="1:12" x14ac:dyDescent="0.3">
      <c r="A787" s="2" t="s">
        <v>419</v>
      </c>
      <c r="B787" s="2" t="s">
        <v>467</v>
      </c>
      <c r="C787" s="2" t="s">
        <v>468</v>
      </c>
      <c r="D787" s="2" t="s">
        <v>189</v>
      </c>
      <c r="E787" s="2">
        <v>2</v>
      </c>
      <c r="F787" s="2" t="s">
        <v>795</v>
      </c>
      <c r="G787" s="5">
        <v>87</v>
      </c>
      <c r="H787" s="5">
        <v>89</v>
      </c>
      <c r="I787" s="5">
        <v>95.5</v>
      </c>
      <c r="J787" s="5">
        <v>86.6</v>
      </c>
      <c r="K787" s="5">
        <v>92.78</v>
      </c>
      <c r="L787" s="5">
        <v>90.176000000000002</v>
      </c>
    </row>
    <row r="788" spans="1:12" x14ac:dyDescent="0.3">
      <c r="A788" s="2" t="s">
        <v>419</v>
      </c>
      <c r="B788" s="2" t="s">
        <v>467</v>
      </c>
      <c r="C788" s="2" t="s">
        <v>468</v>
      </c>
      <c r="D788" s="2" t="s">
        <v>302</v>
      </c>
      <c r="E788" s="2">
        <v>3</v>
      </c>
      <c r="F788" s="2" t="s">
        <v>796</v>
      </c>
      <c r="G788" s="5">
        <v>87.5</v>
      </c>
      <c r="H788" s="5">
        <v>91.5</v>
      </c>
      <c r="I788" s="5">
        <v>81.5</v>
      </c>
      <c r="J788" s="5">
        <v>83.5</v>
      </c>
      <c r="K788" s="5">
        <v>69.5</v>
      </c>
      <c r="L788" s="5">
        <v>82.7</v>
      </c>
    </row>
    <row r="789" spans="1:12" x14ac:dyDescent="0.3">
      <c r="A789" s="2" t="s">
        <v>419</v>
      </c>
      <c r="B789" s="2" t="s">
        <v>467</v>
      </c>
      <c r="C789" s="2" t="s">
        <v>468</v>
      </c>
      <c r="D789" s="2" t="s">
        <v>422</v>
      </c>
      <c r="E789" s="2">
        <v>4</v>
      </c>
      <c r="F789" s="2" t="s">
        <v>797</v>
      </c>
      <c r="G789" s="5">
        <v>84.25</v>
      </c>
      <c r="H789" s="5">
        <v>88.25</v>
      </c>
      <c r="I789" s="5">
        <v>89.5</v>
      </c>
      <c r="J789" s="5">
        <v>88.5</v>
      </c>
      <c r="K789" s="5">
        <v>83</v>
      </c>
      <c r="L789" s="5">
        <v>86.7</v>
      </c>
    </row>
    <row r="790" spans="1:12" x14ac:dyDescent="0.3">
      <c r="A790" s="2" t="s">
        <v>419</v>
      </c>
      <c r="B790" s="2" t="s">
        <v>469</v>
      </c>
      <c r="C790" s="2" t="s">
        <v>470</v>
      </c>
      <c r="D790" s="2" t="s">
        <v>64</v>
      </c>
      <c r="E790" s="2">
        <v>1</v>
      </c>
      <c r="F790" s="2" t="s">
        <v>791</v>
      </c>
      <c r="G790" s="5">
        <v>81.73</v>
      </c>
      <c r="H790" s="5">
        <v>81.73</v>
      </c>
      <c r="I790" s="5">
        <v>84</v>
      </c>
      <c r="J790" s="5">
        <v>76</v>
      </c>
      <c r="K790" s="5">
        <v>70.900000000000006</v>
      </c>
      <c r="L790" s="5">
        <v>78.872</v>
      </c>
    </row>
    <row r="791" spans="1:12" x14ac:dyDescent="0.3">
      <c r="A791" s="2" t="s">
        <v>419</v>
      </c>
      <c r="B791" s="2" t="s">
        <v>469</v>
      </c>
      <c r="C791" s="2" t="s">
        <v>470</v>
      </c>
      <c r="D791" s="2" t="s">
        <v>189</v>
      </c>
      <c r="E791" s="2">
        <v>2</v>
      </c>
      <c r="F791" s="2" t="s">
        <v>795</v>
      </c>
      <c r="G791" s="5">
        <v>77.5</v>
      </c>
      <c r="H791" s="5">
        <v>82.5</v>
      </c>
      <c r="I791" s="5">
        <v>87</v>
      </c>
      <c r="J791" s="5">
        <v>75.7</v>
      </c>
      <c r="K791" s="5">
        <v>85.56</v>
      </c>
      <c r="L791" s="5">
        <v>81.652000000000001</v>
      </c>
    </row>
    <row r="792" spans="1:12" x14ac:dyDescent="0.3">
      <c r="A792" s="2" t="s">
        <v>419</v>
      </c>
      <c r="B792" s="2" t="s">
        <v>469</v>
      </c>
      <c r="C792" s="2" t="s">
        <v>470</v>
      </c>
      <c r="D792" s="2" t="s">
        <v>302</v>
      </c>
      <c r="E792" s="2">
        <v>3</v>
      </c>
      <c r="F792" s="2" t="s">
        <v>796</v>
      </c>
      <c r="G792" s="5">
        <v>82.5</v>
      </c>
      <c r="H792" s="5">
        <v>87.5</v>
      </c>
      <c r="I792" s="5">
        <v>85</v>
      </c>
      <c r="J792" s="5">
        <v>81</v>
      </c>
      <c r="K792" s="5">
        <v>90</v>
      </c>
      <c r="L792" s="5">
        <v>85.2</v>
      </c>
    </row>
    <row r="793" spans="1:12" x14ac:dyDescent="0.3">
      <c r="A793" s="2" t="s">
        <v>419</v>
      </c>
      <c r="B793" s="2" t="s">
        <v>469</v>
      </c>
      <c r="C793" s="2" t="s">
        <v>470</v>
      </c>
      <c r="D793" s="2" t="s">
        <v>422</v>
      </c>
      <c r="E793" s="2">
        <v>4</v>
      </c>
      <c r="F793" s="2" t="s">
        <v>797</v>
      </c>
      <c r="G793" s="5">
        <v>82.31</v>
      </c>
      <c r="H793" s="5">
        <v>88.31</v>
      </c>
      <c r="I793" s="5">
        <v>92</v>
      </c>
      <c r="J793" s="5">
        <v>88.5</v>
      </c>
      <c r="K793" s="5">
        <v>89</v>
      </c>
      <c r="L793" s="5">
        <v>88.024000000000001</v>
      </c>
    </row>
    <row r="794" spans="1:12" x14ac:dyDescent="0.3">
      <c r="A794" s="2" t="s">
        <v>419</v>
      </c>
      <c r="B794" s="2" t="s">
        <v>471</v>
      </c>
      <c r="C794" s="2" t="s">
        <v>472</v>
      </c>
      <c r="D794" s="2" t="s">
        <v>64</v>
      </c>
      <c r="E794" s="2">
        <v>1</v>
      </c>
      <c r="F794" s="2" t="s">
        <v>791</v>
      </c>
      <c r="G794" s="5">
        <v>85.85</v>
      </c>
      <c r="H794" s="5">
        <v>90.85</v>
      </c>
      <c r="I794" s="5">
        <v>94.5</v>
      </c>
      <c r="J794" s="5">
        <v>90</v>
      </c>
      <c r="K794" s="5">
        <v>89.6</v>
      </c>
      <c r="L794" s="5">
        <v>90.16</v>
      </c>
    </row>
    <row r="795" spans="1:12" x14ac:dyDescent="0.3">
      <c r="A795" s="2" t="s">
        <v>419</v>
      </c>
      <c r="B795" s="2" t="s">
        <v>471</v>
      </c>
      <c r="C795" s="2" t="s">
        <v>472</v>
      </c>
      <c r="D795" s="2" t="s">
        <v>189</v>
      </c>
      <c r="E795" s="2">
        <v>2</v>
      </c>
      <c r="F795" s="2" t="s">
        <v>795</v>
      </c>
      <c r="G795" s="5">
        <v>96.5</v>
      </c>
      <c r="H795" s="5">
        <v>97.5</v>
      </c>
      <c r="I795" s="5">
        <v>99</v>
      </c>
      <c r="J795" s="5">
        <v>94.7</v>
      </c>
      <c r="K795" s="5">
        <v>95.93</v>
      </c>
      <c r="L795" s="5">
        <v>96.725999999999999</v>
      </c>
    </row>
    <row r="796" spans="1:12" x14ac:dyDescent="0.3">
      <c r="A796" s="2" t="s">
        <v>419</v>
      </c>
      <c r="B796" s="2" t="s">
        <v>471</v>
      </c>
      <c r="C796" s="2" t="s">
        <v>472</v>
      </c>
      <c r="D796" s="2" t="s">
        <v>302</v>
      </c>
      <c r="E796" s="2">
        <v>3</v>
      </c>
      <c r="F796" s="2" t="s">
        <v>796</v>
      </c>
      <c r="G796" s="5">
        <v>91</v>
      </c>
      <c r="H796" s="5">
        <v>95</v>
      </c>
      <c r="I796" s="5">
        <v>98</v>
      </c>
      <c r="J796" s="5">
        <v>89</v>
      </c>
      <c r="K796" s="5">
        <v>87.5</v>
      </c>
      <c r="L796" s="5">
        <v>92.1</v>
      </c>
    </row>
    <row r="797" spans="1:12" x14ac:dyDescent="0.3">
      <c r="A797" s="2" t="s">
        <v>419</v>
      </c>
      <c r="B797" s="2" t="s">
        <v>471</v>
      </c>
      <c r="C797" s="2" t="s">
        <v>472</v>
      </c>
      <c r="D797" s="2" t="s">
        <v>422</v>
      </c>
      <c r="E797" s="2">
        <v>4</v>
      </c>
      <c r="F797" s="2" t="s">
        <v>797</v>
      </c>
      <c r="G797" s="5">
        <v>87.56</v>
      </c>
      <c r="H797" s="5">
        <v>92.56</v>
      </c>
      <c r="I797" s="5">
        <v>95</v>
      </c>
      <c r="J797" s="5">
        <v>94.5</v>
      </c>
      <c r="K797" s="5">
        <v>86.5</v>
      </c>
      <c r="L797" s="5">
        <v>91.224000000000004</v>
      </c>
    </row>
    <row r="798" spans="1:12" x14ac:dyDescent="0.3">
      <c r="A798" s="2" t="s">
        <v>419</v>
      </c>
      <c r="B798" s="2" t="s">
        <v>473</v>
      </c>
      <c r="C798" s="2" t="s">
        <v>474</v>
      </c>
      <c r="D798" s="2" t="s">
        <v>64</v>
      </c>
      <c r="E798" s="2">
        <v>1</v>
      </c>
      <c r="F798" s="2" t="s">
        <v>791</v>
      </c>
      <c r="G798" s="5">
        <v>80.23</v>
      </c>
      <c r="H798" s="5">
        <v>86.23</v>
      </c>
      <c r="I798" s="5">
        <v>87</v>
      </c>
      <c r="J798" s="5">
        <v>78.5</v>
      </c>
      <c r="K798" s="5">
        <v>77.400000000000006</v>
      </c>
      <c r="L798" s="5">
        <v>81.872</v>
      </c>
    </row>
    <row r="799" spans="1:12" x14ac:dyDescent="0.3">
      <c r="A799" s="2" t="s">
        <v>419</v>
      </c>
      <c r="B799" s="2" t="s">
        <v>473</v>
      </c>
      <c r="C799" s="2" t="s">
        <v>474</v>
      </c>
      <c r="D799" s="2" t="s">
        <v>189</v>
      </c>
      <c r="E799" s="2">
        <v>2</v>
      </c>
      <c r="F799" s="2" t="s">
        <v>795</v>
      </c>
      <c r="G799" s="5">
        <v>91.5</v>
      </c>
      <c r="H799" s="5">
        <v>91.5</v>
      </c>
      <c r="I799" s="5">
        <v>86.5</v>
      </c>
      <c r="J799" s="5">
        <v>88.9</v>
      </c>
      <c r="K799" s="5">
        <v>93.15</v>
      </c>
      <c r="L799" s="5">
        <v>90.31</v>
      </c>
    </row>
    <row r="800" spans="1:12" x14ac:dyDescent="0.3">
      <c r="A800" s="2" t="s">
        <v>419</v>
      </c>
      <c r="B800" s="2" t="s">
        <v>473</v>
      </c>
      <c r="C800" s="2" t="s">
        <v>474</v>
      </c>
      <c r="D800" s="2" t="s">
        <v>302</v>
      </c>
      <c r="E800" s="2">
        <v>3</v>
      </c>
      <c r="F800" s="2" t="s">
        <v>796</v>
      </c>
      <c r="G800" s="5">
        <v>89.5</v>
      </c>
      <c r="H800" s="5">
        <v>91.5</v>
      </c>
      <c r="I800" s="5">
        <v>86</v>
      </c>
      <c r="J800" s="5">
        <v>85.5</v>
      </c>
      <c r="K800" s="5">
        <v>89.5</v>
      </c>
      <c r="L800" s="5">
        <v>88.4</v>
      </c>
    </row>
    <row r="801" spans="1:12" x14ac:dyDescent="0.3">
      <c r="A801" s="2" t="s">
        <v>419</v>
      </c>
      <c r="B801" s="2" t="s">
        <v>473</v>
      </c>
      <c r="C801" s="2" t="s">
        <v>474</v>
      </c>
      <c r="D801" s="2" t="s">
        <v>422</v>
      </c>
      <c r="E801" s="2">
        <v>4</v>
      </c>
      <c r="F801" s="2" t="s">
        <v>797</v>
      </c>
      <c r="G801" s="5">
        <v>86.56</v>
      </c>
      <c r="H801" s="5">
        <v>90.56</v>
      </c>
      <c r="I801" s="5">
        <v>96</v>
      </c>
      <c r="J801" s="5">
        <v>89</v>
      </c>
      <c r="K801" s="5">
        <v>88</v>
      </c>
      <c r="L801" s="5">
        <v>90.024000000000001</v>
      </c>
    </row>
    <row r="802" spans="1:12" x14ac:dyDescent="0.3">
      <c r="A802" s="2" t="s">
        <v>419</v>
      </c>
      <c r="B802" s="2" t="s">
        <v>475</v>
      </c>
      <c r="C802" s="2" t="s">
        <v>476</v>
      </c>
      <c r="D802" s="2" t="s">
        <v>64</v>
      </c>
      <c r="E802" s="2">
        <v>1</v>
      </c>
      <c r="F802" s="2" t="s">
        <v>791</v>
      </c>
      <c r="G802" s="5">
        <v>85.35</v>
      </c>
      <c r="H802" s="5">
        <v>90.35</v>
      </c>
      <c r="I802" s="5">
        <v>84</v>
      </c>
      <c r="J802" s="5">
        <v>90</v>
      </c>
      <c r="K802" s="5">
        <v>84.2</v>
      </c>
      <c r="L802" s="5">
        <v>86.78</v>
      </c>
    </row>
    <row r="803" spans="1:12" x14ac:dyDescent="0.3">
      <c r="A803" s="2" t="s">
        <v>419</v>
      </c>
      <c r="B803" s="2" t="s">
        <v>475</v>
      </c>
      <c r="C803" s="2" t="s">
        <v>476</v>
      </c>
      <c r="D803" s="2" t="s">
        <v>189</v>
      </c>
      <c r="E803" s="2">
        <v>2</v>
      </c>
      <c r="F803" s="2" t="s">
        <v>795</v>
      </c>
      <c r="G803" s="5">
        <v>90.5</v>
      </c>
      <c r="H803" s="5">
        <v>91.5</v>
      </c>
      <c r="I803" s="5">
        <v>93.5</v>
      </c>
      <c r="J803" s="5">
        <v>93.2</v>
      </c>
      <c r="K803" s="5">
        <v>95.63</v>
      </c>
      <c r="L803" s="5">
        <v>92.866</v>
      </c>
    </row>
    <row r="804" spans="1:12" x14ac:dyDescent="0.3">
      <c r="A804" s="2" t="s">
        <v>419</v>
      </c>
      <c r="B804" s="2" t="s">
        <v>475</v>
      </c>
      <c r="C804" s="2" t="s">
        <v>476</v>
      </c>
      <c r="D804" s="2" t="s">
        <v>302</v>
      </c>
      <c r="E804" s="2">
        <v>3</v>
      </c>
      <c r="F804" s="2" t="s">
        <v>796</v>
      </c>
      <c r="G804" s="5">
        <v>94</v>
      </c>
      <c r="H804" s="5">
        <v>94</v>
      </c>
      <c r="I804" s="5">
        <v>93.5</v>
      </c>
      <c r="J804" s="5">
        <v>97.5</v>
      </c>
      <c r="K804" s="5">
        <v>60</v>
      </c>
      <c r="L804" s="5">
        <v>87.8</v>
      </c>
    </row>
    <row r="805" spans="1:12" x14ac:dyDescent="0.3">
      <c r="A805" s="2" t="s">
        <v>419</v>
      </c>
      <c r="B805" s="2" t="s">
        <v>475</v>
      </c>
      <c r="C805" s="2" t="s">
        <v>476</v>
      </c>
      <c r="D805" s="2" t="s">
        <v>422</v>
      </c>
      <c r="E805" s="2">
        <v>4</v>
      </c>
      <c r="F805" s="2" t="s">
        <v>797</v>
      </c>
      <c r="G805" s="5">
        <v>94.75</v>
      </c>
      <c r="H805" s="5">
        <v>95.75</v>
      </c>
      <c r="I805" s="5">
        <v>97</v>
      </c>
      <c r="J805" s="5">
        <v>93.5</v>
      </c>
      <c r="K805" s="5">
        <v>96</v>
      </c>
      <c r="L805" s="5">
        <v>95.4</v>
      </c>
    </row>
    <row r="806" spans="1:12" x14ac:dyDescent="0.3">
      <c r="A806" s="2" t="s">
        <v>419</v>
      </c>
      <c r="B806" s="2" t="s">
        <v>477</v>
      </c>
      <c r="C806" s="2" t="s">
        <v>478</v>
      </c>
      <c r="D806" s="2" t="s">
        <v>64</v>
      </c>
      <c r="E806" s="2">
        <v>1</v>
      </c>
      <c r="F806" s="2" t="s">
        <v>791</v>
      </c>
      <c r="G806" s="5">
        <v>78.150000000000006</v>
      </c>
      <c r="H806" s="5">
        <v>83.15</v>
      </c>
      <c r="I806" s="5">
        <v>83</v>
      </c>
      <c r="J806" s="5">
        <v>87</v>
      </c>
      <c r="K806" s="5">
        <v>72.5</v>
      </c>
      <c r="L806" s="5">
        <v>80.760000000000005</v>
      </c>
    </row>
    <row r="807" spans="1:12" x14ac:dyDescent="0.3">
      <c r="A807" s="2" t="s">
        <v>419</v>
      </c>
      <c r="B807" s="2" t="s">
        <v>477</v>
      </c>
      <c r="C807" s="2" t="s">
        <v>478</v>
      </c>
      <c r="D807" s="2" t="s">
        <v>189</v>
      </c>
      <c r="E807" s="2">
        <v>2</v>
      </c>
      <c r="F807" s="2" t="s">
        <v>795</v>
      </c>
      <c r="G807" s="5">
        <v>77.5</v>
      </c>
      <c r="H807" s="5">
        <v>77.5</v>
      </c>
      <c r="I807" s="5">
        <v>85</v>
      </c>
      <c r="J807" s="5">
        <v>75</v>
      </c>
      <c r="K807" s="5">
        <v>83.89</v>
      </c>
      <c r="L807" s="5">
        <v>79.777999999999992</v>
      </c>
    </row>
    <row r="808" spans="1:12" x14ac:dyDescent="0.3">
      <c r="A808" s="2" t="s">
        <v>419</v>
      </c>
      <c r="B808" s="2" t="s">
        <v>477</v>
      </c>
      <c r="C808" s="2" t="s">
        <v>478</v>
      </c>
      <c r="D808" s="2" t="s">
        <v>302</v>
      </c>
      <c r="E808" s="2">
        <v>3</v>
      </c>
      <c r="F808" s="2" t="s">
        <v>796</v>
      </c>
      <c r="G808" s="5">
        <v>78</v>
      </c>
      <c r="H808" s="5">
        <v>84</v>
      </c>
      <c r="I808" s="5">
        <v>74.5</v>
      </c>
      <c r="J808" s="5">
        <v>78</v>
      </c>
      <c r="K808" s="5">
        <v>96</v>
      </c>
      <c r="L808" s="5">
        <v>82.1</v>
      </c>
    </row>
    <row r="809" spans="1:12" x14ac:dyDescent="0.3">
      <c r="A809" s="2" t="s">
        <v>419</v>
      </c>
      <c r="B809" s="2" t="s">
        <v>477</v>
      </c>
      <c r="C809" s="2" t="s">
        <v>478</v>
      </c>
      <c r="D809" s="2" t="s">
        <v>422</v>
      </c>
      <c r="E809" s="2">
        <v>4</v>
      </c>
      <c r="F809" s="2" t="s">
        <v>797</v>
      </c>
      <c r="G809" s="5">
        <v>80.44</v>
      </c>
      <c r="H809" s="5">
        <v>85.44</v>
      </c>
      <c r="I809" s="5">
        <v>91.5</v>
      </c>
      <c r="J809" s="5">
        <v>87</v>
      </c>
      <c r="K809" s="5">
        <v>79.5</v>
      </c>
      <c r="L809" s="5">
        <v>84.775999999999996</v>
      </c>
    </row>
    <row r="810" spans="1:12" x14ac:dyDescent="0.3">
      <c r="A810" s="2" t="s">
        <v>419</v>
      </c>
      <c r="B810" s="2" t="s">
        <v>479</v>
      </c>
      <c r="C810" s="2" t="s">
        <v>480</v>
      </c>
      <c r="D810" s="2" t="s">
        <v>64</v>
      </c>
      <c r="E810" s="2">
        <v>1</v>
      </c>
      <c r="F810" s="2" t="s">
        <v>791</v>
      </c>
      <c r="G810" s="5">
        <v>78.959999999999994</v>
      </c>
      <c r="H810" s="5">
        <v>84.96</v>
      </c>
      <c r="I810" s="5">
        <v>83</v>
      </c>
      <c r="J810" s="5">
        <v>77</v>
      </c>
      <c r="K810" s="5">
        <v>80.099999999999994</v>
      </c>
      <c r="L810" s="5">
        <v>80.804000000000002</v>
      </c>
    </row>
    <row r="811" spans="1:12" x14ac:dyDescent="0.3">
      <c r="A811" s="2" t="s">
        <v>419</v>
      </c>
      <c r="B811" s="2" t="s">
        <v>479</v>
      </c>
      <c r="C811" s="2" t="s">
        <v>480</v>
      </c>
      <c r="D811" s="2" t="s">
        <v>189</v>
      </c>
      <c r="E811" s="2">
        <v>2</v>
      </c>
      <c r="F811" s="2" t="s">
        <v>795</v>
      </c>
      <c r="G811" s="5">
        <v>87.5</v>
      </c>
      <c r="H811" s="5">
        <v>87.5</v>
      </c>
      <c r="I811" s="5">
        <v>83</v>
      </c>
      <c r="J811" s="5">
        <v>86.6</v>
      </c>
      <c r="K811" s="5">
        <v>91.22</v>
      </c>
      <c r="L811" s="5">
        <v>87.164000000000001</v>
      </c>
    </row>
    <row r="812" spans="1:12" x14ac:dyDescent="0.3">
      <c r="A812" s="2" t="s">
        <v>419</v>
      </c>
      <c r="B812" s="2" t="s">
        <v>479</v>
      </c>
      <c r="C812" s="2" t="s">
        <v>480</v>
      </c>
      <c r="D812" s="2" t="s">
        <v>302</v>
      </c>
      <c r="E812" s="2">
        <v>3</v>
      </c>
      <c r="F812" s="2" t="s">
        <v>796</v>
      </c>
      <c r="G812" s="5">
        <v>89</v>
      </c>
      <c r="H812" s="5">
        <v>90</v>
      </c>
      <c r="I812" s="5">
        <v>90.5</v>
      </c>
      <c r="J812" s="5">
        <v>87.5</v>
      </c>
      <c r="K812" s="5">
        <v>85.5</v>
      </c>
      <c r="L812" s="5">
        <v>88.5</v>
      </c>
    </row>
    <row r="813" spans="1:12" x14ac:dyDescent="0.3">
      <c r="A813" s="2" t="s">
        <v>419</v>
      </c>
      <c r="B813" s="2" t="s">
        <v>479</v>
      </c>
      <c r="C813" s="2" t="s">
        <v>480</v>
      </c>
      <c r="D813" s="2" t="s">
        <v>422</v>
      </c>
      <c r="E813" s="2">
        <v>4</v>
      </c>
      <c r="F813" s="2" t="s">
        <v>797</v>
      </c>
      <c r="G813" s="5">
        <v>92.19</v>
      </c>
      <c r="H813" s="5">
        <v>94.19</v>
      </c>
      <c r="I813" s="5">
        <v>93.5</v>
      </c>
      <c r="J813" s="5">
        <v>89</v>
      </c>
      <c r="K813" s="5">
        <v>96.5</v>
      </c>
      <c r="L813" s="5">
        <v>93.075999999999993</v>
      </c>
    </row>
    <row r="814" spans="1:12" x14ac:dyDescent="0.3">
      <c r="A814" s="2" t="s">
        <v>419</v>
      </c>
      <c r="B814" s="2" t="s">
        <v>481</v>
      </c>
      <c r="C814" s="2" t="s">
        <v>482</v>
      </c>
      <c r="D814" s="2" t="s">
        <v>64</v>
      </c>
      <c r="E814" s="2">
        <v>1</v>
      </c>
      <c r="F814" s="2" t="s">
        <v>791</v>
      </c>
      <c r="G814" s="5">
        <v>86.42</v>
      </c>
      <c r="H814" s="5">
        <v>90.42</v>
      </c>
      <c r="I814" s="5">
        <v>89.5</v>
      </c>
      <c r="J814" s="5">
        <v>84.5</v>
      </c>
      <c r="K814" s="5">
        <v>90.2</v>
      </c>
      <c r="L814" s="5">
        <v>88.207999999999998</v>
      </c>
    </row>
    <row r="815" spans="1:12" x14ac:dyDescent="0.3">
      <c r="A815" s="2" t="s">
        <v>419</v>
      </c>
      <c r="B815" s="2" t="s">
        <v>481</v>
      </c>
      <c r="C815" s="2" t="s">
        <v>482</v>
      </c>
      <c r="D815" s="2" t="s">
        <v>189</v>
      </c>
      <c r="E815" s="2">
        <v>2</v>
      </c>
      <c r="F815" s="2" t="s">
        <v>795</v>
      </c>
      <c r="G815" s="5">
        <v>97.5</v>
      </c>
      <c r="H815" s="5">
        <v>97.5</v>
      </c>
      <c r="I815" s="5">
        <v>99.5</v>
      </c>
      <c r="J815" s="5">
        <v>95.4</v>
      </c>
      <c r="K815" s="5">
        <v>96.37</v>
      </c>
      <c r="L815" s="5">
        <v>97.253999999999991</v>
      </c>
    </row>
    <row r="816" spans="1:12" x14ac:dyDescent="0.3">
      <c r="A816" s="2" t="s">
        <v>419</v>
      </c>
      <c r="B816" s="2" t="s">
        <v>481</v>
      </c>
      <c r="C816" s="2" t="s">
        <v>482</v>
      </c>
      <c r="D816" s="2" t="s">
        <v>302</v>
      </c>
      <c r="E816" s="2">
        <v>3</v>
      </c>
      <c r="F816" s="2" t="s">
        <v>796</v>
      </c>
      <c r="G816" s="5">
        <v>90.5</v>
      </c>
      <c r="H816" s="5">
        <v>95.5</v>
      </c>
      <c r="I816" s="5">
        <v>99.5</v>
      </c>
      <c r="J816" s="5">
        <v>97.5</v>
      </c>
      <c r="K816" s="5">
        <v>92</v>
      </c>
      <c r="L816" s="5">
        <v>95</v>
      </c>
    </row>
    <row r="817" spans="1:12" x14ac:dyDescent="0.3">
      <c r="A817" s="2" t="s">
        <v>419</v>
      </c>
      <c r="B817" s="2" t="s">
        <v>481</v>
      </c>
      <c r="C817" s="2" t="s">
        <v>482</v>
      </c>
      <c r="D817" s="2" t="s">
        <v>422</v>
      </c>
      <c r="E817" s="2">
        <v>4</v>
      </c>
      <c r="F817" s="2" t="s">
        <v>797</v>
      </c>
      <c r="G817" s="5">
        <v>92.94</v>
      </c>
      <c r="H817" s="5">
        <v>96.94</v>
      </c>
      <c r="I817" s="5">
        <v>97.5</v>
      </c>
      <c r="J817" s="5">
        <v>97</v>
      </c>
      <c r="K817" s="5">
        <v>98</v>
      </c>
      <c r="L817" s="5">
        <v>96.475999999999999</v>
      </c>
    </row>
    <row r="818" spans="1:12" x14ac:dyDescent="0.3">
      <c r="A818" s="2" t="s">
        <v>419</v>
      </c>
      <c r="B818" s="2" t="s">
        <v>483</v>
      </c>
      <c r="C818" s="2" t="s">
        <v>484</v>
      </c>
      <c r="D818" s="2" t="s">
        <v>64</v>
      </c>
      <c r="E818" s="2">
        <v>1</v>
      </c>
      <c r="F818" s="2" t="s">
        <v>791</v>
      </c>
      <c r="G818" s="5">
        <v>79.42</v>
      </c>
      <c r="H818" s="5">
        <v>84.42</v>
      </c>
      <c r="I818" s="5">
        <v>88</v>
      </c>
      <c r="J818" s="5">
        <v>83</v>
      </c>
      <c r="K818" s="5">
        <v>72.2</v>
      </c>
      <c r="L818" s="5">
        <v>81.408000000000001</v>
      </c>
    </row>
    <row r="819" spans="1:12" x14ac:dyDescent="0.3">
      <c r="A819" s="2" t="s">
        <v>419</v>
      </c>
      <c r="B819" s="2" t="s">
        <v>483</v>
      </c>
      <c r="C819" s="2" t="s">
        <v>484</v>
      </c>
      <c r="D819" s="2" t="s">
        <v>189</v>
      </c>
      <c r="E819" s="2">
        <v>2</v>
      </c>
      <c r="F819" s="2" t="s">
        <v>795</v>
      </c>
      <c r="G819" s="5">
        <v>89.5</v>
      </c>
      <c r="H819" s="5">
        <v>90.5</v>
      </c>
      <c r="I819" s="5">
        <v>88</v>
      </c>
      <c r="J819" s="5">
        <v>87</v>
      </c>
      <c r="K819" s="5">
        <v>92</v>
      </c>
      <c r="L819" s="5">
        <v>89.4</v>
      </c>
    </row>
    <row r="820" spans="1:12" x14ac:dyDescent="0.3">
      <c r="A820" s="2" t="s">
        <v>419</v>
      </c>
      <c r="B820" s="2" t="s">
        <v>483</v>
      </c>
      <c r="C820" s="2" t="s">
        <v>484</v>
      </c>
      <c r="D820" s="2" t="s">
        <v>302</v>
      </c>
      <c r="E820" s="2">
        <v>3</v>
      </c>
      <c r="F820" s="2" t="s">
        <v>796</v>
      </c>
      <c r="G820" s="5">
        <v>82.5</v>
      </c>
      <c r="H820" s="5">
        <v>88.5</v>
      </c>
      <c r="I820" s="5">
        <v>89.5</v>
      </c>
      <c r="J820" s="5">
        <v>95</v>
      </c>
      <c r="K820" s="5">
        <v>83.5</v>
      </c>
      <c r="L820" s="5">
        <v>87.8</v>
      </c>
    </row>
    <row r="821" spans="1:12" x14ac:dyDescent="0.3">
      <c r="A821" s="2" t="s">
        <v>419</v>
      </c>
      <c r="B821" s="2" t="s">
        <v>483</v>
      </c>
      <c r="C821" s="2" t="s">
        <v>484</v>
      </c>
      <c r="D821" s="2" t="s">
        <v>422</v>
      </c>
      <c r="E821" s="2">
        <v>4</v>
      </c>
      <c r="F821" s="2" t="s">
        <v>797</v>
      </c>
      <c r="G821" s="5">
        <v>87.44</v>
      </c>
      <c r="H821" s="5">
        <v>93.44</v>
      </c>
      <c r="I821" s="5">
        <v>96.5</v>
      </c>
      <c r="J821" s="5">
        <v>88</v>
      </c>
      <c r="K821" s="5">
        <v>97</v>
      </c>
      <c r="L821" s="5">
        <v>92.475999999999999</v>
      </c>
    </row>
    <row r="822" spans="1:12" x14ac:dyDescent="0.3">
      <c r="A822" s="2" t="s">
        <v>419</v>
      </c>
      <c r="B822" s="2" t="s">
        <v>485</v>
      </c>
      <c r="C822" s="2" t="s">
        <v>486</v>
      </c>
      <c r="D822" s="2" t="s">
        <v>64</v>
      </c>
      <c r="E822" s="2">
        <v>1</v>
      </c>
      <c r="F822" s="2" t="s">
        <v>791</v>
      </c>
      <c r="G822" s="5">
        <v>85.23</v>
      </c>
      <c r="H822" s="5">
        <v>91.23</v>
      </c>
      <c r="I822" s="5">
        <v>90.5</v>
      </c>
      <c r="J822" s="5">
        <v>93.5</v>
      </c>
      <c r="K822" s="5">
        <v>88.5</v>
      </c>
      <c r="L822" s="5">
        <v>89.792000000000002</v>
      </c>
    </row>
    <row r="823" spans="1:12" x14ac:dyDescent="0.3">
      <c r="A823" s="2" t="s">
        <v>419</v>
      </c>
      <c r="B823" s="2" t="s">
        <v>485</v>
      </c>
      <c r="C823" s="2" t="s">
        <v>486</v>
      </c>
      <c r="D823" s="2" t="s">
        <v>189</v>
      </c>
      <c r="E823" s="2">
        <v>2</v>
      </c>
      <c r="F823" s="2" t="s">
        <v>795</v>
      </c>
      <c r="G823" s="5">
        <v>88</v>
      </c>
      <c r="H823" s="5">
        <v>91</v>
      </c>
      <c r="I823" s="5">
        <v>95</v>
      </c>
      <c r="J823" s="5">
        <v>94.2</v>
      </c>
      <c r="K823" s="5">
        <v>95.78</v>
      </c>
      <c r="L823" s="5">
        <v>92.796000000000006</v>
      </c>
    </row>
    <row r="824" spans="1:12" x14ac:dyDescent="0.3">
      <c r="A824" s="2" t="s">
        <v>419</v>
      </c>
      <c r="B824" s="2" t="s">
        <v>485</v>
      </c>
      <c r="C824" s="2" t="s">
        <v>486</v>
      </c>
      <c r="D824" s="2" t="s">
        <v>302</v>
      </c>
      <c r="E824" s="2">
        <v>3</v>
      </c>
      <c r="F824" s="2" t="s">
        <v>796</v>
      </c>
      <c r="G824" s="5">
        <v>87.5</v>
      </c>
      <c r="H824" s="5">
        <v>93.5</v>
      </c>
      <c r="I824" s="5">
        <v>97</v>
      </c>
      <c r="J824" s="5">
        <v>95.5</v>
      </c>
      <c r="K824" s="5">
        <v>71</v>
      </c>
      <c r="L824" s="5">
        <v>88.9</v>
      </c>
    </row>
    <row r="825" spans="1:12" x14ac:dyDescent="0.3">
      <c r="A825" s="2" t="s">
        <v>419</v>
      </c>
      <c r="B825" s="2" t="s">
        <v>485</v>
      </c>
      <c r="C825" s="2" t="s">
        <v>486</v>
      </c>
      <c r="D825" s="2" t="s">
        <v>422</v>
      </c>
      <c r="E825" s="2">
        <v>4</v>
      </c>
      <c r="F825" s="2" t="s">
        <v>797</v>
      </c>
      <c r="G825" s="5">
        <v>94</v>
      </c>
      <c r="H825" s="5">
        <v>98</v>
      </c>
      <c r="I825" s="5">
        <v>98</v>
      </c>
      <c r="J825" s="5">
        <v>97</v>
      </c>
      <c r="K825" s="5">
        <v>97.5</v>
      </c>
      <c r="L825" s="5">
        <v>96.9</v>
      </c>
    </row>
    <row r="826" spans="1:12" x14ac:dyDescent="0.3">
      <c r="A826" s="2" t="s">
        <v>419</v>
      </c>
      <c r="B826" s="2" t="s">
        <v>487</v>
      </c>
      <c r="C826" s="2" t="s">
        <v>488</v>
      </c>
      <c r="D826" s="2" t="s">
        <v>64</v>
      </c>
      <c r="E826" s="2">
        <v>1</v>
      </c>
      <c r="F826" s="2" t="s">
        <v>791</v>
      </c>
      <c r="G826" s="5">
        <v>73.77</v>
      </c>
      <c r="H826" s="5">
        <v>79.77</v>
      </c>
      <c r="I826" s="5">
        <v>72.5</v>
      </c>
      <c r="J826" s="5">
        <v>81</v>
      </c>
      <c r="K826" s="5">
        <v>68.3</v>
      </c>
      <c r="L826" s="5">
        <v>75.067999999999998</v>
      </c>
    </row>
    <row r="827" spans="1:12" x14ac:dyDescent="0.3">
      <c r="A827" s="2" t="s">
        <v>419</v>
      </c>
      <c r="B827" s="2" t="s">
        <v>487</v>
      </c>
      <c r="C827" s="2" t="s">
        <v>488</v>
      </c>
      <c r="D827" s="2" t="s">
        <v>189</v>
      </c>
      <c r="E827" s="2">
        <v>2</v>
      </c>
      <c r="F827" s="2" t="s">
        <v>795</v>
      </c>
      <c r="G827" s="5">
        <v>77.5</v>
      </c>
      <c r="H827" s="5">
        <v>80.5</v>
      </c>
      <c r="I827" s="5">
        <v>90</v>
      </c>
      <c r="J827" s="5">
        <v>87.3</v>
      </c>
      <c r="K827" s="5">
        <v>90.67</v>
      </c>
      <c r="L827" s="5">
        <v>85.194000000000003</v>
      </c>
    </row>
    <row r="828" spans="1:12" x14ac:dyDescent="0.3">
      <c r="A828" s="2" t="s">
        <v>419</v>
      </c>
      <c r="B828" s="2" t="s">
        <v>487</v>
      </c>
      <c r="C828" s="2" t="s">
        <v>488</v>
      </c>
      <c r="D828" s="2" t="s">
        <v>302</v>
      </c>
      <c r="E828" s="2">
        <v>3</v>
      </c>
      <c r="F828" s="2" t="s">
        <v>796</v>
      </c>
      <c r="G828" s="5">
        <v>82.5</v>
      </c>
      <c r="H828" s="5">
        <v>83.5</v>
      </c>
      <c r="I828" s="5">
        <v>89.5</v>
      </c>
      <c r="J828" s="5">
        <v>81.5</v>
      </c>
      <c r="K828" s="5">
        <v>88</v>
      </c>
      <c r="L828" s="5">
        <v>85</v>
      </c>
    </row>
    <row r="829" spans="1:12" x14ac:dyDescent="0.3">
      <c r="A829" s="2" t="s">
        <v>419</v>
      </c>
      <c r="B829" s="2" t="s">
        <v>487</v>
      </c>
      <c r="C829" s="2" t="s">
        <v>488</v>
      </c>
      <c r="D829" s="2" t="s">
        <v>422</v>
      </c>
      <c r="E829" s="2">
        <v>4</v>
      </c>
      <c r="F829" s="2" t="s">
        <v>797</v>
      </c>
      <c r="G829" s="5">
        <v>90.88</v>
      </c>
      <c r="H829" s="5">
        <v>94.88</v>
      </c>
      <c r="I829" s="5">
        <v>88.5</v>
      </c>
      <c r="J829" s="5">
        <v>98.5</v>
      </c>
      <c r="K829" s="5">
        <v>96.5</v>
      </c>
      <c r="L829" s="5">
        <v>93.852000000000004</v>
      </c>
    </row>
    <row r="830" spans="1:12" x14ac:dyDescent="0.3">
      <c r="A830" s="2" t="s">
        <v>419</v>
      </c>
      <c r="B830" s="2" t="s">
        <v>489</v>
      </c>
      <c r="C830" s="2" t="s">
        <v>490</v>
      </c>
      <c r="D830" s="2" t="s">
        <v>64</v>
      </c>
      <c r="E830" s="2">
        <v>1</v>
      </c>
      <c r="F830" s="2" t="s">
        <v>791</v>
      </c>
      <c r="G830" s="5">
        <v>81.849999999999994</v>
      </c>
      <c r="H830" s="5">
        <v>85.85</v>
      </c>
      <c r="I830" s="5">
        <v>85</v>
      </c>
      <c r="J830" s="5">
        <v>89</v>
      </c>
      <c r="K830" s="5">
        <v>78.2</v>
      </c>
      <c r="L830" s="5">
        <v>83.97999999999999</v>
      </c>
    </row>
    <row r="831" spans="1:12" x14ac:dyDescent="0.3">
      <c r="A831" s="2" t="s">
        <v>419</v>
      </c>
      <c r="B831" s="2" t="s">
        <v>489</v>
      </c>
      <c r="C831" s="2" t="s">
        <v>490</v>
      </c>
      <c r="D831" s="2" t="s">
        <v>189</v>
      </c>
      <c r="E831" s="2">
        <v>2</v>
      </c>
      <c r="F831" s="2" t="s">
        <v>795</v>
      </c>
      <c r="G831" s="5">
        <v>80.5</v>
      </c>
      <c r="H831" s="5">
        <v>85.5</v>
      </c>
      <c r="I831" s="5">
        <v>91.5</v>
      </c>
      <c r="J831" s="5">
        <v>91.6</v>
      </c>
      <c r="K831" s="5">
        <v>93</v>
      </c>
      <c r="L831" s="5">
        <v>88.42</v>
      </c>
    </row>
    <row r="832" spans="1:12" x14ac:dyDescent="0.3">
      <c r="A832" s="2" t="s">
        <v>419</v>
      </c>
      <c r="B832" s="2" t="s">
        <v>489</v>
      </c>
      <c r="C832" s="2" t="s">
        <v>490</v>
      </c>
      <c r="D832" s="2" t="s">
        <v>302</v>
      </c>
      <c r="E832" s="2">
        <v>3</v>
      </c>
      <c r="F832" s="2" t="s">
        <v>796</v>
      </c>
      <c r="G832" s="5">
        <v>81</v>
      </c>
      <c r="H832" s="5">
        <v>87</v>
      </c>
      <c r="I832" s="5">
        <v>89</v>
      </c>
      <c r="J832" s="5">
        <v>89</v>
      </c>
      <c r="K832" s="5">
        <v>81</v>
      </c>
      <c r="L832" s="5">
        <v>85.4</v>
      </c>
    </row>
    <row r="833" spans="1:12" x14ac:dyDescent="0.3">
      <c r="A833" s="2" t="s">
        <v>419</v>
      </c>
      <c r="B833" s="2" t="s">
        <v>489</v>
      </c>
      <c r="C833" s="2" t="s">
        <v>490</v>
      </c>
      <c r="D833" s="2" t="s">
        <v>422</v>
      </c>
      <c r="E833" s="2">
        <v>4</v>
      </c>
      <c r="F833" s="2" t="s">
        <v>797</v>
      </c>
      <c r="G833" s="5">
        <v>88</v>
      </c>
      <c r="H833" s="5">
        <v>90</v>
      </c>
      <c r="I833" s="5">
        <v>92.5</v>
      </c>
      <c r="J833" s="5">
        <v>90.5</v>
      </c>
      <c r="K833" s="5">
        <v>96</v>
      </c>
      <c r="L833" s="5">
        <v>91.4</v>
      </c>
    </row>
    <row r="834" spans="1:12" x14ac:dyDescent="0.3">
      <c r="A834" s="2" t="s">
        <v>419</v>
      </c>
      <c r="B834" s="2" t="s">
        <v>491</v>
      </c>
      <c r="C834" s="2" t="s">
        <v>492</v>
      </c>
      <c r="D834" s="2" t="s">
        <v>64</v>
      </c>
      <c r="E834" s="2">
        <v>1</v>
      </c>
      <c r="F834" s="2" t="s">
        <v>791</v>
      </c>
      <c r="G834" s="5">
        <v>88.04</v>
      </c>
      <c r="H834" s="5">
        <v>91.04</v>
      </c>
      <c r="I834" s="5">
        <v>86.5</v>
      </c>
      <c r="J834" s="5">
        <v>87</v>
      </c>
      <c r="K834" s="5">
        <v>87.4</v>
      </c>
      <c r="L834" s="5">
        <v>87.996000000000009</v>
      </c>
    </row>
    <row r="835" spans="1:12" x14ac:dyDescent="0.3">
      <c r="A835" s="2" t="s">
        <v>419</v>
      </c>
      <c r="B835" s="2" t="s">
        <v>491</v>
      </c>
      <c r="C835" s="2" t="s">
        <v>492</v>
      </c>
      <c r="D835" s="2" t="s">
        <v>189</v>
      </c>
      <c r="E835" s="2">
        <v>2</v>
      </c>
      <c r="F835" s="2" t="s">
        <v>795</v>
      </c>
      <c r="G835" s="5">
        <v>84</v>
      </c>
      <c r="H835" s="5">
        <v>88</v>
      </c>
      <c r="I835" s="5">
        <v>93</v>
      </c>
      <c r="J835" s="5">
        <v>90.9</v>
      </c>
      <c r="K835" s="5">
        <v>93.44</v>
      </c>
      <c r="L835" s="5">
        <v>89.867999999999995</v>
      </c>
    </row>
    <row r="836" spans="1:12" x14ac:dyDescent="0.3">
      <c r="A836" s="2" t="s">
        <v>419</v>
      </c>
      <c r="B836" s="2" t="s">
        <v>491</v>
      </c>
      <c r="C836" s="2" t="s">
        <v>492</v>
      </c>
      <c r="D836" s="2" t="s">
        <v>302</v>
      </c>
      <c r="E836" s="2">
        <v>3</v>
      </c>
      <c r="F836" s="2" t="s">
        <v>796</v>
      </c>
      <c r="G836" s="5">
        <v>88.5</v>
      </c>
      <c r="H836" s="5">
        <v>91.5</v>
      </c>
      <c r="I836" s="5">
        <v>98</v>
      </c>
      <c r="J836" s="5">
        <v>92</v>
      </c>
      <c r="K836" s="5">
        <v>99</v>
      </c>
      <c r="L836" s="5">
        <v>93.8</v>
      </c>
    </row>
    <row r="837" spans="1:12" x14ac:dyDescent="0.3">
      <c r="A837" s="2" t="s">
        <v>419</v>
      </c>
      <c r="B837" s="2" t="s">
        <v>491</v>
      </c>
      <c r="C837" s="2" t="s">
        <v>492</v>
      </c>
      <c r="D837" s="2" t="s">
        <v>422</v>
      </c>
      <c r="E837" s="2">
        <v>4</v>
      </c>
      <c r="F837" s="2" t="s">
        <v>797</v>
      </c>
      <c r="G837" s="5">
        <v>92.88</v>
      </c>
      <c r="H837" s="5">
        <v>95.88</v>
      </c>
      <c r="I837" s="5">
        <v>96.5</v>
      </c>
      <c r="J837" s="5">
        <v>97.5</v>
      </c>
      <c r="K837" s="5">
        <v>94.5</v>
      </c>
      <c r="L837" s="5">
        <v>95.451999999999998</v>
      </c>
    </row>
    <row r="838" spans="1:12" x14ac:dyDescent="0.3">
      <c r="A838" s="2" t="s">
        <v>419</v>
      </c>
      <c r="B838" s="2" t="s">
        <v>493</v>
      </c>
      <c r="C838" s="2" t="s">
        <v>494</v>
      </c>
      <c r="D838" s="2" t="s">
        <v>64</v>
      </c>
      <c r="E838" s="2">
        <v>1</v>
      </c>
      <c r="F838" s="2" t="s">
        <v>791</v>
      </c>
      <c r="G838" s="5">
        <v>83.65</v>
      </c>
      <c r="H838" s="5">
        <v>87.65</v>
      </c>
      <c r="I838" s="5">
        <v>92</v>
      </c>
      <c r="J838" s="5">
        <v>87.5</v>
      </c>
      <c r="K838" s="5">
        <v>83.5</v>
      </c>
      <c r="L838" s="5">
        <v>86.86</v>
      </c>
    </row>
    <row r="839" spans="1:12" x14ac:dyDescent="0.3">
      <c r="A839" s="2" t="s">
        <v>419</v>
      </c>
      <c r="B839" s="2" t="s">
        <v>493</v>
      </c>
      <c r="C839" s="2" t="s">
        <v>494</v>
      </c>
      <c r="D839" s="2" t="s">
        <v>189</v>
      </c>
      <c r="E839" s="2">
        <v>2</v>
      </c>
      <c r="F839" s="2" t="s">
        <v>795</v>
      </c>
      <c r="G839" s="5">
        <v>86</v>
      </c>
      <c r="H839" s="5">
        <v>88</v>
      </c>
      <c r="I839" s="5">
        <v>92</v>
      </c>
      <c r="J839" s="5">
        <v>95.4</v>
      </c>
      <c r="K839" s="5">
        <v>93.26</v>
      </c>
      <c r="L839" s="5">
        <v>90.931999999999988</v>
      </c>
    </row>
    <row r="840" spans="1:12" x14ac:dyDescent="0.3">
      <c r="A840" s="2" t="s">
        <v>419</v>
      </c>
      <c r="B840" s="2" t="s">
        <v>493</v>
      </c>
      <c r="C840" s="2" t="s">
        <v>494</v>
      </c>
      <c r="D840" s="2" t="s">
        <v>302</v>
      </c>
      <c r="E840" s="2">
        <v>3</v>
      </c>
      <c r="F840" s="2" t="s">
        <v>796</v>
      </c>
      <c r="G840" s="5">
        <v>87</v>
      </c>
      <c r="H840" s="5">
        <v>87</v>
      </c>
      <c r="I840" s="5">
        <v>81</v>
      </c>
      <c r="J840" s="5">
        <v>85.5</v>
      </c>
      <c r="K840" s="5">
        <v>90</v>
      </c>
      <c r="L840" s="5">
        <v>86.1</v>
      </c>
    </row>
    <row r="841" spans="1:12" x14ac:dyDescent="0.3">
      <c r="A841" s="2" t="s">
        <v>419</v>
      </c>
      <c r="B841" s="2" t="s">
        <v>493</v>
      </c>
      <c r="C841" s="2" t="s">
        <v>494</v>
      </c>
      <c r="D841" s="2" t="s">
        <v>422</v>
      </c>
      <c r="E841" s="2">
        <v>4</v>
      </c>
      <c r="F841" s="2" t="s">
        <v>797</v>
      </c>
      <c r="G841" s="5">
        <v>75.88</v>
      </c>
      <c r="H841" s="5">
        <v>79.88</v>
      </c>
      <c r="I841" s="5">
        <v>86</v>
      </c>
      <c r="J841" s="5">
        <v>78.5</v>
      </c>
      <c r="K841" s="5">
        <v>84</v>
      </c>
      <c r="L841" s="5">
        <v>80.852000000000004</v>
      </c>
    </row>
    <row r="842" spans="1:12" x14ac:dyDescent="0.3">
      <c r="A842" s="2" t="s">
        <v>419</v>
      </c>
      <c r="B842" s="2" t="s">
        <v>495</v>
      </c>
      <c r="C842" s="2" t="s">
        <v>496</v>
      </c>
      <c r="D842" s="2" t="s">
        <v>64</v>
      </c>
      <c r="E842" s="2">
        <v>1</v>
      </c>
      <c r="F842" s="2" t="s">
        <v>791</v>
      </c>
      <c r="G842" s="5">
        <v>89.08</v>
      </c>
      <c r="H842" s="5">
        <v>89.08</v>
      </c>
      <c r="I842" s="5">
        <v>86.5</v>
      </c>
      <c r="J842" s="5">
        <v>93</v>
      </c>
      <c r="K842" s="5">
        <v>81.400000000000006</v>
      </c>
      <c r="L842" s="5">
        <v>87.811999999999998</v>
      </c>
    </row>
    <row r="843" spans="1:12" x14ac:dyDescent="0.3">
      <c r="A843" s="2" t="s">
        <v>419</v>
      </c>
      <c r="B843" s="2" t="s">
        <v>495</v>
      </c>
      <c r="C843" s="2" t="s">
        <v>496</v>
      </c>
      <c r="D843" s="2" t="s">
        <v>189</v>
      </c>
      <c r="E843" s="2">
        <v>2</v>
      </c>
      <c r="F843" s="2" t="s">
        <v>795</v>
      </c>
      <c r="G843" s="5">
        <v>85</v>
      </c>
      <c r="H843" s="5">
        <v>86</v>
      </c>
      <c r="I843" s="5">
        <v>93</v>
      </c>
      <c r="J843" s="5">
        <v>86.5</v>
      </c>
      <c r="K843" s="5">
        <v>91.3</v>
      </c>
      <c r="L843" s="5">
        <v>88.36</v>
      </c>
    </row>
    <row r="844" spans="1:12" x14ac:dyDescent="0.3">
      <c r="A844" s="2" t="s">
        <v>419</v>
      </c>
      <c r="B844" s="2" t="s">
        <v>495</v>
      </c>
      <c r="C844" s="2" t="s">
        <v>496</v>
      </c>
      <c r="D844" s="2" t="s">
        <v>302</v>
      </c>
      <c r="E844" s="2">
        <v>3</v>
      </c>
      <c r="F844" s="2" t="s">
        <v>796</v>
      </c>
      <c r="G844" s="5">
        <v>76.5</v>
      </c>
      <c r="H844" s="5">
        <v>81.5</v>
      </c>
      <c r="I844" s="5">
        <v>79.5</v>
      </c>
      <c r="J844" s="5">
        <v>80</v>
      </c>
      <c r="K844" s="5">
        <v>86.5</v>
      </c>
      <c r="L844" s="5">
        <v>80.8</v>
      </c>
    </row>
    <row r="845" spans="1:12" x14ac:dyDescent="0.3">
      <c r="A845" s="2" t="s">
        <v>419</v>
      </c>
      <c r="B845" s="2" t="s">
        <v>495</v>
      </c>
      <c r="C845" s="2" t="s">
        <v>496</v>
      </c>
      <c r="D845" s="2" t="s">
        <v>422</v>
      </c>
      <c r="E845" s="2">
        <v>4</v>
      </c>
      <c r="F845" s="2" t="s">
        <v>797</v>
      </c>
      <c r="G845" s="5">
        <v>87.44</v>
      </c>
      <c r="H845" s="5">
        <v>88.44</v>
      </c>
      <c r="I845" s="5">
        <v>89</v>
      </c>
      <c r="J845" s="5">
        <v>88</v>
      </c>
      <c r="K845" s="5">
        <v>85.5</v>
      </c>
      <c r="L845" s="5">
        <v>87.676000000000002</v>
      </c>
    </row>
    <row r="846" spans="1:12" x14ac:dyDescent="0.3">
      <c r="A846" s="2" t="s">
        <v>419</v>
      </c>
      <c r="B846" s="2" t="s">
        <v>497</v>
      </c>
      <c r="C846" s="2" t="s">
        <v>498</v>
      </c>
      <c r="D846" s="2" t="s">
        <v>64</v>
      </c>
      <c r="E846" s="2">
        <v>1</v>
      </c>
      <c r="F846" s="2" t="s">
        <v>791</v>
      </c>
      <c r="G846" s="5">
        <v>85.23</v>
      </c>
      <c r="H846" s="5">
        <v>85.23</v>
      </c>
      <c r="I846" s="5">
        <v>85.5</v>
      </c>
      <c r="J846" s="5">
        <v>81</v>
      </c>
      <c r="K846" s="5">
        <v>80.5</v>
      </c>
      <c r="L846" s="5">
        <v>83.492000000000004</v>
      </c>
    </row>
    <row r="847" spans="1:12" x14ac:dyDescent="0.3">
      <c r="A847" s="2" t="s">
        <v>419</v>
      </c>
      <c r="B847" s="2" t="s">
        <v>497</v>
      </c>
      <c r="C847" s="2" t="s">
        <v>498</v>
      </c>
      <c r="D847" s="2" t="s">
        <v>189</v>
      </c>
      <c r="E847" s="2">
        <v>2</v>
      </c>
      <c r="F847" s="2" t="s">
        <v>795</v>
      </c>
      <c r="G847" s="5">
        <v>79</v>
      </c>
      <c r="H847" s="5">
        <v>79</v>
      </c>
      <c r="I847" s="5">
        <v>84.5</v>
      </c>
      <c r="J847" s="5">
        <v>84</v>
      </c>
      <c r="K847" s="5">
        <v>87.85</v>
      </c>
      <c r="L847" s="5">
        <v>82.87</v>
      </c>
    </row>
    <row r="848" spans="1:12" x14ac:dyDescent="0.3">
      <c r="A848" s="2" t="s">
        <v>419</v>
      </c>
      <c r="B848" s="2" t="s">
        <v>497</v>
      </c>
      <c r="C848" s="2" t="s">
        <v>498</v>
      </c>
      <c r="D848" s="2" t="s">
        <v>302</v>
      </c>
      <c r="E848" s="2">
        <v>3</v>
      </c>
      <c r="F848" s="2" t="s">
        <v>796</v>
      </c>
      <c r="G848" s="5">
        <v>85</v>
      </c>
      <c r="H848" s="5">
        <v>88</v>
      </c>
      <c r="I848" s="5">
        <v>80.5</v>
      </c>
      <c r="J848" s="5">
        <v>77.5</v>
      </c>
      <c r="K848" s="5">
        <v>80.5</v>
      </c>
      <c r="L848" s="5">
        <v>82.3</v>
      </c>
    </row>
    <row r="849" spans="1:12" x14ac:dyDescent="0.3">
      <c r="A849" s="2" t="s">
        <v>419</v>
      </c>
      <c r="B849" s="2" t="s">
        <v>497</v>
      </c>
      <c r="C849" s="2" t="s">
        <v>498</v>
      </c>
      <c r="D849" s="2" t="s">
        <v>422</v>
      </c>
      <c r="E849" s="2">
        <v>4</v>
      </c>
      <c r="F849" s="2" t="s">
        <v>797</v>
      </c>
      <c r="G849" s="5">
        <v>86</v>
      </c>
      <c r="H849" s="5">
        <v>86</v>
      </c>
      <c r="I849" s="5">
        <v>87</v>
      </c>
      <c r="J849" s="5">
        <v>82.5</v>
      </c>
      <c r="K849" s="5">
        <v>83</v>
      </c>
      <c r="L849" s="5">
        <v>84.9</v>
      </c>
    </row>
    <row r="850" spans="1:12" x14ac:dyDescent="0.3">
      <c r="A850" s="2" t="s">
        <v>419</v>
      </c>
      <c r="B850" s="2" t="s">
        <v>499</v>
      </c>
      <c r="C850" s="2" t="s">
        <v>500</v>
      </c>
      <c r="D850" s="2" t="s">
        <v>64</v>
      </c>
      <c r="E850" s="2">
        <v>1</v>
      </c>
      <c r="F850" s="2" t="s">
        <v>791</v>
      </c>
      <c r="G850" s="5">
        <v>93.27</v>
      </c>
      <c r="H850" s="5">
        <v>94.27</v>
      </c>
      <c r="I850" s="5">
        <v>92</v>
      </c>
      <c r="J850" s="5">
        <v>96.5</v>
      </c>
      <c r="K850" s="5">
        <v>90.7</v>
      </c>
      <c r="L850" s="5">
        <v>93.347999999999985</v>
      </c>
    </row>
    <row r="851" spans="1:12" x14ac:dyDescent="0.3">
      <c r="A851" s="2" t="s">
        <v>419</v>
      </c>
      <c r="B851" s="2" t="s">
        <v>499</v>
      </c>
      <c r="C851" s="2" t="s">
        <v>500</v>
      </c>
      <c r="D851" s="2" t="s">
        <v>189</v>
      </c>
      <c r="E851" s="2">
        <v>2</v>
      </c>
      <c r="F851" s="2" t="s">
        <v>795</v>
      </c>
      <c r="G851" s="5">
        <v>91.5</v>
      </c>
      <c r="H851" s="5">
        <v>91.5</v>
      </c>
      <c r="I851" s="5">
        <v>99.5</v>
      </c>
      <c r="J851" s="5">
        <v>98.5</v>
      </c>
      <c r="K851" s="5">
        <v>98.41</v>
      </c>
      <c r="L851" s="5">
        <v>95.881999999999991</v>
      </c>
    </row>
    <row r="852" spans="1:12" x14ac:dyDescent="0.3">
      <c r="A852" s="2" t="s">
        <v>419</v>
      </c>
      <c r="B852" s="2" t="s">
        <v>499</v>
      </c>
      <c r="C852" s="2" t="s">
        <v>500</v>
      </c>
      <c r="D852" s="2" t="s">
        <v>302</v>
      </c>
      <c r="E852" s="2">
        <v>3</v>
      </c>
      <c r="F852" s="2" t="s">
        <v>796</v>
      </c>
      <c r="G852" s="5">
        <v>91.5</v>
      </c>
      <c r="H852" s="5">
        <v>93.5</v>
      </c>
      <c r="I852" s="5">
        <v>98</v>
      </c>
      <c r="J852" s="5">
        <v>97</v>
      </c>
      <c r="K852" s="5">
        <v>86.5</v>
      </c>
      <c r="L852" s="5">
        <v>93.3</v>
      </c>
    </row>
    <row r="853" spans="1:12" x14ac:dyDescent="0.3">
      <c r="A853" s="2" t="s">
        <v>419</v>
      </c>
      <c r="B853" s="2" t="s">
        <v>499</v>
      </c>
      <c r="C853" s="2" t="s">
        <v>500</v>
      </c>
      <c r="D853" s="2" t="s">
        <v>422</v>
      </c>
      <c r="E853" s="2">
        <v>4</v>
      </c>
      <c r="F853" s="2" t="s">
        <v>797</v>
      </c>
      <c r="G853" s="5">
        <v>92.63</v>
      </c>
      <c r="H853" s="5">
        <v>98.63</v>
      </c>
      <c r="I853" s="5">
        <v>96.5</v>
      </c>
      <c r="J853" s="5">
        <v>100</v>
      </c>
      <c r="K853" s="5">
        <v>98</v>
      </c>
      <c r="L853" s="5">
        <v>97.152000000000001</v>
      </c>
    </row>
    <row r="854" spans="1:12" x14ac:dyDescent="0.3">
      <c r="A854" s="2" t="s">
        <v>419</v>
      </c>
      <c r="B854" s="2" t="s">
        <v>501</v>
      </c>
      <c r="C854" s="2" t="s">
        <v>502</v>
      </c>
      <c r="D854" s="2" t="s">
        <v>64</v>
      </c>
      <c r="E854" s="2">
        <v>1</v>
      </c>
      <c r="F854" s="2" t="s">
        <v>791</v>
      </c>
      <c r="G854" s="5">
        <v>94.15</v>
      </c>
      <c r="H854" s="5">
        <v>95.15</v>
      </c>
      <c r="I854" s="5">
        <v>96</v>
      </c>
      <c r="J854" s="5">
        <v>95.5</v>
      </c>
      <c r="K854" s="5">
        <v>92.3</v>
      </c>
      <c r="L854" s="5">
        <v>94.62</v>
      </c>
    </row>
    <row r="855" spans="1:12" x14ac:dyDescent="0.3">
      <c r="A855" s="2" t="s">
        <v>419</v>
      </c>
      <c r="B855" s="2" t="s">
        <v>501</v>
      </c>
      <c r="C855" s="2" t="s">
        <v>502</v>
      </c>
      <c r="D855" s="2" t="s">
        <v>189</v>
      </c>
      <c r="E855" s="2">
        <v>2</v>
      </c>
      <c r="F855" s="2" t="s">
        <v>795</v>
      </c>
      <c r="G855" s="5">
        <v>93.5</v>
      </c>
      <c r="H855" s="5">
        <v>96.5</v>
      </c>
      <c r="I855" s="5">
        <v>96.5</v>
      </c>
      <c r="J855" s="5">
        <v>96.5</v>
      </c>
      <c r="K855" s="5">
        <v>98</v>
      </c>
      <c r="L855" s="5">
        <v>96.2</v>
      </c>
    </row>
    <row r="856" spans="1:12" x14ac:dyDescent="0.3">
      <c r="A856" s="2" t="s">
        <v>419</v>
      </c>
      <c r="B856" s="2" t="s">
        <v>501</v>
      </c>
      <c r="C856" s="2" t="s">
        <v>502</v>
      </c>
      <c r="D856" s="2" t="s">
        <v>302</v>
      </c>
      <c r="E856" s="2">
        <v>3</v>
      </c>
      <c r="F856" s="2" t="s">
        <v>796</v>
      </c>
      <c r="G856" s="5">
        <v>94.5</v>
      </c>
      <c r="H856" s="5">
        <v>95.5</v>
      </c>
      <c r="I856" s="5">
        <v>85.5</v>
      </c>
      <c r="J856" s="5">
        <v>87</v>
      </c>
      <c r="K856" s="5">
        <v>85</v>
      </c>
      <c r="L856" s="5">
        <v>89.5</v>
      </c>
    </row>
    <row r="857" spans="1:12" x14ac:dyDescent="0.3">
      <c r="A857" s="2" t="s">
        <v>419</v>
      </c>
      <c r="B857" s="2" t="s">
        <v>501</v>
      </c>
      <c r="C857" s="2" t="s">
        <v>502</v>
      </c>
      <c r="D857" s="2" t="s">
        <v>422</v>
      </c>
      <c r="E857" s="2">
        <v>4</v>
      </c>
      <c r="F857" s="2" t="s">
        <v>797</v>
      </c>
      <c r="G857" s="5">
        <v>92.13</v>
      </c>
      <c r="H857" s="5">
        <v>98.13</v>
      </c>
      <c r="I857" s="5">
        <v>96.5</v>
      </c>
      <c r="J857" s="5">
        <v>98.5</v>
      </c>
      <c r="K857" s="5">
        <v>96</v>
      </c>
      <c r="L857" s="5">
        <v>96.251999999999995</v>
      </c>
    </row>
    <row r="858" spans="1:12" x14ac:dyDescent="0.3">
      <c r="A858" s="2" t="s">
        <v>419</v>
      </c>
      <c r="B858" s="2" t="s">
        <v>503</v>
      </c>
      <c r="C858" s="2" t="s">
        <v>504</v>
      </c>
      <c r="D858" s="2" t="s">
        <v>64</v>
      </c>
      <c r="E858" s="2">
        <v>1</v>
      </c>
      <c r="F858" s="2" t="s">
        <v>791</v>
      </c>
      <c r="G858" s="5">
        <v>82.54</v>
      </c>
      <c r="H858" s="5">
        <v>88.54</v>
      </c>
      <c r="I858" s="5">
        <v>84</v>
      </c>
      <c r="J858" s="5">
        <v>81</v>
      </c>
      <c r="K858" s="5">
        <v>90.9</v>
      </c>
      <c r="L858" s="5">
        <v>85.396000000000001</v>
      </c>
    </row>
    <row r="859" spans="1:12" x14ac:dyDescent="0.3">
      <c r="A859" s="2" t="s">
        <v>419</v>
      </c>
      <c r="B859" s="2" t="s">
        <v>503</v>
      </c>
      <c r="C859" s="2" t="s">
        <v>504</v>
      </c>
      <c r="D859" s="2" t="s">
        <v>189</v>
      </c>
      <c r="E859" s="2">
        <v>2</v>
      </c>
      <c r="F859" s="2" t="s">
        <v>795</v>
      </c>
      <c r="G859" s="5">
        <v>91.5</v>
      </c>
      <c r="H859" s="5">
        <v>91.5</v>
      </c>
      <c r="I859" s="5">
        <v>86</v>
      </c>
      <c r="J859" s="5">
        <v>86.1</v>
      </c>
      <c r="K859" s="5">
        <v>88.78</v>
      </c>
      <c r="L859" s="5">
        <v>88.775999999999996</v>
      </c>
    </row>
    <row r="860" spans="1:12" x14ac:dyDescent="0.3">
      <c r="A860" s="2" t="s">
        <v>419</v>
      </c>
      <c r="B860" s="2" t="s">
        <v>503</v>
      </c>
      <c r="C860" s="2" t="s">
        <v>504</v>
      </c>
      <c r="D860" s="2" t="s">
        <v>302</v>
      </c>
      <c r="E860" s="2">
        <v>3</v>
      </c>
      <c r="F860" s="2" t="s">
        <v>796</v>
      </c>
      <c r="G860" s="5">
        <v>89</v>
      </c>
      <c r="H860" s="5">
        <v>90</v>
      </c>
      <c r="I860" s="5">
        <v>91.5</v>
      </c>
      <c r="J860" s="5">
        <v>85</v>
      </c>
      <c r="K860" s="5">
        <v>99.5</v>
      </c>
      <c r="L860" s="5">
        <v>91</v>
      </c>
    </row>
    <row r="861" spans="1:12" x14ac:dyDescent="0.3">
      <c r="A861" s="2" t="s">
        <v>419</v>
      </c>
      <c r="B861" s="2" t="s">
        <v>503</v>
      </c>
      <c r="C861" s="2" t="s">
        <v>504</v>
      </c>
      <c r="D861" s="2" t="s">
        <v>422</v>
      </c>
      <c r="E861" s="2">
        <v>4</v>
      </c>
      <c r="F861" s="2" t="s">
        <v>797</v>
      </c>
      <c r="G861" s="5">
        <v>77.38</v>
      </c>
      <c r="H861" s="5">
        <v>80.38</v>
      </c>
      <c r="I861" s="5">
        <v>85.5</v>
      </c>
      <c r="J861" s="5">
        <v>85.5</v>
      </c>
      <c r="K861" s="5">
        <v>91</v>
      </c>
      <c r="L861" s="5">
        <v>83.951999999999998</v>
      </c>
    </row>
    <row r="862" spans="1:12" x14ac:dyDescent="0.3">
      <c r="A862" s="2" t="s">
        <v>419</v>
      </c>
      <c r="B862" s="2" t="s">
        <v>505</v>
      </c>
      <c r="C862" s="2" t="s">
        <v>506</v>
      </c>
      <c r="D862" s="2" t="s">
        <v>64</v>
      </c>
      <c r="E862" s="2">
        <v>1</v>
      </c>
      <c r="F862" s="2" t="s">
        <v>791</v>
      </c>
      <c r="G862" s="5">
        <v>81.12</v>
      </c>
      <c r="H862" s="5">
        <v>83.12</v>
      </c>
      <c r="I862" s="5">
        <v>75</v>
      </c>
      <c r="J862" s="5">
        <v>71.5</v>
      </c>
      <c r="K862" s="5">
        <v>78.099999999999994</v>
      </c>
      <c r="L862" s="5">
        <v>77.768000000000001</v>
      </c>
    </row>
    <row r="863" spans="1:12" x14ac:dyDescent="0.3">
      <c r="A863" s="2" t="s">
        <v>419</v>
      </c>
      <c r="B863" s="2" t="s">
        <v>505</v>
      </c>
      <c r="C863" s="2" t="s">
        <v>506</v>
      </c>
      <c r="D863" s="2" t="s">
        <v>189</v>
      </c>
      <c r="E863" s="2">
        <v>2</v>
      </c>
      <c r="F863" s="2" t="s">
        <v>795</v>
      </c>
      <c r="G863" s="5">
        <v>73</v>
      </c>
      <c r="H863" s="5">
        <v>78</v>
      </c>
      <c r="I863" s="5">
        <v>87.5</v>
      </c>
      <c r="J863" s="5">
        <v>80.5</v>
      </c>
      <c r="K863" s="5">
        <v>88.04</v>
      </c>
      <c r="L863" s="5">
        <v>81.408000000000001</v>
      </c>
    </row>
    <row r="864" spans="1:12" x14ac:dyDescent="0.3">
      <c r="A864" s="2" t="s">
        <v>419</v>
      </c>
      <c r="B864" s="2" t="s">
        <v>505</v>
      </c>
      <c r="C864" s="2" t="s">
        <v>506</v>
      </c>
      <c r="D864" s="2" t="s">
        <v>302</v>
      </c>
      <c r="E864" s="2">
        <v>3</v>
      </c>
      <c r="F864" s="2" t="s">
        <v>796</v>
      </c>
      <c r="G864" s="5">
        <v>72.5</v>
      </c>
      <c r="H864" s="5">
        <v>78.5</v>
      </c>
      <c r="I864" s="5">
        <v>77</v>
      </c>
      <c r="J864" s="5">
        <v>80.5</v>
      </c>
      <c r="K864" s="5">
        <v>98</v>
      </c>
      <c r="L864" s="5">
        <v>81.3</v>
      </c>
    </row>
    <row r="865" spans="1:12" x14ac:dyDescent="0.3">
      <c r="A865" s="2" t="s">
        <v>419</v>
      </c>
      <c r="B865" s="2" t="s">
        <v>505</v>
      </c>
      <c r="C865" s="2" t="s">
        <v>506</v>
      </c>
      <c r="D865" s="2" t="s">
        <v>422</v>
      </c>
      <c r="E865" s="2">
        <v>4</v>
      </c>
      <c r="F865" s="2" t="s">
        <v>797</v>
      </c>
      <c r="G865" s="5">
        <v>85.13</v>
      </c>
      <c r="H865" s="5">
        <v>90.13</v>
      </c>
      <c r="I865" s="5">
        <v>88</v>
      </c>
      <c r="J865" s="5">
        <v>86.5</v>
      </c>
      <c r="K865" s="5">
        <v>91</v>
      </c>
      <c r="L865" s="5">
        <v>88.152000000000001</v>
      </c>
    </row>
    <row r="866" spans="1:12" x14ac:dyDescent="0.3">
      <c r="A866" s="2" t="s">
        <v>419</v>
      </c>
      <c r="B866" s="2" t="s">
        <v>507</v>
      </c>
      <c r="C866" s="2" t="s">
        <v>508</v>
      </c>
      <c r="D866" s="2" t="s">
        <v>64</v>
      </c>
      <c r="E866" s="2">
        <v>1</v>
      </c>
      <c r="F866" s="2" t="s">
        <v>791</v>
      </c>
      <c r="G866" s="5">
        <v>81.73</v>
      </c>
      <c r="H866" s="5">
        <v>86.73</v>
      </c>
      <c r="I866" s="5">
        <v>88</v>
      </c>
      <c r="J866" s="5">
        <v>87</v>
      </c>
      <c r="K866" s="5">
        <v>83.4</v>
      </c>
      <c r="L866" s="5">
        <v>85.372</v>
      </c>
    </row>
    <row r="867" spans="1:12" x14ac:dyDescent="0.3">
      <c r="A867" s="2" t="s">
        <v>419</v>
      </c>
      <c r="B867" s="2" t="s">
        <v>507</v>
      </c>
      <c r="C867" s="2" t="s">
        <v>508</v>
      </c>
      <c r="D867" s="2" t="s">
        <v>189</v>
      </c>
      <c r="E867" s="2">
        <v>2</v>
      </c>
      <c r="F867" s="2" t="s">
        <v>795</v>
      </c>
      <c r="G867" s="5">
        <v>88.5</v>
      </c>
      <c r="H867" s="5">
        <v>89.5</v>
      </c>
      <c r="I867" s="5">
        <v>93</v>
      </c>
      <c r="J867" s="5">
        <v>87.4</v>
      </c>
      <c r="K867" s="5">
        <v>89.37</v>
      </c>
      <c r="L867" s="5">
        <v>89.554000000000002</v>
      </c>
    </row>
    <row r="868" spans="1:12" x14ac:dyDescent="0.3">
      <c r="A868" s="2" t="s">
        <v>419</v>
      </c>
      <c r="B868" s="2" t="s">
        <v>507</v>
      </c>
      <c r="C868" s="2" t="s">
        <v>508</v>
      </c>
      <c r="D868" s="2" t="s">
        <v>302</v>
      </c>
      <c r="E868" s="2">
        <v>3</v>
      </c>
      <c r="F868" s="2" t="s">
        <v>796</v>
      </c>
      <c r="G868" s="5">
        <v>88</v>
      </c>
      <c r="H868" s="5">
        <v>90</v>
      </c>
      <c r="I868" s="5">
        <v>82</v>
      </c>
      <c r="J868" s="5">
        <v>73</v>
      </c>
      <c r="K868" s="5">
        <v>76</v>
      </c>
      <c r="L868" s="5">
        <v>81.8</v>
      </c>
    </row>
    <row r="869" spans="1:12" x14ac:dyDescent="0.3">
      <c r="A869" s="2" t="s">
        <v>419</v>
      </c>
      <c r="B869" s="2" t="s">
        <v>507</v>
      </c>
      <c r="C869" s="2" t="s">
        <v>508</v>
      </c>
      <c r="D869" s="2" t="s">
        <v>422</v>
      </c>
      <c r="E869" s="2">
        <v>4</v>
      </c>
      <c r="F869" s="2" t="s">
        <v>797</v>
      </c>
      <c r="G869" s="5">
        <v>78</v>
      </c>
      <c r="H869" s="5">
        <v>82</v>
      </c>
      <c r="I869" s="5">
        <v>84.5</v>
      </c>
      <c r="J869" s="5">
        <v>61</v>
      </c>
      <c r="K869" s="5">
        <v>72</v>
      </c>
      <c r="L869" s="5">
        <v>75.5</v>
      </c>
    </row>
    <row r="870" spans="1:12" x14ac:dyDescent="0.3">
      <c r="A870" s="2" t="s">
        <v>419</v>
      </c>
      <c r="B870" s="2" t="s">
        <v>509</v>
      </c>
      <c r="C870" s="2" t="s">
        <v>510</v>
      </c>
      <c r="D870" s="2" t="s">
        <v>64</v>
      </c>
      <c r="E870" s="2">
        <v>1</v>
      </c>
      <c r="F870" s="2" t="s">
        <v>791</v>
      </c>
      <c r="G870" s="5">
        <v>91.08</v>
      </c>
      <c r="H870" s="5">
        <v>92.08</v>
      </c>
      <c r="I870" s="5">
        <v>87.5</v>
      </c>
      <c r="J870" s="5">
        <v>95</v>
      </c>
      <c r="K870" s="5">
        <v>87.3</v>
      </c>
      <c r="L870" s="5">
        <v>90.591999999999999</v>
      </c>
    </row>
    <row r="871" spans="1:12" x14ac:dyDescent="0.3">
      <c r="A871" s="2" t="s">
        <v>419</v>
      </c>
      <c r="B871" s="2" t="s">
        <v>509</v>
      </c>
      <c r="C871" s="2" t="s">
        <v>510</v>
      </c>
      <c r="D871" s="2" t="s">
        <v>189</v>
      </c>
      <c r="E871" s="2">
        <v>2</v>
      </c>
      <c r="F871" s="2" t="s">
        <v>795</v>
      </c>
      <c r="G871" s="5">
        <v>90.5</v>
      </c>
      <c r="H871" s="5">
        <v>92.5</v>
      </c>
      <c r="I871" s="5">
        <v>100</v>
      </c>
      <c r="J871" s="5">
        <v>94</v>
      </c>
      <c r="K871" s="5">
        <v>96.85</v>
      </c>
      <c r="L871" s="5">
        <v>94.77000000000001</v>
      </c>
    </row>
    <row r="872" spans="1:12" x14ac:dyDescent="0.3">
      <c r="A872" s="2" t="s">
        <v>419</v>
      </c>
      <c r="B872" s="2" t="s">
        <v>509</v>
      </c>
      <c r="C872" s="2" t="s">
        <v>510</v>
      </c>
      <c r="D872" s="2" t="s">
        <v>302</v>
      </c>
      <c r="E872" s="2">
        <v>3</v>
      </c>
      <c r="F872" s="2" t="s">
        <v>796</v>
      </c>
      <c r="G872" s="5">
        <v>90</v>
      </c>
      <c r="H872" s="5">
        <v>96</v>
      </c>
      <c r="I872" s="5">
        <v>97</v>
      </c>
      <c r="J872" s="5">
        <v>93</v>
      </c>
      <c r="K872" s="5">
        <v>83</v>
      </c>
      <c r="L872" s="5">
        <v>91.8</v>
      </c>
    </row>
    <row r="873" spans="1:12" x14ac:dyDescent="0.3">
      <c r="A873" s="2" t="s">
        <v>419</v>
      </c>
      <c r="B873" s="2" t="s">
        <v>509</v>
      </c>
      <c r="C873" s="2" t="s">
        <v>510</v>
      </c>
      <c r="D873" s="2" t="s">
        <v>422</v>
      </c>
      <c r="E873" s="2">
        <v>4</v>
      </c>
      <c r="F873" s="2" t="s">
        <v>797</v>
      </c>
      <c r="G873" s="5">
        <v>92.38</v>
      </c>
      <c r="H873" s="5">
        <v>98.38</v>
      </c>
      <c r="I873" s="5">
        <v>99</v>
      </c>
      <c r="J873" s="5">
        <v>99</v>
      </c>
      <c r="K873" s="5">
        <v>97</v>
      </c>
      <c r="L873" s="5">
        <v>97.152000000000001</v>
      </c>
    </row>
    <row r="874" spans="1:12" x14ac:dyDescent="0.3">
      <c r="A874" s="2" t="s">
        <v>419</v>
      </c>
      <c r="B874" s="2" t="s">
        <v>511</v>
      </c>
      <c r="C874" s="2" t="s">
        <v>512</v>
      </c>
      <c r="D874" s="2" t="s">
        <v>64</v>
      </c>
      <c r="E874" s="2">
        <v>1</v>
      </c>
      <c r="F874" s="2" t="s">
        <v>791</v>
      </c>
      <c r="G874" s="5">
        <v>92.31</v>
      </c>
      <c r="H874" s="5">
        <v>96.31</v>
      </c>
      <c r="I874" s="5">
        <v>95.5</v>
      </c>
      <c r="J874" s="5">
        <v>97</v>
      </c>
      <c r="K874" s="5">
        <v>94.1</v>
      </c>
      <c r="L874" s="5">
        <v>95.044000000000011</v>
      </c>
    </row>
    <row r="875" spans="1:12" x14ac:dyDescent="0.3">
      <c r="A875" s="2" t="s">
        <v>419</v>
      </c>
      <c r="B875" s="2" t="s">
        <v>511</v>
      </c>
      <c r="C875" s="2" t="s">
        <v>512</v>
      </c>
      <c r="D875" s="2" t="s">
        <v>189</v>
      </c>
      <c r="E875" s="2">
        <v>2</v>
      </c>
      <c r="F875" s="2" t="s">
        <v>795</v>
      </c>
      <c r="G875" s="5">
        <v>90</v>
      </c>
      <c r="H875" s="5">
        <v>96</v>
      </c>
      <c r="I875" s="5">
        <v>99</v>
      </c>
      <c r="J875" s="5">
        <v>98.5</v>
      </c>
      <c r="K875" s="5">
        <v>98.59</v>
      </c>
      <c r="L875" s="5">
        <v>96.418000000000006</v>
      </c>
    </row>
    <row r="876" spans="1:12" x14ac:dyDescent="0.3">
      <c r="A876" s="2" t="s">
        <v>419</v>
      </c>
      <c r="B876" s="2" t="s">
        <v>511</v>
      </c>
      <c r="C876" s="2" t="s">
        <v>512</v>
      </c>
      <c r="D876" s="2" t="s">
        <v>302</v>
      </c>
      <c r="E876" s="2">
        <v>3</v>
      </c>
      <c r="F876" s="2" t="s">
        <v>796</v>
      </c>
      <c r="G876" s="5">
        <v>95</v>
      </c>
      <c r="H876" s="5">
        <v>96</v>
      </c>
      <c r="I876" s="5">
        <v>99.5</v>
      </c>
      <c r="J876" s="5">
        <v>98.5</v>
      </c>
      <c r="K876" s="5">
        <v>98.5</v>
      </c>
      <c r="L876" s="5">
        <v>97.5</v>
      </c>
    </row>
    <row r="877" spans="1:12" x14ac:dyDescent="0.3">
      <c r="A877" s="2" t="s">
        <v>419</v>
      </c>
      <c r="B877" s="2" t="s">
        <v>511</v>
      </c>
      <c r="C877" s="2" t="s">
        <v>512</v>
      </c>
      <c r="D877" s="2" t="s">
        <v>422</v>
      </c>
      <c r="E877" s="2">
        <v>4</v>
      </c>
      <c r="F877" s="2" t="s">
        <v>797</v>
      </c>
      <c r="G877" s="5">
        <v>95.94</v>
      </c>
      <c r="H877" s="5">
        <v>95.94</v>
      </c>
      <c r="I877" s="5">
        <v>97.5</v>
      </c>
      <c r="J877" s="5">
        <v>98.5</v>
      </c>
      <c r="K877" s="5">
        <v>95</v>
      </c>
      <c r="L877" s="5">
        <v>96.575999999999993</v>
      </c>
    </row>
    <row r="878" spans="1:12" x14ac:dyDescent="0.3">
      <c r="A878" s="2" t="s">
        <v>419</v>
      </c>
      <c r="B878" s="2" t="s">
        <v>513</v>
      </c>
      <c r="C878" s="2" t="s">
        <v>514</v>
      </c>
      <c r="D878" s="2" t="s">
        <v>64</v>
      </c>
      <c r="E878" s="2">
        <v>1</v>
      </c>
      <c r="F878" s="2" t="s">
        <v>791</v>
      </c>
      <c r="G878" s="5">
        <v>89.31</v>
      </c>
      <c r="H878" s="5">
        <v>89.31</v>
      </c>
      <c r="I878" s="5">
        <v>79</v>
      </c>
      <c r="J878" s="5">
        <v>91</v>
      </c>
      <c r="K878" s="5">
        <v>82.6</v>
      </c>
      <c r="L878" s="5">
        <v>86.244</v>
      </c>
    </row>
    <row r="879" spans="1:12" x14ac:dyDescent="0.3">
      <c r="A879" s="2" t="s">
        <v>419</v>
      </c>
      <c r="B879" s="2" t="s">
        <v>513</v>
      </c>
      <c r="C879" s="2" t="s">
        <v>514</v>
      </c>
      <c r="D879" s="2" t="s">
        <v>189</v>
      </c>
      <c r="E879" s="2">
        <v>2</v>
      </c>
      <c r="F879" s="2" t="s">
        <v>795</v>
      </c>
      <c r="G879" s="5">
        <v>87</v>
      </c>
      <c r="H879" s="5">
        <v>87</v>
      </c>
      <c r="I879" s="5">
        <v>97.5</v>
      </c>
      <c r="J879" s="5">
        <v>90</v>
      </c>
      <c r="K879" s="5">
        <v>92.74</v>
      </c>
      <c r="L879" s="5">
        <v>90.847999999999999</v>
      </c>
    </row>
    <row r="880" spans="1:12" x14ac:dyDescent="0.3">
      <c r="A880" s="2" t="s">
        <v>419</v>
      </c>
      <c r="B880" s="2" t="s">
        <v>513</v>
      </c>
      <c r="C880" s="2" t="s">
        <v>514</v>
      </c>
      <c r="D880" s="2" t="s">
        <v>302</v>
      </c>
      <c r="E880" s="2">
        <v>3</v>
      </c>
      <c r="F880" s="2" t="s">
        <v>796</v>
      </c>
      <c r="G880" s="5">
        <v>80</v>
      </c>
      <c r="H880" s="5">
        <v>81</v>
      </c>
      <c r="I880" s="5">
        <v>85.5</v>
      </c>
      <c r="J880" s="5">
        <v>91</v>
      </c>
      <c r="K880" s="5">
        <v>80.5</v>
      </c>
      <c r="L880" s="5">
        <v>83.6</v>
      </c>
    </row>
    <row r="881" spans="1:12" x14ac:dyDescent="0.3">
      <c r="A881" s="2" t="s">
        <v>419</v>
      </c>
      <c r="B881" s="2" t="s">
        <v>513</v>
      </c>
      <c r="C881" s="2" t="s">
        <v>514</v>
      </c>
      <c r="D881" s="2" t="s">
        <v>422</v>
      </c>
      <c r="E881" s="2">
        <v>4</v>
      </c>
      <c r="F881" s="2" t="s">
        <v>797</v>
      </c>
      <c r="G881" s="5">
        <v>85.06</v>
      </c>
      <c r="H881" s="5">
        <v>88.06</v>
      </c>
      <c r="I881" s="5">
        <v>89.5</v>
      </c>
      <c r="J881" s="5">
        <v>85.5</v>
      </c>
      <c r="K881" s="5">
        <v>88</v>
      </c>
      <c r="L881" s="5">
        <v>87.224000000000004</v>
      </c>
    </row>
    <row r="882" spans="1:12" x14ac:dyDescent="0.3">
      <c r="A882" s="2" t="s">
        <v>419</v>
      </c>
      <c r="B882" s="2" t="s">
        <v>515</v>
      </c>
      <c r="C882" s="2" t="s">
        <v>516</v>
      </c>
      <c r="D882" s="2" t="s">
        <v>64</v>
      </c>
      <c r="E882" s="2">
        <v>1</v>
      </c>
      <c r="F882" s="2" t="s">
        <v>791</v>
      </c>
      <c r="G882" s="5">
        <v>76.73</v>
      </c>
      <c r="H882" s="5">
        <v>80.73</v>
      </c>
      <c r="I882" s="5">
        <v>93</v>
      </c>
      <c r="J882" s="5">
        <v>73.5</v>
      </c>
      <c r="K882" s="5">
        <v>70.400000000000006</v>
      </c>
      <c r="L882" s="5">
        <v>78.872</v>
      </c>
    </row>
    <row r="883" spans="1:12" x14ac:dyDescent="0.3">
      <c r="A883" s="2" t="s">
        <v>419</v>
      </c>
      <c r="B883" s="2" t="s">
        <v>515</v>
      </c>
      <c r="C883" s="2" t="s">
        <v>516</v>
      </c>
      <c r="D883" s="2" t="s">
        <v>189</v>
      </c>
      <c r="E883" s="2">
        <v>2</v>
      </c>
      <c r="F883" s="2" t="s">
        <v>795</v>
      </c>
      <c r="G883" s="5">
        <v>91.5</v>
      </c>
      <c r="H883" s="5">
        <v>96.5</v>
      </c>
      <c r="I883" s="5">
        <v>88.5</v>
      </c>
      <c r="J883" s="5">
        <v>92.1</v>
      </c>
      <c r="K883" s="5">
        <v>92.89</v>
      </c>
      <c r="L883" s="5">
        <v>92.298000000000002</v>
      </c>
    </row>
    <row r="884" spans="1:12" x14ac:dyDescent="0.3">
      <c r="A884" s="2" t="s">
        <v>419</v>
      </c>
      <c r="B884" s="2" t="s">
        <v>515</v>
      </c>
      <c r="C884" s="2" t="s">
        <v>516</v>
      </c>
      <c r="D884" s="2" t="s">
        <v>302</v>
      </c>
      <c r="E884" s="2">
        <v>3</v>
      </c>
      <c r="F884" s="2" t="s">
        <v>796</v>
      </c>
      <c r="G884" s="5">
        <v>94</v>
      </c>
      <c r="H884" s="5">
        <v>97</v>
      </c>
      <c r="I884" s="5">
        <v>92.5</v>
      </c>
      <c r="J884" s="5">
        <v>94.5</v>
      </c>
      <c r="K884" s="5">
        <v>98.5</v>
      </c>
      <c r="L884" s="5">
        <v>95.3</v>
      </c>
    </row>
    <row r="885" spans="1:12" x14ac:dyDescent="0.3">
      <c r="A885" s="2" t="s">
        <v>419</v>
      </c>
      <c r="B885" s="2" t="s">
        <v>515</v>
      </c>
      <c r="C885" s="2" t="s">
        <v>516</v>
      </c>
      <c r="D885" s="2" t="s">
        <v>422</v>
      </c>
      <c r="E885" s="2">
        <v>4</v>
      </c>
      <c r="F885" s="2" t="s">
        <v>797</v>
      </c>
      <c r="G885" s="5">
        <v>83.44</v>
      </c>
      <c r="H885" s="5">
        <v>88.44</v>
      </c>
      <c r="I885" s="5">
        <v>96</v>
      </c>
      <c r="J885" s="5">
        <v>86.5</v>
      </c>
      <c r="K885" s="5">
        <v>85.5</v>
      </c>
      <c r="L885" s="5">
        <v>87.975999999999999</v>
      </c>
    </row>
    <row r="886" spans="1:12" x14ac:dyDescent="0.3">
      <c r="A886" s="2" t="s">
        <v>419</v>
      </c>
      <c r="B886" s="2" t="s">
        <v>517</v>
      </c>
      <c r="C886" s="2" t="s">
        <v>518</v>
      </c>
      <c r="D886" s="2" t="s">
        <v>64</v>
      </c>
      <c r="E886" s="2">
        <v>1</v>
      </c>
      <c r="F886" s="2" t="s">
        <v>791</v>
      </c>
      <c r="G886" s="5">
        <v>92.04</v>
      </c>
      <c r="H886" s="5">
        <v>94.04</v>
      </c>
      <c r="I886" s="5">
        <v>95.5</v>
      </c>
      <c r="J886" s="5">
        <v>97.5</v>
      </c>
      <c r="K886" s="5">
        <v>89.7</v>
      </c>
      <c r="L886" s="5">
        <v>93.756</v>
      </c>
    </row>
    <row r="887" spans="1:12" x14ac:dyDescent="0.3">
      <c r="A887" s="2" t="s">
        <v>419</v>
      </c>
      <c r="B887" s="2" t="s">
        <v>517</v>
      </c>
      <c r="C887" s="2" t="s">
        <v>518</v>
      </c>
      <c r="D887" s="2" t="s">
        <v>189</v>
      </c>
      <c r="E887" s="2">
        <v>2</v>
      </c>
      <c r="F887" s="2" t="s">
        <v>795</v>
      </c>
      <c r="G887" s="5">
        <v>93</v>
      </c>
      <c r="H887" s="5">
        <v>97</v>
      </c>
      <c r="I887" s="5">
        <v>99.5</v>
      </c>
      <c r="J887" s="5">
        <v>100</v>
      </c>
      <c r="K887" s="5">
        <v>99.11</v>
      </c>
      <c r="L887" s="5">
        <v>97.722000000000008</v>
      </c>
    </row>
    <row r="888" spans="1:12" x14ac:dyDescent="0.3">
      <c r="A888" s="2" t="s">
        <v>419</v>
      </c>
      <c r="B888" s="2" t="s">
        <v>517</v>
      </c>
      <c r="C888" s="2" t="s">
        <v>518</v>
      </c>
      <c r="D888" s="2" t="s">
        <v>302</v>
      </c>
      <c r="E888" s="2">
        <v>3</v>
      </c>
      <c r="F888" s="2" t="s">
        <v>796</v>
      </c>
      <c r="G888" s="5">
        <v>92.5</v>
      </c>
      <c r="H888" s="5">
        <v>96.5</v>
      </c>
      <c r="I888" s="5">
        <v>99</v>
      </c>
      <c r="J888" s="5">
        <v>96</v>
      </c>
      <c r="K888" s="5">
        <v>97</v>
      </c>
      <c r="L888" s="5">
        <v>96.2</v>
      </c>
    </row>
    <row r="889" spans="1:12" x14ac:dyDescent="0.3">
      <c r="A889" s="2" t="s">
        <v>419</v>
      </c>
      <c r="B889" s="2" t="s">
        <v>517</v>
      </c>
      <c r="C889" s="2" t="s">
        <v>518</v>
      </c>
      <c r="D889" s="2" t="s">
        <v>422</v>
      </c>
      <c r="E889" s="2">
        <v>4</v>
      </c>
      <c r="F889" s="2" t="s">
        <v>797</v>
      </c>
      <c r="G889" s="5">
        <v>92.19</v>
      </c>
      <c r="H889" s="5">
        <v>98.19</v>
      </c>
      <c r="I889" s="5">
        <v>98</v>
      </c>
      <c r="J889" s="5">
        <v>99.5</v>
      </c>
      <c r="K889" s="5">
        <v>98.5</v>
      </c>
      <c r="L889" s="5">
        <v>97.275999999999996</v>
      </c>
    </row>
    <row r="890" spans="1:12" x14ac:dyDescent="0.3">
      <c r="A890" s="2" t="s">
        <v>419</v>
      </c>
      <c r="B890" s="2" t="s">
        <v>519</v>
      </c>
      <c r="C890" s="2" t="s">
        <v>520</v>
      </c>
      <c r="D890" s="2" t="s">
        <v>64</v>
      </c>
      <c r="E890" s="2">
        <v>1</v>
      </c>
      <c r="F890" s="2" t="s">
        <v>791</v>
      </c>
      <c r="G890" s="5">
        <v>77.81</v>
      </c>
      <c r="H890" s="5">
        <v>83.81</v>
      </c>
      <c r="I890" s="5">
        <v>88</v>
      </c>
      <c r="J890" s="5">
        <v>82.5</v>
      </c>
      <c r="K890" s="5">
        <v>74.3</v>
      </c>
      <c r="L890" s="5">
        <v>81.284000000000006</v>
      </c>
    </row>
    <row r="891" spans="1:12" x14ac:dyDescent="0.3">
      <c r="A891" s="2" t="s">
        <v>419</v>
      </c>
      <c r="B891" s="2" t="s">
        <v>519</v>
      </c>
      <c r="C891" s="2" t="s">
        <v>520</v>
      </c>
      <c r="D891" s="2" t="s">
        <v>189</v>
      </c>
      <c r="E891" s="2">
        <v>2</v>
      </c>
      <c r="F891" s="2" t="s">
        <v>795</v>
      </c>
      <c r="G891" s="5">
        <v>84</v>
      </c>
      <c r="H891" s="5">
        <v>88</v>
      </c>
      <c r="I891" s="5">
        <v>93.5</v>
      </c>
      <c r="J891" s="5">
        <v>91.2</v>
      </c>
      <c r="K891" s="5">
        <v>92.89</v>
      </c>
      <c r="L891" s="5">
        <v>89.918000000000006</v>
      </c>
    </row>
    <row r="892" spans="1:12" x14ac:dyDescent="0.3">
      <c r="A892" s="2" t="s">
        <v>419</v>
      </c>
      <c r="B892" s="2" t="s">
        <v>519</v>
      </c>
      <c r="C892" s="2" t="s">
        <v>520</v>
      </c>
      <c r="D892" s="2" t="s">
        <v>302</v>
      </c>
      <c r="E892" s="2">
        <v>3</v>
      </c>
      <c r="F892" s="2" t="s">
        <v>796</v>
      </c>
      <c r="G892" s="5">
        <v>95</v>
      </c>
      <c r="H892" s="5">
        <v>95</v>
      </c>
      <c r="I892" s="5">
        <v>96</v>
      </c>
      <c r="J892" s="5">
        <v>91</v>
      </c>
      <c r="K892" s="5">
        <v>81.5</v>
      </c>
      <c r="L892" s="5">
        <v>91.7</v>
      </c>
    </row>
    <row r="893" spans="1:12" x14ac:dyDescent="0.3">
      <c r="A893" s="2" t="s">
        <v>419</v>
      </c>
      <c r="B893" s="2" t="s">
        <v>519</v>
      </c>
      <c r="C893" s="2" t="s">
        <v>520</v>
      </c>
      <c r="D893" s="2" t="s">
        <v>422</v>
      </c>
      <c r="E893" s="2">
        <v>4</v>
      </c>
      <c r="F893" s="2" t="s">
        <v>797</v>
      </c>
      <c r="G893" s="5">
        <v>92.38</v>
      </c>
      <c r="H893" s="5">
        <v>93.38</v>
      </c>
      <c r="I893" s="5">
        <v>98</v>
      </c>
      <c r="J893" s="5">
        <v>97.5</v>
      </c>
      <c r="K893" s="5">
        <v>96</v>
      </c>
      <c r="L893" s="5">
        <v>95.451999999999998</v>
      </c>
    </row>
    <row r="894" spans="1:12" x14ac:dyDescent="0.3">
      <c r="A894" s="2" t="s">
        <v>419</v>
      </c>
      <c r="B894" s="2" t="s">
        <v>521</v>
      </c>
      <c r="C894" s="2" t="s">
        <v>522</v>
      </c>
      <c r="D894" s="2" t="s">
        <v>64</v>
      </c>
      <c r="E894" s="2">
        <v>1</v>
      </c>
      <c r="F894" s="2" t="s">
        <v>791</v>
      </c>
      <c r="G894" s="5">
        <v>89</v>
      </c>
      <c r="H894" s="5">
        <v>95</v>
      </c>
      <c r="I894" s="5">
        <v>93.5</v>
      </c>
      <c r="J894" s="5">
        <v>97.5</v>
      </c>
      <c r="K894" s="5">
        <v>91</v>
      </c>
      <c r="L894" s="5">
        <v>93.2</v>
      </c>
    </row>
    <row r="895" spans="1:12" x14ac:dyDescent="0.3">
      <c r="A895" s="2" t="s">
        <v>419</v>
      </c>
      <c r="B895" s="2" t="s">
        <v>521</v>
      </c>
      <c r="C895" s="2" t="s">
        <v>522</v>
      </c>
      <c r="D895" s="2" t="s">
        <v>189</v>
      </c>
      <c r="E895" s="2">
        <v>2</v>
      </c>
      <c r="F895" s="2" t="s">
        <v>795</v>
      </c>
      <c r="G895" s="5">
        <v>94</v>
      </c>
      <c r="H895" s="5">
        <v>96</v>
      </c>
      <c r="I895" s="5">
        <v>100</v>
      </c>
      <c r="J895" s="5">
        <v>98.3</v>
      </c>
      <c r="K895" s="5">
        <v>98.56</v>
      </c>
      <c r="L895" s="5">
        <v>97.372</v>
      </c>
    </row>
    <row r="896" spans="1:12" x14ac:dyDescent="0.3">
      <c r="A896" s="2" t="s">
        <v>419</v>
      </c>
      <c r="B896" s="2" t="s">
        <v>521</v>
      </c>
      <c r="C896" s="2" t="s">
        <v>522</v>
      </c>
      <c r="D896" s="2" t="s">
        <v>302</v>
      </c>
      <c r="E896" s="2">
        <v>3</v>
      </c>
      <c r="F896" s="2" t="s">
        <v>796</v>
      </c>
      <c r="G896" s="5">
        <v>94</v>
      </c>
      <c r="H896" s="5">
        <v>96</v>
      </c>
      <c r="I896" s="5">
        <v>100</v>
      </c>
      <c r="J896" s="5">
        <v>99.5</v>
      </c>
      <c r="K896" s="5">
        <v>86.5</v>
      </c>
      <c r="L896" s="5">
        <v>95.2</v>
      </c>
    </row>
    <row r="897" spans="1:12" x14ac:dyDescent="0.3">
      <c r="A897" s="2" t="s">
        <v>419</v>
      </c>
      <c r="B897" s="2" t="s">
        <v>521</v>
      </c>
      <c r="C897" s="2" t="s">
        <v>522</v>
      </c>
      <c r="D897" s="2" t="s">
        <v>422</v>
      </c>
      <c r="E897" s="2">
        <v>4</v>
      </c>
      <c r="F897" s="2" t="s">
        <v>797</v>
      </c>
      <c r="G897" s="5">
        <v>94.25</v>
      </c>
      <c r="H897" s="5">
        <v>98.25</v>
      </c>
      <c r="I897" s="5">
        <v>97</v>
      </c>
      <c r="J897" s="5">
        <v>100</v>
      </c>
      <c r="K897" s="5">
        <v>99</v>
      </c>
      <c r="L897" s="5">
        <v>97.7</v>
      </c>
    </row>
    <row r="898" spans="1:12" x14ac:dyDescent="0.3">
      <c r="A898" s="2" t="s">
        <v>419</v>
      </c>
      <c r="B898" s="2" t="s">
        <v>523</v>
      </c>
      <c r="C898" s="2" t="s">
        <v>524</v>
      </c>
      <c r="D898" s="2" t="s">
        <v>64</v>
      </c>
      <c r="E898" s="2">
        <v>1</v>
      </c>
      <c r="F898" s="2" t="s">
        <v>791</v>
      </c>
      <c r="G898" s="5">
        <v>77.459999999999994</v>
      </c>
      <c r="H898" s="5">
        <v>81.459999999999994</v>
      </c>
      <c r="I898" s="5">
        <v>89</v>
      </c>
      <c r="J898" s="5">
        <v>70</v>
      </c>
      <c r="K898" s="5">
        <v>68.400000000000006</v>
      </c>
      <c r="L898" s="5">
        <v>77.263999999999982</v>
      </c>
    </row>
    <row r="899" spans="1:12" x14ac:dyDescent="0.3">
      <c r="A899" s="2" t="s">
        <v>419</v>
      </c>
      <c r="B899" s="2" t="s">
        <v>523</v>
      </c>
      <c r="C899" s="2" t="s">
        <v>524</v>
      </c>
      <c r="D899" s="2" t="s">
        <v>189</v>
      </c>
      <c r="E899" s="2">
        <v>2</v>
      </c>
      <c r="F899" s="2" t="s">
        <v>795</v>
      </c>
      <c r="G899" s="5">
        <v>85.5</v>
      </c>
      <c r="H899" s="5">
        <v>91.5</v>
      </c>
      <c r="I899" s="5">
        <v>76.5</v>
      </c>
      <c r="J899" s="5">
        <v>85.1</v>
      </c>
      <c r="K899" s="5">
        <v>90.19</v>
      </c>
      <c r="L899" s="5">
        <v>85.757999999999996</v>
      </c>
    </row>
    <row r="900" spans="1:12" x14ac:dyDescent="0.3">
      <c r="A900" s="2" t="s">
        <v>419</v>
      </c>
      <c r="B900" s="2" t="s">
        <v>523</v>
      </c>
      <c r="C900" s="2" t="s">
        <v>524</v>
      </c>
      <c r="D900" s="2" t="s">
        <v>302</v>
      </c>
      <c r="E900" s="2">
        <v>3</v>
      </c>
      <c r="F900" s="2" t="s">
        <v>796</v>
      </c>
      <c r="G900" s="5">
        <v>90</v>
      </c>
      <c r="H900" s="5">
        <v>91</v>
      </c>
      <c r="I900" s="5">
        <v>85.5</v>
      </c>
      <c r="J900" s="5">
        <v>81</v>
      </c>
      <c r="K900" s="5">
        <v>87</v>
      </c>
      <c r="L900" s="5">
        <v>86.9</v>
      </c>
    </row>
    <row r="901" spans="1:12" x14ac:dyDescent="0.3">
      <c r="A901" s="2" t="s">
        <v>419</v>
      </c>
      <c r="B901" s="2" t="s">
        <v>523</v>
      </c>
      <c r="C901" s="2" t="s">
        <v>524</v>
      </c>
      <c r="D901" s="2" t="s">
        <v>422</v>
      </c>
      <c r="E901" s="2">
        <v>4</v>
      </c>
      <c r="F901" s="2" t="s">
        <v>797</v>
      </c>
      <c r="G901" s="5">
        <v>84.75</v>
      </c>
      <c r="H901" s="5">
        <v>90.75</v>
      </c>
      <c r="I901" s="5">
        <v>97</v>
      </c>
      <c r="J901" s="5">
        <v>86.5</v>
      </c>
      <c r="K901" s="5">
        <v>86.5</v>
      </c>
      <c r="L901" s="5">
        <v>89.1</v>
      </c>
    </row>
    <row r="902" spans="1:12" x14ac:dyDescent="0.3">
      <c r="A902" s="2" t="s">
        <v>419</v>
      </c>
      <c r="B902" s="2" t="s">
        <v>525</v>
      </c>
      <c r="C902" s="2" t="s">
        <v>526</v>
      </c>
      <c r="D902" s="2" t="s">
        <v>64</v>
      </c>
      <c r="E902" s="2">
        <v>1</v>
      </c>
      <c r="F902" s="2" t="s">
        <v>791</v>
      </c>
      <c r="G902" s="5">
        <v>84.46</v>
      </c>
      <c r="H902" s="5">
        <v>89.46</v>
      </c>
      <c r="I902" s="5">
        <v>91</v>
      </c>
      <c r="J902" s="5">
        <v>83.5</v>
      </c>
      <c r="K902" s="5">
        <v>87.5</v>
      </c>
      <c r="L902" s="5">
        <v>87.183999999999997</v>
      </c>
    </row>
    <row r="903" spans="1:12" x14ac:dyDescent="0.3">
      <c r="A903" s="2" t="s">
        <v>419</v>
      </c>
      <c r="B903" s="2" t="s">
        <v>525</v>
      </c>
      <c r="C903" s="2" t="s">
        <v>526</v>
      </c>
      <c r="D903" s="2" t="s">
        <v>189</v>
      </c>
      <c r="E903" s="2">
        <v>2</v>
      </c>
      <c r="F903" s="2" t="s">
        <v>795</v>
      </c>
      <c r="G903" s="5">
        <v>86.5</v>
      </c>
      <c r="H903" s="5">
        <v>91.5</v>
      </c>
      <c r="I903" s="5">
        <v>91.5</v>
      </c>
      <c r="J903" s="5">
        <v>88.8</v>
      </c>
      <c r="K903" s="5">
        <v>91.85</v>
      </c>
      <c r="L903" s="5">
        <v>90.03</v>
      </c>
    </row>
    <row r="904" spans="1:12" x14ac:dyDescent="0.3">
      <c r="A904" s="2" t="s">
        <v>419</v>
      </c>
      <c r="B904" s="2" t="s">
        <v>525</v>
      </c>
      <c r="C904" s="2" t="s">
        <v>526</v>
      </c>
      <c r="D904" s="2" t="s">
        <v>302</v>
      </c>
      <c r="E904" s="2">
        <v>3</v>
      </c>
      <c r="F904" s="2" t="s">
        <v>796</v>
      </c>
      <c r="G904" s="5">
        <v>93.5</v>
      </c>
      <c r="H904" s="5">
        <v>97.5</v>
      </c>
      <c r="I904" s="5">
        <v>92.5</v>
      </c>
      <c r="J904" s="5">
        <v>89.5</v>
      </c>
      <c r="K904" s="5">
        <v>92.5</v>
      </c>
      <c r="L904" s="5">
        <v>93.1</v>
      </c>
    </row>
    <row r="905" spans="1:12" x14ac:dyDescent="0.3">
      <c r="A905" s="2" t="s">
        <v>419</v>
      </c>
      <c r="B905" s="2" t="s">
        <v>525</v>
      </c>
      <c r="C905" s="2" t="s">
        <v>526</v>
      </c>
      <c r="D905" s="2" t="s">
        <v>422</v>
      </c>
      <c r="E905" s="2">
        <v>4</v>
      </c>
      <c r="F905" s="2" t="s">
        <v>797</v>
      </c>
      <c r="G905" s="5">
        <v>86.38</v>
      </c>
      <c r="H905" s="5">
        <v>86.38</v>
      </c>
      <c r="I905" s="5">
        <v>99</v>
      </c>
      <c r="J905" s="5">
        <v>91</v>
      </c>
      <c r="K905" s="5">
        <v>87.5</v>
      </c>
      <c r="L905" s="5">
        <v>90.051999999999992</v>
      </c>
    </row>
    <row r="906" spans="1:12" x14ac:dyDescent="0.3">
      <c r="A906" s="2" t="s">
        <v>419</v>
      </c>
      <c r="B906" s="2" t="s">
        <v>527</v>
      </c>
      <c r="C906" s="2" t="s">
        <v>528</v>
      </c>
      <c r="D906" s="2" t="s">
        <v>64</v>
      </c>
      <c r="E906" s="2">
        <v>1</v>
      </c>
      <c r="F906" s="2" t="s">
        <v>791</v>
      </c>
      <c r="G906" s="5">
        <v>95.5</v>
      </c>
      <c r="H906" s="5">
        <v>95.5</v>
      </c>
      <c r="I906" s="5">
        <v>93</v>
      </c>
      <c r="J906" s="5">
        <v>95.5</v>
      </c>
      <c r="K906" s="5">
        <v>94.1</v>
      </c>
      <c r="L906" s="5">
        <v>94.72</v>
      </c>
    </row>
    <row r="907" spans="1:12" x14ac:dyDescent="0.3">
      <c r="A907" s="2" t="s">
        <v>419</v>
      </c>
      <c r="B907" s="2" t="s">
        <v>527</v>
      </c>
      <c r="C907" s="2" t="s">
        <v>528</v>
      </c>
      <c r="D907" s="2" t="s">
        <v>189</v>
      </c>
      <c r="E907" s="2">
        <v>2</v>
      </c>
      <c r="F907" s="2" t="s">
        <v>795</v>
      </c>
      <c r="G907" s="5">
        <v>90.5</v>
      </c>
      <c r="H907" s="5">
        <v>96.5</v>
      </c>
      <c r="I907" s="5">
        <v>100</v>
      </c>
      <c r="J907" s="5">
        <v>99.1</v>
      </c>
      <c r="K907" s="5">
        <v>99</v>
      </c>
      <c r="L907" s="5">
        <v>97.02000000000001</v>
      </c>
    </row>
    <row r="908" spans="1:12" x14ac:dyDescent="0.3">
      <c r="A908" s="2" t="s">
        <v>419</v>
      </c>
      <c r="B908" s="2" t="s">
        <v>527</v>
      </c>
      <c r="C908" s="2" t="s">
        <v>528</v>
      </c>
      <c r="D908" s="2" t="s">
        <v>302</v>
      </c>
      <c r="E908" s="2">
        <v>3</v>
      </c>
      <c r="F908" s="2" t="s">
        <v>796</v>
      </c>
      <c r="G908" s="5">
        <v>94</v>
      </c>
      <c r="H908" s="5">
        <v>96</v>
      </c>
      <c r="I908" s="5">
        <v>100</v>
      </c>
      <c r="J908" s="5">
        <v>98</v>
      </c>
      <c r="K908" s="5">
        <v>92.5</v>
      </c>
      <c r="L908" s="5">
        <v>96.1</v>
      </c>
    </row>
    <row r="909" spans="1:12" x14ac:dyDescent="0.3">
      <c r="A909" s="2" t="s">
        <v>419</v>
      </c>
      <c r="B909" s="2" t="s">
        <v>527</v>
      </c>
      <c r="C909" s="2" t="s">
        <v>528</v>
      </c>
      <c r="D909" s="2" t="s">
        <v>422</v>
      </c>
      <c r="E909" s="2">
        <v>4</v>
      </c>
      <c r="F909" s="2" t="s">
        <v>797</v>
      </c>
      <c r="G909" s="5">
        <v>93.38</v>
      </c>
      <c r="H909" s="5">
        <v>96.38</v>
      </c>
      <c r="I909" s="5">
        <v>94.5</v>
      </c>
      <c r="J909" s="5">
        <v>96.5</v>
      </c>
      <c r="K909" s="5">
        <v>93</v>
      </c>
      <c r="L909" s="5">
        <v>94.751999999999995</v>
      </c>
    </row>
    <row r="910" spans="1:12" x14ac:dyDescent="0.3">
      <c r="A910" s="2" t="s">
        <v>419</v>
      </c>
      <c r="B910" s="2" t="s">
        <v>529</v>
      </c>
      <c r="C910" s="2" t="s">
        <v>530</v>
      </c>
      <c r="D910" s="2" t="s">
        <v>64</v>
      </c>
      <c r="E910" s="2">
        <v>1</v>
      </c>
      <c r="F910" s="2" t="s">
        <v>791</v>
      </c>
      <c r="G910" s="5">
        <v>82.89</v>
      </c>
      <c r="H910" s="5">
        <v>86.89</v>
      </c>
      <c r="I910" s="5">
        <v>89.5</v>
      </c>
      <c r="J910" s="5">
        <v>89.5</v>
      </c>
      <c r="K910" s="5">
        <v>74.400000000000006</v>
      </c>
      <c r="L910" s="5">
        <v>84.635999999999996</v>
      </c>
    </row>
    <row r="911" spans="1:12" x14ac:dyDescent="0.3">
      <c r="A911" s="2" t="s">
        <v>419</v>
      </c>
      <c r="B911" s="2" t="s">
        <v>529</v>
      </c>
      <c r="C911" s="2" t="s">
        <v>530</v>
      </c>
      <c r="D911" s="2" t="s">
        <v>189</v>
      </c>
      <c r="E911" s="2">
        <v>2</v>
      </c>
      <c r="F911" s="2" t="s">
        <v>795</v>
      </c>
      <c r="G911" s="5">
        <v>85</v>
      </c>
      <c r="H911" s="5">
        <v>91</v>
      </c>
      <c r="I911" s="5">
        <v>93.5</v>
      </c>
      <c r="J911" s="5">
        <v>92.3</v>
      </c>
      <c r="K911" s="5">
        <v>94.37</v>
      </c>
      <c r="L911" s="5">
        <v>91.234000000000009</v>
      </c>
    </row>
    <row r="912" spans="1:12" x14ac:dyDescent="0.3">
      <c r="A912" s="2" t="s">
        <v>419</v>
      </c>
      <c r="B912" s="2" t="s">
        <v>529</v>
      </c>
      <c r="C912" s="2" t="s">
        <v>530</v>
      </c>
      <c r="D912" s="2" t="s">
        <v>302</v>
      </c>
      <c r="E912" s="2">
        <v>3</v>
      </c>
      <c r="F912" s="2" t="s">
        <v>796</v>
      </c>
      <c r="G912" s="5">
        <v>92.5</v>
      </c>
      <c r="H912" s="5">
        <v>96.5</v>
      </c>
      <c r="I912" s="5">
        <v>96</v>
      </c>
      <c r="J912" s="5">
        <v>87</v>
      </c>
      <c r="K912" s="5">
        <v>77</v>
      </c>
      <c r="L912" s="5">
        <v>89.8</v>
      </c>
    </row>
    <row r="913" spans="1:12" x14ac:dyDescent="0.3">
      <c r="A913" s="2" t="s">
        <v>419</v>
      </c>
      <c r="B913" s="2" t="s">
        <v>529</v>
      </c>
      <c r="C913" s="2" t="s">
        <v>530</v>
      </c>
      <c r="D913" s="2" t="s">
        <v>422</v>
      </c>
      <c r="E913" s="2">
        <v>4</v>
      </c>
      <c r="F913" s="2" t="s">
        <v>797</v>
      </c>
      <c r="G913" s="5">
        <v>89.75</v>
      </c>
      <c r="H913" s="5">
        <v>94.75</v>
      </c>
      <c r="I913" s="5">
        <v>97.5</v>
      </c>
      <c r="J913" s="5">
        <v>93.5</v>
      </c>
      <c r="K913" s="5">
        <v>93.5</v>
      </c>
      <c r="L913" s="5">
        <v>93.8</v>
      </c>
    </row>
    <row r="914" spans="1:12" x14ac:dyDescent="0.3">
      <c r="A914" s="2" t="s">
        <v>419</v>
      </c>
      <c r="B914" s="2" t="s">
        <v>531</v>
      </c>
      <c r="C914" s="2" t="s">
        <v>532</v>
      </c>
      <c r="D914" s="2" t="s">
        <v>64</v>
      </c>
      <c r="E914" s="2">
        <v>1</v>
      </c>
      <c r="F914" s="2" t="s">
        <v>791</v>
      </c>
      <c r="G914" s="5">
        <v>94</v>
      </c>
      <c r="H914" s="5">
        <v>94</v>
      </c>
      <c r="I914" s="5">
        <v>92.5</v>
      </c>
      <c r="J914" s="5">
        <v>94.5</v>
      </c>
      <c r="K914" s="5">
        <v>91.3</v>
      </c>
      <c r="L914" s="5">
        <v>93.26</v>
      </c>
    </row>
    <row r="915" spans="1:12" x14ac:dyDescent="0.3">
      <c r="A915" s="2" t="s">
        <v>419</v>
      </c>
      <c r="B915" s="2" t="s">
        <v>531</v>
      </c>
      <c r="C915" s="2" t="s">
        <v>532</v>
      </c>
      <c r="D915" s="2" t="s">
        <v>189</v>
      </c>
      <c r="E915" s="2">
        <v>2</v>
      </c>
      <c r="F915" s="2" t="s">
        <v>795</v>
      </c>
      <c r="G915" s="5">
        <v>88.5</v>
      </c>
      <c r="H915" s="5">
        <v>88.5</v>
      </c>
      <c r="I915" s="5">
        <v>99</v>
      </c>
      <c r="J915" s="5">
        <v>94.7</v>
      </c>
      <c r="K915" s="5">
        <v>95.89</v>
      </c>
      <c r="L915" s="5">
        <v>93.318000000000012</v>
      </c>
    </row>
    <row r="916" spans="1:12" x14ac:dyDescent="0.3">
      <c r="A916" s="2" t="s">
        <v>419</v>
      </c>
      <c r="B916" s="2" t="s">
        <v>531</v>
      </c>
      <c r="C916" s="2" t="s">
        <v>532</v>
      </c>
      <c r="D916" s="2" t="s">
        <v>302</v>
      </c>
      <c r="E916" s="2">
        <v>3</v>
      </c>
      <c r="F916" s="2" t="s">
        <v>796</v>
      </c>
      <c r="G916" s="5">
        <v>85.5</v>
      </c>
      <c r="H916" s="5">
        <v>90.5</v>
      </c>
      <c r="I916" s="5">
        <v>97.5</v>
      </c>
      <c r="J916" s="5">
        <v>91.5</v>
      </c>
      <c r="K916" s="5">
        <v>83</v>
      </c>
      <c r="L916" s="5">
        <v>89.6</v>
      </c>
    </row>
    <row r="917" spans="1:12" x14ac:dyDescent="0.3">
      <c r="A917" s="2" t="s">
        <v>419</v>
      </c>
      <c r="B917" s="2" t="s">
        <v>531</v>
      </c>
      <c r="C917" s="2" t="s">
        <v>532</v>
      </c>
      <c r="D917" s="2" t="s">
        <v>422</v>
      </c>
      <c r="E917" s="2">
        <v>4</v>
      </c>
      <c r="F917" s="2" t="s">
        <v>797</v>
      </c>
      <c r="G917" s="5">
        <v>95</v>
      </c>
      <c r="H917" s="5">
        <v>97</v>
      </c>
      <c r="I917" s="5">
        <v>97</v>
      </c>
      <c r="J917" s="5">
        <v>97.5</v>
      </c>
      <c r="K917" s="5">
        <v>97</v>
      </c>
      <c r="L917" s="5">
        <v>96.7</v>
      </c>
    </row>
    <row r="918" spans="1:12" x14ac:dyDescent="0.3">
      <c r="A918" s="2" t="s">
        <v>419</v>
      </c>
      <c r="B918" s="2" t="s">
        <v>533</v>
      </c>
      <c r="C918" s="2" t="s">
        <v>534</v>
      </c>
      <c r="D918" s="2" t="s">
        <v>64</v>
      </c>
      <c r="E918" s="2">
        <v>1</v>
      </c>
      <c r="F918" s="2" t="s">
        <v>791</v>
      </c>
      <c r="G918" s="5">
        <v>85.39</v>
      </c>
      <c r="H918" s="5">
        <v>90.39</v>
      </c>
      <c r="I918" s="5">
        <v>85.5</v>
      </c>
      <c r="J918" s="5">
        <v>95.5</v>
      </c>
      <c r="K918" s="5">
        <v>84.2</v>
      </c>
      <c r="L918" s="5">
        <v>88.195999999999998</v>
      </c>
    </row>
    <row r="919" spans="1:12" x14ac:dyDescent="0.3">
      <c r="A919" s="2" t="s">
        <v>419</v>
      </c>
      <c r="B919" s="2" t="s">
        <v>533</v>
      </c>
      <c r="C919" s="2" t="s">
        <v>534</v>
      </c>
      <c r="D919" s="2" t="s">
        <v>189</v>
      </c>
      <c r="E919" s="2">
        <v>2</v>
      </c>
      <c r="F919" s="2" t="s">
        <v>795</v>
      </c>
      <c r="G919" s="5">
        <v>86.5</v>
      </c>
      <c r="H919" s="5">
        <v>87.5</v>
      </c>
      <c r="I919" s="5">
        <v>98</v>
      </c>
      <c r="J919" s="5">
        <v>94.6</v>
      </c>
      <c r="K919" s="5">
        <v>95.7</v>
      </c>
      <c r="L919" s="5">
        <v>92.460000000000008</v>
      </c>
    </row>
    <row r="920" spans="1:12" x14ac:dyDescent="0.3">
      <c r="A920" s="2" t="s">
        <v>419</v>
      </c>
      <c r="B920" s="2" t="s">
        <v>533</v>
      </c>
      <c r="C920" s="2" t="s">
        <v>534</v>
      </c>
      <c r="D920" s="2" t="s">
        <v>302</v>
      </c>
      <c r="E920" s="2">
        <v>3</v>
      </c>
      <c r="F920" s="2" t="s">
        <v>796</v>
      </c>
      <c r="G920" s="5">
        <v>91</v>
      </c>
      <c r="H920" s="5">
        <v>94</v>
      </c>
      <c r="I920" s="5">
        <v>98</v>
      </c>
      <c r="J920" s="5">
        <v>97</v>
      </c>
      <c r="K920" s="5">
        <v>85.5</v>
      </c>
      <c r="L920" s="5">
        <v>93.1</v>
      </c>
    </row>
    <row r="921" spans="1:12" x14ac:dyDescent="0.3">
      <c r="A921" s="2" t="s">
        <v>419</v>
      </c>
      <c r="B921" s="2" t="s">
        <v>533</v>
      </c>
      <c r="C921" s="2" t="s">
        <v>534</v>
      </c>
      <c r="D921" s="2" t="s">
        <v>422</v>
      </c>
      <c r="E921" s="2">
        <v>4</v>
      </c>
      <c r="F921" s="2" t="s">
        <v>797</v>
      </c>
      <c r="G921" s="5">
        <v>89.19</v>
      </c>
      <c r="H921" s="5">
        <v>92.19</v>
      </c>
      <c r="I921" s="5">
        <v>93</v>
      </c>
      <c r="J921" s="5">
        <v>96.5</v>
      </c>
      <c r="K921" s="5">
        <v>96.5</v>
      </c>
      <c r="L921" s="5">
        <v>93.475999999999999</v>
      </c>
    </row>
    <row r="922" spans="1:12" x14ac:dyDescent="0.3">
      <c r="A922" s="2" t="s">
        <v>419</v>
      </c>
      <c r="B922" s="2" t="s">
        <v>535</v>
      </c>
      <c r="C922" s="2" t="s">
        <v>536</v>
      </c>
      <c r="D922" s="2" t="s">
        <v>64</v>
      </c>
      <c r="E922" s="2">
        <v>1</v>
      </c>
      <c r="F922" s="2" t="s">
        <v>791</v>
      </c>
      <c r="G922" s="5">
        <v>82.89</v>
      </c>
      <c r="H922" s="5">
        <v>85.89</v>
      </c>
      <c r="I922" s="5">
        <v>90</v>
      </c>
      <c r="J922" s="5">
        <v>78</v>
      </c>
      <c r="K922" s="5">
        <v>76</v>
      </c>
      <c r="L922" s="5">
        <v>82.555999999999997</v>
      </c>
    </row>
    <row r="923" spans="1:12" x14ac:dyDescent="0.3">
      <c r="A923" s="2" t="s">
        <v>419</v>
      </c>
      <c r="B923" s="2" t="s">
        <v>535</v>
      </c>
      <c r="C923" s="2" t="s">
        <v>536</v>
      </c>
      <c r="D923" s="2" t="s">
        <v>189</v>
      </c>
      <c r="E923" s="2">
        <v>2</v>
      </c>
      <c r="F923" s="2" t="s">
        <v>795</v>
      </c>
      <c r="G923" s="5">
        <v>88</v>
      </c>
      <c r="H923" s="5">
        <v>94</v>
      </c>
      <c r="I923" s="5">
        <v>87.5</v>
      </c>
      <c r="J923" s="5">
        <v>90.9</v>
      </c>
      <c r="K923" s="5">
        <v>93.19</v>
      </c>
      <c r="L923" s="5">
        <v>90.718000000000004</v>
      </c>
    </row>
    <row r="924" spans="1:12" x14ac:dyDescent="0.3">
      <c r="A924" s="2" t="s">
        <v>419</v>
      </c>
      <c r="B924" s="2" t="s">
        <v>535</v>
      </c>
      <c r="C924" s="2" t="s">
        <v>536</v>
      </c>
      <c r="D924" s="2" t="s">
        <v>302</v>
      </c>
      <c r="E924" s="2">
        <v>3</v>
      </c>
      <c r="F924" s="2" t="s">
        <v>796</v>
      </c>
      <c r="G924" s="5">
        <v>97</v>
      </c>
      <c r="H924" s="5">
        <v>97</v>
      </c>
      <c r="I924" s="5">
        <v>92</v>
      </c>
      <c r="J924" s="5">
        <v>90</v>
      </c>
      <c r="K924" s="5">
        <v>99</v>
      </c>
      <c r="L924" s="5">
        <v>95</v>
      </c>
    </row>
    <row r="925" spans="1:12" x14ac:dyDescent="0.3">
      <c r="A925" s="2" t="s">
        <v>419</v>
      </c>
      <c r="B925" s="2" t="s">
        <v>535</v>
      </c>
      <c r="C925" s="2" t="s">
        <v>536</v>
      </c>
      <c r="D925" s="2" t="s">
        <v>422</v>
      </c>
      <c r="E925" s="2">
        <v>4</v>
      </c>
      <c r="F925" s="2" t="s">
        <v>797</v>
      </c>
      <c r="G925" s="5">
        <v>88.69</v>
      </c>
      <c r="H925" s="5">
        <v>94.69</v>
      </c>
      <c r="I925" s="5">
        <v>98</v>
      </c>
      <c r="J925" s="5">
        <v>91.5</v>
      </c>
      <c r="K925" s="5">
        <v>92</v>
      </c>
      <c r="L925" s="5">
        <v>92.975999999999999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232"/>
  <sheetViews>
    <sheetView showGridLines="0" workbookViewId="0"/>
  </sheetViews>
  <sheetFormatPr defaultRowHeight="14.4" x14ac:dyDescent="0.3"/>
  <cols>
    <col min="1" max="1" width="16" customWidth="1"/>
    <col min="2" max="2" width="14" customWidth="1"/>
    <col min="3" max="3" width="28" customWidth="1"/>
    <col min="4" max="4" width="12" customWidth="1"/>
    <col min="5" max="5" width="11" customWidth="1"/>
    <col min="6" max="6" width="20" customWidth="1"/>
    <col min="7" max="7" width="24" customWidth="1"/>
    <col min="8" max="8" width="20" customWidth="1"/>
    <col min="9" max="9" width="19" customWidth="1"/>
    <col min="10" max="10" width="22" customWidth="1"/>
    <col min="11" max="11" width="11" customWidth="1"/>
    <col min="12" max="12" width="10" customWidth="1"/>
    <col min="13" max="13" width="23" customWidth="1"/>
    <col min="14" max="14" width="12" customWidth="1"/>
    <col min="15" max="15" width="11" customWidth="1"/>
    <col min="16" max="16" width="22" customWidth="1"/>
    <col min="17" max="17" width="12" customWidth="1"/>
    <col min="18" max="19" width="11" customWidth="1"/>
    <col min="20" max="20" width="15" customWidth="1"/>
    <col min="21" max="22" width="14" customWidth="1"/>
    <col min="23" max="23" width="12" customWidth="1"/>
    <col min="24" max="24" width="11" customWidth="1"/>
    <col min="25" max="25" width="22" customWidth="1"/>
    <col min="26" max="26" width="16" customWidth="1"/>
    <col min="27" max="27" width="12" customWidth="1"/>
    <col min="28" max="28" width="11" customWidth="1"/>
    <col min="29" max="29" width="15" customWidth="1"/>
    <col min="30" max="31" width="12" customWidth="1"/>
    <col min="32" max="32" width="16" customWidth="1"/>
    <col min="33" max="34" width="12" customWidth="1"/>
    <col min="35" max="35" width="18" customWidth="1"/>
  </cols>
  <sheetData>
    <row r="1" spans="1:42" ht="43.2" customHeight="1" x14ac:dyDescent="0.3">
      <c r="A1" s="4" t="s">
        <v>39</v>
      </c>
      <c r="B1" s="4" t="s">
        <v>40</v>
      </c>
      <c r="C1" s="4" t="s">
        <v>41</v>
      </c>
      <c r="D1" s="4" t="s">
        <v>42</v>
      </c>
      <c r="E1" s="4" t="s">
        <v>43</v>
      </c>
      <c r="F1" s="4" t="s">
        <v>47</v>
      </c>
      <c r="G1" s="4" t="s">
        <v>48</v>
      </c>
      <c r="H1" s="4" t="s">
        <v>44</v>
      </c>
      <c r="I1" s="4" t="s">
        <v>45</v>
      </c>
      <c r="J1" s="4" t="s">
        <v>46</v>
      </c>
      <c r="K1" s="4" t="s">
        <v>798</v>
      </c>
      <c r="L1" s="4" t="s">
        <v>799</v>
      </c>
      <c r="M1" s="4" t="s">
        <v>800</v>
      </c>
      <c r="N1" s="4" t="s">
        <v>801</v>
      </c>
      <c r="O1" s="4" t="s">
        <v>802</v>
      </c>
      <c r="P1" s="4" t="s">
        <v>803</v>
      </c>
      <c r="Q1" s="4" t="s">
        <v>804</v>
      </c>
      <c r="R1" s="4" t="s">
        <v>805</v>
      </c>
      <c r="S1" s="4" t="s">
        <v>806</v>
      </c>
      <c r="T1" s="4" t="s">
        <v>807</v>
      </c>
      <c r="U1" s="4" t="s">
        <v>808</v>
      </c>
      <c r="V1" s="4" t="s">
        <v>809</v>
      </c>
      <c r="W1" s="4" t="s">
        <v>810</v>
      </c>
      <c r="X1" s="4" t="s">
        <v>811</v>
      </c>
      <c r="Y1" s="4" t="s">
        <v>812</v>
      </c>
      <c r="Z1" s="4" t="s">
        <v>49</v>
      </c>
      <c r="AA1" s="4" t="s">
        <v>50</v>
      </c>
      <c r="AB1" s="4" t="s">
        <v>51</v>
      </c>
      <c r="AC1" s="4" t="s">
        <v>52</v>
      </c>
      <c r="AD1" s="4" t="s">
        <v>53</v>
      </c>
      <c r="AE1" s="4" t="s">
        <v>54</v>
      </c>
      <c r="AF1" s="4" t="s">
        <v>55</v>
      </c>
      <c r="AG1" s="4" t="s">
        <v>57</v>
      </c>
      <c r="AH1" s="4" t="s">
        <v>58</v>
      </c>
      <c r="AI1" s="4" t="s">
        <v>59</v>
      </c>
      <c r="AJ1" s="27" t="s">
        <v>547</v>
      </c>
      <c r="AK1" s="27" t="s">
        <v>813</v>
      </c>
      <c r="AL1" s="27" t="s">
        <v>814</v>
      </c>
      <c r="AM1" s="27" t="s">
        <v>815</v>
      </c>
      <c r="AN1" s="27" t="s">
        <v>816</v>
      </c>
      <c r="AO1" s="27" t="s">
        <v>817</v>
      </c>
      <c r="AP1" s="27" t="s">
        <v>818</v>
      </c>
    </row>
    <row r="2" spans="1:42" x14ac:dyDescent="0.3">
      <c r="A2" s="2" t="s">
        <v>60</v>
      </c>
      <c r="B2" s="2" t="s">
        <v>61</v>
      </c>
      <c r="C2" s="2" t="s">
        <v>62</v>
      </c>
      <c r="D2" s="2" t="s">
        <v>63</v>
      </c>
      <c r="E2" s="2" t="s">
        <v>64</v>
      </c>
      <c r="F2" s="5">
        <f>IFERROR(INDEX(Baseline_Entry!$P:$P,MATCH($B2,Baseline_Entry!$B:$B,0)),"")</f>
        <v>83</v>
      </c>
      <c r="G2" s="5" t="str">
        <f t="shared" ref="G2:G65" si="0">IF(F2="","No","Yes")</f>
        <v>Yes</v>
      </c>
      <c r="H2" s="5">
        <v>89.567999999999998</v>
      </c>
      <c r="I2" s="5">
        <v>96.024000000000001</v>
      </c>
      <c r="J2" s="5">
        <v>6.4560000000000031</v>
      </c>
      <c r="K2" s="5">
        <v>91.32</v>
      </c>
      <c r="L2" s="5">
        <v>93.31</v>
      </c>
      <c r="M2" s="5">
        <v>1.9900000000000091</v>
      </c>
      <c r="N2" s="5">
        <v>92.32</v>
      </c>
      <c r="O2" s="5">
        <v>96.31</v>
      </c>
      <c r="P2" s="5">
        <v>3.9900000000000091</v>
      </c>
      <c r="Q2" s="5">
        <v>77</v>
      </c>
      <c r="R2" s="5">
        <v>94</v>
      </c>
      <c r="S2" s="5">
        <v>17</v>
      </c>
      <c r="T2" s="5">
        <v>97</v>
      </c>
      <c r="U2" s="5">
        <v>99.5</v>
      </c>
      <c r="V2" s="5">
        <v>2.5</v>
      </c>
      <c r="W2" s="5">
        <v>90.2</v>
      </c>
      <c r="X2" s="5">
        <v>97</v>
      </c>
      <c r="Y2" s="5">
        <v>6.7999999999999972</v>
      </c>
      <c r="Z2" s="2" t="s">
        <v>819</v>
      </c>
      <c r="AA2" s="2" t="s">
        <v>65</v>
      </c>
      <c r="AB2" s="2" t="s">
        <v>66</v>
      </c>
      <c r="AC2" s="2">
        <v>1</v>
      </c>
      <c r="AD2" s="2" t="str">
        <f>IFERROR(INDEX(University_Exit!$D:$D,MATCH($B2,University_Exit!$B:$B,0)),"")</f>
        <v>University of Liverpool</v>
      </c>
      <c r="AE2" s="2" t="str">
        <f>IFERROR(INDEX(University_Exit!$F:$F,MATCH($B2,University_Exit!$B:$B,0)),"")</f>
        <v>Electrical Engineering</v>
      </c>
      <c r="AF2" s="2" t="str">
        <f>IFERROR(INDEX(University_Exit!$L:$L,MATCH($B2,University_Exit!$B:$B,0)),"")</f>
        <v>Yes</v>
      </c>
      <c r="AG2" s="2">
        <f>IFERROR(INDEX(University_Exit!$H:$H,MATCH($B2,University_Exit!$B:$B,0)),"")</f>
        <v>96.3</v>
      </c>
      <c r="AH2" s="6">
        <f>IFERROR(INDEX(University_Exit!$K:$K,MATCH($B2,University_Exit!$B:$B,0)),"")</f>
        <v>930</v>
      </c>
      <c r="AI2" s="2" t="str">
        <f>IFERROR(INDEX(University_Exit!$G:$G,MATCH($B2,University_Exit!$B:$B,0)),"")</f>
        <v>Qatar Energy</v>
      </c>
      <c r="AJ2" t="str">
        <f>IFERROR(INDEX(Baseline_Entry!$N:$N,MATCH($B2,Baseline_Entry!$B:$B,0)),"")</f>
        <v/>
      </c>
      <c r="AK2" t="str">
        <f>IFERROR(INDEX(Cognitive_Profile!$E:$E,MATCH($B2,Cognitive_Profile!$B:$B,0)),"")</f>
        <v/>
      </c>
      <c r="AL2" t="str">
        <f t="shared" ref="AL2:AL65" si="1">IF(OR(AJ2="",AK2=""),"",AK2-AJ2)</f>
        <v/>
      </c>
      <c r="AM2">
        <f>IFERROR(INDEX(Participation_By_Student!$D:$D,MATCH($B2,Participation_By_Student!$B:$B,0)),"")</f>
        <v>0</v>
      </c>
      <c r="AN2">
        <f>IFERROR(INDEX(Participation_By_Student!$E:$E,MATCH($B2,Participation_By_Student!$B:$B,0)),"")</f>
        <v>0</v>
      </c>
      <c r="AO2">
        <f>IFERROR(INDEX(Participation_By_Student!$F:$F,MATCH($B2,Participation_By_Student!$B:$B,0)),"")</f>
        <v>0</v>
      </c>
      <c r="AP2">
        <f>IFERROR(INDEX(Participation_By_Student!$G:$G,MATCH($B2,Participation_By_Student!$B:$B,0)),"")</f>
        <v>0</v>
      </c>
    </row>
    <row r="3" spans="1:42" x14ac:dyDescent="0.3">
      <c r="A3" s="2" t="s">
        <v>60</v>
      </c>
      <c r="B3" s="2" t="s">
        <v>67</v>
      </c>
      <c r="C3" s="2" t="s">
        <v>68</v>
      </c>
      <c r="D3" s="2" t="s">
        <v>63</v>
      </c>
      <c r="E3" s="2" t="s">
        <v>64</v>
      </c>
      <c r="F3" s="5">
        <f>IFERROR(INDEX(Baseline_Entry!$P:$P,MATCH($B3,Baseline_Entry!$B:$B,0)),"")</f>
        <v>94.4</v>
      </c>
      <c r="G3" s="5" t="str">
        <f t="shared" si="0"/>
        <v>Yes</v>
      </c>
      <c r="H3" s="5">
        <v>92.748000000000005</v>
      </c>
      <c r="I3" s="5">
        <v>97.676000000000002</v>
      </c>
      <c r="J3" s="5">
        <v>4.9279999999999973</v>
      </c>
      <c r="K3" s="5">
        <v>88.57</v>
      </c>
      <c r="L3" s="5">
        <v>95.19</v>
      </c>
      <c r="M3" s="5">
        <v>6.6200000000000054</v>
      </c>
      <c r="N3" s="5">
        <v>94.57</v>
      </c>
      <c r="O3" s="5">
        <v>98.19</v>
      </c>
      <c r="P3" s="5">
        <v>3.620000000000005</v>
      </c>
      <c r="Q3" s="5">
        <v>94</v>
      </c>
      <c r="R3" s="5">
        <v>97</v>
      </c>
      <c r="S3" s="5">
        <v>3</v>
      </c>
      <c r="T3" s="5">
        <v>91.5</v>
      </c>
      <c r="U3" s="5">
        <v>100</v>
      </c>
      <c r="V3" s="5">
        <v>8.5</v>
      </c>
      <c r="W3" s="5">
        <v>95.1</v>
      </c>
      <c r="X3" s="5">
        <v>98</v>
      </c>
      <c r="Y3" s="5">
        <v>2.9000000000000061</v>
      </c>
      <c r="Z3" s="2" t="s">
        <v>820</v>
      </c>
      <c r="AA3" s="2" t="s">
        <v>66</v>
      </c>
      <c r="AB3" s="2" t="s">
        <v>66</v>
      </c>
      <c r="AC3" s="2">
        <v>0</v>
      </c>
      <c r="AD3" s="2" t="str">
        <f>IFERROR(INDEX(University_Exit!$D:$D,MATCH($B3,University_Exit!$B:$B,0)),"")</f>
        <v>Qatar University</v>
      </c>
      <c r="AE3" s="2" t="str">
        <f>IFERROR(INDEX(University_Exit!$F:$F,MATCH($B3,University_Exit!$B:$B,0)),"")</f>
        <v>Computer Science</v>
      </c>
      <c r="AF3" s="2" t="str">
        <f>IFERROR(INDEX(University_Exit!$L:$L,MATCH($B3,University_Exit!$B:$B,0)),"")</f>
        <v>Yes</v>
      </c>
      <c r="AG3" s="2">
        <f>IFERROR(INDEX(University_Exit!$H:$H,MATCH($B3,University_Exit!$B:$B,0)),"")</f>
        <v>98.2</v>
      </c>
      <c r="AH3" s="6">
        <f>IFERROR(INDEX(University_Exit!$K:$K,MATCH($B3,University_Exit!$B:$B,0)),"")</f>
        <v>1150</v>
      </c>
      <c r="AI3" s="2" t="str">
        <f>IFERROR(INDEX(University_Exit!$G:$G,MATCH($B3,University_Exit!$B:$B,0)),"")</f>
        <v>خاص/ مجاني</v>
      </c>
      <c r="AJ3" t="str">
        <f>IFERROR(INDEX(Baseline_Entry!$N:$N,MATCH($B3,Baseline_Entry!$B:$B,0)),"")</f>
        <v/>
      </c>
      <c r="AK3" t="str">
        <f>IFERROR(INDEX(Cognitive_Profile!$E:$E,MATCH($B3,Cognitive_Profile!$B:$B,0)),"")</f>
        <v/>
      </c>
      <c r="AL3" t="str">
        <f t="shared" si="1"/>
        <v/>
      </c>
      <c r="AM3">
        <f>IFERROR(INDEX(Participation_By_Student!$D:$D,MATCH($B3,Participation_By_Student!$B:$B,0)),"")</f>
        <v>0</v>
      </c>
      <c r="AN3">
        <f>IFERROR(INDEX(Participation_By_Student!$E:$E,MATCH($B3,Participation_By_Student!$B:$B,0)),"")</f>
        <v>0</v>
      </c>
      <c r="AO3">
        <f>IFERROR(INDEX(Participation_By_Student!$F:$F,MATCH($B3,Participation_By_Student!$B:$B,0)),"")</f>
        <v>0</v>
      </c>
      <c r="AP3">
        <f>IFERROR(INDEX(Participation_By_Student!$G:$G,MATCH($B3,Participation_By_Student!$B:$B,0)),"")</f>
        <v>0</v>
      </c>
    </row>
    <row r="4" spans="1:42" x14ac:dyDescent="0.3">
      <c r="A4" s="2" t="s">
        <v>60</v>
      </c>
      <c r="B4" s="2" t="s">
        <v>69</v>
      </c>
      <c r="C4" s="2" t="s">
        <v>70</v>
      </c>
      <c r="D4" s="2" t="s">
        <v>63</v>
      </c>
      <c r="E4" s="2" t="s">
        <v>64</v>
      </c>
      <c r="F4" s="5">
        <f>IFERROR(INDEX(Baseline_Entry!$P:$P,MATCH($B4,Baseline_Entry!$B:$B,0)),"")</f>
        <v>82</v>
      </c>
      <c r="G4" s="5" t="str">
        <f t="shared" si="0"/>
        <v>Yes</v>
      </c>
      <c r="H4" s="5">
        <v>91.216000000000008</v>
      </c>
      <c r="I4" s="5">
        <v>99.44</v>
      </c>
      <c r="J4" s="5">
        <v>8.2239999999999895</v>
      </c>
      <c r="K4" s="5">
        <v>88.79</v>
      </c>
      <c r="L4" s="5">
        <v>99.6</v>
      </c>
      <c r="M4" s="5">
        <v>10.80999999999999</v>
      </c>
      <c r="N4" s="5">
        <v>93.79</v>
      </c>
      <c r="O4" s="5">
        <v>99.6</v>
      </c>
      <c r="P4" s="5">
        <v>5.8099999999999881</v>
      </c>
      <c r="Q4" s="5">
        <v>82.5</v>
      </c>
      <c r="R4" s="5">
        <v>98</v>
      </c>
      <c r="S4" s="5">
        <v>15.5</v>
      </c>
      <c r="T4" s="5">
        <v>98.5</v>
      </c>
      <c r="U4" s="5">
        <v>100</v>
      </c>
      <c r="V4" s="5">
        <v>1.5</v>
      </c>
      <c r="W4" s="5">
        <v>92.5</v>
      </c>
      <c r="X4" s="5">
        <v>100</v>
      </c>
      <c r="Y4" s="5">
        <v>7.5</v>
      </c>
      <c r="Z4" s="2" t="s">
        <v>819</v>
      </c>
      <c r="AA4" s="2" t="s">
        <v>66</v>
      </c>
      <c r="AB4" s="2" t="s">
        <v>66</v>
      </c>
      <c r="AC4" s="2">
        <v>0</v>
      </c>
      <c r="AD4" s="2" t="str">
        <f>IFERROR(INDEX(University_Exit!$D:$D,MATCH($B4,University_Exit!$B:$B,0)),"")</f>
        <v>University of Liverpool</v>
      </c>
      <c r="AE4" s="2" t="str">
        <f>IFERROR(INDEX(University_Exit!$F:$F,MATCH($B4,University_Exit!$B:$B,0)),"")</f>
        <v>Electric and Electronic Engineering</v>
      </c>
      <c r="AF4" s="2" t="str">
        <f>IFERROR(INDEX(University_Exit!$L:$L,MATCH($B4,University_Exit!$B:$B,0)),"")</f>
        <v>Yes</v>
      </c>
      <c r="AG4" s="2">
        <f>IFERROR(INDEX(University_Exit!$H:$H,MATCH($B4,University_Exit!$B:$B,0)),"")</f>
        <v>98.8</v>
      </c>
      <c r="AH4" s="6">
        <f>IFERROR(INDEX(University_Exit!$K:$K,MATCH($B4,University_Exit!$B:$B,0)),"")</f>
        <v>1050</v>
      </c>
      <c r="AI4" s="2" t="str">
        <f>IFERROR(INDEX(University_Exit!$G:$G,MATCH($B4,University_Exit!$B:$B,0)),"")</f>
        <v>Qatar Energy</v>
      </c>
      <c r="AJ4" t="str">
        <f>IFERROR(INDEX(Baseline_Entry!$N:$N,MATCH($B4,Baseline_Entry!$B:$B,0)),"")</f>
        <v/>
      </c>
      <c r="AK4" t="str">
        <f>IFERROR(INDEX(Cognitive_Profile!$E:$E,MATCH($B4,Cognitive_Profile!$B:$B,0)),"")</f>
        <v/>
      </c>
      <c r="AL4" t="str">
        <f t="shared" si="1"/>
        <v/>
      </c>
      <c r="AM4">
        <f>IFERROR(INDEX(Participation_By_Student!$D:$D,MATCH($B4,Participation_By_Student!$B:$B,0)),"")</f>
        <v>0</v>
      </c>
      <c r="AN4">
        <f>IFERROR(INDEX(Participation_By_Student!$E:$E,MATCH($B4,Participation_By_Student!$B:$B,0)),"")</f>
        <v>0</v>
      </c>
      <c r="AO4">
        <f>IFERROR(INDEX(Participation_By_Student!$F:$F,MATCH($B4,Participation_By_Student!$B:$B,0)),"")</f>
        <v>0</v>
      </c>
      <c r="AP4">
        <f>IFERROR(INDEX(Participation_By_Student!$G:$G,MATCH($B4,Participation_By_Student!$B:$B,0)),"")</f>
        <v>0</v>
      </c>
    </row>
    <row r="5" spans="1:42" x14ac:dyDescent="0.3">
      <c r="A5" s="2" t="s">
        <v>60</v>
      </c>
      <c r="B5" s="2" t="s">
        <v>71</v>
      </c>
      <c r="C5" s="2" t="s">
        <v>72</v>
      </c>
      <c r="D5" s="2" t="s">
        <v>63</v>
      </c>
      <c r="E5" s="2" t="s">
        <v>64</v>
      </c>
      <c r="F5" s="5">
        <f>IFERROR(INDEX(Baseline_Entry!$P:$P,MATCH($B5,Baseline_Entry!$B:$B,0)),"")</f>
        <v>79.2</v>
      </c>
      <c r="G5" s="5" t="str">
        <f t="shared" si="0"/>
        <v>Yes</v>
      </c>
      <c r="H5" s="5">
        <v>89.111999999999995</v>
      </c>
      <c r="I5" s="5">
        <v>94.852000000000004</v>
      </c>
      <c r="J5" s="5">
        <v>5.7400000000000091</v>
      </c>
      <c r="K5" s="5">
        <v>88.93</v>
      </c>
      <c r="L5" s="5">
        <v>91.38</v>
      </c>
      <c r="M5" s="5">
        <v>2.4499999999999891</v>
      </c>
      <c r="N5" s="5">
        <v>91.93</v>
      </c>
      <c r="O5" s="5">
        <v>94.38</v>
      </c>
      <c r="P5" s="5">
        <v>2.4499999999999891</v>
      </c>
      <c r="Q5" s="5">
        <v>77</v>
      </c>
      <c r="R5" s="5">
        <v>92</v>
      </c>
      <c r="S5" s="5">
        <v>15</v>
      </c>
      <c r="T5" s="5">
        <v>95.5</v>
      </c>
      <c r="U5" s="5">
        <v>100</v>
      </c>
      <c r="V5" s="5">
        <v>4.5</v>
      </c>
      <c r="W5" s="5">
        <v>92.2</v>
      </c>
      <c r="X5" s="5">
        <v>96.5</v>
      </c>
      <c r="Y5" s="5">
        <v>4.2999999999999972</v>
      </c>
      <c r="Z5" s="2" t="s">
        <v>819</v>
      </c>
      <c r="AA5" s="2" t="s">
        <v>65</v>
      </c>
      <c r="AB5" s="2" t="s">
        <v>66</v>
      </c>
      <c r="AC5" s="2">
        <v>1</v>
      </c>
      <c r="AD5" s="2" t="str">
        <f>IFERROR(INDEX(University_Exit!$D:$D,MATCH($B5,University_Exit!$B:$B,0)),"")</f>
        <v>Texas A&amp;M University Qatar</v>
      </c>
      <c r="AE5" s="2" t="str">
        <f>IFERROR(INDEX(University_Exit!$F:$F,MATCH($B5,University_Exit!$B:$B,0)),"")</f>
        <v>Mechanical Engineering</v>
      </c>
      <c r="AF5" s="2" t="str">
        <f>IFERROR(INDEX(University_Exit!$L:$L,MATCH($B5,University_Exit!$B:$B,0)),"")</f>
        <v>Yes</v>
      </c>
      <c r="AG5" s="2">
        <f>IFERROR(INDEX(University_Exit!$H:$H,MATCH($B5,University_Exit!$B:$B,0)),"")</f>
        <v>94.4</v>
      </c>
      <c r="AH5" s="6">
        <f>IFERROR(INDEX(University_Exit!$K:$K,MATCH($B5,University_Exit!$B:$B,0)),"")</f>
        <v>1110</v>
      </c>
      <c r="AI5" s="2" t="str">
        <f>IFERROR(INDEX(University_Exit!$G:$G,MATCH($B5,University_Exit!$B:$B,0)),"")</f>
        <v>Qatar Energy</v>
      </c>
      <c r="AJ5" t="str">
        <f>IFERROR(INDEX(Baseline_Entry!$N:$N,MATCH($B5,Baseline_Entry!$B:$B,0)),"")</f>
        <v/>
      </c>
      <c r="AK5" t="str">
        <f>IFERROR(INDEX(Cognitive_Profile!$E:$E,MATCH($B5,Cognitive_Profile!$B:$B,0)),"")</f>
        <v/>
      </c>
      <c r="AL5" t="str">
        <f t="shared" si="1"/>
        <v/>
      </c>
      <c r="AM5">
        <f>IFERROR(INDEX(Participation_By_Student!$D:$D,MATCH($B5,Participation_By_Student!$B:$B,0)),"")</f>
        <v>0</v>
      </c>
      <c r="AN5">
        <f>IFERROR(INDEX(Participation_By_Student!$E:$E,MATCH($B5,Participation_By_Student!$B:$B,0)),"")</f>
        <v>0</v>
      </c>
      <c r="AO5">
        <f>IFERROR(INDEX(Participation_By_Student!$F:$F,MATCH($B5,Participation_By_Student!$B:$B,0)),"")</f>
        <v>0</v>
      </c>
      <c r="AP5">
        <f>IFERROR(INDEX(Participation_By_Student!$G:$G,MATCH($B5,Participation_By_Student!$B:$B,0)),"")</f>
        <v>0</v>
      </c>
    </row>
    <row r="6" spans="1:42" x14ac:dyDescent="0.3">
      <c r="A6" s="2" t="s">
        <v>60</v>
      </c>
      <c r="B6" s="2" t="s">
        <v>73</v>
      </c>
      <c r="C6" s="2" t="s">
        <v>74</v>
      </c>
      <c r="D6" s="2" t="s">
        <v>63</v>
      </c>
      <c r="E6" s="2" t="s">
        <v>64</v>
      </c>
      <c r="F6" s="5">
        <f>IFERROR(INDEX(Baseline_Entry!$P:$P,MATCH($B6,Baseline_Entry!$B:$B,0)),"")</f>
        <v>86.6</v>
      </c>
      <c r="G6" s="5" t="str">
        <f t="shared" si="0"/>
        <v>Yes</v>
      </c>
      <c r="H6" s="5">
        <v>89.587999999999994</v>
      </c>
      <c r="I6" s="5">
        <v>96.376000000000005</v>
      </c>
      <c r="J6" s="5">
        <v>6.7880000000000109</v>
      </c>
      <c r="K6" s="5">
        <v>87.57</v>
      </c>
      <c r="L6" s="5">
        <v>90.94</v>
      </c>
      <c r="M6" s="5">
        <v>3.370000000000005</v>
      </c>
      <c r="N6" s="5">
        <v>92.57</v>
      </c>
      <c r="O6" s="5">
        <v>96.94</v>
      </c>
      <c r="P6" s="5">
        <v>4.3700000000000054</v>
      </c>
      <c r="Q6" s="5">
        <v>80.5</v>
      </c>
      <c r="R6" s="5">
        <v>95.5</v>
      </c>
      <c r="S6" s="5">
        <v>15</v>
      </c>
      <c r="T6" s="5">
        <v>95.5</v>
      </c>
      <c r="U6" s="5">
        <v>100</v>
      </c>
      <c r="V6" s="5">
        <v>4.5</v>
      </c>
      <c r="W6" s="5">
        <v>91.8</v>
      </c>
      <c r="X6" s="5">
        <v>98.5</v>
      </c>
      <c r="Y6" s="5">
        <v>6.7000000000000028</v>
      </c>
      <c r="Z6" s="2" t="s">
        <v>819</v>
      </c>
      <c r="AA6" s="2" t="s">
        <v>65</v>
      </c>
      <c r="AB6" s="2" t="s">
        <v>66</v>
      </c>
      <c r="AC6" s="2">
        <v>1</v>
      </c>
      <c r="AD6" s="2" t="str">
        <f>IFERROR(INDEX(University_Exit!$D:$D,MATCH($B6,University_Exit!$B:$B,0)),"")</f>
        <v>University of Liverpool</v>
      </c>
      <c r="AE6" s="2" t="str">
        <f>IFERROR(INDEX(University_Exit!$F:$F,MATCH($B6,University_Exit!$B:$B,0)),"")</f>
        <v>Mechanical Engineering</v>
      </c>
      <c r="AF6" s="2" t="str">
        <f>IFERROR(INDEX(University_Exit!$L:$L,MATCH($B6,University_Exit!$B:$B,0)),"")</f>
        <v>Yes</v>
      </c>
      <c r="AG6" s="2">
        <f>IFERROR(INDEX(University_Exit!$H:$H,MATCH($B6,University_Exit!$B:$B,0)),"")</f>
        <v>96.9</v>
      </c>
      <c r="AH6" s="6">
        <f>IFERROR(INDEX(University_Exit!$K:$K,MATCH($B6,University_Exit!$B:$B,0)),"")</f>
        <v>1050</v>
      </c>
      <c r="AI6" s="2" t="str">
        <f>IFERROR(INDEX(University_Exit!$G:$G,MATCH($B6,University_Exit!$B:$B,0)),"")</f>
        <v>Ministry of Education</v>
      </c>
      <c r="AJ6" t="str">
        <f>IFERROR(INDEX(Baseline_Entry!$N:$N,MATCH($B6,Baseline_Entry!$B:$B,0)),"")</f>
        <v/>
      </c>
      <c r="AK6" t="str">
        <f>IFERROR(INDEX(Cognitive_Profile!$E:$E,MATCH($B6,Cognitive_Profile!$B:$B,0)),"")</f>
        <v/>
      </c>
      <c r="AL6" t="str">
        <f t="shared" si="1"/>
        <v/>
      </c>
      <c r="AM6">
        <f>IFERROR(INDEX(Participation_By_Student!$D:$D,MATCH($B6,Participation_By_Student!$B:$B,0)),"")</f>
        <v>0</v>
      </c>
      <c r="AN6">
        <f>IFERROR(INDEX(Participation_By_Student!$E:$E,MATCH($B6,Participation_By_Student!$B:$B,0)),"")</f>
        <v>0</v>
      </c>
      <c r="AO6">
        <f>IFERROR(INDEX(Participation_By_Student!$F:$F,MATCH($B6,Participation_By_Student!$B:$B,0)),"")</f>
        <v>0</v>
      </c>
      <c r="AP6">
        <f>IFERROR(INDEX(Participation_By_Student!$G:$G,MATCH($B6,Participation_By_Student!$B:$B,0)),"")</f>
        <v>0</v>
      </c>
    </row>
    <row r="7" spans="1:42" x14ac:dyDescent="0.3">
      <c r="A7" s="2" t="s">
        <v>60</v>
      </c>
      <c r="B7" s="2" t="s">
        <v>75</v>
      </c>
      <c r="C7" s="2" t="s">
        <v>76</v>
      </c>
      <c r="D7" s="2" t="s">
        <v>63</v>
      </c>
      <c r="E7" s="2" t="s">
        <v>64</v>
      </c>
      <c r="F7" s="5">
        <f>IFERROR(INDEX(Baseline_Entry!$P:$P,MATCH($B7,Baseline_Entry!$B:$B,0)),"")</f>
        <v>74.599999999999994</v>
      </c>
      <c r="G7" s="5" t="str">
        <f t="shared" si="0"/>
        <v>Yes</v>
      </c>
      <c r="H7" s="5">
        <v>92.432000000000002</v>
      </c>
      <c r="I7" s="5">
        <v>95.251999999999995</v>
      </c>
      <c r="J7" s="5">
        <v>2.8199999999999932</v>
      </c>
      <c r="K7" s="5">
        <v>89.68</v>
      </c>
      <c r="L7" s="5">
        <v>90.88</v>
      </c>
      <c r="M7" s="5">
        <v>1.1999999999999891</v>
      </c>
      <c r="N7" s="5">
        <v>93.68</v>
      </c>
      <c r="O7" s="5">
        <v>94.88</v>
      </c>
      <c r="P7" s="5">
        <v>1.1999999999999891</v>
      </c>
      <c r="Q7" s="5">
        <v>87.5</v>
      </c>
      <c r="R7" s="5">
        <v>96.5</v>
      </c>
      <c r="S7" s="5">
        <v>9</v>
      </c>
      <c r="T7" s="5">
        <v>96.5</v>
      </c>
      <c r="U7" s="5">
        <v>99.5</v>
      </c>
      <c r="V7" s="5">
        <v>3</v>
      </c>
      <c r="W7" s="5">
        <v>94.8</v>
      </c>
      <c r="X7" s="5">
        <v>94.5</v>
      </c>
      <c r="Y7" s="5">
        <v>-0.29999999999999721</v>
      </c>
      <c r="Z7" s="2" t="s">
        <v>819</v>
      </c>
      <c r="AA7" s="2" t="s">
        <v>66</v>
      </c>
      <c r="AB7" s="2" t="s">
        <v>66</v>
      </c>
      <c r="AC7" s="2">
        <v>0</v>
      </c>
      <c r="AD7" s="2" t="str">
        <f>IFERROR(INDEX(University_Exit!$D:$D,MATCH($B7,University_Exit!$B:$B,0)),"")</f>
        <v>Texas A&amp;M University Qatar</v>
      </c>
      <c r="AE7" s="2" t="str">
        <f>IFERROR(INDEX(University_Exit!$F:$F,MATCH($B7,University_Exit!$B:$B,0)),"")</f>
        <v>Electric and Electronic Engineering</v>
      </c>
      <c r="AF7" s="2" t="str">
        <f>IFERROR(INDEX(University_Exit!$L:$L,MATCH($B7,University_Exit!$B:$B,0)),"")</f>
        <v>Yes</v>
      </c>
      <c r="AG7" s="2">
        <f>IFERROR(INDEX(University_Exit!$H:$H,MATCH($B7,University_Exit!$B:$B,0)),"")</f>
        <v>94.9</v>
      </c>
      <c r="AH7" s="6">
        <f>IFERROR(INDEX(University_Exit!$K:$K,MATCH($B7,University_Exit!$B:$B,0)),"")</f>
        <v>1100</v>
      </c>
      <c r="AI7" s="2" t="str">
        <f>IFERROR(INDEX(University_Exit!$G:$G,MATCH($B7,University_Exit!$B:$B,0)),"")</f>
        <v>Qatar Energy</v>
      </c>
      <c r="AJ7" t="str">
        <f>IFERROR(INDEX(Baseline_Entry!$N:$N,MATCH($B7,Baseline_Entry!$B:$B,0)),"")</f>
        <v/>
      </c>
      <c r="AK7" t="str">
        <f>IFERROR(INDEX(Cognitive_Profile!$E:$E,MATCH($B7,Cognitive_Profile!$B:$B,0)),"")</f>
        <v/>
      </c>
      <c r="AL7" t="str">
        <f t="shared" si="1"/>
        <v/>
      </c>
      <c r="AM7">
        <f>IFERROR(INDEX(Participation_By_Student!$D:$D,MATCH($B7,Participation_By_Student!$B:$B,0)),"")</f>
        <v>0</v>
      </c>
      <c r="AN7">
        <f>IFERROR(INDEX(Participation_By_Student!$E:$E,MATCH($B7,Participation_By_Student!$B:$B,0)),"")</f>
        <v>0</v>
      </c>
      <c r="AO7">
        <f>IFERROR(INDEX(Participation_By_Student!$F:$F,MATCH($B7,Participation_By_Student!$B:$B,0)),"")</f>
        <v>0</v>
      </c>
      <c r="AP7">
        <f>IFERROR(INDEX(Participation_By_Student!$G:$G,MATCH($B7,Participation_By_Student!$B:$B,0)),"")</f>
        <v>0</v>
      </c>
    </row>
    <row r="8" spans="1:42" x14ac:dyDescent="0.3">
      <c r="A8" s="2" t="s">
        <v>60</v>
      </c>
      <c r="B8" s="2" t="s">
        <v>77</v>
      </c>
      <c r="C8" s="2" t="s">
        <v>78</v>
      </c>
      <c r="D8" s="2" t="s">
        <v>63</v>
      </c>
      <c r="E8" s="2" t="s">
        <v>64</v>
      </c>
      <c r="F8" s="5">
        <f>IFERROR(INDEX(Baseline_Entry!$P:$P,MATCH($B8,Baseline_Entry!$B:$B,0)),"")</f>
        <v>76.2</v>
      </c>
      <c r="G8" s="5" t="str">
        <f t="shared" si="0"/>
        <v>Yes</v>
      </c>
      <c r="H8" s="5">
        <v>91.532000000000011</v>
      </c>
      <c r="I8" s="5">
        <v>96.451999999999998</v>
      </c>
      <c r="J8" s="5">
        <v>4.9199999999999866</v>
      </c>
      <c r="K8" s="5">
        <v>89.68</v>
      </c>
      <c r="L8" s="5">
        <v>92.88</v>
      </c>
      <c r="M8" s="5">
        <v>3.1999999999999891</v>
      </c>
      <c r="N8" s="5">
        <v>93.68</v>
      </c>
      <c r="O8" s="5">
        <v>97.88</v>
      </c>
      <c r="P8" s="5">
        <v>4.1999999999999886</v>
      </c>
      <c r="Q8" s="5">
        <v>84.5</v>
      </c>
      <c r="R8" s="5">
        <v>94.5</v>
      </c>
      <c r="S8" s="5">
        <v>10</v>
      </c>
      <c r="T8" s="5">
        <v>99</v>
      </c>
      <c r="U8" s="5">
        <v>99</v>
      </c>
      <c r="V8" s="5">
        <v>0</v>
      </c>
      <c r="W8" s="5">
        <v>90.8</v>
      </c>
      <c r="X8" s="5">
        <v>98</v>
      </c>
      <c r="Y8" s="5">
        <v>7.2000000000000028</v>
      </c>
      <c r="Z8" s="2" t="s">
        <v>819</v>
      </c>
      <c r="AA8" s="2" t="s">
        <v>66</v>
      </c>
      <c r="AB8" s="2" t="s">
        <v>66</v>
      </c>
      <c r="AC8" s="2">
        <v>0</v>
      </c>
      <c r="AD8" s="2" t="str">
        <f>IFERROR(INDEX(University_Exit!$D:$D,MATCH($B8,University_Exit!$B:$B,0)),"")</f>
        <v>Texas A&amp;M University Qatar</v>
      </c>
      <c r="AE8" s="2" t="str">
        <f>IFERROR(INDEX(University_Exit!$F:$F,MATCH($B8,University_Exit!$B:$B,0)),"")</f>
        <v>Chemical engineering</v>
      </c>
      <c r="AF8" s="2" t="str">
        <f>IFERROR(INDEX(University_Exit!$L:$L,MATCH($B8,University_Exit!$B:$B,0)),"")</f>
        <v>Yes</v>
      </c>
      <c r="AG8" s="2">
        <f>IFERROR(INDEX(University_Exit!$H:$H,MATCH($B8,University_Exit!$B:$B,0)),"")</f>
        <v>97.9</v>
      </c>
      <c r="AH8" s="6">
        <f>IFERROR(INDEX(University_Exit!$K:$K,MATCH($B8,University_Exit!$B:$B,0)),"")</f>
        <v>970</v>
      </c>
      <c r="AI8" s="2" t="str">
        <f>IFERROR(INDEX(University_Exit!$G:$G,MATCH($B8,University_Exit!$B:$B,0)),"")</f>
        <v>Qatar Energy</v>
      </c>
      <c r="AJ8" t="str">
        <f>IFERROR(INDEX(Baseline_Entry!$N:$N,MATCH($B8,Baseline_Entry!$B:$B,0)),"")</f>
        <v/>
      </c>
      <c r="AK8" t="str">
        <f>IFERROR(INDEX(Cognitive_Profile!$E:$E,MATCH($B8,Cognitive_Profile!$B:$B,0)),"")</f>
        <v/>
      </c>
      <c r="AL8" t="str">
        <f t="shared" si="1"/>
        <v/>
      </c>
      <c r="AM8">
        <f>IFERROR(INDEX(Participation_By_Student!$D:$D,MATCH($B8,Participation_By_Student!$B:$B,0)),"")</f>
        <v>0</v>
      </c>
      <c r="AN8">
        <f>IFERROR(INDEX(Participation_By_Student!$E:$E,MATCH($B8,Participation_By_Student!$B:$B,0)),"")</f>
        <v>0</v>
      </c>
      <c r="AO8">
        <f>IFERROR(INDEX(Participation_By_Student!$F:$F,MATCH($B8,Participation_By_Student!$B:$B,0)),"")</f>
        <v>0</v>
      </c>
      <c r="AP8">
        <f>IFERROR(INDEX(Participation_By_Student!$G:$G,MATCH($B8,Participation_By_Student!$B:$B,0)),"")</f>
        <v>0</v>
      </c>
    </row>
    <row r="9" spans="1:42" x14ac:dyDescent="0.3">
      <c r="A9" s="2" t="s">
        <v>60</v>
      </c>
      <c r="B9" s="2" t="s">
        <v>79</v>
      </c>
      <c r="C9" s="2" t="s">
        <v>80</v>
      </c>
      <c r="D9" s="2" t="s">
        <v>63</v>
      </c>
      <c r="E9" s="2" t="s">
        <v>64</v>
      </c>
      <c r="F9" s="5">
        <f>IFERROR(INDEX(Baseline_Entry!$P:$P,MATCH($B9,Baseline_Entry!$B:$B,0)),"")</f>
        <v>84.800000000000011</v>
      </c>
      <c r="G9" s="5" t="str">
        <f t="shared" si="0"/>
        <v>Yes</v>
      </c>
      <c r="H9" s="5">
        <v>86.488</v>
      </c>
      <c r="I9" s="5">
        <v>94.8</v>
      </c>
      <c r="J9" s="5">
        <v>8.3119999999999976</v>
      </c>
      <c r="K9" s="5">
        <v>86.32</v>
      </c>
      <c r="L9" s="5">
        <v>92.25</v>
      </c>
      <c r="M9" s="5">
        <v>5.9300000000000068</v>
      </c>
      <c r="N9" s="5">
        <v>88.32</v>
      </c>
      <c r="O9" s="5">
        <v>95.25</v>
      </c>
      <c r="P9" s="5">
        <v>6.9300000000000068</v>
      </c>
      <c r="Q9" s="5">
        <v>79</v>
      </c>
      <c r="R9" s="5">
        <v>93.5</v>
      </c>
      <c r="S9" s="5">
        <v>14.5</v>
      </c>
      <c r="T9" s="5">
        <v>94</v>
      </c>
      <c r="U9" s="5">
        <v>97.5</v>
      </c>
      <c r="V9" s="5">
        <v>3.5</v>
      </c>
      <c r="W9" s="5">
        <v>84.8</v>
      </c>
      <c r="X9" s="5">
        <v>95.5</v>
      </c>
      <c r="Y9" s="5">
        <v>10.7</v>
      </c>
      <c r="Z9" s="2" t="s">
        <v>819</v>
      </c>
      <c r="AA9" s="2" t="s">
        <v>65</v>
      </c>
      <c r="AB9" s="2" t="s">
        <v>66</v>
      </c>
      <c r="AC9" s="2">
        <v>1</v>
      </c>
      <c r="AD9" s="2" t="str">
        <f>IFERROR(INDEX(University_Exit!$D:$D,MATCH($B9,University_Exit!$B:$B,0)),"")</f>
        <v>University of Liverpool</v>
      </c>
      <c r="AE9" s="2" t="str">
        <f>IFERROR(INDEX(University_Exit!$F:$F,MATCH($B9,University_Exit!$B:$B,0)),"")</f>
        <v>Mechanical Engineering</v>
      </c>
      <c r="AF9" s="2" t="str">
        <f>IFERROR(INDEX(University_Exit!$L:$L,MATCH($B9,University_Exit!$B:$B,0)),"")</f>
        <v>Yes</v>
      </c>
      <c r="AG9" s="2">
        <f>IFERROR(INDEX(University_Exit!$H:$H,MATCH($B9,University_Exit!$B:$B,0)),"")</f>
        <v>95.3</v>
      </c>
      <c r="AH9" s="6">
        <f>IFERROR(INDEX(University_Exit!$K:$K,MATCH($B9,University_Exit!$B:$B,0)),"")</f>
        <v>1090</v>
      </c>
      <c r="AI9" s="2" t="str">
        <f>IFERROR(INDEX(University_Exit!$G:$G,MATCH($B9,University_Exit!$B:$B,0)),"")</f>
        <v>Shell</v>
      </c>
      <c r="AJ9" t="str">
        <f>IFERROR(INDEX(Baseline_Entry!$N:$N,MATCH($B9,Baseline_Entry!$B:$B,0)),"")</f>
        <v/>
      </c>
      <c r="AK9" t="str">
        <f>IFERROR(INDEX(Cognitive_Profile!$E:$E,MATCH($B9,Cognitive_Profile!$B:$B,0)),"")</f>
        <v/>
      </c>
      <c r="AL9" t="str">
        <f t="shared" si="1"/>
        <v/>
      </c>
      <c r="AM9">
        <f>IFERROR(INDEX(Participation_By_Student!$D:$D,MATCH($B9,Participation_By_Student!$B:$B,0)),"")</f>
        <v>0</v>
      </c>
      <c r="AN9">
        <f>IFERROR(INDEX(Participation_By_Student!$E:$E,MATCH($B9,Participation_By_Student!$B:$B,0)),"")</f>
        <v>0</v>
      </c>
      <c r="AO9">
        <f>IFERROR(INDEX(Participation_By_Student!$F:$F,MATCH($B9,Participation_By_Student!$B:$B,0)),"")</f>
        <v>0</v>
      </c>
      <c r="AP9">
        <f>IFERROR(INDEX(Participation_By_Student!$G:$G,MATCH($B9,Participation_By_Student!$B:$B,0)),"")</f>
        <v>0</v>
      </c>
    </row>
    <row r="10" spans="1:42" x14ac:dyDescent="0.3">
      <c r="A10" s="2" t="s">
        <v>60</v>
      </c>
      <c r="B10" s="2" t="s">
        <v>81</v>
      </c>
      <c r="C10" s="2" t="s">
        <v>82</v>
      </c>
      <c r="D10" s="2" t="s">
        <v>63</v>
      </c>
      <c r="E10" s="2" t="s">
        <v>64</v>
      </c>
      <c r="F10" s="5">
        <f>IFERROR(INDEX(Baseline_Entry!$P:$P,MATCH($B10,Baseline_Entry!$B:$B,0)),"")</f>
        <v>89</v>
      </c>
      <c r="G10" s="5" t="str">
        <f t="shared" si="0"/>
        <v>Yes</v>
      </c>
      <c r="H10" s="5">
        <v>95.883999999999986</v>
      </c>
      <c r="I10" s="5">
        <v>96.275999999999996</v>
      </c>
      <c r="J10" s="5">
        <v>0.39200000000001012</v>
      </c>
      <c r="K10" s="5">
        <v>96.21</v>
      </c>
      <c r="L10" s="5">
        <v>91.69</v>
      </c>
      <c r="M10" s="5">
        <v>-4.519999999999996</v>
      </c>
      <c r="N10" s="5">
        <v>96.21</v>
      </c>
      <c r="O10" s="5">
        <v>96.69</v>
      </c>
      <c r="P10" s="5">
        <v>0.48000000000000398</v>
      </c>
      <c r="Q10" s="5">
        <v>90.5</v>
      </c>
      <c r="R10" s="5">
        <v>96.5</v>
      </c>
      <c r="S10" s="5">
        <v>6</v>
      </c>
      <c r="T10" s="5">
        <v>99</v>
      </c>
      <c r="U10" s="5">
        <v>98.5</v>
      </c>
      <c r="V10" s="5">
        <v>-0.5</v>
      </c>
      <c r="W10" s="5">
        <v>97.5</v>
      </c>
      <c r="X10" s="5">
        <v>98</v>
      </c>
      <c r="Y10" s="5">
        <v>0.5</v>
      </c>
      <c r="Z10" s="2" t="s">
        <v>820</v>
      </c>
      <c r="AA10" s="2" t="s">
        <v>66</v>
      </c>
      <c r="AB10" s="2" t="s">
        <v>66</v>
      </c>
      <c r="AC10" s="2">
        <v>0</v>
      </c>
      <c r="AD10" s="2" t="str">
        <f>IFERROR(INDEX(University_Exit!$D:$D,MATCH($B10,University_Exit!$B:$B,0)),"")</f>
        <v>Swansea University</v>
      </c>
      <c r="AE10" s="2" t="str">
        <f>IFERROR(INDEX(University_Exit!$F:$F,MATCH($B10,University_Exit!$B:$B,0)),"")</f>
        <v>Electrical Engineering</v>
      </c>
      <c r="AF10" s="2" t="str">
        <f>IFERROR(INDEX(University_Exit!$L:$L,MATCH($B10,University_Exit!$B:$B,0)),"")</f>
        <v>Yes</v>
      </c>
      <c r="AG10" s="2">
        <f>IFERROR(INDEX(University_Exit!$H:$H,MATCH($B10,University_Exit!$B:$B,0)),"")</f>
        <v>96.7</v>
      </c>
      <c r="AH10" s="6">
        <f>IFERROR(INDEX(University_Exit!$K:$K,MATCH($B10,University_Exit!$B:$B,0)),"")</f>
        <v>1050</v>
      </c>
      <c r="AI10" s="2" t="str">
        <f>IFERROR(INDEX(University_Exit!$G:$G,MATCH($B10,University_Exit!$B:$B,0)),"")</f>
        <v>Qatar Energy</v>
      </c>
      <c r="AJ10" t="str">
        <f>IFERROR(INDEX(Baseline_Entry!$N:$N,MATCH($B10,Baseline_Entry!$B:$B,0)),"")</f>
        <v/>
      </c>
      <c r="AK10" t="str">
        <f>IFERROR(INDEX(Cognitive_Profile!$E:$E,MATCH($B10,Cognitive_Profile!$B:$B,0)),"")</f>
        <v/>
      </c>
      <c r="AL10" t="str">
        <f t="shared" si="1"/>
        <v/>
      </c>
      <c r="AM10">
        <f>IFERROR(INDEX(Participation_By_Student!$D:$D,MATCH($B10,Participation_By_Student!$B:$B,0)),"")</f>
        <v>0</v>
      </c>
      <c r="AN10">
        <f>IFERROR(INDEX(Participation_By_Student!$E:$E,MATCH($B10,Participation_By_Student!$B:$B,0)),"")</f>
        <v>0</v>
      </c>
      <c r="AO10">
        <f>IFERROR(INDEX(Participation_By_Student!$F:$F,MATCH($B10,Participation_By_Student!$B:$B,0)),"")</f>
        <v>0</v>
      </c>
      <c r="AP10">
        <f>IFERROR(INDEX(Participation_By_Student!$G:$G,MATCH($B10,Participation_By_Student!$B:$B,0)),"")</f>
        <v>0</v>
      </c>
    </row>
    <row r="11" spans="1:42" x14ac:dyDescent="0.3">
      <c r="A11" s="2" t="s">
        <v>60</v>
      </c>
      <c r="B11" s="2" t="s">
        <v>83</v>
      </c>
      <c r="C11" s="2" t="s">
        <v>84</v>
      </c>
      <c r="D11" s="2" t="s">
        <v>63</v>
      </c>
      <c r="E11" s="2" t="s">
        <v>64</v>
      </c>
      <c r="F11" s="5">
        <f>IFERROR(INDEX(Baseline_Entry!$P:$P,MATCH($B11,Baseline_Entry!$B:$B,0)),"")</f>
        <v>54</v>
      </c>
      <c r="G11" s="5" t="str">
        <f t="shared" si="0"/>
        <v>Yes</v>
      </c>
      <c r="H11" s="5">
        <v>87.963999999999984</v>
      </c>
      <c r="I11" s="5">
        <v>92.8</v>
      </c>
      <c r="J11" s="5">
        <v>4.8360000000000127</v>
      </c>
      <c r="K11" s="5">
        <v>87.21</v>
      </c>
      <c r="L11" s="5">
        <v>87.75</v>
      </c>
      <c r="M11" s="5">
        <v>0.54000000000000625</v>
      </c>
      <c r="N11" s="5">
        <v>90.21</v>
      </c>
      <c r="O11" s="5">
        <v>92.75</v>
      </c>
      <c r="P11" s="5">
        <v>2.5400000000000058</v>
      </c>
      <c r="Q11" s="5">
        <v>85</v>
      </c>
      <c r="R11" s="5">
        <v>92.5</v>
      </c>
      <c r="S11" s="5">
        <v>7.5</v>
      </c>
      <c r="T11" s="5">
        <v>90</v>
      </c>
      <c r="U11" s="5">
        <v>97</v>
      </c>
      <c r="V11" s="5">
        <v>7</v>
      </c>
      <c r="W11" s="5">
        <v>87.4</v>
      </c>
      <c r="X11" s="5">
        <v>94</v>
      </c>
      <c r="Y11" s="5">
        <v>6.5999999999999943</v>
      </c>
      <c r="Z11" s="2" t="s">
        <v>820</v>
      </c>
      <c r="AA11" s="2" t="s">
        <v>65</v>
      </c>
      <c r="AB11" s="2" t="s">
        <v>66</v>
      </c>
      <c r="AC11" s="2">
        <v>1</v>
      </c>
      <c r="AD11" s="2" t="str">
        <f>IFERROR(INDEX(University_Exit!$D:$D,MATCH($B11,University_Exit!$B:$B,0)),"")</f>
        <v>Qatar University</v>
      </c>
      <c r="AE11" s="2" t="str">
        <f>IFERROR(INDEX(University_Exit!$F:$F,MATCH($B11,University_Exit!$B:$B,0)),"")</f>
        <v>Mechanical Engineering</v>
      </c>
      <c r="AF11" s="2" t="str">
        <f>IFERROR(INDEX(University_Exit!$L:$L,MATCH($B11,University_Exit!$B:$B,0)),"")</f>
        <v>Yes</v>
      </c>
      <c r="AG11" s="2">
        <f>IFERROR(INDEX(University_Exit!$H:$H,MATCH($B11,University_Exit!$B:$B,0)),"")</f>
        <v>92.8</v>
      </c>
      <c r="AH11" s="6">
        <f>IFERROR(INDEX(University_Exit!$K:$K,MATCH($B11,University_Exit!$B:$B,0)),"")</f>
        <v>1030</v>
      </c>
      <c r="AI11" s="2" t="str">
        <f>IFERROR(INDEX(University_Exit!$G:$G,MATCH($B11,University_Exit!$B:$B,0)),"")</f>
        <v>Ministry of Education</v>
      </c>
      <c r="AJ11" t="str">
        <f>IFERROR(INDEX(Baseline_Entry!$N:$N,MATCH($B11,Baseline_Entry!$B:$B,0)),"")</f>
        <v/>
      </c>
      <c r="AK11" t="str">
        <f>IFERROR(INDEX(Cognitive_Profile!$E:$E,MATCH($B11,Cognitive_Profile!$B:$B,0)),"")</f>
        <v/>
      </c>
      <c r="AL11" t="str">
        <f t="shared" si="1"/>
        <v/>
      </c>
      <c r="AM11">
        <f>IFERROR(INDEX(Participation_By_Student!$D:$D,MATCH($B11,Participation_By_Student!$B:$B,0)),"")</f>
        <v>0</v>
      </c>
      <c r="AN11">
        <f>IFERROR(INDEX(Participation_By_Student!$E:$E,MATCH($B11,Participation_By_Student!$B:$B,0)),"")</f>
        <v>0</v>
      </c>
      <c r="AO11">
        <f>IFERROR(INDEX(Participation_By_Student!$F:$F,MATCH($B11,Participation_By_Student!$B:$B,0)),"")</f>
        <v>0</v>
      </c>
      <c r="AP11">
        <f>IFERROR(INDEX(Participation_By_Student!$G:$G,MATCH($B11,Participation_By_Student!$B:$B,0)),"")</f>
        <v>0</v>
      </c>
    </row>
    <row r="12" spans="1:42" x14ac:dyDescent="0.3">
      <c r="A12" s="2" t="s">
        <v>60</v>
      </c>
      <c r="B12" s="2" t="s">
        <v>85</v>
      </c>
      <c r="C12" s="2" t="s">
        <v>86</v>
      </c>
      <c r="D12" s="2" t="s">
        <v>63</v>
      </c>
      <c r="E12" s="2" t="s">
        <v>64</v>
      </c>
      <c r="F12" s="5">
        <f>IFERROR(INDEX(Baseline_Entry!$P:$P,MATCH($B12,Baseline_Entry!$B:$B,0)),"")</f>
        <v>76</v>
      </c>
      <c r="G12" s="5" t="str">
        <f t="shared" si="0"/>
        <v>Yes</v>
      </c>
      <c r="H12" s="5">
        <v>86.467999999999989</v>
      </c>
      <c r="I12" s="5">
        <v>91.676000000000002</v>
      </c>
      <c r="J12" s="5">
        <v>5.2080000000000126</v>
      </c>
      <c r="K12" s="5">
        <v>82.32</v>
      </c>
      <c r="L12" s="5">
        <v>87.19</v>
      </c>
      <c r="M12" s="5">
        <v>4.8700000000000054</v>
      </c>
      <c r="N12" s="5">
        <v>88.32</v>
      </c>
      <c r="O12" s="5">
        <v>91.19</v>
      </c>
      <c r="P12" s="5">
        <v>2.870000000000005</v>
      </c>
      <c r="Q12" s="5">
        <v>87.5</v>
      </c>
      <c r="R12" s="5">
        <v>92.5</v>
      </c>
      <c r="S12" s="5">
        <v>5</v>
      </c>
      <c r="T12" s="5">
        <v>84</v>
      </c>
      <c r="U12" s="5">
        <v>95.5</v>
      </c>
      <c r="V12" s="5">
        <v>11.5</v>
      </c>
      <c r="W12" s="5">
        <v>90.2</v>
      </c>
      <c r="X12" s="5">
        <v>92</v>
      </c>
      <c r="Y12" s="5">
        <v>1.7999999999999969</v>
      </c>
      <c r="Z12" s="2" t="s">
        <v>819</v>
      </c>
      <c r="AA12" s="2" t="s">
        <v>65</v>
      </c>
      <c r="AB12" s="2" t="s">
        <v>66</v>
      </c>
      <c r="AC12" s="2">
        <v>1</v>
      </c>
      <c r="AD12" s="2" t="str">
        <f>IFERROR(INDEX(University_Exit!$D:$D,MATCH($B12,University_Exit!$B:$B,0)),"")</f>
        <v>Texas A&amp;M University Qatar</v>
      </c>
      <c r="AE12" s="2" t="str">
        <f>IFERROR(INDEX(University_Exit!$F:$F,MATCH($B12,University_Exit!$B:$B,0)),"")</f>
        <v>Petroleum Engineering</v>
      </c>
      <c r="AF12" s="2" t="str">
        <f>IFERROR(INDEX(University_Exit!$L:$L,MATCH($B12,University_Exit!$B:$B,0)),"")</f>
        <v>Yes</v>
      </c>
      <c r="AG12" s="2">
        <f>IFERROR(INDEX(University_Exit!$H:$H,MATCH($B12,University_Exit!$B:$B,0)),"")</f>
        <v>91.1</v>
      </c>
      <c r="AH12" s="6">
        <f>IFERROR(INDEX(University_Exit!$K:$K,MATCH($B12,University_Exit!$B:$B,0)),"")</f>
        <v>1060</v>
      </c>
      <c r="AI12" s="2" t="str">
        <f>IFERROR(INDEX(University_Exit!$G:$G,MATCH($B12,University_Exit!$B:$B,0)),"")</f>
        <v>Qatar Energy</v>
      </c>
      <c r="AJ12" t="str">
        <f>IFERROR(INDEX(Baseline_Entry!$N:$N,MATCH($B12,Baseline_Entry!$B:$B,0)),"")</f>
        <v/>
      </c>
      <c r="AK12" t="str">
        <f>IFERROR(INDEX(Cognitive_Profile!$E:$E,MATCH($B12,Cognitive_Profile!$B:$B,0)),"")</f>
        <v/>
      </c>
      <c r="AL12" t="str">
        <f t="shared" si="1"/>
        <v/>
      </c>
      <c r="AM12">
        <f>IFERROR(INDEX(Participation_By_Student!$D:$D,MATCH($B12,Participation_By_Student!$B:$B,0)),"")</f>
        <v>0</v>
      </c>
      <c r="AN12">
        <f>IFERROR(INDEX(Participation_By_Student!$E:$E,MATCH($B12,Participation_By_Student!$B:$B,0)),"")</f>
        <v>0</v>
      </c>
      <c r="AO12">
        <f>IFERROR(INDEX(Participation_By_Student!$F:$F,MATCH($B12,Participation_By_Student!$B:$B,0)),"")</f>
        <v>0</v>
      </c>
      <c r="AP12">
        <f>IFERROR(INDEX(Participation_By_Student!$G:$G,MATCH($B12,Participation_By_Student!$B:$B,0)),"")</f>
        <v>0</v>
      </c>
    </row>
    <row r="13" spans="1:42" x14ac:dyDescent="0.3">
      <c r="A13" s="2" t="s">
        <v>60</v>
      </c>
      <c r="B13" s="2" t="s">
        <v>87</v>
      </c>
      <c r="C13" s="2" t="s">
        <v>88</v>
      </c>
      <c r="D13" s="2" t="s">
        <v>63</v>
      </c>
      <c r="E13" s="2" t="s">
        <v>64</v>
      </c>
      <c r="F13" s="5">
        <f>IFERROR(INDEX(Baseline_Entry!$P:$P,MATCH($B13,Baseline_Entry!$B:$B,0)),"")</f>
        <v>77.800000000000011</v>
      </c>
      <c r="G13" s="5" t="str">
        <f t="shared" si="0"/>
        <v>Yes</v>
      </c>
      <c r="H13" s="5">
        <v>86.275999999999996</v>
      </c>
      <c r="I13" s="5">
        <v>95.123999999999995</v>
      </c>
      <c r="J13" s="5">
        <v>8.847999999999999</v>
      </c>
      <c r="K13" s="5">
        <v>87.39</v>
      </c>
      <c r="L13" s="5">
        <v>91.81</v>
      </c>
      <c r="M13" s="5">
        <v>4.4200000000000017</v>
      </c>
      <c r="N13" s="5">
        <v>88.39</v>
      </c>
      <c r="O13" s="5">
        <v>95.81</v>
      </c>
      <c r="P13" s="5">
        <v>7.4200000000000017</v>
      </c>
      <c r="Q13" s="5">
        <v>77</v>
      </c>
      <c r="R13" s="5">
        <v>91.5</v>
      </c>
      <c r="S13" s="5">
        <v>14.5</v>
      </c>
      <c r="T13" s="5">
        <v>92.5</v>
      </c>
      <c r="U13" s="5">
        <v>98.5</v>
      </c>
      <c r="V13" s="5">
        <v>6</v>
      </c>
      <c r="W13" s="5">
        <v>86.1</v>
      </c>
      <c r="X13" s="5">
        <v>98</v>
      </c>
      <c r="Y13" s="5">
        <v>11.900000000000009</v>
      </c>
      <c r="Z13" s="2" t="s">
        <v>819</v>
      </c>
      <c r="AA13" s="2" t="s">
        <v>65</v>
      </c>
      <c r="AB13" s="2" t="s">
        <v>66</v>
      </c>
      <c r="AC13" s="2">
        <v>1</v>
      </c>
      <c r="AD13" s="2" t="str">
        <f>IFERROR(INDEX(University_Exit!$D:$D,MATCH($B13,University_Exit!$B:$B,0)),"")</f>
        <v>Texas A&amp;M University Qatar</v>
      </c>
      <c r="AE13" s="2" t="str">
        <f>IFERROR(INDEX(University_Exit!$F:$F,MATCH($B13,University_Exit!$B:$B,0)),"")</f>
        <v>Mechanical engineering</v>
      </c>
      <c r="AF13" s="2" t="str">
        <f>IFERROR(INDEX(University_Exit!$L:$L,MATCH($B13,University_Exit!$B:$B,0)),"")</f>
        <v>Yes</v>
      </c>
      <c r="AG13" s="2">
        <f>IFERROR(INDEX(University_Exit!$H:$H,MATCH($B13,University_Exit!$B:$B,0)),"")</f>
        <v>95.8</v>
      </c>
      <c r="AH13" s="6">
        <f>IFERROR(INDEX(University_Exit!$K:$K,MATCH($B13,University_Exit!$B:$B,0)),"")</f>
        <v>1070</v>
      </c>
      <c r="AI13" s="2" t="str">
        <f>IFERROR(INDEX(University_Exit!$G:$G,MATCH($B13,University_Exit!$B:$B,0)),"")</f>
        <v>Qatar Energy</v>
      </c>
      <c r="AJ13" t="str">
        <f>IFERROR(INDEX(Baseline_Entry!$N:$N,MATCH($B13,Baseline_Entry!$B:$B,0)),"")</f>
        <v/>
      </c>
      <c r="AK13" t="str">
        <f>IFERROR(INDEX(Cognitive_Profile!$E:$E,MATCH($B13,Cognitive_Profile!$B:$B,0)),"")</f>
        <v/>
      </c>
      <c r="AL13" t="str">
        <f t="shared" si="1"/>
        <v/>
      </c>
      <c r="AM13">
        <f>IFERROR(INDEX(Participation_By_Student!$D:$D,MATCH($B13,Participation_By_Student!$B:$B,0)),"")</f>
        <v>0</v>
      </c>
      <c r="AN13">
        <f>IFERROR(INDEX(Participation_By_Student!$E:$E,MATCH($B13,Participation_By_Student!$B:$B,0)),"")</f>
        <v>0</v>
      </c>
      <c r="AO13">
        <f>IFERROR(INDEX(Participation_By_Student!$F:$F,MATCH($B13,Participation_By_Student!$B:$B,0)),"")</f>
        <v>0</v>
      </c>
      <c r="AP13">
        <f>IFERROR(INDEX(Participation_By_Student!$G:$G,MATCH($B13,Participation_By_Student!$B:$B,0)),"")</f>
        <v>0</v>
      </c>
    </row>
    <row r="14" spans="1:42" x14ac:dyDescent="0.3">
      <c r="A14" s="2" t="s">
        <v>60</v>
      </c>
      <c r="B14" s="2" t="s">
        <v>89</v>
      </c>
      <c r="C14" s="2" t="s">
        <v>90</v>
      </c>
      <c r="D14" s="2" t="s">
        <v>63</v>
      </c>
      <c r="E14" s="2" t="s">
        <v>64</v>
      </c>
      <c r="F14" s="5">
        <f>IFERROR(INDEX(Baseline_Entry!$P:$P,MATCH($B14,Baseline_Entry!$B:$B,0)),"")</f>
        <v>76.400000000000006</v>
      </c>
      <c r="G14" s="5" t="str">
        <f t="shared" si="0"/>
        <v>Yes</v>
      </c>
      <c r="H14" s="5">
        <v>95.404000000000011</v>
      </c>
      <c r="I14" s="5">
        <v>98.424000000000007</v>
      </c>
      <c r="J14" s="5">
        <v>3.019999999999996</v>
      </c>
      <c r="K14" s="5">
        <v>91.61</v>
      </c>
      <c r="L14" s="5">
        <v>96.81</v>
      </c>
      <c r="M14" s="5">
        <v>5.2000000000000028</v>
      </c>
      <c r="N14" s="5">
        <v>96.61</v>
      </c>
      <c r="O14" s="5">
        <v>96.81</v>
      </c>
      <c r="P14" s="5">
        <v>0.20000000000000279</v>
      </c>
      <c r="Q14" s="5">
        <v>93.5</v>
      </c>
      <c r="R14" s="5">
        <v>99.5</v>
      </c>
      <c r="S14" s="5">
        <v>6</v>
      </c>
      <c r="T14" s="5">
        <v>100</v>
      </c>
      <c r="U14" s="5">
        <v>100</v>
      </c>
      <c r="V14" s="5">
        <v>0</v>
      </c>
      <c r="W14" s="5">
        <v>95.3</v>
      </c>
      <c r="X14" s="5">
        <v>99</v>
      </c>
      <c r="Y14" s="5">
        <v>3.7000000000000028</v>
      </c>
      <c r="Z14" s="2" t="s">
        <v>819</v>
      </c>
      <c r="AA14" s="2" t="s">
        <v>66</v>
      </c>
      <c r="AB14" s="2" t="s">
        <v>66</v>
      </c>
      <c r="AC14" s="2">
        <v>0</v>
      </c>
      <c r="AD14" s="2" t="str">
        <f>IFERROR(INDEX(University_Exit!$D:$D,MATCH($B14,University_Exit!$B:$B,0)),"")</f>
        <v>University of Doha for Science and Technology</v>
      </c>
      <c r="AE14" s="2" t="str">
        <f>IFERROR(INDEX(University_Exit!$F:$F,MATCH($B14,University_Exit!$B:$B,0)),"")</f>
        <v>Chemical engineering</v>
      </c>
      <c r="AF14" s="2" t="str">
        <f>IFERROR(INDEX(University_Exit!$L:$L,MATCH($B14,University_Exit!$B:$B,0)),"")</f>
        <v>Yes</v>
      </c>
      <c r="AG14" s="2">
        <f>IFERROR(INDEX(University_Exit!$H:$H,MATCH($B14,University_Exit!$B:$B,0)),"")</f>
        <v>96.8</v>
      </c>
      <c r="AH14" s="6">
        <f>IFERROR(INDEX(University_Exit!$K:$K,MATCH($B14,University_Exit!$B:$B,0)),"")</f>
        <v>1100</v>
      </c>
      <c r="AI14" s="2" t="str">
        <f>IFERROR(INDEX(University_Exit!$G:$G,MATCH($B14,University_Exit!$B:$B,0)),"")</f>
        <v>Qatar Energy</v>
      </c>
      <c r="AJ14" t="str">
        <f>IFERROR(INDEX(Baseline_Entry!$N:$N,MATCH($B14,Baseline_Entry!$B:$B,0)),"")</f>
        <v/>
      </c>
      <c r="AK14" t="str">
        <f>IFERROR(INDEX(Cognitive_Profile!$E:$E,MATCH($B14,Cognitive_Profile!$B:$B,0)),"")</f>
        <v/>
      </c>
      <c r="AL14" t="str">
        <f t="shared" si="1"/>
        <v/>
      </c>
      <c r="AM14">
        <f>IFERROR(INDEX(Participation_By_Student!$D:$D,MATCH($B14,Participation_By_Student!$B:$B,0)),"")</f>
        <v>0</v>
      </c>
      <c r="AN14">
        <f>IFERROR(INDEX(Participation_By_Student!$E:$E,MATCH($B14,Participation_By_Student!$B:$B,0)),"")</f>
        <v>0</v>
      </c>
      <c r="AO14">
        <f>IFERROR(INDEX(Participation_By_Student!$F:$F,MATCH($B14,Participation_By_Student!$B:$B,0)),"")</f>
        <v>0</v>
      </c>
      <c r="AP14">
        <f>IFERROR(INDEX(Participation_By_Student!$G:$G,MATCH($B14,Participation_By_Student!$B:$B,0)),"")</f>
        <v>0</v>
      </c>
    </row>
    <row r="15" spans="1:42" x14ac:dyDescent="0.3">
      <c r="A15" s="2" t="s">
        <v>60</v>
      </c>
      <c r="B15" s="2" t="s">
        <v>91</v>
      </c>
      <c r="C15" s="2" t="s">
        <v>92</v>
      </c>
      <c r="D15" s="2" t="s">
        <v>63</v>
      </c>
      <c r="E15" s="2" t="s">
        <v>64</v>
      </c>
      <c r="F15" s="5">
        <f>IFERROR(INDEX(Baseline_Entry!$P:$P,MATCH($B15,Baseline_Entry!$B:$B,0)),"")</f>
        <v>77.599999999999994</v>
      </c>
      <c r="G15" s="5" t="str">
        <f t="shared" si="0"/>
        <v>Yes</v>
      </c>
      <c r="H15" s="5">
        <v>93.024000000000001</v>
      </c>
      <c r="I15" s="5">
        <v>93.775999999999996</v>
      </c>
      <c r="J15" s="5">
        <v>0.75199999999999534</v>
      </c>
      <c r="K15" s="5">
        <v>93.61</v>
      </c>
      <c r="L15" s="5">
        <v>89.19</v>
      </c>
      <c r="M15" s="5">
        <v>-4.4200000000000017</v>
      </c>
      <c r="N15" s="5">
        <v>93.61</v>
      </c>
      <c r="O15" s="5">
        <v>94.19</v>
      </c>
      <c r="P15" s="5">
        <v>0.57999999999999829</v>
      </c>
      <c r="Q15" s="5">
        <v>86</v>
      </c>
      <c r="R15" s="5">
        <v>90.5</v>
      </c>
      <c r="S15" s="5">
        <v>4.5</v>
      </c>
      <c r="T15" s="5">
        <v>99.5</v>
      </c>
      <c r="U15" s="5">
        <v>100</v>
      </c>
      <c r="V15" s="5">
        <v>0.5</v>
      </c>
      <c r="W15" s="5">
        <v>92.4</v>
      </c>
      <c r="X15" s="5">
        <v>95</v>
      </c>
      <c r="Y15" s="5">
        <v>2.5999999999999939</v>
      </c>
      <c r="Z15" s="2" t="s">
        <v>819</v>
      </c>
      <c r="AA15" s="2" t="s">
        <v>66</v>
      </c>
      <c r="AB15" s="2" t="s">
        <v>66</v>
      </c>
      <c r="AC15" s="2">
        <v>0</v>
      </c>
      <c r="AD15" s="2" t="str">
        <f>IFERROR(INDEX(University_Exit!$D:$D,MATCH($B15,University_Exit!$B:$B,0)),"")</f>
        <v>Newcastle University</v>
      </c>
      <c r="AE15" s="2" t="str">
        <f>IFERROR(INDEX(University_Exit!$F:$F,MATCH($B15,University_Exit!$B:$B,0)),"")</f>
        <v>Marine engineering</v>
      </c>
      <c r="AF15" s="2" t="str">
        <f>IFERROR(INDEX(University_Exit!$L:$L,MATCH($B15,University_Exit!$B:$B,0)),"")</f>
        <v>Yes</v>
      </c>
      <c r="AG15" s="2">
        <f>IFERROR(INDEX(University_Exit!$H:$H,MATCH($B15,University_Exit!$B:$B,0)),"")</f>
        <v>94.2</v>
      </c>
      <c r="AH15" s="6">
        <f>IFERROR(INDEX(University_Exit!$K:$K,MATCH($B15,University_Exit!$B:$B,0)),"")</f>
        <v>1020</v>
      </c>
      <c r="AI15" s="2" t="str">
        <f>IFERROR(INDEX(University_Exit!$G:$G,MATCH($B15,University_Exit!$B:$B,0)),"")</f>
        <v>Qatar Energy</v>
      </c>
      <c r="AJ15" t="str">
        <f>IFERROR(INDEX(Baseline_Entry!$N:$N,MATCH($B15,Baseline_Entry!$B:$B,0)),"")</f>
        <v/>
      </c>
      <c r="AK15" t="str">
        <f>IFERROR(INDEX(Cognitive_Profile!$E:$E,MATCH($B15,Cognitive_Profile!$B:$B,0)),"")</f>
        <v/>
      </c>
      <c r="AL15" t="str">
        <f t="shared" si="1"/>
        <v/>
      </c>
      <c r="AM15">
        <f>IFERROR(INDEX(Participation_By_Student!$D:$D,MATCH($B15,Participation_By_Student!$B:$B,0)),"")</f>
        <v>0</v>
      </c>
      <c r="AN15">
        <f>IFERROR(INDEX(Participation_By_Student!$E:$E,MATCH($B15,Participation_By_Student!$B:$B,0)),"")</f>
        <v>0</v>
      </c>
      <c r="AO15">
        <f>IFERROR(INDEX(Participation_By_Student!$F:$F,MATCH($B15,Participation_By_Student!$B:$B,0)),"")</f>
        <v>0</v>
      </c>
      <c r="AP15">
        <f>IFERROR(INDEX(Participation_By_Student!$G:$G,MATCH($B15,Participation_By_Student!$B:$B,0)),"")</f>
        <v>0</v>
      </c>
    </row>
    <row r="16" spans="1:42" x14ac:dyDescent="0.3">
      <c r="A16" s="2" t="s">
        <v>60</v>
      </c>
      <c r="B16" s="2" t="s">
        <v>93</v>
      </c>
      <c r="C16" s="2" t="s">
        <v>94</v>
      </c>
      <c r="D16" s="2" t="s">
        <v>63</v>
      </c>
      <c r="E16" s="2" t="s">
        <v>64</v>
      </c>
      <c r="F16" s="5">
        <f>IFERROR(INDEX(Baseline_Entry!$P:$P,MATCH($B16,Baseline_Entry!$B:$B,0)),"")</f>
        <v>68.400000000000006</v>
      </c>
      <c r="G16" s="5" t="str">
        <f t="shared" si="0"/>
        <v>Yes</v>
      </c>
      <c r="H16" s="5">
        <v>91.003999999999991</v>
      </c>
      <c r="I16" s="5">
        <v>93.9</v>
      </c>
      <c r="J16" s="5">
        <v>2.896000000000015</v>
      </c>
      <c r="K16" s="5">
        <v>92.46</v>
      </c>
      <c r="L16" s="5">
        <v>90</v>
      </c>
      <c r="M16" s="5">
        <v>-2.4599999999999942</v>
      </c>
      <c r="N16" s="5">
        <v>93.46</v>
      </c>
      <c r="O16" s="5">
        <v>95</v>
      </c>
      <c r="P16" s="5">
        <v>1.540000000000006</v>
      </c>
      <c r="Q16" s="5">
        <v>87.5</v>
      </c>
      <c r="R16" s="5">
        <v>92</v>
      </c>
      <c r="S16" s="5">
        <v>4.5</v>
      </c>
      <c r="T16" s="5">
        <v>89.5</v>
      </c>
      <c r="U16" s="5">
        <v>95</v>
      </c>
      <c r="V16" s="5">
        <v>5.5</v>
      </c>
      <c r="W16" s="5">
        <v>92.1</v>
      </c>
      <c r="X16" s="5">
        <v>97.5</v>
      </c>
      <c r="Y16" s="5">
        <v>5.4000000000000057</v>
      </c>
      <c r="Z16" s="2" t="s">
        <v>819</v>
      </c>
      <c r="AA16" s="2" t="s">
        <v>66</v>
      </c>
      <c r="AB16" s="2" t="s">
        <v>66</v>
      </c>
      <c r="AC16" s="2">
        <v>0</v>
      </c>
      <c r="AD16" s="2" t="str">
        <f>IFERROR(INDEX(University_Exit!$D:$D,MATCH($B16,University_Exit!$B:$B,0)),"")</f>
        <v>Qatar University</v>
      </c>
      <c r="AE16" s="2" t="str">
        <f>IFERROR(INDEX(University_Exit!$F:$F,MATCH($B16,University_Exit!$B:$B,0)),"")</f>
        <v>Computer Engineering</v>
      </c>
      <c r="AF16" s="2" t="str">
        <f>IFERROR(INDEX(University_Exit!$L:$L,MATCH($B16,University_Exit!$B:$B,0)),"")</f>
        <v>Yes</v>
      </c>
      <c r="AG16" s="2">
        <f>IFERROR(INDEX(University_Exit!$H:$H,MATCH($B16,University_Exit!$B:$B,0)),"")</f>
        <v>95</v>
      </c>
      <c r="AH16" s="6">
        <f>IFERROR(INDEX(University_Exit!$K:$K,MATCH($B16,University_Exit!$B:$B,0)),"")</f>
        <v>960</v>
      </c>
      <c r="AI16" s="2" t="str">
        <f>IFERROR(INDEX(University_Exit!$G:$G,MATCH($B16,University_Exit!$B:$B,0)),"")</f>
        <v>وزارة الداخلية</v>
      </c>
      <c r="AJ16" t="str">
        <f>IFERROR(INDEX(Baseline_Entry!$N:$N,MATCH($B16,Baseline_Entry!$B:$B,0)),"")</f>
        <v/>
      </c>
      <c r="AK16" t="str">
        <f>IFERROR(INDEX(Cognitive_Profile!$E:$E,MATCH($B16,Cognitive_Profile!$B:$B,0)),"")</f>
        <v/>
      </c>
      <c r="AL16" t="str">
        <f t="shared" si="1"/>
        <v/>
      </c>
      <c r="AM16">
        <f>IFERROR(INDEX(Participation_By_Student!$D:$D,MATCH($B16,Participation_By_Student!$B:$B,0)),"")</f>
        <v>0</v>
      </c>
      <c r="AN16">
        <f>IFERROR(INDEX(Participation_By_Student!$E:$E,MATCH($B16,Participation_By_Student!$B:$B,0)),"")</f>
        <v>0</v>
      </c>
      <c r="AO16">
        <f>IFERROR(INDEX(Participation_By_Student!$F:$F,MATCH($B16,Participation_By_Student!$B:$B,0)),"")</f>
        <v>0</v>
      </c>
      <c r="AP16">
        <f>IFERROR(INDEX(Participation_By_Student!$G:$G,MATCH($B16,Participation_By_Student!$B:$B,0)),"")</f>
        <v>0</v>
      </c>
    </row>
    <row r="17" spans="1:42" x14ac:dyDescent="0.3">
      <c r="A17" s="2" t="s">
        <v>60</v>
      </c>
      <c r="B17" s="2" t="s">
        <v>95</v>
      </c>
      <c r="C17" s="2" t="s">
        <v>96</v>
      </c>
      <c r="D17" s="2" t="s">
        <v>63</v>
      </c>
      <c r="E17" s="2" t="s">
        <v>64</v>
      </c>
      <c r="F17" s="5">
        <f>IFERROR(INDEX(Baseline_Entry!$P:$P,MATCH($B17,Baseline_Entry!$B:$B,0)),"")</f>
        <v>77.2</v>
      </c>
      <c r="G17" s="5" t="str">
        <f t="shared" si="0"/>
        <v>Yes</v>
      </c>
      <c r="H17" s="5">
        <v>83.26400000000001</v>
      </c>
      <c r="I17" s="5">
        <v>85.975999999999999</v>
      </c>
      <c r="J17" s="5">
        <v>2.7119999999999891</v>
      </c>
      <c r="K17" s="5">
        <v>86.11</v>
      </c>
      <c r="L17" s="5">
        <v>82.94</v>
      </c>
      <c r="M17" s="5">
        <v>-3.1700000000000021</v>
      </c>
      <c r="N17" s="5">
        <v>86.11</v>
      </c>
      <c r="O17" s="5">
        <v>86.94</v>
      </c>
      <c r="P17" s="5">
        <v>0.82999999999999829</v>
      </c>
      <c r="Q17" s="5">
        <v>76</v>
      </c>
      <c r="R17" s="5">
        <v>92</v>
      </c>
      <c r="S17" s="5">
        <v>16</v>
      </c>
      <c r="T17" s="5">
        <v>90</v>
      </c>
      <c r="U17" s="5">
        <v>83</v>
      </c>
      <c r="V17" s="5">
        <v>-7</v>
      </c>
      <c r="W17" s="5">
        <v>78.099999999999994</v>
      </c>
      <c r="X17" s="5">
        <v>85</v>
      </c>
      <c r="Y17" s="5">
        <v>6.9000000000000057</v>
      </c>
      <c r="Z17" s="2" t="s">
        <v>819</v>
      </c>
      <c r="AA17" s="2" t="s">
        <v>65</v>
      </c>
      <c r="AB17" s="2" t="s">
        <v>65</v>
      </c>
      <c r="AC17" s="2">
        <v>0</v>
      </c>
      <c r="AD17" s="2" t="str">
        <f>IFERROR(INDEX(University_Exit!$D:$D,MATCH($B17,University_Exit!$B:$B,0)),"")</f>
        <v>Texas A&amp;M University Qatar</v>
      </c>
      <c r="AE17" s="2" t="str">
        <f>IFERROR(INDEX(University_Exit!$F:$F,MATCH($B17,University_Exit!$B:$B,0)),"")</f>
        <v>Petrolium Engineering</v>
      </c>
      <c r="AF17" s="2" t="str">
        <f>IFERROR(INDEX(University_Exit!$L:$L,MATCH($B17,University_Exit!$B:$B,0)),"")</f>
        <v>Yes</v>
      </c>
      <c r="AG17" s="2">
        <f>IFERROR(INDEX(University_Exit!$H:$H,MATCH($B17,University_Exit!$B:$B,0)),"")</f>
        <v>86.9</v>
      </c>
      <c r="AH17" s="6">
        <f>IFERROR(INDEX(University_Exit!$K:$K,MATCH($B17,University_Exit!$B:$B,0)),"")</f>
        <v>890</v>
      </c>
      <c r="AI17" s="2" t="str">
        <f>IFERROR(INDEX(University_Exit!$G:$G,MATCH($B17,University_Exit!$B:$B,0)),"")</f>
        <v>Qatar Energy</v>
      </c>
      <c r="AJ17" t="str">
        <f>IFERROR(INDEX(Baseline_Entry!$N:$N,MATCH($B17,Baseline_Entry!$B:$B,0)),"")</f>
        <v/>
      </c>
      <c r="AK17" t="str">
        <f>IFERROR(INDEX(Cognitive_Profile!$E:$E,MATCH($B17,Cognitive_Profile!$B:$B,0)),"")</f>
        <v/>
      </c>
      <c r="AL17" t="str">
        <f t="shared" si="1"/>
        <v/>
      </c>
      <c r="AM17">
        <f>IFERROR(INDEX(Participation_By_Student!$D:$D,MATCH($B17,Participation_By_Student!$B:$B,0)),"")</f>
        <v>0</v>
      </c>
      <c r="AN17">
        <f>IFERROR(INDEX(Participation_By_Student!$E:$E,MATCH($B17,Participation_By_Student!$B:$B,0)),"")</f>
        <v>0</v>
      </c>
      <c r="AO17">
        <f>IFERROR(INDEX(Participation_By_Student!$F:$F,MATCH($B17,Participation_By_Student!$B:$B,0)),"")</f>
        <v>0</v>
      </c>
      <c r="AP17">
        <f>IFERROR(INDEX(Participation_By_Student!$G:$G,MATCH($B17,Participation_By_Student!$B:$B,0)),"")</f>
        <v>0</v>
      </c>
    </row>
    <row r="18" spans="1:42" x14ac:dyDescent="0.3">
      <c r="A18" s="2" t="s">
        <v>60</v>
      </c>
      <c r="B18" s="2" t="s">
        <v>97</v>
      </c>
      <c r="C18" s="2" t="s">
        <v>98</v>
      </c>
      <c r="D18" s="2" t="s">
        <v>63</v>
      </c>
      <c r="E18" s="2" t="s">
        <v>64</v>
      </c>
      <c r="F18" s="5">
        <f>IFERROR(INDEX(Baseline_Entry!$P:$P,MATCH($B18,Baseline_Entry!$B:$B,0)),"")</f>
        <v>60.2</v>
      </c>
      <c r="G18" s="5" t="str">
        <f t="shared" si="0"/>
        <v>Yes</v>
      </c>
      <c r="H18" s="5">
        <v>72.816000000000003</v>
      </c>
      <c r="I18" s="5">
        <v>82.652000000000001</v>
      </c>
      <c r="J18" s="5">
        <v>9.8359999999999985</v>
      </c>
      <c r="K18" s="5">
        <v>80.040000000000006</v>
      </c>
      <c r="L18" s="5">
        <v>83.13</v>
      </c>
      <c r="M18" s="5">
        <v>3.0899999999999892</v>
      </c>
      <c r="N18" s="5">
        <v>81.040000000000006</v>
      </c>
      <c r="O18" s="5">
        <v>87.13</v>
      </c>
      <c r="P18" s="5">
        <v>6.0899999999999892</v>
      </c>
      <c r="Q18" s="5">
        <v>57</v>
      </c>
      <c r="R18" s="5">
        <v>88.5</v>
      </c>
      <c r="S18" s="5">
        <v>31.5</v>
      </c>
      <c r="T18" s="5">
        <v>70.5</v>
      </c>
      <c r="U18" s="5">
        <v>72</v>
      </c>
      <c r="V18" s="5">
        <v>1.5</v>
      </c>
      <c r="W18" s="5">
        <v>75.5</v>
      </c>
      <c r="X18" s="5">
        <v>82.5</v>
      </c>
      <c r="Y18" s="5">
        <v>7</v>
      </c>
      <c r="Z18" s="2" t="s">
        <v>819</v>
      </c>
      <c r="AA18" s="2" t="s">
        <v>99</v>
      </c>
      <c r="AB18" s="2" t="s">
        <v>65</v>
      </c>
      <c r="AC18" s="2">
        <v>1</v>
      </c>
      <c r="AD18" s="2" t="str">
        <f>IFERROR(INDEX(University_Exit!$D:$D,MATCH($B18,University_Exit!$B:$B,0)),"")</f>
        <v>Qatar University</v>
      </c>
      <c r="AE18" s="2" t="str">
        <f>IFERROR(INDEX(University_Exit!$F:$F,MATCH($B18,University_Exit!$B:$B,0)),"")</f>
        <v>International Relation</v>
      </c>
      <c r="AF18" s="2" t="str">
        <f>IFERROR(INDEX(University_Exit!$L:$L,MATCH($B18,University_Exit!$B:$B,0)),"")</f>
        <v>No</v>
      </c>
      <c r="AG18" s="2">
        <f>IFERROR(INDEX(University_Exit!$H:$H,MATCH($B18,University_Exit!$B:$B,0)),"")</f>
        <v>87.1</v>
      </c>
      <c r="AH18" s="6">
        <f>IFERROR(INDEX(University_Exit!$K:$K,MATCH($B18,University_Exit!$B:$B,0)),"")</f>
        <v>0</v>
      </c>
      <c r="AI18" s="2" t="str">
        <f>IFERROR(INDEX(University_Exit!$G:$G,MATCH($B18,University_Exit!$B:$B,0)),"")</f>
        <v>وزارة الدفاع</v>
      </c>
      <c r="AJ18" t="str">
        <f>IFERROR(INDEX(Baseline_Entry!$N:$N,MATCH($B18,Baseline_Entry!$B:$B,0)),"")</f>
        <v/>
      </c>
      <c r="AK18" t="str">
        <f>IFERROR(INDEX(Cognitive_Profile!$E:$E,MATCH($B18,Cognitive_Profile!$B:$B,0)),"")</f>
        <v/>
      </c>
      <c r="AL18" t="str">
        <f t="shared" si="1"/>
        <v/>
      </c>
      <c r="AM18">
        <f>IFERROR(INDEX(Participation_By_Student!$D:$D,MATCH($B18,Participation_By_Student!$B:$B,0)),"")</f>
        <v>0</v>
      </c>
      <c r="AN18">
        <f>IFERROR(INDEX(Participation_By_Student!$E:$E,MATCH($B18,Participation_By_Student!$B:$B,0)),"")</f>
        <v>0</v>
      </c>
      <c r="AO18">
        <f>IFERROR(INDEX(Participation_By_Student!$F:$F,MATCH($B18,Participation_By_Student!$B:$B,0)),"")</f>
        <v>0</v>
      </c>
      <c r="AP18">
        <f>IFERROR(INDEX(Participation_By_Student!$G:$G,MATCH($B18,Participation_By_Student!$B:$B,0)),"")</f>
        <v>0</v>
      </c>
    </row>
    <row r="19" spans="1:42" x14ac:dyDescent="0.3">
      <c r="A19" s="2" t="s">
        <v>60</v>
      </c>
      <c r="B19" s="2" t="s">
        <v>100</v>
      </c>
      <c r="C19" s="2" t="s">
        <v>101</v>
      </c>
      <c r="D19" s="2" t="s">
        <v>63</v>
      </c>
      <c r="E19" s="2" t="s">
        <v>64</v>
      </c>
      <c r="F19" s="5">
        <f>IFERROR(INDEX(Baseline_Entry!$P:$P,MATCH($B19,Baseline_Entry!$B:$B,0)),"")</f>
        <v>74.599999999999994</v>
      </c>
      <c r="G19" s="5" t="str">
        <f t="shared" si="0"/>
        <v>Yes</v>
      </c>
      <c r="H19" s="5">
        <v>84.39200000000001</v>
      </c>
      <c r="I19" s="5">
        <v>86.676000000000002</v>
      </c>
      <c r="J19" s="5">
        <v>2.2839999999999918</v>
      </c>
      <c r="K19" s="5">
        <v>85.18</v>
      </c>
      <c r="L19" s="5">
        <v>81.94</v>
      </c>
      <c r="M19" s="5">
        <v>-3.2400000000000091</v>
      </c>
      <c r="N19" s="5">
        <v>86.18</v>
      </c>
      <c r="O19" s="5">
        <v>87.94</v>
      </c>
      <c r="P19" s="5">
        <v>1.7599999999999909</v>
      </c>
      <c r="Q19" s="5">
        <v>86.5</v>
      </c>
      <c r="R19" s="5">
        <v>93</v>
      </c>
      <c r="S19" s="5">
        <v>6.5</v>
      </c>
      <c r="T19" s="5">
        <v>82.5</v>
      </c>
      <c r="U19" s="5">
        <v>86.5</v>
      </c>
      <c r="V19" s="5">
        <v>4</v>
      </c>
      <c r="W19" s="5">
        <v>81.599999999999994</v>
      </c>
      <c r="X19" s="5">
        <v>84</v>
      </c>
      <c r="Y19" s="5">
        <v>2.4000000000000061</v>
      </c>
      <c r="Z19" s="2" t="s">
        <v>819</v>
      </c>
      <c r="AA19" s="2" t="s">
        <v>65</v>
      </c>
      <c r="AB19" s="2" t="s">
        <v>65</v>
      </c>
      <c r="AC19" s="2">
        <v>0</v>
      </c>
      <c r="AD19" s="2" t="str">
        <f>IFERROR(INDEX(University_Exit!$D:$D,MATCH($B19,University_Exit!$B:$B,0)),"")</f>
        <v>University of Central Lancashire</v>
      </c>
      <c r="AE19" s="2" t="str">
        <f>IFERROR(INDEX(University_Exit!$F:$F,MATCH($B19,University_Exit!$B:$B,0)),"")</f>
        <v>Fire Engineering</v>
      </c>
      <c r="AF19" s="2" t="str">
        <f>IFERROR(INDEX(University_Exit!$L:$L,MATCH($B19,University_Exit!$B:$B,0)),"")</f>
        <v>Yes</v>
      </c>
      <c r="AG19" s="2">
        <f>IFERROR(INDEX(University_Exit!$H:$H,MATCH($B19,University_Exit!$B:$B,0)),"")</f>
        <v>87.9</v>
      </c>
      <c r="AH19" s="6">
        <f>IFERROR(INDEX(University_Exit!$K:$K,MATCH($B19,University_Exit!$B:$B,0)),"")</f>
        <v>920</v>
      </c>
      <c r="AI19" s="2" t="str">
        <f>IFERROR(INDEX(University_Exit!$G:$G,MATCH($B19,University_Exit!$B:$B,0)),"")</f>
        <v>Qatar Energy</v>
      </c>
      <c r="AJ19" t="str">
        <f>IFERROR(INDEX(Baseline_Entry!$N:$N,MATCH($B19,Baseline_Entry!$B:$B,0)),"")</f>
        <v/>
      </c>
      <c r="AK19" t="str">
        <f>IFERROR(INDEX(Cognitive_Profile!$E:$E,MATCH($B19,Cognitive_Profile!$B:$B,0)),"")</f>
        <v/>
      </c>
      <c r="AL19" t="str">
        <f t="shared" si="1"/>
        <v/>
      </c>
      <c r="AM19">
        <f>IFERROR(INDEX(Participation_By_Student!$D:$D,MATCH($B19,Participation_By_Student!$B:$B,0)),"")</f>
        <v>0</v>
      </c>
      <c r="AN19">
        <f>IFERROR(INDEX(Participation_By_Student!$E:$E,MATCH($B19,Participation_By_Student!$B:$B,0)),"")</f>
        <v>0</v>
      </c>
      <c r="AO19">
        <f>IFERROR(INDEX(Participation_By_Student!$F:$F,MATCH($B19,Participation_By_Student!$B:$B,0)),"")</f>
        <v>0</v>
      </c>
      <c r="AP19">
        <f>IFERROR(INDEX(Participation_By_Student!$G:$G,MATCH($B19,Participation_By_Student!$B:$B,0)),"")</f>
        <v>0</v>
      </c>
    </row>
    <row r="20" spans="1:42" x14ac:dyDescent="0.3">
      <c r="A20" s="2" t="s">
        <v>60</v>
      </c>
      <c r="B20" s="2" t="s">
        <v>102</v>
      </c>
      <c r="C20" s="2" t="s">
        <v>103</v>
      </c>
      <c r="D20" s="2" t="s">
        <v>63</v>
      </c>
      <c r="E20" s="2" t="s">
        <v>64</v>
      </c>
      <c r="F20" s="5">
        <f>IFERROR(INDEX(Baseline_Entry!$P:$P,MATCH($B20,Baseline_Entry!$B:$B,0)),"")</f>
        <v>81.199999999999989</v>
      </c>
      <c r="G20" s="5" t="str">
        <f t="shared" si="0"/>
        <v>Yes</v>
      </c>
      <c r="H20" s="5">
        <v>82.488</v>
      </c>
      <c r="I20" s="5">
        <v>96.251999999999995</v>
      </c>
      <c r="J20" s="5">
        <v>13.763999999999999</v>
      </c>
      <c r="K20" s="5">
        <v>82.57</v>
      </c>
      <c r="L20" s="5">
        <v>95.63</v>
      </c>
      <c r="M20" s="5">
        <v>13.06</v>
      </c>
      <c r="N20" s="5">
        <v>86.57</v>
      </c>
      <c r="O20" s="5">
        <v>96.63</v>
      </c>
      <c r="P20" s="5">
        <v>10.06</v>
      </c>
      <c r="Q20" s="5">
        <v>70</v>
      </c>
      <c r="R20" s="5">
        <v>92.5</v>
      </c>
      <c r="S20" s="5">
        <v>22.5</v>
      </c>
      <c r="T20" s="5">
        <v>90.5</v>
      </c>
      <c r="U20" s="5">
        <v>100</v>
      </c>
      <c r="V20" s="5">
        <v>9.5</v>
      </c>
      <c r="W20" s="5">
        <v>82.8</v>
      </c>
      <c r="X20" s="5">
        <v>96.5</v>
      </c>
      <c r="Y20" s="5">
        <v>13.7</v>
      </c>
      <c r="Z20" s="2" t="s">
        <v>819</v>
      </c>
      <c r="AA20" s="2" t="s">
        <v>65</v>
      </c>
      <c r="AB20" s="2" t="s">
        <v>66</v>
      </c>
      <c r="AC20" s="2">
        <v>1</v>
      </c>
      <c r="AD20" s="2" t="str">
        <f>IFERROR(INDEX(University_Exit!$D:$D,MATCH($B20,University_Exit!$B:$B,0)),"")</f>
        <v>University of Doha for Science and Technology</v>
      </c>
      <c r="AE20" s="2" t="str">
        <f>IFERROR(INDEX(University_Exit!$F:$F,MATCH($B20,University_Exit!$B:$B,0)),"")</f>
        <v>Cyber Security</v>
      </c>
      <c r="AF20" s="2" t="str">
        <f>IFERROR(INDEX(University_Exit!$L:$L,MATCH($B20,University_Exit!$B:$B,0)),"")</f>
        <v>No</v>
      </c>
      <c r="AG20" s="2">
        <f>IFERROR(INDEX(University_Exit!$H:$H,MATCH($B20,University_Exit!$B:$B,0)),"")</f>
        <v>96.6</v>
      </c>
      <c r="AH20" s="6">
        <f>IFERROR(INDEX(University_Exit!$K:$K,MATCH($B20,University_Exit!$B:$B,0)),"")</f>
        <v>880</v>
      </c>
      <c r="AI20" s="2" t="str">
        <f>IFERROR(INDEX(University_Exit!$G:$G,MATCH($B20,University_Exit!$B:$B,0)),"")</f>
        <v>وزارة الدفاع</v>
      </c>
      <c r="AJ20" t="str">
        <f>IFERROR(INDEX(Baseline_Entry!$N:$N,MATCH($B20,Baseline_Entry!$B:$B,0)),"")</f>
        <v/>
      </c>
      <c r="AK20" t="str">
        <f>IFERROR(INDEX(Cognitive_Profile!$E:$E,MATCH($B20,Cognitive_Profile!$B:$B,0)),"")</f>
        <v/>
      </c>
      <c r="AL20" t="str">
        <f t="shared" si="1"/>
        <v/>
      </c>
      <c r="AM20">
        <f>IFERROR(INDEX(Participation_By_Student!$D:$D,MATCH($B20,Participation_By_Student!$B:$B,0)),"")</f>
        <v>0</v>
      </c>
      <c r="AN20">
        <f>IFERROR(INDEX(Participation_By_Student!$E:$E,MATCH($B20,Participation_By_Student!$B:$B,0)),"")</f>
        <v>0</v>
      </c>
      <c r="AO20">
        <f>IFERROR(INDEX(Participation_By_Student!$F:$F,MATCH($B20,Participation_By_Student!$B:$B,0)),"")</f>
        <v>0</v>
      </c>
      <c r="AP20">
        <f>IFERROR(INDEX(Participation_By_Student!$G:$G,MATCH($B20,Participation_By_Student!$B:$B,0)),"")</f>
        <v>0</v>
      </c>
    </row>
    <row r="21" spans="1:42" x14ac:dyDescent="0.3">
      <c r="A21" s="2" t="s">
        <v>60</v>
      </c>
      <c r="B21" s="2" t="s">
        <v>104</v>
      </c>
      <c r="C21" s="2" t="s">
        <v>105</v>
      </c>
      <c r="D21" s="2" t="s">
        <v>63</v>
      </c>
      <c r="E21" s="2" t="s">
        <v>64</v>
      </c>
      <c r="F21" s="5">
        <f>IFERROR(INDEX(Baseline_Entry!$P:$P,MATCH($B21,Baseline_Entry!$B:$B,0)),"")</f>
        <v>76.400000000000006</v>
      </c>
      <c r="G21" s="5" t="str">
        <f t="shared" si="0"/>
        <v>Yes</v>
      </c>
      <c r="H21" s="5">
        <v>82.39200000000001</v>
      </c>
      <c r="I21" s="5">
        <v>92.1</v>
      </c>
      <c r="J21" s="5">
        <v>9.7079999999999842</v>
      </c>
      <c r="K21" s="5">
        <v>82.68</v>
      </c>
      <c r="L21" s="5">
        <v>89.25</v>
      </c>
      <c r="M21" s="5">
        <v>6.5699999999999932</v>
      </c>
      <c r="N21" s="5">
        <v>83.68</v>
      </c>
      <c r="O21" s="5">
        <v>91.25</v>
      </c>
      <c r="P21" s="5">
        <v>7.5699999999999932</v>
      </c>
      <c r="Q21" s="5">
        <v>82</v>
      </c>
      <c r="R21" s="5">
        <v>94</v>
      </c>
      <c r="S21" s="5">
        <v>12</v>
      </c>
      <c r="T21" s="5">
        <v>83</v>
      </c>
      <c r="U21" s="5">
        <v>93.5</v>
      </c>
      <c r="V21" s="5">
        <v>10.5</v>
      </c>
      <c r="W21" s="5">
        <v>80.599999999999994</v>
      </c>
      <c r="X21" s="5">
        <v>92.5</v>
      </c>
      <c r="Y21" s="5">
        <v>11.900000000000009</v>
      </c>
      <c r="Z21" s="2" t="s">
        <v>819</v>
      </c>
      <c r="AA21" s="2" t="s">
        <v>65</v>
      </c>
      <c r="AB21" s="2" t="s">
        <v>66</v>
      </c>
      <c r="AC21" s="2">
        <v>1</v>
      </c>
      <c r="AD21" s="2" t="str">
        <f>IFERROR(INDEX(University_Exit!$D:$D,MATCH($B21,University_Exit!$B:$B,0)),"")</f>
        <v>الكلية العسكرية</v>
      </c>
      <c r="AE21" s="2" t="str">
        <f>IFERROR(INDEX(University_Exit!$F:$F,MATCH($B21,University_Exit!$B:$B,0)),"")</f>
        <v>مرشح ضابط</v>
      </c>
      <c r="AF21" s="2" t="str">
        <f>IFERROR(INDEX(University_Exit!$L:$L,MATCH($B21,University_Exit!$B:$B,0)),"")</f>
        <v>No</v>
      </c>
      <c r="AG21" s="2">
        <f>IFERROR(INDEX(University_Exit!$H:$H,MATCH($B21,University_Exit!$B:$B,0)),"")</f>
        <v>91.3</v>
      </c>
      <c r="AH21" s="6">
        <f>IFERROR(INDEX(University_Exit!$K:$K,MATCH($B21,University_Exit!$B:$B,0)),"")</f>
        <v>980</v>
      </c>
      <c r="AI21" s="2" t="str">
        <f>IFERROR(INDEX(University_Exit!$G:$G,MATCH($B21,University_Exit!$B:$B,0)),"")</f>
        <v>وزارة الدفاع</v>
      </c>
      <c r="AJ21" t="str">
        <f>IFERROR(INDEX(Baseline_Entry!$N:$N,MATCH($B21,Baseline_Entry!$B:$B,0)),"")</f>
        <v/>
      </c>
      <c r="AK21" t="str">
        <f>IFERROR(INDEX(Cognitive_Profile!$E:$E,MATCH($B21,Cognitive_Profile!$B:$B,0)),"")</f>
        <v/>
      </c>
      <c r="AL21" t="str">
        <f t="shared" si="1"/>
        <v/>
      </c>
      <c r="AM21">
        <f>IFERROR(INDEX(Participation_By_Student!$D:$D,MATCH($B21,Participation_By_Student!$B:$B,0)),"")</f>
        <v>0</v>
      </c>
      <c r="AN21">
        <f>IFERROR(INDEX(Participation_By_Student!$E:$E,MATCH($B21,Participation_By_Student!$B:$B,0)),"")</f>
        <v>0</v>
      </c>
      <c r="AO21">
        <f>IFERROR(INDEX(Participation_By_Student!$F:$F,MATCH($B21,Participation_By_Student!$B:$B,0)),"")</f>
        <v>0</v>
      </c>
      <c r="AP21">
        <f>IFERROR(INDEX(Participation_By_Student!$G:$G,MATCH($B21,Participation_By_Student!$B:$B,0)),"")</f>
        <v>0</v>
      </c>
    </row>
    <row r="22" spans="1:42" x14ac:dyDescent="0.3">
      <c r="A22" s="2" t="s">
        <v>60</v>
      </c>
      <c r="B22" s="2" t="s">
        <v>106</v>
      </c>
      <c r="C22" s="2" t="s">
        <v>107</v>
      </c>
      <c r="D22" s="2" t="s">
        <v>63</v>
      </c>
      <c r="E22" s="2" t="s">
        <v>64</v>
      </c>
      <c r="F22" s="5">
        <f>IFERROR(INDEX(Baseline_Entry!$P:$P,MATCH($B22,Baseline_Entry!$B:$B,0)),"")</f>
        <v>83.6</v>
      </c>
      <c r="G22" s="5" t="str">
        <f t="shared" si="0"/>
        <v>Yes</v>
      </c>
      <c r="H22" s="5">
        <v>89.751999999999995</v>
      </c>
      <c r="I22" s="5">
        <v>96.475999999999999</v>
      </c>
      <c r="J22" s="5">
        <v>6.7240000000000038</v>
      </c>
      <c r="K22" s="5">
        <v>91.93</v>
      </c>
      <c r="L22" s="5">
        <v>96.19</v>
      </c>
      <c r="M22" s="5">
        <v>4.2599999999999909</v>
      </c>
      <c r="N22" s="5">
        <v>91.93</v>
      </c>
      <c r="O22" s="5">
        <v>97.19</v>
      </c>
      <c r="P22" s="5">
        <v>5.2599999999999909</v>
      </c>
      <c r="Q22" s="5">
        <v>77</v>
      </c>
      <c r="R22" s="5">
        <v>91</v>
      </c>
      <c r="S22" s="5">
        <v>14</v>
      </c>
      <c r="T22" s="5">
        <v>96.5</v>
      </c>
      <c r="U22" s="5">
        <v>100</v>
      </c>
      <c r="V22" s="5">
        <v>3.5</v>
      </c>
      <c r="W22" s="5">
        <v>91.4</v>
      </c>
      <c r="X22" s="5">
        <v>98</v>
      </c>
      <c r="Y22" s="5">
        <v>6.5999999999999943</v>
      </c>
      <c r="Z22" s="2" t="s">
        <v>819</v>
      </c>
      <c r="AA22" s="2" t="s">
        <v>65</v>
      </c>
      <c r="AB22" s="2" t="s">
        <v>66</v>
      </c>
      <c r="AC22" s="2">
        <v>1</v>
      </c>
      <c r="AD22" s="2" t="str">
        <f>IFERROR(INDEX(University_Exit!$D:$D,MATCH($B22,University_Exit!$B:$B,0)),"")</f>
        <v>الكلية العسكرية</v>
      </c>
      <c r="AE22" s="2" t="str">
        <f>IFERROR(INDEX(University_Exit!$F:$F,MATCH($B22,University_Exit!$B:$B,0)),"")</f>
        <v>طيار</v>
      </c>
      <c r="AF22" s="2" t="str">
        <f>IFERROR(INDEX(University_Exit!$L:$L,MATCH($B22,University_Exit!$B:$B,0)),"")</f>
        <v>No</v>
      </c>
      <c r="AG22" s="2">
        <f>IFERROR(INDEX(University_Exit!$H:$H,MATCH($B22,University_Exit!$B:$B,0)),"")</f>
        <v>97.2</v>
      </c>
      <c r="AH22" s="6">
        <f>IFERROR(INDEX(University_Exit!$K:$K,MATCH($B22,University_Exit!$B:$B,0)),"")</f>
        <v>930</v>
      </c>
      <c r="AI22" s="2" t="str">
        <f>IFERROR(INDEX(University_Exit!$G:$G,MATCH($B22,University_Exit!$B:$B,0)),"")</f>
        <v>وزارة الدفاع</v>
      </c>
      <c r="AJ22" t="str">
        <f>IFERROR(INDEX(Baseline_Entry!$N:$N,MATCH($B22,Baseline_Entry!$B:$B,0)),"")</f>
        <v/>
      </c>
      <c r="AK22" t="str">
        <f>IFERROR(INDEX(Cognitive_Profile!$E:$E,MATCH($B22,Cognitive_Profile!$B:$B,0)),"")</f>
        <v/>
      </c>
      <c r="AL22" t="str">
        <f t="shared" si="1"/>
        <v/>
      </c>
      <c r="AM22">
        <f>IFERROR(INDEX(Participation_By_Student!$D:$D,MATCH($B22,Participation_By_Student!$B:$B,0)),"")</f>
        <v>0</v>
      </c>
      <c r="AN22">
        <f>IFERROR(INDEX(Participation_By_Student!$E:$E,MATCH($B22,Participation_By_Student!$B:$B,0)),"")</f>
        <v>0</v>
      </c>
      <c r="AO22">
        <f>IFERROR(INDEX(Participation_By_Student!$F:$F,MATCH($B22,Participation_By_Student!$B:$B,0)),"")</f>
        <v>0</v>
      </c>
      <c r="AP22">
        <f>IFERROR(INDEX(Participation_By_Student!$G:$G,MATCH($B22,Participation_By_Student!$B:$B,0)),"")</f>
        <v>0</v>
      </c>
    </row>
    <row r="23" spans="1:42" x14ac:dyDescent="0.3">
      <c r="A23" s="2" t="s">
        <v>60</v>
      </c>
      <c r="B23" s="2" t="s">
        <v>108</v>
      </c>
      <c r="C23" s="2" t="s">
        <v>109</v>
      </c>
      <c r="D23" s="2" t="s">
        <v>63</v>
      </c>
      <c r="E23" s="2" t="s">
        <v>64</v>
      </c>
      <c r="F23" s="5">
        <f>IFERROR(INDEX(Baseline_Entry!$P:$P,MATCH($B23,Baseline_Entry!$B:$B,0)),"")</f>
        <v>63.6</v>
      </c>
      <c r="G23" s="5" t="str">
        <f t="shared" si="0"/>
        <v>Yes</v>
      </c>
      <c r="H23" s="5">
        <v>78.307999999999993</v>
      </c>
      <c r="I23" s="5">
        <v>84.623999999999995</v>
      </c>
      <c r="J23" s="5">
        <v>6.3160000000000034</v>
      </c>
      <c r="K23" s="5">
        <v>78.319999999999993</v>
      </c>
      <c r="L23" s="5">
        <v>79.31</v>
      </c>
      <c r="M23" s="5">
        <v>0.99000000000000909</v>
      </c>
      <c r="N23" s="5">
        <v>82.32</v>
      </c>
      <c r="O23" s="5">
        <v>85.31</v>
      </c>
      <c r="P23" s="5">
        <v>2.9900000000000091</v>
      </c>
      <c r="Q23" s="5">
        <v>71.5</v>
      </c>
      <c r="R23" s="5">
        <v>86</v>
      </c>
      <c r="S23" s="5">
        <v>14.5</v>
      </c>
      <c r="T23" s="5">
        <v>79.5</v>
      </c>
      <c r="U23" s="5">
        <v>86</v>
      </c>
      <c r="V23" s="5">
        <v>6.5</v>
      </c>
      <c r="W23" s="5">
        <v>79.900000000000006</v>
      </c>
      <c r="X23" s="5">
        <v>86.5</v>
      </c>
      <c r="Y23" s="5">
        <v>6.5999999999999943</v>
      </c>
      <c r="Z23" s="2" t="s">
        <v>819</v>
      </c>
      <c r="AA23" s="2" t="s">
        <v>99</v>
      </c>
      <c r="AB23" s="2" t="s">
        <v>65</v>
      </c>
      <c r="AC23" s="2">
        <v>1</v>
      </c>
      <c r="AD23" s="2" t="str">
        <f>IFERROR(INDEX(University_Exit!$D:$D,MATCH($B23,University_Exit!$B:$B,0)),"")</f>
        <v>Carnegie Mellon University Qatar</v>
      </c>
      <c r="AE23" s="2" t="str">
        <f>IFERROR(INDEX(University_Exit!$F:$F,MATCH($B23,University_Exit!$B:$B,0)),"")</f>
        <v>Computer Science</v>
      </c>
      <c r="AF23" s="2" t="str">
        <f>IFERROR(INDEX(University_Exit!$L:$L,MATCH($B23,University_Exit!$B:$B,0)),"")</f>
        <v>Yes</v>
      </c>
      <c r="AG23" s="2">
        <f>IFERROR(INDEX(University_Exit!$H:$H,MATCH($B23,University_Exit!$B:$B,0)),"")</f>
        <v>85.3</v>
      </c>
      <c r="AH23" s="6">
        <f>IFERROR(INDEX(University_Exit!$K:$K,MATCH($B23,University_Exit!$B:$B,0)),"")</f>
        <v>850</v>
      </c>
      <c r="AI23" s="2" t="str">
        <f>IFERROR(INDEX(University_Exit!$G:$G,MATCH($B23,University_Exit!$B:$B,0)),"")</f>
        <v>Ministry of Education</v>
      </c>
      <c r="AJ23" t="str">
        <f>IFERROR(INDEX(Baseline_Entry!$N:$N,MATCH($B23,Baseline_Entry!$B:$B,0)),"")</f>
        <v/>
      </c>
      <c r="AK23" t="str">
        <f>IFERROR(INDEX(Cognitive_Profile!$E:$E,MATCH($B23,Cognitive_Profile!$B:$B,0)),"")</f>
        <v/>
      </c>
      <c r="AL23" t="str">
        <f t="shared" si="1"/>
        <v/>
      </c>
      <c r="AM23">
        <f>IFERROR(INDEX(Participation_By_Student!$D:$D,MATCH($B23,Participation_By_Student!$B:$B,0)),"")</f>
        <v>0</v>
      </c>
      <c r="AN23">
        <f>IFERROR(INDEX(Participation_By_Student!$E:$E,MATCH($B23,Participation_By_Student!$B:$B,0)),"")</f>
        <v>0</v>
      </c>
      <c r="AO23">
        <f>IFERROR(INDEX(Participation_By_Student!$F:$F,MATCH($B23,Participation_By_Student!$B:$B,0)),"")</f>
        <v>0</v>
      </c>
      <c r="AP23">
        <f>IFERROR(INDEX(Participation_By_Student!$G:$G,MATCH($B23,Participation_By_Student!$B:$B,0)),"")</f>
        <v>0</v>
      </c>
    </row>
    <row r="24" spans="1:42" x14ac:dyDescent="0.3">
      <c r="A24" s="2" t="s">
        <v>60</v>
      </c>
      <c r="B24" s="2" t="s">
        <v>110</v>
      </c>
      <c r="C24" s="2" t="s">
        <v>111</v>
      </c>
      <c r="D24" s="2" t="s">
        <v>63</v>
      </c>
      <c r="E24" s="2" t="s">
        <v>64</v>
      </c>
      <c r="F24" s="5">
        <f>IFERROR(INDEX(Baseline_Entry!$P:$P,MATCH($B24,Baseline_Entry!$B:$B,0)),"")</f>
        <v>66.400000000000006</v>
      </c>
      <c r="G24" s="5" t="str">
        <f t="shared" si="0"/>
        <v>Yes</v>
      </c>
      <c r="H24" s="5">
        <v>87.676000000000002</v>
      </c>
      <c r="I24" s="5">
        <v>92.551999999999992</v>
      </c>
      <c r="J24" s="5">
        <v>4.8759999999999906</v>
      </c>
      <c r="K24" s="5">
        <v>87.14</v>
      </c>
      <c r="L24" s="5">
        <v>89.38</v>
      </c>
      <c r="M24" s="5">
        <v>2.2399999999999949</v>
      </c>
      <c r="N24" s="5">
        <v>91.14</v>
      </c>
      <c r="O24" s="5">
        <v>94.38</v>
      </c>
      <c r="P24" s="5">
        <v>3.2399999999999949</v>
      </c>
      <c r="Q24" s="5">
        <v>75.5</v>
      </c>
      <c r="R24" s="5">
        <v>89.5</v>
      </c>
      <c r="S24" s="5">
        <v>14</v>
      </c>
      <c r="T24" s="5">
        <v>92.5</v>
      </c>
      <c r="U24" s="5">
        <v>95.5</v>
      </c>
      <c r="V24" s="5">
        <v>3</v>
      </c>
      <c r="W24" s="5">
        <v>92.1</v>
      </c>
      <c r="X24" s="5">
        <v>94</v>
      </c>
      <c r="Y24" s="5">
        <v>1.9000000000000059</v>
      </c>
      <c r="Z24" s="2" t="s">
        <v>819</v>
      </c>
      <c r="AA24" s="2" t="s">
        <v>65</v>
      </c>
      <c r="AB24" s="2" t="s">
        <v>66</v>
      </c>
      <c r="AC24" s="2">
        <v>1</v>
      </c>
      <c r="AD24" s="2" t="str">
        <f>IFERROR(INDEX(University_Exit!$D:$D,MATCH($B24,University_Exit!$B:$B,0)),"")</f>
        <v>University of Liverpool</v>
      </c>
      <c r="AE24" s="2" t="str">
        <f>IFERROR(INDEX(University_Exit!$F:$F,MATCH($B24,University_Exit!$B:$B,0)),"")</f>
        <v>Mechanical Engineering</v>
      </c>
      <c r="AF24" s="2" t="str">
        <f>IFERROR(INDEX(University_Exit!$L:$L,MATCH($B24,University_Exit!$B:$B,0)),"")</f>
        <v>Yes</v>
      </c>
      <c r="AG24" s="2">
        <f>IFERROR(INDEX(University_Exit!$H:$H,MATCH($B24,University_Exit!$B:$B,0)),"")</f>
        <v>94.4</v>
      </c>
      <c r="AH24" s="6">
        <f>IFERROR(INDEX(University_Exit!$K:$K,MATCH($B24,University_Exit!$B:$B,0)),"")</f>
        <v>970</v>
      </c>
      <c r="AI24" s="2" t="str">
        <f>IFERROR(INDEX(University_Exit!$G:$G,MATCH($B24,University_Exit!$B:$B,0)),"")</f>
        <v>Qatar Energy</v>
      </c>
      <c r="AJ24" t="str">
        <f>IFERROR(INDEX(Baseline_Entry!$N:$N,MATCH($B24,Baseline_Entry!$B:$B,0)),"")</f>
        <v/>
      </c>
      <c r="AK24" t="str">
        <f>IFERROR(INDEX(Cognitive_Profile!$E:$E,MATCH($B24,Cognitive_Profile!$B:$B,0)),"")</f>
        <v/>
      </c>
      <c r="AL24" t="str">
        <f t="shared" si="1"/>
        <v/>
      </c>
      <c r="AM24">
        <f>IFERROR(INDEX(Participation_By_Student!$D:$D,MATCH($B24,Participation_By_Student!$B:$B,0)),"")</f>
        <v>0</v>
      </c>
      <c r="AN24">
        <f>IFERROR(INDEX(Participation_By_Student!$E:$E,MATCH($B24,Participation_By_Student!$B:$B,0)),"")</f>
        <v>0</v>
      </c>
      <c r="AO24">
        <f>IFERROR(INDEX(Participation_By_Student!$F:$F,MATCH($B24,Participation_By_Student!$B:$B,0)),"")</f>
        <v>0</v>
      </c>
      <c r="AP24">
        <f>IFERROR(INDEX(Participation_By_Student!$G:$G,MATCH($B24,Participation_By_Student!$B:$B,0)),"")</f>
        <v>0</v>
      </c>
    </row>
    <row r="25" spans="1:42" x14ac:dyDescent="0.3">
      <c r="A25" s="2" t="s">
        <v>60</v>
      </c>
      <c r="B25" s="2" t="s">
        <v>112</v>
      </c>
      <c r="C25" s="2" t="s">
        <v>113</v>
      </c>
      <c r="D25" s="2" t="s">
        <v>63</v>
      </c>
      <c r="E25" s="2" t="s">
        <v>64</v>
      </c>
      <c r="F25" s="5">
        <f>IFERROR(INDEX(Baseline_Entry!$P:$P,MATCH($B25,Baseline_Entry!$B:$B,0)),"")</f>
        <v>87</v>
      </c>
      <c r="G25" s="5" t="str">
        <f t="shared" si="0"/>
        <v>Yes</v>
      </c>
      <c r="H25" s="5">
        <v>88.524000000000001</v>
      </c>
      <c r="I25" s="5">
        <v>93.975999999999999</v>
      </c>
      <c r="J25" s="5">
        <v>5.4519999999999982</v>
      </c>
      <c r="K25" s="5">
        <v>85.11</v>
      </c>
      <c r="L25" s="5">
        <v>94.44</v>
      </c>
      <c r="M25" s="5">
        <v>9.3299999999999983</v>
      </c>
      <c r="N25" s="5">
        <v>89.11</v>
      </c>
      <c r="O25" s="5">
        <v>94.44</v>
      </c>
      <c r="P25" s="5">
        <v>5.3299999999999983</v>
      </c>
      <c r="Q25" s="5">
        <v>89</v>
      </c>
      <c r="R25" s="5">
        <v>94</v>
      </c>
      <c r="S25" s="5">
        <v>5</v>
      </c>
      <c r="T25" s="5">
        <v>90</v>
      </c>
      <c r="U25" s="5">
        <v>94</v>
      </c>
      <c r="V25" s="5">
        <v>4</v>
      </c>
      <c r="W25" s="5">
        <v>89.4</v>
      </c>
      <c r="X25" s="5">
        <v>93</v>
      </c>
      <c r="Y25" s="5">
        <v>3.5999999999999939</v>
      </c>
      <c r="Z25" s="2" t="s">
        <v>819</v>
      </c>
      <c r="AA25" s="2" t="s">
        <v>65</v>
      </c>
      <c r="AB25" s="2" t="s">
        <v>66</v>
      </c>
      <c r="AC25" s="2">
        <v>1</v>
      </c>
      <c r="AD25" s="2" t="str">
        <f>IFERROR(INDEX(University_Exit!$D:$D,MATCH($B25,University_Exit!$B:$B,0)),"")</f>
        <v>University of Liverpool</v>
      </c>
      <c r="AE25" s="2" t="str">
        <f>IFERROR(INDEX(University_Exit!$F:$F,MATCH($B25,University_Exit!$B:$B,0)),"")</f>
        <v>Mechanical engineering</v>
      </c>
      <c r="AF25" s="2" t="str">
        <f>IFERROR(INDEX(University_Exit!$L:$L,MATCH($B25,University_Exit!$B:$B,0)),"")</f>
        <v>Yes</v>
      </c>
      <c r="AG25" s="2">
        <f>IFERROR(INDEX(University_Exit!$H:$H,MATCH($B25,University_Exit!$B:$B,0)),"")</f>
        <v>94.4</v>
      </c>
      <c r="AH25" s="6">
        <f>IFERROR(INDEX(University_Exit!$K:$K,MATCH($B25,University_Exit!$B:$B,0)),"")</f>
        <v>990</v>
      </c>
      <c r="AI25" s="2" t="str">
        <f>IFERROR(INDEX(University_Exit!$G:$G,MATCH($B25,University_Exit!$B:$B,0)),"")</f>
        <v>Qatar Energy</v>
      </c>
      <c r="AJ25" t="str">
        <f>IFERROR(INDEX(Baseline_Entry!$N:$N,MATCH($B25,Baseline_Entry!$B:$B,0)),"")</f>
        <v/>
      </c>
      <c r="AK25" t="str">
        <f>IFERROR(INDEX(Cognitive_Profile!$E:$E,MATCH($B25,Cognitive_Profile!$B:$B,0)),"")</f>
        <v/>
      </c>
      <c r="AL25" t="str">
        <f t="shared" si="1"/>
        <v/>
      </c>
      <c r="AM25">
        <f>IFERROR(INDEX(Participation_By_Student!$D:$D,MATCH($B25,Participation_By_Student!$B:$B,0)),"")</f>
        <v>0</v>
      </c>
      <c r="AN25">
        <f>IFERROR(INDEX(Participation_By_Student!$E:$E,MATCH($B25,Participation_By_Student!$B:$B,0)),"")</f>
        <v>0</v>
      </c>
      <c r="AO25">
        <f>IFERROR(INDEX(Participation_By_Student!$F:$F,MATCH($B25,Participation_By_Student!$B:$B,0)),"")</f>
        <v>0</v>
      </c>
      <c r="AP25">
        <f>IFERROR(INDEX(Participation_By_Student!$G:$G,MATCH($B25,Participation_By_Student!$B:$B,0)),"")</f>
        <v>0</v>
      </c>
    </row>
    <row r="26" spans="1:42" x14ac:dyDescent="0.3">
      <c r="A26" s="2" t="s">
        <v>60</v>
      </c>
      <c r="B26" s="2" t="s">
        <v>114</v>
      </c>
      <c r="C26" s="2" t="s">
        <v>115</v>
      </c>
      <c r="D26" s="2" t="s">
        <v>63</v>
      </c>
      <c r="E26" s="2" t="s">
        <v>64</v>
      </c>
      <c r="F26" s="5">
        <f>IFERROR(INDEX(Baseline_Entry!$P:$P,MATCH($B26,Baseline_Entry!$B:$B,0)),"")</f>
        <v>76.599999999999994</v>
      </c>
      <c r="G26" s="5" t="str">
        <f t="shared" si="0"/>
        <v>Yes</v>
      </c>
      <c r="H26" s="5">
        <v>85.320000000000007</v>
      </c>
      <c r="I26" s="5">
        <v>92.575999999999993</v>
      </c>
      <c r="J26" s="5">
        <v>7.255999999999986</v>
      </c>
      <c r="K26" s="5">
        <v>85</v>
      </c>
      <c r="L26" s="5">
        <v>88.94</v>
      </c>
      <c r="M26" s="5">
        <v>3.9399999999999982</v>
      </c>
      <c r="N26" s="5">
        <v>89</v>
      </c>
      <c r="O26" s="5">
        <v>92.94</v>
      </c>
      <c r="P26" s="5">
        <v>3.9399999999999982</v>
      </c>
      <c r="Q26" s="5">
        <v>74</v>
      </c>
      <c r="R26" s="5">
        <v>91.5</v>
      </c>
      <c r="S26" s="5">
        <v>17.5</v>
      </c>
      <c r="T26" s="5">
        <v>93.5</v>
      </c>
      <c r="U26" s="5">
        <v>95.5</v>
      </c>
      <c r="V26" s="5">
        <v>2</v>
      </c>
      <c r="W26" s="5">
        <v>85.1</v>
      </c>
      <c r="X26" s="5">
        <v>94</v>
      </c>
      <c r="Y26" s="5">
        <v>8.9000000000000057</v>
      </c>
      <c r="Z26" s="2" t="s">
        <v>819</v>
      </c>
      <c r="AA26" s="2" t="s">
        <v>65</v>
      </c>
      <c r="AB26" s="2" t="s">
        <v>66</v>
      </c>
      <c r="AC26" s="2">
        <v>1</v>
      </c>
      <c r="AD26" s="2" t="str">
        <f>IFERROR(INDEX(University_Exit!$D:$D,MATCH($B26,University_Exit!$B:$B,0)),"")</f>
        <v>Texas A&amp;M University Qatar</v>
      </c>
      <c r="AE26" s="2" t="str">
        <f>IFERROR(INDEX(University_Exit!$F:$F,MATCH($B26,University_Exit!$B:$B,0)),"")</f>
        <v>Mechanical engineering</v>
      </c>
      <c r="AF26" s="2" t="str">
        <f>IFERROR(INDEX(University_Exit!$L:$L,MATCH($B26,University_Exit!$B:$B,0)),"")</f>
        <v>Yes</v>
      </c>
      <c r="AG26" s="2">
        <f>IFERROR(INDEX(University_Exit!$H:$H,MATCH($B26,University_Exit!$B:$B,0)),"")</f>
        <v>92.9</v>
      </c>
      <c r="AH26" s="6">
        <f>IFERROR(INDEX(University_Exit!$K:$K,MATCH($B26,University_Exit!$B:$B,0)),"")</f>
        <v>1020</v>
      </c>
      <c r="AI26" s="2" t="str">
        <f>IFERROR(INDEX(University_Exit!$G:$G,MATCH($B26,University_Exit!$B:$B,0)),"")</f>
        <v>Ministry of Education</v>
      </c>
      <c r="AJ26" t="str">
        <f>IFERROR(INDEX(Baseline_Entry!$N:$N,MATCH($B26,Baseline_Entry!$B:$B,0)),"")</f>
        <v/>
      </c>
      <c r="AK26" t="str">
        <f>IFERROR(INDEX(Cognitive_Profile!$E:$E,MATCH($B26,Cognitive_Profile!$B:$B,0)),"")</f>
        <v/>
      </c>
      <c r="AL26" t="str">
        <f t="shared" si="1"/>
        <v/>
      </c>
      <c r="AM26">
        <f>IFERROR(INDEX(Participation_By_Student!$D:$D,MATCH($B26,Participation_By_Student!$B:$B,0)),"")</f>
        <v>0</v>
      </c>
      <c r="AN26">
        <f>IFERROR(INDEX(Participation_By_Student!$E:$E,MATCH($B26,Participation_By_Student!$B:$B,0)),"")</f>
        <v>0</v>
      </c>
      <c r="AO26">
        <f>IFERROR(INDEX(Participation_By_Student!$F:$F,MATCH($B26,Participation_By_Student!$B:$B,0)),"")</f>
        <v>0</v>
      </c>
      <c r="AP26">
        <f>IFERROR(INDEX(Participation_By_Student!$G:$G,MATCH($B26,Participation_By_Student!$B:$B,0)),"")</f>
        <v>0</v>
      </c>
    </row>
    <row r="27" spans="1:42" x14ac:dyDescent="0.3">
      <c r="A27" s="2" t="s">
        <v>60</v>
      </c>
      <c r="B27" s="2" t="s">
        <v>116</v>
      </c>
      <c r="C27" s="2" t="s">
        <v>117</v>
      </c>
      <c r="D27" s="2" t="s">
        <v>63</v>
      </c>
      <c r="E27" s="2" t="s">
        <v>64</v>
      </c>
      <c r="F27" s="5">
        <f>IFERROR(INDEX(Baseline_Entry!$P:$P,MATCH($B27,Baseline_Entry!$B:$B,0)),"")</f>
        <v>71</v>
      </c>
      <c r="G27" s="5" t="str">
        <f t="shared" si="0"/>
        <v>Yes</v>
      </c>
      <c r="H27" s="5">
        <v>93.955999999999989</v>
      </c>
      <c r="I27" s="5">
        <v>97.5</v>
      </c>
      <c r="J27" s="5">
        <v>3.5440000000000111</v>
      </c>
      <c r="K27" s="5">
        <v>95.89</v>
      </c>
      <c r="L27" s="5">
        <v>93</v>
      </c>
      <c r="M27" s="5">
        <v>-2.890000000000001</v>
      </c>
      <c r="N27" s="5">
        <v>95.89</v>
      </c>
      <c r="O27" s="5">
        <v>99</v>
      </c>
      <c r="P27" s="5">
        <v>3.109999999999999</v>
      </c>
      <c r="Q27" s="5">
        <v>81.5</v>
      </c>
      <c r="R27" s="5">
        <v>96.5</v>
      </c>
      <c r="S27" s="5">
        <v>15</v>
      </c>
      <c r="T27" s="5">
        <v>99</v>
      </c>
      <c r="U27" s="5">
        <v>100</v>
      </c>
      <c r="V27" s="5">
        <v>1</v>
      </c>
      <c r="W27" s="5">
        <v>97.5</v>
      </c>
      <c r="X27" s="5">
        <v>99</v>
      </c>
      <c r="Y27" s="5">
        <v>1.5</v>
      </c>
      <c r="Z27" s="2" t="s">
        <v>819</v>
      </c>
      <c r="AA27" s="2" t="s">
        <v>66</v>
      </c>
      <c r="AB27" s="2" t="s">
        <v>66</v>
      </c>
      <c r="AC27" s="2">
        <v>0</v>
      </c>
      <c r="AD27" s="2" t="str">
        <f>IFERROR(INDEX(University_Exit!$D:$D,MATCH($B27,University_Exit!$B:$B,0)),"")</f>
        <v>University Of Strathclyde</v>
      </c>
      <c r="AE27" s="2" t="str">
        <f>IFERROR(INDEX(University_Exit!$F:$F,MATCH($B27,University_Exit!$B:$B,0)),"")</f>
        <v>Chemical engineering</v>
      </c>
      <c r="AF27" s="2" t="str">
        <f>IFERROR(INDEX(University_Exit!$L:$L,MATCH($B27,University_Exit!$B:$B,0)),"")</f>
        <v>Yes</v>
      </c>
      <c r="AG27" s="2">
        <f>IFERROR(INDEX(University_Exit!$H:$H,MATCH($B27,University_Exit!$B:$B,0)),"")</f>
        <v>99</v>
      </c>
      <c r="AH27" s="6">
        <f>IFERROR(INDEX(University_Exit!$K:$K,MATCH($B27,University_Exit!$B:$B,0)),"")</f>
        <v>1020</v>
      </c>
      <c r="AI27" s="2" t="str">
        <f>IFERROR(INDEX(University_Exit!$G:$G,MATCH($B27,University_Exit!$B:$B,0)),"")</f>
        <v>Qatar Energy</v>
      </c>
      <c r="AJ27" t="str">
        <f>IFERROR(INDEX(Baseline_Entry!$N:$N,MATCH($B27,Baseline_Entry!$B:$B,0)),"")</f>
        <v/>
      </c>
      <c r="AK27" t="str">
        <f>IFERROR(INDEX(Cognitive_Profile!$E:$E,MATCH($B27,Cognitive_Profile!$B:$B,0)),"")</f>
        <v/>
      </c>
      <c r="AL27" t="str">
        <f t="shared" si="1"/>
        <v/>
      </c>
      <c r="AM27">
        <f>IFERROR(INDEX(Participation_By_Student!$D:$D,MATCH($B27,Participation_By_Student!$B:$B,0)),"")</f>
        <v>0</v>
      </c>
      <c r="AN27">
        <f>IFERROR(INDEX(Participation_By_Student!$E:$E,MATCH($B27,Participation_By_Student!$B:$B,0)),"")</f>
        <v>0</v>
      </c>
      <c r="AO27">
        <f>IFERROR(INDEX(Participation_By_Student!$F:$F,MATCH($B27,Participation_By_Student!$B:$B,0)),"")</f>
        <v>0</v>
      </c>
      <c r="AP27">
        <f>IFERROR(INDEX(Participation_By_Student!$G:$G,MATCH($B27,Participation_By_Student!$B:$B,0)),"")</f>
        <v>0</v>
      </c>
    </row>
    <row r="28" spans="1:42" x14ac:dyDescent="0.3">
      <c r="A28" s="2" t="s">
        <v>60</v>
      </c>
      <c r="B28" s="2" t="s">
        <v>118</v>
      </c>
      <c r="C28" s="2" t="s">
        <v>119</v>
      </c>
      <c r="D28" s="2" t="s">
        <v>63</v>
      </c>
      <c r="E28" s="2" t="s">
        <v>64</v>
      </c>
      <c r="F28" s="5">
        <f>IFERROR(INDEX(Baseline_Entry!$P:$P,MATCH($B28,Baseline_Entry!$B:$B,0)),"")</f>
        <v>90.8</v>
      </c>
      <c r="G28" s="5" t="str">
        <f t="shared" si="0"/>
        <v>Yes</v>
      </c>
      <c r="H28" s="5">
        <v>0</v>
      </c>
      <c r="I28" s="5">
        <v>98.551999999999992</v>
      </c>
      <c r="J28" s="5">
        <v>98.551999999999992</v>
      </c>
      <c r="K28" s="5">
        <v>0</v>
      </c>
      <c r="L28" s="5">
        <v>97.88</v>
      </c>
      <c r="M28" s="5">
        <v>97.88</v>
      </c>
      <c r="N28" s="5">
        <v>0</v>
      </c>
      <c r="O28" s="5">
        <v>97.88</v>
      </c>
      <c r="P28" s="5">
        <v>97.88</v>
      </c>
      <c r="Q28" s="5">
        <v>0</v>
      </c>
      <c r="R28" s="5">
        <v>98</v>
      </c>
      <c r="S28" s="5">
        <v>98</v>
      </c>
      <c r="T28" s="5">
        <v>0</v>
      </c>
      <c r="U28" s="5">
        <v>99.5</v>
      </c>
      <c r="V28" s="5">
        <v>99.5</v>
      </c>
      <c r="W28" s="5">
        <v>0</v>
      </c>
      <c r="X28" s="5">
        <v>99.5</v>
      </c>
      <c r="Y28" s="5">
        <v>99.5</v>
      </c>
      <c r="Z28" s="2" t="s">
        <v>819</v>
      </c>
      <c r="AA28" s="2" t="s">
        <v>120</v>
      </c>
      <c r="AB28" s="2" t="s">
        <v>66</v>
      </c>
      <c r="AC28" s="2">
        <v>3</v>
      </c>
      <c r="AD28" s="2" t="str">
        <f>IFERROR(INDEX(University_Exit!$D:$D,MATCH($B28,University_Exit!$B:$B,0)),"")</f>
        <v>University of Liverpool</v>
      </c>
      <c r="AE28" s="2" t="str">
        <f>IFERROR(INDEX(University_Exit!$F:$F,MATCH($B28,University_Exit!$B:$B,0)),"")</f>
        <v>Civil Engineering</v>
      </c>
      <c r="AF28" s="2" t="str">
        <f>IFERROR(INDEX(University_Exit!$L:$L,MATCH($B28,University_Exit!$B:$B,0)),"")</f>
        <v>Yes</v>
      </c>
      <c r="AG28" s="2">
        <f>IFERROR(INDEX(University_Exit!$H:$H,MATCH($B28,University_Exit!$B:$B,0)),"")</f>
        <v>97.9</v>
      </c>
      <c r="AH28" s="6">
        <f>IFERROR(INDEX(University_Exit!$K:$K,MATCH($B28,University_Exit!$B:$B,0)),"")</f>
        <v>1450</v>
      </c>
      <c r="AI28" s="2" t="str">
        <f>IFERROR(INDEX(University_Exit!$G:$G,MATCH($B28,University_Exit!$B:$B,0)),"")</f>
        <v>Qatar Energy</v>
      </c>
      <c r="AJ28" t="str">
        <f>IFERROR(INDEX(Baseline_Entry!$N:$N,MATCH($B28,Baseline_Entry!$B:$B,0)),"")</f>
        <v/>
      </c>
      <c r="AK28" t="str">
        <f>IFERROR(INDEX(Cognitive_Profile!$E:$E,MATCH($B28,Cognitive_Profile!$B:$B,0)),"")</f>
        <v/>
      </c>
      <c r="AL28" t="str">
        <f t="shared" si="1"/>
        <v/>
      </c>
      <c r="AM28">
        <f>IFERROR(INDEX(Participation_By_Student!$D:$D,MATCH($B28,Participation_By_Student!$B:$B,0)),"")</f>
        <v>0</v>
      </c>
      <c r="AN28">
        <f>IFERROR(INDEX(Participation_By_Student!$E:$E,MATCH($B28,Participation_By_Student!$B:$B,0)),"")</f>
        <v>0</v>
      </c>
      <c r="AO28">
        <f>IFERROR(INDEX(Participation_By_Student!$F:$F,MATCH($B28,Participation_By_Student!$B:$B,0)),"")</f>
        <v>0</v>
      </c>
      <c r="AP28">
        <f>IFERROR(INDEX(Participation_By_Student!$G:$G,MATCH($B28,Participation_By_Student!$B:$B,0)),"")</f>
        <v>0</v>
      </c>
    </row>
    <row r="29" spans="1:42" x14ac:dyDescent="0.3">
      <c r="A29" s="2" t="s">
        <v>60</v>
      </c>
      <c r="B29" s="2" t="s">
        <v>121</v>
      </c>
      <c r="C29" s="2" t="s">
        <v>122</v>
      </c>
      <c r="D29" s="2" t="s">
        <v>63</v>
      </c>
      <c r="E29" s="2" t="s">
        <v>64</v>
      </c>
      <c r="F29" s="5">
        <f>IFERROR(INDEX(Baseline_Entry!$P:$P,MATCH($B29,Baseline_Entry!$B:$B,0)),"")</f>
        <v>50</v>
      </c>
      <c r="G29" s="5" t="str">
        <f t="shared" si="0"/>
        <v>Yes</v>
      </c>
      <c r="H29" s="5">
        <v>94.448000000000008</v>
      </c>
      <c r="I29" s="5">
        <v>95.376000000000005</v>
      </c>
      <c r="J29" s="5">
        <v>0.92799999999999727</v>
      </c>
      <c r="K29" s="5">
        <v>93.32</v>
      </c>
      <c r="L29" s="5">
        <v>91.19</v>
      </c>
      <c r="M29" s="5">
        <v>-2.129999999999995</v>
      </c>
      <c r="N29" s="5">
        <v>94.32</v>
      </c>
      <c r="O29" s="5">
        <v>97.19</v>
      </c>
      <c r="P29" s="5">
        <v>2.870000000000005</v>
      </c>
      <c r="Q29" s="5">
        <v>94</v>
      </c>
      <c r="R29" s="5">
        <v>95</v>
      </c>
      <c r="S29" s="5">
        <v>1</v>
      </c>
      <c r="T29" s="5">
        <v>97.5</v>
      </c>
      <c r="U29" s="5">
        <v>98</v>
      </c>
      <c r="V29" s="5">
        <v>0.5</v>
      </c>
      <c r="W29" s="5">
        <v>93.1</v>
      </c>
      <c r="X29" s="5">
        <v>95.5</v>
      </c>
      <c r="Y29" s="5">
        <v>2.4000000000000061</v>
      </c>
      <c r="Z29" s="2" t="s">
        <v>819</v>
      </c>
      <c r="AA29" s="2" t="s">
        <v>66</v>
      </c>
      <c r="AB29" s="2" t="s">
        <v>66</v>
      </c>
      <c r="AC29" s="2">
        <v>0</v>
      </c>
      <c r="AD29" s="2" t="str">
        <f>IFERROR(INDEX(University_Exit!$D:$D,MATCH($B29,University_Exit!$B:$B,0)),"")</f>
        <v>University of Liverpool</v>
      </c>
      <c r="AE29" s="2" t="str">
        <f>IFERROR(INDEX(University_Exit!$F:$F,MATCH($B29,University_Exit!$B:$B,0)),"")</f>
        <v>Computer Science</v>
      </c>
      <c r="AF29" s="2" t="str">
        <f>IFERROR(INDEX(University_Exit!$L:$L,MATCH($B29,University_Exit!$B:$B,0)),"")</f>
        <v>Yes</v>
      </c>
      <c r="AG29" s="2">
        <f>IFERROR(INDEX(University_Exit!$H:$H,MATCH($B29,University_Exit!$B:$B,0)),"")</f>
        <v>97.2</v>
      </c>
      <c r="AH29" s="6">
        <f>IFERROR(INDEX(University_Exit!$K:$K,MATCH($B29,University_Exit!$B:$B,0)),"")</f>
        <v>1140</v>
      </c>
      <c r="AI29" s="2" t="str">
        <f>IFERROR(INDEX(University_Exit!$G:$G,MATCH($B29,University_Exit!$B:$B,0)),"")</f>
        <v>Qatar Energy</v>
      </c>
      <c r="AJ29" t="str">
        <f>IFERROR(INDEX(Baseline_Entry!$N:$N,MATCH($B29,Baseline_Entry!$B:$B,0)),"")</f>
        <v/>
      </c>
      <c r="AK29" t="str">
        <f>IFERROR(INDEX(Cognitive_Profile!$E:$E,MATCH($B29,Cognitive_Profile!$B:$B,0)),"")</f>
        <v/>
      </c>
      <c r="AL29" t="str">
        <f t="shared" si="1"/>
        <v/>
      </c>
      <c r="AM29">
        <f>IFERROR(INDEX(Participation_By_Student!$D:$D,MATCH($B29,Participation_By_Student!$B:$B,0)),"")</f>
        <v>0</v>
      </c>
      <c r="AN29">
        <f>IFERROR(INDEX(Participation_By_Student!$E:$E,MATCH($B29,Participation_By_Student!$B:$B,0)),"")</f>
        <v>0</v>
      </c>
      <c r="AO29">
        <f>IFERROR(INDEX(Participation_By_Student!$F:$F,MATCH($B29,Participation_By_Student!$B:$B,0)),"")</f>
        <v>0</v>
      </c>
      <c r="AP29">
        <f>IFERROR(INDEX(Participation_By_Student!$G:$G,MATCH($B29,Participation_By_Student!$B:$B,0)),"")</f>
        <v>0</v>
      </c>
    </row>
    <row r="30" spans="1:42" x14ac:dyDescent="0.3">
      <c r="A30" s="2" t="s">
        <v>60</v>
      </c>
      <c r="B30" s="2" t="s">
        <v>123</v>
      </c>
      <c r="C30" s="2" t="s">
        <v>124</v>
      </c>
      <c r="D30" s="2" t="s">
        <v>63</v>
      </c>
      <c r="E30" s="2" t="s">
        <v>64</v>
      </c>
      <c r="F30" s="5">
        <f>IFERROR(INDEX(Baseline_Entry!$P:$P,MATCH($B30,Baseline_Entry!$B:$B,0)),"")</f>
        <v>82</v>
      </c>
      <c r="G30" s="5" t="str">
        <f t="shared" si="0"/>
        <v>Yes</v>
      </c>
      <c r="H30" s="5">
        <v>85.144000000000005</v>
      </c>
      <c r="I30" s="5">
        <v>89.575999999999993</v>
      </c>
      <c r="J30" s="5">
        <v>4.4319999999999879</v>
      </c>
      <c r="K30" s="5">
        <v>86.86</v>
      </c>
      <c r="L30" s="5">
        <v>86.69</v>
      </c>
      <c r="M30" s="5">
        <v>-0.17000000000000171</v>
      </c>
      <c r="N30" s="5">
        <v>89.86</v>
      </c>
      <c r="O30" s="5">
        <v>91.69</v>
      </c>
      <c r="P30" s="5">
        <v>1.8299999999999981</v>
      </c>
      <c r="Q30" s="5">
        <v>71</v>
      </c>
      <c r="R30" s="5">
        <v>88</v>
      </c>
      <c r="S30" s="5">
        <v>17</v>
      </c>
      <c r="T30" s="5">
        <v>90</v>
      </c>
      <c r="U30" s="5">
        <v>88.5</v>
      </c>
      <c r="V30" s="5">
        <v>-1.5</v>
      </c>
      <c r="W30" s="5">
        <v>88</v>
      </c>
      <c r="X30" s="5">
        <v>93</v>
      </c>
      <c r="Y30" s="5">
        <v>5</v>
      </c>
      <c r="Z30" s="2" t="s">
        <v>819</v>
      </c>
      <c r="AA30" s="2" t="s">
        <v>65</v>
      </c>
      <c r="AB30" s="2" t="s">
        <v>65</v>
      </c>
      <c r="AC30" s="2">
        <v>0</v>
      </c>
      <c r="AD30" s="2" t="str">
        <f>IFERROR(INDEX(University_Exit!$D:$D,MATCH($B30,University_Exit!$B:$B,0)),"")</f>
        <v>الكلية العسكرية</v>
      </c>
      <c r="AE30" s="2" t="str">
        <f>IFERROR(INDEX(University_Exit!$F:$F,MATCH($B30,University_Exit!$B:$B,0)),"")</f>
        <v>مرشح ضابط</v>
      </c>
      <c r="AF30" s="2" t="str">
        <f>IFERROR(INDEX(University_Exit!$L:$L,MATCH($B30,University_Exit!$B:$B,0)),"")</f>
        <v>No</v>
      </c>
      <c r="AG30" s="2">
        <f>IFERROR(INDEX(University_Exit!$H:$H,MATCH($B30,University_Exit!$B:$B,0)),"")</f>
        <v>91.7</v>
      </c>
      <c r="AH30" s="6">
        <f>IFERROR(INDEX(University_Exit!$K:$K,MATCH($B30,University_Exit!$B:$B,0)),"")</f>
        <v>960</v>
      </c>
      <c r="AI30" s="2" t="str">
        <f>IFERROR(INDEX(University_Exit!$G:$G,MATCH($B30,University_Exit!$B:$B,0)),"")</f>
        <v>وزارة الدفاع</v>
      </c>
      <c r="AJ30" t="str">
        <f>IFERROR(INDEX(Baseline_Entry!$N:$N,MATCH($B30,Baseline_Entry!$B:$B,0)),"")</f>
        <v/>
      </c>
      <c r="AK30" t="str">
        <f>IFERROR(INDEX(Cognitive_Profile!$E:$E,MATCH($B30,Cognitive_Profile!$B:$B,0)),"")</f>
        <v/>
      </c>
      <c r="AL30" t="str">
        <f t="shared" si="1"/>
        <v/>
      </c>
      <c r="AM30">
        <f>IFERROR(INDEX(Participation_By_Student!$D:$D,MATCH($B30,Participation_By_Student!$B:$B,0)),"")</f>
        <v>0</v>
      </c>
      <c r="AN30">
        <f>IFERROR(INDEX(Participation_By_Student!$E:$E,MATCH($B30,Participation_By_Student!$B:$B,0)),"")</f>
        <v>0</v>
      </c>
      <c r="AO30">
        <f>IFERROR(INDEX(Participation_By_Student!$F:$F,MATCH($B30,Participation_By_Student!$B:$B,0)),"")</f>
        <v>0</v>
      </c>
      <c r="AP30">
        <f>IFERROR(INDEX(Participation_By_Student!$G:$G,MATCH($B30,Participation_By_Student!$B:$B,0)),"")</f>
        <v>0</v>
      </c>
    </row>
    <row r="31" spans="1:42" x14ac:dyDescent="0.3">
      <c r="A31" s="2" t="s">
        <v>60</v>
      </c>
      <c r="B31" s="2" t="s">
        <v>125</v>
      </c>
      <c r="C31" s="2" t="s">
        <v>126</v>
      </c>
      <c r="D31" s="2" t="s">
        <v>63</v>
      </c>
      <c r="E31" s="2" t="s">
        <v>64</v>
      </c>
      <c r="F31" s="5">
        <f>IFERROR(INDEX(Baseline_Entry!$P:$P,MATCH($B31,Baseline_Entry!$B:$B,0)),"")</f>
        <v>96.8</v>
      </c>
      <c r="G31" s="5" t="str">
        <f t="shared" si="0"/>
        <v>Yes</v>
      </c>
      <c r="H31" s="5">
        <v>91.003999999999991</v>
      </c>
      <c r="I31" s="5">
        <v>89.623999999999995</v>
      </c>
      <c r="J31" s="5">
        <v>-1.379999999999995</v>
      </c>
      <c r="K31" s="5">
        <v>86.71</v>
      </c>
      <c r="L31" s="5">
        <v>86.56</v>
      </c>
      <c r="M31" s="5">
        <v>-0.1499999999999915</v>
      </c>
      <c r="N31" s="5">
        <v>92.71</v>
      </c>
      <c r="O31" s="5">
        <v>90.56</v>
      </c>
      <c r="P31" s="5">
        <v>-2.149999999999991</v>
      </c>
      <c r="Q31" s="5">
        <v>87</v>
      </c>
      <c r="R31" s="5">
        <v>94</v>
      </c>
      <c r="S31" s="5">
        <v>7</v>
      </c>
      <c r="T31" s="5">
        <v>95</v>
      </c>
      <c r="U31" s="5">
        <v>93.5</v>
      </c>
      <c r="V31" s="5">
        <v>-1.5</v>
      </c>
      <c r="W31" s="5">
        <v>93.6</v>
      </c>
      <c r="X31" s="5">
        <v>83.5</v>
      </c>
      <c r="Y31" s="5">
        <v>-10.099999999999991</v>
      </c>
      <c r="Z31" s="2" t="s">
        <v>820</v>
      </c>
      <c r="AA31" s="2" t="s">
        <v>66</v>
      </c>
      <c r="AB31" s="2" t="s">
        <v>65</v>
      </c>
      <c r="AC31" s="2">
        <v>-1</v>
      </c>
      <c r="AD31" s="2" t="str">
        <f>IFERROR(INDEX(University_Exit!$D:$D,MATCH($B31,University_Exit!$B:$B,0)),"")</f>
        <v>University of Liverpool</v>
      </c>
      <c r="AE31" s="2" t="str">
        <f>IFERROR(INDEX(University_Exit!$F:$F,MATCH($B31,University_Exit!$B:$B,0)),"")</f>
        <v>Electrical and Electronic engineering</v>
      </c>
      <c r="AF31" s="2" t="str">
        <f>IFERROR(INDEX(University_Exit!$L:$L,MATCH($B31,University_Exit!$B:$B,0)),"")</f>
        <v>Yes</v>
      </c>
      <c r="AG31" s="2">
        <f>IFERROR(INDEX(University_Exit!$H:$H,MATCH($B31,University_Exit!$B:$B,0)),"")</f>
        <v>90.6</v>
      </c>
      <c r="AH31" s="6">
        <f>IFERROR(INDEX(University_Exit!$K:$K,MATCH($B31,University_Exit!$B:$B,0)),"")</f>
        <v>1160</v>
      </c>
      <c r="AI31" s="2" t="str">
        <f>IFERROR(INDEX(University_Exit!$G:$G,MATCH($B31,University_Exit!$B:$B,0)),"")</f>
        <v>Ministry of Education</v>
      </c>
      <c r="AJ31" t="str">
        <f>IFERROR(INDEX(Baseline_Entry!$N:$N,MATCH($B31,Baseline_Entry!$B:$B,0)),"")</f>
        <v/>
      </c>
      <c r="AK31" t="str">
        <f>IFERROR(INDEX(Cognitive_Profile!$E:$E,MATCH($B31,Cognitive_Profile!$B:$B,0)),"")</f>
        <v/>
      </c>
      <c r="AL31" t="str">
        <f t="shared" si="1"/>
        <v/>
      </c>
      <c r="AM31">
        <f>IFERROR(INDEX(Participation_By_Student!$D:$D,MATCH($B31,Participation_By_Student!$B:$B,0)),"")</f>
        <v>0</v>
      </c>
      <c r="AN31">
        <f>IFERROR(INDEX(Participation_By_Student!$E:$E,MATCH($B31,Participation_By_Student!$B:$B,0)),"")</f>
        <v>0</v>
      </c>
      <c r="AO31">
        <f>IFERROR(INDEX(Participation_By_Student!$F:$F,MATCH($B31,Participation_By_Student!$B:$B,0)),"")</f>
        <v>0</v>
      </c>
      <c r="AP31">
        <f>IFERROR(INDEX(Participation_By_Student!$G:$G,MATCH($B31,Participation_By_Student!$B:$B,0)),"")</f>
        <v>0</v>
      </c>
    </row>
    <row r="32" spans="1:42" x14ac:dyDescent="0.3">
      <c r="A32" s="2" t="s">
        <v>60</v>
      </c>
      <c r="B32" s="2" t="s">
        <v>127</v>
      </c>
      <c r="C32" s="2" t="s">
        <v>128</v>
      </c>
      <c r="D32" s="2" t="s">
        <v>63</v>
      </c>
      <c r="E32" s="2" t="s">
        <v>64</v>
      </c>
      <c r="F32" s="5">
        <f>IFERROR(INDEX(Baseline_Entry!$P:$P,MATCH($B32,Baseline_Entry!$B:$B,0)),"")</f>
        <v>63.2</v>
      </c>
      <c r="G32" s="5" t="str">
        <f t="shared" si="0"/>
        <v>Yes</v>
      </c>
      <c r="H32" s="5">
        <v>88.164000000000016</v>
      </c>
      <c r="I32" s="5">
        <v>95.123999999999995</v>
      </c>
      <c r="J32" s="5">
        <v>6.9599999999999804</v>
      </c>
      <c r="K32" s="5">
        <v>90.11</v>
      </c>
      <c r="L32" s="5">
        <v>91.81</v>
      </c>
      <c r="M32" s="5">
        <v>1.7000000000000031</v>
      </c>
      <c r="N32" s="5">
        <v>91.11</v>
      </c>
      <c r="O32" s="5">
        <v>96.81</v>
      </c>
      <c r="P32" s="5">
        <v>5.7000000000000028</v>
      </c>
      <c r="Q32" s="5">
        <v>76</v>
      </c>
      <c r="R32" s="5">
        <v>95</v>
      </c>
      <c r="S32" s="5">
        <v>19</v>
      </c>
      <c r="T32" s="5">
        <v>92</v>
      </c>
      <c r="U32" s="5">
        <v>95.5</v>
      </c>
      <c r="V32" s="5">
        <v>3.5</v>
      </c>
      <c r="W32" s="5">
        <v>91.6</v>
      </c>
      <c r="X32" s="5">
        <v>96.5</v>
      </c>
      <c r="Y32" s="5">
        <v>4.9000000000000057</v>
      </c>
      <c r="Z32" s="2" t="s">
        <v>819</v>
      </c>
      <c r="AA32" s="2" t="s">
        <v>65</v>
      </c>
      <c r="AB32" s="2" t="s">
        <v>66</v>
      </c>
      <c r="AC32" s="2">
        <v>1</v>
      </c>
      <c r="AD32" s="2" t="str">
        <f>IFERROR(INDEX(University_Exit!$D:$D,MATCH($B32,University_Exit!$B:$B,0)),"")</f>
        <v>Qatar University</v>
      </c>
      <c r="AE32" s="2" t="str">
        <f>IFERROR(INDEX(University_Exit!$F:$F,MATCH($B32,University_Exit!$B:$B,0)),"")</f>
        <v>Computer Science</v>
      </c>
      <c r="AF32" s="2" t="str">
        <f>IFERROR(INDEX(University_Exit!$L:$L,MATCH($B32,University_Exit!$B:$B,0)),"")</f>
        <v>Yes</v>
      </c>
      <c r="AG32" s="2">
        <f>IFERROR(INDEX(University_Exit!$H:$H,MATCH($B32,University_Exit!$B:$B,0)),"")</f>
        <v>96.8</v>
      </c>
      <c r="AH32" s="6">
        <f>IFERROR(INDEX(University_Exit!$K:$K,MATCH($B32,University_Exit!$B:$B,0)),"")</f>
        <v>970</v>
      </c>
      <c r="AI32" s="2" t="str">
        <f>IFERROR(INDEX(University_Exit!$G:$G,MATCH($B32,University_Exit!$B:$B,0)),"")</f>
        <v>Ministry of Education</v>
      </c>
      <c r="AJ32" t="str">
        <f>IFERROR(INDEX(Baseline_Entry!$N:$N,MATCH($B32,Baseline_Entry!$B:$B,0)),"")</f>
        <v/>
      </c>
      <c r="AK32" t="str">
        <f>IFERROR(INDEX(Cognitive_Profile!$E:$E,MATCH($B32,Cognitive_Profile!$B:$B,0)),"")</f>
        <v/>
      </c>
      <c r="AL32" t="str">
        <f t="shared" si="1"/>
        <v/>
      </c>
      <c r="AM32">
        <f>IFERROR(INDEX(Participation_By_Student!$D:$D,MATCH($B32,Participation_By_Student!$B:$B,0)),"")</f>
        <v>0</v>
      </c>
      <c r="AN32">
        <f>IFERROR(INDEX(Participation_By_Student!$E:$E,MATCH($B32,Participation_By_Student!$B:$B,0)),"")</f>
        <v>0</v>
      </c>
      <c r="AO32">
        <f>IFERROR(INDEX(Participation_By_Student!$F:$F,MATCH($B32,Participation_By_Student!$B:$B,0)),"")</f>
        <v>0</v>
      </c>
      <c r="AP32">
        <f>IFERROR(INDEX(Participation_By_Student!$G:$G,MATCH($B32,Participation_By_Student!$B:$B,0)),"")</f>
        <v>0</v>
      </c>
    </row>
    <row r="33" spans="1:42" x14ac:dyDescent="0.3">
      <c r="A33" s="2" t="s">
        <v>60</v>
      </c>
      <c r="B33" s="2" t="s">
        <v>129</v>
      </c>
      <c r="C33" s="2" t="s">
        <v>130</v>
      </c>
      <c r="D33" s="2" t="s">
        <v>63</v>
      </c>
      <c r="E33" s="2" t="s">
        <v>64</v>
      </c>
      <c r="F33" s="5">
        <f>IFERROR(INDEX(Baseline_Entry!$P:$P,MATCH($B33,Baseline_Entry!$B:$B,0)),"")</f>
        <v>87.2</v>
      </c>
      <c r="G33" s="5" t="str">
        <f t="shared" si="0"/>
        <v>Yes</v>
      </c>
      <c r="H33" s="5">
        <v>92.775999999999996</v>
      </c>
      <c r="I33" s="5">
        <v>97.323999999999998</v>
      </c>
      <c r="J33" s="5">
        <v>4.5480000000000018</v>
      </c>
      <c r="K33" s="5">
        <v>89.64</v>
      </c>
      <c r="L33" s="5">
        <v>92.31</v>
      </c>
      <c r="M33" s="5">
        <v>2.6700000000000021</v>
      </c>
      <c r="N33" s="5">
        <v>94.64</v>
      </c>
      <c r="O33" s="5">
        <v>98.31</v>
      </c>
      <c r="P33" s="5">
        <v>3.6700000000000021</v>
      </c>
      <c r="Q33" s="5">
        <v>90</v>
      </c>
      <c r="R33" s="5">
        <v>98.5</v>
      </c>
      <c r="S33" s="5">
        <v>8.5</v>
      </c>
      <c r="T33" s="5">
        <v>97</v>
      </c>
      <c r="U33" s="5">
        <v>100</v>
      </c>
      <c r="V33" s="5">
        <v>3</v>
      </c>
      <c r="W33" s="5">
        <v>92.6</v>
      </c>
      <c r="X33" s="5">
        <v>97.5</v>
      </c>
      <c r="Y33" s="5">
        <v>4.9000000000000057</v>
      </c>
      <c r="Z33" s="2" t="s">
        <v>819</v>
      </c>
      <c r="AA33" s="2" t="s">
        <v>66</v>
      </c>
      <c r="AB33" s="2" t="s">
        <v>66</v>
      </c>
      <c r="AC33" s="2">
        <v>0</v>
      </c>
      <c r="AD33" s="2" t="str">
        <f>IFERROR(INDEX(University_Exit!$D:$D,MATCH($B33,University_Exit!$B:$B,0)),"")</f>
        <v>Texas A&amp;M University Qatar</v>
      </c>
      <c r="AE33" s="2" t="str">
        <f>IFERROR(INDEX(University_Exit!$F:$F,MATCH($B33,University_Exit!$B:$B,0)),"")</f>
        <v>Petroleum Engineering</v>
      </c>
      <c r="AF33" s="2" t="str">
        <f>IFERROR(INDEX(University_Exit!$L:$L,MATCH($B33,University_Exit!$B:$B,0)),"")</f>
        <v>Yes</v>
      </c>
      <c r="AG33" s="2">
        <f>IFERROR(INDEX(University_Exit!$H:$H,MATCH($B33,University_Exit!$B:$B,0)),"")</f>
        <v>98.3</v>
      </c>
      <c r="AH33" s="6">
        <f>IFERROR(INDEX(University_Exit!$K:$K,MATCH($B33,University_Exit!$B:$B,0)),"")</f>
        <v>1200</v>
      </c>
      <c r="AI33" s="2" t="str">
        <f>IFERROR(INDEX(University_Exit!$G:$G,MATCH($B33,University_Exit!$B:$B,0)),"")</f>
        <v>Ministry of Education</v>
      </c>
      <c r="AJ33" t="str">
        <f>IFERROR(INDEX(Baseline_Entry!$N:$N,MATCH($B33,Baseline_Entry!$B:$B,0)),"")</f>
        <v/>
      </c>
      <c r="AK33" t="str">
        <f>IFERROR(INDEX(Cognitive_Profile!$E:$E,MATCH($B33,Cognitive_Profile!$B:$B,0)),"")</f>
        <v/>
      </c>
      <c r="AL33" t="str">
        <f t="shared" si="1"/>
        <v/>
      </c>
      <c r="AM33">
        <f>IFERROR(INDEX(Participation_By_Student!$D:$D,MATCH($B33,Participation_By_Student!$B:$B,0)),"")</f>
        <v>0</v>
      </c>
      <c r="AN33">
        <f>IFERROR(INDEX(Participation_By_Student!$E:$E,MATCH($B33,Participation_By_Student!$B:$B,0)),"")</f>
        <v>0</v>
      </c>
      <c r="AO33">
        <f>IFERROR(INDEX(Participation_By_Student!$F:$F,MATCH($B33,Participation_By_Student!$B:$B,0)),"")</f>
        <v>0</v>
      </c>
      <c r="AP33">
        <f>IFERROR(INDEX(Participation_By_Student!$G:$G,MATCH($B33,Participation_By_Student!$B:$B,0)),"")</f>
        <v>0</v>
      </c>
    </row>
    <row r="34" spans="1:42" x14ac:dyDescent="0.3">
      <c r="A34" s="2" t="s">
        <v>60</v>
      </c>
      <c r="B34" s="2" t="s">
        <v>131</v>
      </c>
      <c r="C34" s="2" t="s">
        <v>132</v>
      </c>
      <c r="D34" s="2" t="s">
        <v>63</v>
      </c>
      <c r="E34" s="2" t="s">
        <v>64</v>
      </c>
      <c r="F34" s="5">
        <f>IFERROR(INDEX(Baseline_Entry!$P:$P,MATCH($B34,Baseline_Entry!$B:$B,0)),"")</f>
        <v>87.8</v>
      </c>
      <c r="G34" s="5" t="str">
        <f t="shared" si="0"/>
        <v>Yes</v>
      </c>
      <c r="H34" s="5">
        <v>96.92</v>
      </c>
      <c r="I34" s="5">
        <v>98.751999999999995</v>
      </c>
      <c r="J34" s="5">
        <v>1.8319999999999941</v>
      </c>
      <c r="K34" s="5">
        <v>94.25</v>
      </c>
      <c r="L34" s="5">
        <v>97.38</v>
      </c>
      <c r="M34" s="5">
        <v>3.129999999999995</v>
      </c>
      <c r="N34" s="5">
        <v>98.25</v>
      </c>
      <c r="O34" s="5">
        <v>99.38</v>
      </c>
      <c r="P34" s="5">
        <v>1.129999999999995</v>
      </c>
      <c r="Q34" s="5">
        <v>93.5</v>
      </c>
      <c r="R34" s="5">
        <v>97</v>
      </c>
      <c r="S34" s="5">
        <v>3.5</v>
      </c>
      <c r="T34" s="5">
        <v>100</v>
      </c>
      <c r="U34" s="5">
        <v>100</v>
      </c>
      <c r="V34" s="5">
        <v>0</v>
      </c>
      <c r="W34" s="5">
        <v>98.6</v>
      </c>
      <c r="X34" s="5">
        <v>100</v>
      </c>
      <c r="Y34" s="5">
        <v>1.4000000000000059</v>
      </c>
      <c r="Z34" s="2" t="s">
        <v>819</v>
      </c>
      <c r="AA34" s="2" t="s">
        <v>66</v>
      </c>
      <c r="AB34" s="2" t="s">
        <v>66</v>
      </c>
      <c r="AC34" s="2">
        <v>0</v>
      </c>
      <c r="AD34" s="2" t="str">
        <f>IFERROR(INDEX(University_Exit!$D:$D,MATCH($B34,University_Exit!$B:$B,0)),"")</f>
        <v>University of Liverpool</v>
      </c>
      <c r="AE34" s="2" t="str">
        <f>IFERROR(INDEX(University_Exit!$F:$F,MATCH($B34,University_Exit!$B:$B,0)),"")</f>
        <v>Mechatronics engineering</v>
      </c>
      <c r="AF34" s="2" t="str">
        <f>IFERROR(INDEX(University_Exit!$L:$L,MATCH($B34,University_Exit!$B:$B,0)),"")</f>
        <v>Yes</v>
      </c>
      <c r="AG34" s="2">
        <f>IFERROR(INDEX(University_Exit!$H:$H,MATCH($B34,University_Exit!$B:$B,0)),"")</f>
        <v>99.4</v>
      </c>
      <c r="AH34" s="6">
        <f>IFERROR(INDEX(University_Exit!$K:$K,MATCH($B34,University_Exit!$B:$B,0)),"")</f>
        <v>1330</v>
      </c>
      <c r="AI34" s="2" t="str">
        <f>IFERROR(INDEX(University_Exit!$G:$G,MATCH($B34,University_Exit!$B:$B,0)),"")</f>
        <v>Ministry of Education</v>
      </c>
      <c r="AJ34" t="str">
        <f>IFERROR(INDEX(Baseline_Entry!$N:$N,MATCH($B34,Baseline_Entry!$B:$B,0)),"")</f>
        <v/>
      </c>
      <c r="AK34" t="str">
        <f>IFERROR(INDEX(Cognitive_Profile!$E:$E,MATCH($B34,Cognitive_Profile!$B:$B,0)),"")</f>
        <v/>
      </c>
      <c r="AL34" t="str">
        <f t="shared" si="1"/>
        <v/>
      </c>
      <c r="AM34">
        <f>IFERROR(INDEX(Participation_By_Student!$D:$D,MATCH($B34,Participation_By_Student!$B:$B,0)),"")</f>
        <v>0</v>
      </c>
      <c r="AN34">
        <f>IFERROR(INDEX(Participation_By_Student!$E:$E,MATCH($B34,Participation_By_Student!$B:$B,0)),"")</f>
        <v>0</v>
      </c>
      <c r="AO34">
        <f>IFERROR(INDEX(Participation_By_Student!$F:$F,MATCH($B34,Participation_By_Student!$B:$B,0)),"")</f>
        <v>0</v>
      </c>
      <c r="AP34">
        <f>IFERROR(INDEX(Participation_By_Student!$G:$G,MATCH($B34,Participation_By_Student!$B:$B,0)),"")</f>
        <v>0</v>
      </c>
    </row>
    <row r="35" spans="1:42" x14ac:dyDescent="0.3">
      <c r="A35" s="2" t="s">
        <v>60</v>
      </c>
      <c r="B35" s="2" t="s">
        <v>133</v>
      </c>
      <c r="C35" s="2" t="s">
        <v>134</v>
      </c>
      <c r="D35" s="2" t="s">
        <v>63</v>
      </c>
      <c r="E35" s="2" t="s">
        <v>64</v>
      </c>
      <c r="F35" s="5">
        <f>IFERROR(INDEX(Baseline_Entry!$P:$P,MATCH($B35,Baseline_Entry!$B:$B,0)),"")</f>
        <v>84.4</v>
      </c>
      <c r="G35" s="5" t="str">
        <f t="shared" si="0"/>
        <v>Yes</v>
      </c>
      <c r="H35" s="5">
        <v>90.376000000000005</v>
      </c>
      <c r="I35" s="5">
        <v>95.623999999999995</v>
      </c>
      <c r="J35" s="5">
        <v>5.2479999999999896</v>
      </c>
      <c r="K35" s="5">
        <v>87.79</v>
      </c>
      <c r="L35" s="5">
        <v>93.81</v>
      </c>
      <c r="M35" s="5">
        <v>6.019999999999996</v>
      </c>
      <c r="N35" s="5">
        <v>92.79</v>
      </c>
      <c r="O35" s="5">
        <v>95.81</v>
      </c>
      <c r="P35" s="5">
        <v>3.019999999999996</v>
      </c>
      <c r="Q35" s="5">
        <v>86.5</v>
      </c>
      <c r="R35" s="5">
        <v>98.5</v>
      </c>
      <c r="S35" s="5">
        <v>12</v>
      </c>
      <c r="T35" s="5">
        <v>95.5</v>
      </c>
      <c r="U35" s="5">
        <v>95.5</v>
      </c>
      <c r="V35" s="5">
        <v>0</v>
      </c>
      <c r="W35" s="5">
        <v>89.3</v>
      </c>
      <c r="X35" s="5">
        <v>94.5</v>
      </c>
      <c r="Y35" s="5">
        <v>5.2000000000000028</v>
      </c>
      <c r="Z35" s="2" t="s">
        <v>819</v>
      </c>
      <c r="AA35" s="2" t="s">
        <v>66</v>
      </c>
      <c r="AB35" s="2" t="s">
        <v>66</v>
      </c>
      <c r="AC35" s="2">
        <v>0</v>
      </c>
      <c r="AD35" s="2" t="str">
        <f>IFERROR(INDEX(University_Exit!$D:$D,MATCH($B35,University_Exit!$B:$B,0)),"")</f>
        <v>الكلية العسكرية</v>
      </c>
      <c r="AE35" s="2" t="str">
        <f>IFERROR(INDEX(University_Exit!$F:$F,MATCH($B35,University_Exit!$B:$B,0)),"")</f>
        <v>مرشح ضابط</v>
      </c>
      <c r="AF35" s="2" t="str">
        <f>IFERROR(INDEX(University_Exit!$L:$L,MATCH($B35,University_Exit!$B:$B,0)),"")</f>
        <v>No</v>
      </c>
      <c r="AG35" s="2">
        <f>IFERROR(INDEX(University_Exit!$H:$H,MATCH($B35,University_Exit!$B:$B,0)),"")</f>
        <v>95.8</v>
      </c>
      <c r="AH35" s="6">
        <f>IFERROR(INDEX(University_Exit!$K:$K,MATCH($B35,University_Exit!$B:$B,0)),"")</f>
        <v>1140</v>
      </c>
      <c r="AI35" s="2" t="str">
        <f>IFERROR(INDEX(University_Exit!$G:$G,MATCH($B35,University_Exit!$B:$B,0)),"")</f>
        <v>وزارة الدفاع</v>
      </c>
      <c r="AJ35" t="str">
        <f>IFERROR(INDEX(Baseline_Entry!$N:$N,MATCH($B35,Baseline_Entry!$B:$B,0)),"")</f>
        <v/>
      </c>
      <c r="AK35" t="str">
        <f>IFERROR(INDEX(Cognitive_Profile!$E:$E,MATCH($B35,Cognitive_Profile!$B:$B,0)),"")</f>
        <v/>
      </c>
      <c r="AL35" t="str">
        <f t="shared" si="1"/>
        <v/>
      </c>
      <c r="AM35">
        <f>IFERROR(INDEX(Participation_By_Student!$D:$D,MATCH($B35,Participation_By_Student!$B:$B,0)),"")</f>
        <v>0</v>
      </c>
      <c r="AN35">
        <f>IFERROR(INDEX(Participation_By_Student!$E:$E,MATCH($B35,Participation_By_Student!$B:$B,0)),"")</f>
        <v>0</v>
      </c>
      <c r="AO35">
        <f>IFERROR(INDEX(Participation_By_Student!$F:$F,MATCH($B35,Participation_By_Student!$B:$B,0)),"")</f>
        <v>0</v>
      </c>
      <c r="AP35">
        <f>IFERROR(INDEX(Participation_By_Student!$G:$G,MATCH($B35,Participation_By_Student!$B:$B,0)),"")</f>
        <v>0</v>
      </c>
    </row>
    <row r="36" spans="1:42" x14ac:dyDescent="0.3">
      <c r="A36" s="2" t="s">
        <v>60</v>
      </c>
      <c r="B36" s="2" t="s">
        <v>135</v>
      </c>
      <c r="C36" s="2" t="s">
        <v>136</v>
      </c>
      <c r="D36" s="2" t="s">
        <v>63</v>
      </c>
      <c r="E36" s="2" t="s">
        <v>64</v>
      </c>
      <c r="F36" s="5">
        <f>IFERROR(INDEX(Baseline_Entry!$P:$P,MATCH($B36,Baseline_Entry!$B:$B,0)),"")</f>
        <v>85.2</v>
      </c>
      <c r="G36" s="5" t="str">
        <f t="shared" si="0"/>
        <v>Yes</v>
      </c>
      <c r="H36" s="5">
        <v>90.595999999999989</v>
      </c>
      <c r="I36" s="5">
        <v>89.652000000000001</v>
      </c>
      <c r="J36" s="5">
        <v>-0.9439999999999884</v>
      </c>
      <c r="K36" s="5">
        <v>84.89</v>
      </c>
      <c r="L36" s="5">
        <v>86.88</v>
      </c>
      <c r="M36" s="5">
        <v>1.9899999999999951</v>
      </c>
      <c r="N36" s="5">
        <v>90.89</v>
      </c>
      <c r="O36" s="5">
        <v>90.88</v>
      </c>
      <c r="P36" s="5">
        <v>-1.0000000000005119E-2</v>
      </c>
      <c r="Q36" s="5">
        <v>88</v>
      </c>
      <c r="R36" s="5">
        <v>96</v>
      </c>
      <c r="S36" s="5">
        <v>8</v>
      </c>
      <c r="T36" s="5">
        <v>97</v>
      </c>
      <c r="U36" s="5">
        <v>91</v>
      </c>
      <c r="V36" s="5">
        <v>-6</v>
      </c>
      <c r="W36" s="5">
        <v>92.2</v>
      </c>
      <c r="X36" s="5">
        <v>83.5</v>
      </c>
      <c r="Y36" s="5">
        <v>-8.7000000000000028</v>
      </c>
      <c r="Z36" s="2" t="s">
        <v>819</v>
      </c>
      <c r="AA36" s="2" t="s">
        <v>66</v>
      </c>
      <c r="AB36" s="2" t="s">
        <v>65</v>
      </c>
      <c r="AC36" s="2">
        <v>-1</v>
      </c>
      <c r="AD36" s="2" t="str">
        <f>IFERROR(INDEX(University_Exit!$D:$D,MATCH($B36,University_Exit!$B:$B,0)),"")</f>
        <v>الكلية العسكرية</v>
      </c>
      <c r="AE36" s="2" t="str">
        <f>IFERROR(INDEX(University_Exit!$F:$F,MATCH($B36,University_Exit!$B:$B,0)),"")</f>
        <v>مرشح ضابط</v>
      </c>
      <c r="AF36" s="2" t="str">
        <f>IFERROR(INDEX(University_Exit!$L:$L,MATCH($B36,University_Exit!$B:$B,0)),"")</f>
        <v>No</v>
      </c>
      <c r="AG36" s="2">
        <f>IFERROR(INDEX(University_Exit!$H:$H,MATCH($B36,University_Exit!$B:$B,0)),"")</f>
        <v>90.9</v>
      </c>
      <c r="AH36" s="6">
        <f>IFERROR(INDEX(University_Exit!$K:$K,MATCH($B36,University_Exit!$B:$B,0)),"")</f>
        <v>1100</v>
      </c>
      <c r="AI36" s="2" t="str">
        <f>IFERROR(INDEX(University_Exit!$G:$G,MATCH($B36,University_Exit!$B:$B,0)),"")</f>
        <v>وزارة الدفاع</v>
      </c>
      <c r="AJ36" t="str">
        <f>IFERROR(INDEX(Baseline_Entry!$N:$N,MATCH($B36,Baseline_Entry!$B:$B,0)),"")</f>
        <v/>
      </c>
      <c r="AK36" t="str">
        <f>IFERROR(INDEX(Cognitive_Profile!$E:$E,MATCH($B36,Cognitive_Profile!$B:$B,0)),"")</f>
        <v/>
      </c>
      <c r="AL36" t="str">
        <f t="shared" si="1"/>
        <v/>
      </c>
      <c r="AM36">
        <f>IFERROR(INDEX(Participation_By_Student!$D:$D,MATCH($B36,Participation_By_Student!$B:$B,0)),"")</f>
        <v>0</v>
      </c>
      <c r="AN36">
        <f>IFERROR(INDEX(Participation_By_Student!$E:$E,MATCH($B36,Participation_By_Student!$B:$B,0)),"")</f>
        <v>0</v>
      </c>
      <c r="AO36">
        <f>IFERROR(INDEX(Participation_By_Student!$F:$F,MATCH($B36,Participation_By_Student!$B:$B,0)),"")</f>
        <v>0</v>
      </c>
      <c r="AP36">
        <f>IFERROR(INDEX(Participation_By_Student!$G:$G,MATCH($B36,Participation_By_Student!$B:$B,0)),"")</f>
        <v>0</v>
      </c>
    </row>
    <row r="37" spans="1:42" x14ac:dyDescent="0.3">
      <c r="A37" s="2" t="s">
        <v>60</v>
      </c>
      <c r="B37" s="2" t="s">
        <v>137</v>
      </c>
      <c r="C37" s="2" t="s">
        <v>138</v>
      </c>
      <c r="D37" s="2" t="s">
        <v>63</v>
      </c>
      <c r="E37" s="2" t="s">
        <v>64</v>
      </c>
      <c r="F37" s="5">
        <f>IFERROR(INDEX(Baseline_Entry!$P:$P,MATCH($B37,Baseline_Entry!$B:$B,0)),"")</f>
        <v>74</v>
      </c>
      <c r="G37" s="5" t="str">
        <f t="shared" si="0"/>
        <v>Yes</v>
      </c>
      <c r="H37" s="5">
        <v>86.304000000000002</v>
      </c>
      <c r="I37" s="5">
        <v>93.424000000000007</v>
      </c>
      <c r="J37" s="5">
        <v>7.1200000000000054</v>
      </c>
      <c r="K37" s="5">
        <v>87.11</v>
      </c>
      <c r="L37" s="5">
        <v>94.06</v>
      </c>
      <c r="M37" s="5">
        <v>6.9500000000000028</v>
      </c>
      <c r="N37" s="5">
        <v>89.11</v>
      </c>
      <c r="O37" s="5">
        <v>94.06</v>
      </c>
      <c r="P37" s="5">
        <v>4.9500000000000028</v>
      </c>
      <c r="Q37" s="5">
        <v>80.5</v>
      </c>
      <c r="R37" s="5">
        <v>94</v>
      </c>
      <c r="S37" s="5">
        <v>13.5</v>
      </c>
      <c r="T37" s="5">
        <v>90</v>
      </c>
      <c r="U37" s="5">
        <v>93</v>
      </c>
      <c r="V37" s="5">
        <v>3</v>
      </c>
      <c r="W37" s="5">
        <v>84.8</v>
      </c>
      <c r="X37" s="5">
        <v>92</v>
      </c>
      <c r="Y37" s="5">
        <v>7.2000000000000028</v>
      </c>
      <c r="Z37" s="2" t="s">
        <v>819</v>
      </c>
      <c r="AA37" s="2" t="s">
        <v>65</v>
      </c>
      <c r="AB37" s="2" t="s">
        <v>66</v>
      </c>
      <c r="AC37" s="2">
        <v>1</v>
      </c>
      <c r="AD37" s="2" t="str">
        <f>IFERROR(INDEX(University_Exit!$D:$D,MATCH($B37,University_Exit!$B:$B,0)),"")</f>
        <v>Texas A&amp;M University Qatar</v>
      </c>
      <c r="AE37" s="2" t="str">
        <f>IFERROR(INDEX(University_Exit!$F:$F,MATCH($B37,University_Exit!$B:$B,0)),"")</f>
        <v>Electrical Engineering</v>
      </c>
      <c r="AF37" s="2" t="str">
        <f>IFERROR(INDEX(University_Exit!$L:$L,MATCH($B37,University_Exit!$B:$B,0)),"")</f>
        <v>Yes</v>
      </c>
      <c r="AG37" s="2">
        <f>IFERROR(INDEX(University_Exit!$H:$H,MATCH($B37,University_Exit!$B:$B,0)),"")</f>
        <v>94.1</v>
      </c>
      <c r="AH37" s="6">
        <f>IFERROR(INDEX(University_Exit!$K:$K,MATCH($B37,University_Exit!$B:$B,0)),"")</f>
        <v>970</v>
      </c>
      <c r="AI37" s="2" t="str">
        <f>IFERROR(INDEX(University_Exit!$G:$G,MATCH($B37,University_Exit!$B:$B,0)),"")</f>
        <v>Qatar Energy</v>
      </c>
      <c r="AJ37" t="str">
        <f>IFERROR(INDEX(Baseline_Entry!$N:$N,MATCH($B37,Baseline_Entry!$B:$B,0)),"")</f>
        <v/>
      </c>
      <c r="AK37" t="str">
        <f>IFERROR(INDEX(Cognitive_Profile!$E:$E,MATCH($B37,Cognitive_Profile!$B:$B,0)),"")</f>
        <v/>
      </c>
      <c r="AL37" t="str">
        <f t="shared" si="1"/>
        <v/>
      </c>
      <c r="AM37">
        <f>IFERROR(INDEX(Participation_By_Student!$D:$D,MATCH($B37,Participation_By_Student!$B:$B,0)),"")</f>
        <v>0</v>
      </c>
      <c r="AN37">
        <f>IFERROR(INDEX(Participation_By_Student!$E:$E,MATCH($B37,Participation_By_Student!$B:$B,0)),"")</f>
        <v>0</v>
      </c>
      <c r="AO37">
        <f>IFERROR(INDEX(Participation_By_Student!$F:$F,MATCH($B37,Participation_By_Student!$B:$B,0)),"")</f>
        <v>0</v>
      </c>
      <c r="AP37">
        <f>IFERROR(INDEX(Participation_By_Student!$G:$G,MATCH($B37,Participation_By_Student!$B:$B,0)),"")</f>
        <v>0</v>
      </c>
    </row>
    <row r="38" spans="1:42" x14ac:dyDescent="0.3">
      <c r="A38" s="2" t="s">
        <v>60</v>
      </c>
      <c r="B38" s="2" t="s">
        <v>139</v>
      </c>
      <c r="C38" s="2" t="s">
        <v>140</v>
      </c>
      <c r="D38" s="2" t="s">
        <v>63</v>
      </c>
      <c r="E38" s="2" t="s">
        <v>64</v>
      </c>
      <c r="F38" s="5">
        <f>IFERROR(INDEX(Baseline_Entry!$P:$P,MATCH($B38,Baseline_Entry!$B:$B,0)),"")</f>
        <v>77</v>
      </c>
      <c r="G38" s="5" t="str">
        <f t="shared" si="0"/>
        <v>Yes</v>
      </c>
      <c r="H38" s="5">
        <v>82.679999999999993</v>
      </c>
      <c r="I38" s="5">
        <v>93.224000000000004</v>
      </c>
      <c r="J38" s="5">
        <v>10.544000000000009</v>
      </c>
      <c r="K38" s="5">
        <v>81.5</v>
      </c>
      <c r="L38" s="5">
        <v>91.56</v>
      </c>
      <c r="M38" s="5">
        <v>10.06</v>
      </c>
      <c r="N38" s="5">
        <v>87.5</v>
      </c>
      <c r="O38" s="5">
        <v>94.56</v>
      </c>
      <c r="P38" s="5">
        <v>7.0600000000000023</v>
      </c>
      <c r="Q38" s="5">
        <v>80</v>
      </c>
      <c r="R38" s="5">
        <v>93</v>
      </c>
      <c r="S38" s="5">
        <v>13</v>
      </c>
      <c r="T38" s="5">
        <v>82</v>
      </c>
      <c r="U38" s="5">
        <v>93</v>
      </c>
      <c r="V38" s="5">
        <v>11</v>
      </c>
      <c r="W38" s="5">
        <v>82.4</v>
      </c>
      <c r="X38" s="5">
        <v>94</v>
      </c>
      <c r="Y38" s="5">
        <v>11.599999999999991</v>
      </c>
      <c r="Z38" s="2" t="s">
        <v>819</v>
      </c>
      <c r="AA38" s="2" t="s">
        <v>65</v>
      </c>
      <c r="AB38" s="2" t="s">
        <v>66</v>
      </c>
      <c r="AC38" s="2">
        <v>1</v>
      </c>
      <c r="AD38" s="2" t="str">
        <f>IFERROR(INDEX(University_Exit!$D:$D,MATCH($B38,University_Exit!$B:$B,0)),"")</f>
        <v>الكلية العسكرية</v>
      </c>
      <c r="AE38" s="2" t="str">
        <f>IFERROR(INDEX(University_Exit!$F:$F,MATCH($B38,University_Exit!$B:$B,0)),"")</f>
        <v>مرشح ضابط</v>
      </c>
      <c r="AF38" s="2" t="str">
        <f>IFERROR(INDEX(University_Exit!$L:$L,MATCH($B38,University_Exit!$B:$B,0)),"")</f>
        <v>No</v>
      </c>
      <c r="AG38" s="2">
        <f>IFERROR(INDEX(University_Exit!$H:$H,MATCH($B38,University_Exit!$B:$B,0)),"")</f>
        <v>94.6</v>
      </c>
      <c r="AH38" s="6">
        <f>IFERROR(INDEX(University_Exit!$K:$K,MATCH($B38,University_Exit!$B:$B,0)),"")</f>
        <v>860</v>
      </c>
      <c r="AI38" s="2" t="str">
        <f>IFERROR(INDEX(University_Exit!$G:$G,MATCH($B38,University_Exit!$B:$B,0)),"")</f>
        <v>وزارة الدفاع</v>
      </c>
      <c r="AJ38" t="str">
        <f>IFERROR(INDEX(Baseline_Entry!$N:$N,MATCH($B38,Baseline_Entry!$B:$B,0)),"")</f>
        <v/>
      </c>
      <c r="AK38" t="str">
        <f>IFERROR(INDEX(Cognitive_Profile!$E:$E,MATCH($B38,Cognitive_Profile!$B:$B,0)),"")</f>
        <v/>
      </c>
      <c r="AL38" t="str">
        <f t="shared" si="1"/>
        <v/>
      </c>
      <c r="AM38">
        <f>IFERROR(INDEX(Participation_By_Student!$D:$D,MATCH($B38,Participation_By_Student!$B:$B,0)),"")</f>
        <v>0</v>
      </c>
      <c r="AN38">
        <f>IFERROR(INDEX(Participation_By_Student!$E:$E,MATCH($B38,Participation_By_Student!$B:$B,0)),"")</f>
        <v>0</v>
      </c>
      <c r="AO38">
        <f>IFERROR(INDEX(Participation_By_Student!$F:$F,MATCH($B38,Participation_By_Student!$B:$B,0)),"")</f>
        <v>0</v>
      </c>
      <c r="AP38">
        <f>IFERROR(INDEX(Participation_By_Student!$G:$G,MATCH($B38,Participation_By_Student!$B:$B,0)),"")</f>
        <v>0</v>
      </c>
    </row>
    <row r="39" spans="1:42" x14ac:dyDescent="0.3">
      <c r="A39" s="2" t="s">
        <v>60</v>
      </c>
      <c r="B39" s="2" t="s">
        <v>141</v>
      </c>
      <c r="C39" s="2" t="s">
        <v>142</v>
      </c>
      <c r="D39" s="2" t="s">
        <v>63</v>
      </c>
      <c r="E39" s="2" t="s">
        <v>64</v>
      </c>
      <c r="F39" s="5">
        <f>IFERROR(INDEX(Baseline_Entry!$P:$P,MATCH($B39,Baseline_Entry!$B:$B,0)),"")</f>
        <v>89</v>
      </c>
      <c r="G39" s="5" t="str">
        <f t="shared" si="0"/>
        <v>Yes</v>
      </c>
      <c r="H39" s="5">
        <v>94.503999999999991</v>
      </c>
      <c r="I39" s="5">
        <v>96.6</v>
      </c>
      <c r="J39" s="5">
        <v>2.0960000000000041</v>
      </c>
      <c r="K39" s="5">
        <v>90.21</v>
      </c>
      <c r="L39" s="5">
        <v>93</v>
      </c>
      <c r="M39" s="5">
        <v>2.7900000000000058</v>
      </c>
      <c r="N39" s="5">
        <v>95.21</v>
      </c>
      <c r="O39" s="5">
        <v>98</v>
      </c>
      <c r="P39" s="5">
        <v>2.7900000000000058</v>
      </c>
      <c r="Q39" s="5">
        <v>95</v>
      </c>
      <c r="R39" s="5">
        <v>96.5</v>
      </c>
      <c r="S39" s="5">
        <v>1.5</v>
      </c>
      <c r="T39" s="5">
        <v>98.5</v>
      </c>
      <c r="U39" s="5">
        <v>100</v>
      </c>
      <c r="V39" s="5">
        <v>1.5</v>
      </c>
      <c r="W39" s="5">
        <v>93.6</v>
      </c>
      <c r="X39" s="5">
        <v>95.5</v>
      </c>
      <c r="Y39" s="5">
        <v>1.9000000000000059</v>
      </c>
      <c r="Z39" s="2" t="s">
        <v>820</v>
      </c>
      <c r="AA39" s="2" t="s">
        <v>66</v>
      </c>
      <c r="AB39" s="2" t="s">
        <v>66</v>
      </c>
      <c r="AC39" s="2">
        <v>0</v>
      </c>
      <c r="AD39" s="2" t="str">
        <f>IFERROR(INDEX(University_Exit!$D:$D,MATCH($B39,University_Exit!$B:$B,0)),"")</f>
        <v>University of Liverpool</v>
      </c>
      <c r="AE39" s="2" t="str">
        <f>IFERROR(INDEX(University_Exit!$F:$F,MATCH($B39,University_Exit!$B:$B,0)),"")</f>
        <v>Mechanical Engineering</v>
      </c>
      <c r="AF39" s="2" t="str">
        <f>IFERROR(INDEX(University_Exit!$L:$L,MATCH($B39,University_Exit!$B:$B,0)),"")</f>
        <v>Yes</v>
      </c>
      <c r="AG39" s="2">
        <f>IFERROR(INDEX(University_Exit!$H:$H,MATCH($B39,University_Exit!$B:$B,0)),"")</f>
        <v>98.1</v>
      </c>
      <c r="AH39" s="6">
        <f>IFERROR(INDEX(University_Exit!$K:$K,MATCH($B39,University_Exit!$B:$B,0)),"")</f>
        <v>1100</v>
      </c>
      <c r="AI39" s="2" t="str">
        <f>IFERROR(INDEX(University_Exit!$G:$G,MATCH($B39,University_Exit!$B:$B,0)),"")</f>
        <v>Qatar Energy</v>
      </c>
      <c r="AJ39" t="str">
        <f>IFERROR(INDEX(Baseline_Entry!$N:$N,MATCH($B39,Baseline_Entry!$B:$B,0)),"")</f>
        <v/>
      </c>
      <c r="AK39" t="str">
        <f>IFERROR(INDEX(Cognitive_Profile!$E:$E,MATCH($B39,Cognitive_Profile!$B:$B,0)),"")</f>
        <v/>
      </c>
      <c r="AL39" t="str">
        <f t="shared" si="1"/>
        <v/>
      </c>
      <c r="AM39">
        <f>IFERROR(INDEX(Participation_By_Student!$D:$D,MATCH($B39,Participation_By_Student!$B:$B,0)),"")</f>
        <v>0</v>
      </c>
      <c r="AN39">
        <f>IFERROR(INDEX(Participation_By_Student!$E:$E,MATCH($B39,Participation_By_Student!$B:$B,0)),"")</f>
        <v>0</v>
      </c>
      <c r="AO39">
        <f>IFERROR(INDEX(Participation_By_Student!$F:$F,MATCH($B39,Participation_By_Student!$B:$B,0)),"")</f>
        <v>0</v>
      </c>
      <c r="AP39">
        <f>IFERROR(INDEX(Participation_By_Student!$G:$G,MATCH($B39,Participation_By_Student!$B:$B,0)),"")</f>
        <v>0</v>
      </c>
    </row>
    <row r="40" spans="1:42" x14ac:dyDescent="0.3">
      <c r="A40" s="2" t="s">
        <v>60</v>
      </c>
      <c r="B40" s="2" t="s">
        <v>143</v>
      </c>
      <c r="C40" s="2" t="s">
        <v>144</v>
      </c>
      <c r="D40" s="2" t="s">
        <v>63</v>
      </c>
      <c r="E40" s="2" t="s">
        <v>64</v>
      </c>
      <c r="F40" s="5">
        <f>IFERROR(INDEX(Baseline_Entry!$P:$P,MATCH($B40,Baseline_Entry!$B:$B,0)),"")</f>
        <v>92</v>
      </c>
      <c r="G40" s="5" t="str">
        <f t="shared" si="0"/>
        <v>Yes</v>
      </c>
      <c r="H40" s="5">
        <v>94.216000000000008</v>
      </c>
      <c r="I40" s="5">
        <v>99</v>
      </c>
      <c r="J40" s="5">
        <v>4.7839999999999918</v>
      </c>
      <c r="K40" s="5">
        <v>96.04</v>
      </c>
      <c r="L40" s="5">
        <v>98.5</v>
      </c>
      <c r="M40" s="5">
        <v>2.4599999999999942</v>
      </c>
      <c r="N40" s="5">
        <v>96.04</v>
      </c>
      <c r="O40" s="5">
        <v>99.5</v>
      </c>
      <c r="P40" s="5">
        <v>3.4599999999999942</v>
      </c>
      <c r="Q40" s="5">
        <v>81.5</v>
      </c>
      <c r="R40" s="5">
        <v>97.5</v>
      </c>
      <c r="S40" s="5">
        <v>16</v>
      </c>
      <c r="T40" s="5">
        <v>100</v>
      </c>
      <c r="U40" s="5">
        <v>100</v>
      </c>
      <c r="V40" s="5">
        <v>0</v>
      </c>
      <c r="W40" s="5">
        <v>97.5</v>
      </c>
      <c r="X40" s="5">
        <v>99.5</v>
      </c>
      <c r="Y40" s="5">
        <v>2</v>
      </c>
      <c r="Z40" s="2" t="s">
        <v>819</v>
      </c>
      <c r="AA40" s="2" t="s">
        <v>66</v>
      </c>
      <c r="AB40" s="2" t="s">
        <v>66</v>
      </c>
      <c r="AC40" s="2">
        <v>0</v>
      </c>
      <c r="AD40" s="2" t="str">
        <f>IFERROR(INDEX(University_Exit!$D:$D,MATCH($B40,University_Exit!$B:$B,0)),"")</f>
        <v>الكلية العسكرية</v>
      </c>
      <c r="AE40" s="2" t="str">
        <f>IFERROR(INDEX(University_Exit!$F:$F,MATCH($B40,University_Exit!$B:$B,0)),"")</f>
        <v>مرشح ضابط</v>
      </c>
      <c r="AF40" s="2" t="str">
        <f>IFERROR(INDEX(University_Exit!$L:$L,MATCH($B40,University_Exit!$B:$B,0)),"")</f>
        <v>No</v>
      </c>
      <c r="AG40" s="2">
        <f>IFERROR(INDEX(University_Exit!$H:$H,MATCH($B40,University_Exit!$B:$B,0)),"")</f>
        <v>99.5</v>
      </c>
      <c r="AH40" s="6">
        <f>IFERROR(INDEX(University_Exit!$K:$K,MATCH($B40,University_Exit!$B:$B,0)),"")</f>
        <v>1340</v>
      </c>
      <c r="AI40" s="2" t="str">
        <f>IFERROR(INDEX(University_Exit!$G:$G,MATCH($B40,University_Exit!$B:$B,0)),"")</f>
        <v>وزارة الدفاع</v>
      </c>
      <c r="AJ40" t="str">
        <f>IFERROR(INDEX(Baseline_Entry!$N:$N,MATCH($B40,Baseline_Entry!$B:$B,0)),"")</f>
        <v/>
      </c>
      <c r="AK40" t="str">
        <f>IFERROR(INDEX(Cognitive_Profile!$E:$E,MATCH($B40,Cognitive_Profile!$B:$B,0)),"")</f>
        <v/>
      </c>
      <c r="AL40" t="str">
        <f t="shared" si="1"/>
        <v/>
      </c>
      <c r="AM40">
        <f>IFERROR(INDEX(Participation_By_Student!$D:$D,MATCH($B40,Participation_By_Student!$B:$B,0)),"")</f>
        <v>0</v>
      </c>
      <c r="AN40">
        <f>IFERROR(INDEX(Participation_By_Student!$E:$E,MATCH($B40,Participation_By_Student!$B:$B,0)),"")</f>
        <v>0</v>
      </c>
      <c r="AO40">
        <f>IFERROR(INDEX(Participation_By_Student!$F:$F,MATCH($B40,Participation_By_Student!$B:$B,0)),"")</f>
        <v>0</v>
      </c>
      <c r="AP40">
        <f>IFERROR(INDEX(Participation_By_Student!$G:$G,MATCH($B40,Participation_By_Student!$B:$B,0)),"")</f>
        <v>0</v>
      </c>
    </row>
    <row r="41" spans="1:42" x14ac:dyDescent="0.3">
      <c r="A41" s="2" t="s">
        <v>60</v>
      </c>
      <c r="B41" s="2" t="s">
        <v>145</v>
      </c>
      <c r="C41" s="2" t="s">
        <v>146</v>
      </c>
      <c r="D41" s="2" t="s">
        <v>63</v>
      </c>
      <c r="E41" s="2" t="s">
        <v>64</v>
      </c>
      <c r="F41" s="5">
        <f>IFERROR(INDEX(Baseline_Entry!$P:$P,MATCH($B41,Baseline_Entry!$B:$B,0)),"")</f>
        <v>91.4</v>
      </c>
      <c r="G41" s="5" t="str">
        <f t="shared" si="0"/>
        <v>Yes</v>
      </c>
      <c r="H41" s="5">
        <v>72.715999999999994</v>
      </c>
      <c r="I41" s="5">
        <v>81.176000000000002</v>
      </c>
      <c r="J41" s="5">
        <v>8.460000000000008</v>
      </c>
      <c r="K41" s="5">
        <v>77.64</v>
      </c>
      <c r="L41" s="5">
        <v>80.44</v>
      </c>
      <c r="M41" s="5">
        <v>2.7999999999999972</v>
      </c>
      <c r="N41" s="5">
        <v>78.64</v>
      </c>
      <c r="O41" s="5">
        <v>80.44</v>
      </c>
      <c r="P41" s="5">
        <v>1.7999999999999969</v>
      </c>
      <c r="Q41" s="5">
        <v>66.5</v>
      </c>
      <c r="R41" s="5">
        <v>82.5</v>
      </c>
      <c r="S41" s="5">
        <v>16</v>
      </c>
      <c r="T41" s="5">
        <v>71</v>
      </c>
      <c r="U41" s="5">
        <v>77</v>
      </c>
      <c r="V41" s="5">
        <v>6</v>
      </c>
      <c r="W41" s="5">
        <v>69.8</v>
      </c>
      <c r="X41" s="5">
        <v>85.5</v>
      </c>
      <c r="Y41" s="5">
        <v>15.7</v>
      </c>
      <c r="Z41" s="2" t="s">
        <v>819</v>
      </c>
      <c r="AA41" s="2" t="s">
        <v>99</v>
      </c>
      <c r="AB41" s="2" t="s">
        <v>65</v>
      </c>
      <c r="AC41" s="2">
        <v>1</v>
      </c>
      <c r="AD41" s="2" t="str">
        <f>IFERROR(INDEX(University_Exit!$D:$D,MATCH($B41,University_Exit!$B:$B,0)),"")</f>
        <v>الكلية العسكرية</v>
      </c>
      <c r="AE41" s="2" t="str">
        <f>IFERROR(INDEX(University_Exit!$F:$F,MATCH($B41,University_Exit!$B:$B,0)),"")</f>
        <v>مرشح ضابط</v>
      </c>
      <c r="AF41" s="2" t="str">
        <f>IFERROR(INDEX(University_Exit!$L:$L,MATCH($B41,University_Exit!$B:$B,0)),"")</f>
        <v>No</v>
      </c>
      <c r="AG41" s="2">
        <f>IFERROR(INDEX(University_Exit!$H:$H,MATCH($B41,University_Exit!$B:$B,0)),"")</f>
        <v>80.400000000000006</v>
      </c>
      <c r="AH41" s="6">
        <f>IFERROR(INDEX(University_Exit!$K:$K,MATCH($B41,University_Exit!$B:$B,0)),"")</f>
        <v>750</v>
      </c>
      <c r="AI41" s="2" t="str">
        <f>IFERROR(INDEX(University_Exit!$G:$G,MATCH($B41,University_Exit!$B:$B,0)),"")</f>
        <v>وزارة الدفاع</v>
      </c>
      <c r="AJ41" t="str">
        <f>IFERROR(INDEX(Baseline_Entry!$N:$N,MATCH($B41,Baseline_Entry!$B:$B,0)),"")</f>
        <v/>
      </c>
      <c r="AK41" t="str">
        <f>IFERROR(INDEX(Cognitive_Profile!$E:$E,MATCH($B41,Cognitive_Profile!$B:$B,0)),"")</f>
        <v/>
      </c>
      <c r="AL41" t="str">
        <f t="shared" si="1"/>
        <v/>
      </c>
      <c r="AM41">
        <f>IFERROR(INDEX(Participation_By_Student!$D:$D,MATCH($B41,Participation_By_Student!$B:$B,0)),"")</f>
        <v>0</v>
      </c>
      <c r="AN41">
        <f>IFERROR(INDEX(Participation_By_Student!$E:$E,MATCH($B41,Participation_By_Student!$B:$B,0)),"")</f>
        <v>0</v>
      </c>
      <c r="AO41">
        <f>IFERROR(INDEX(Participation_By_Student!$F:$F,MATCH($B41,Participation_By_Student!$B:$B,0)),"")</f>
        <v>0</v>
      </c>
      <c r="AP41">
        <f>IFERROR(INDEX(Participation_By_Student!$G:$G,MATCH($B41,Participation_By_Student!$B:$B,0)),"")</f>
        <v>0</v>
      </c>
    </row>
    <row r="42" spans="1:42" x14ac:dyDescent="0.3">
      <c r="A42" s="2" t="s">
        <v>60</v>
      </c>
      <c r="B42" s="2" t="s">
        <v>147</v>
      </c>
      <c r="C42" s="2" t="s">
        <v>148</v>
      </c>
      <c r="D42" s="2" t="s">
        <v>63</v>
      </c>
      <c r="E42" s="2" t="s">
        <v>64</v>
      </c>
      <c r="F42" s="5">
        <f>IFERROR(INDEX(Baseline_Entry!$P:$P,MATCH($B42,Baseline_Entry!$B:$B,0)),"")</f>
        <v>47.2</v>
      </c>
      <c r="G42" s="5" t="str">
        <f t="shared" si="0"/>
        <v>Yes</v>
      </c>
      <c r="H42" s="5">
        <v>84.039999999999992</v>
      </c>
      <c r="I42" s="5">
        <v>88.051999999999992</v>
      </c>
      <c r="J42" s="5">
        <v>4.0119999999999996</v>
      </c>
      <c r="K42" s="5">
        <v>85</v>
      </c>
      <c r="L42" s="5">
        <v>86.13</v>
      </c>
      <c r="M42" s="5">
        <v>1.129999999999995</v>
      </c>
      <c r="N42" s="5">
        <v>89</v>
      </c>
      <c r="O42" s="5">
        <v>90.13</v>
      </c>
      <c r="P42" s="5">
        <v>1.129999999999995</v>
      </c>
      <c r="Q42" s="5">
        <v>65.5</v>
      </c>
      <c r="R42" s="5">
        <v>85.5</v>
      </c>
      <c r="S42" s="5">
        <v>20</v>
      </c>
      <c r="T42" s="5">
        <v>95</v>
      </c>
      <c r="U42" s="5">
        <v>85.5</v>
      </c>
      <c r="V42" s="5">
        <v>-9.5</v>
      </c>
      <c r="W42" s="5">
        <v>85.7</v>
      </c>
      <c r="X42" s="5">
        <v>93</v>
      </c>
      <c r="Y42" s="5">
        <v>7.2999999999999972</v>
      </c>
      <c r="Z42" s="2" t="s">
        <v>819</v>
      </c>
      <c r="AA42" s="2" t="s">
        <v>65</v>
      </c>
      <c r="AB42" s="2" t="s">
        <v>65</v>
      </c>
      <c r="AC42" s="2">
        <v>0</v>
      </c>
      <c r="AD42" s="2" t="str">
        <f>IFERROR(INDEX(University_Exit!$D:$D,MATCH($B42,University_Exit!$B:$B,0)),"")</f>
        <v>University of Liverpool</v>
      </c>
      <c r="AE42" s="2" t="str">
        <f>IFERROR(INDEX(University_Exit!$F:$F,MATCH($B42,University_Exit!$B:$B,0)),"")</f>
        <v>Computer Science</v>
      </c>
      <c r="AF42" s="2" t="str">
        <f>IFERROR(INDEX(University_Exit!$L:$L,MATCH($B42,University_Exit!$B:$B,0)),"")</f>
        <v>Yes</v>
      </c>
      <c r="AG42" s="2">
        <f>IFERROR(INDEX(University_Exit!$H:$H,MATCH($B42,University_Exit!$B:$B,0)),"")</f>
        <v>90.1</v>
      </c>
      <c r="AH42" s="6">
        <f>IFERROR(INDEX(University_Exit!$K:$K,MATCH($B42,University_Exit!$B:$B,0)),"")</f>
        <v>940</v>
      </c>
      <c r="AI42" s="2" t="str">
        <f>IFERROR(INDEX(University_Exit!$G:$G,MATCH($B42,University_Exit!$B:$B,0)),"")</f>
        <v>Ministry of Education</v>
      </c>
      <c r="AJ42" t="str">
        <f>IFERROR(INDEX(Baseline_Entry!$N:$N,MATCH($B42,Baseline_Entry!$B:$B,0)),"")</f>
        <v/>
      </c>
      <c r="AK42" t="str">
        <f>IFERROR(INDEX(Cognitive_Profile!$E:$E,MATCH($B42,Cognitive_Profile!$B:$B,0)),"")</f>
        <v/>
      </c>
      <c r="AL42" t="str">
        <f t="shared" si="1"/>
        <v/>
      </c>
      <c r="AM42">
        <f>IFERROR(INDEX(Participation_By_Student!$D:$D,MATCH($B42,Participation_By_Student!$B:$B,0)),"")</f>
        <v>0</v>
      </c>
      <c r="AN42">
        <f>IFERROR(INDEX(Participation_By_Student!$E:$E,MATCH($B42,Participation_By_Student!$B:$B,0)),"")</f>
        <v>0</v>
      </c>
      <c r="AO42">
        <f>IFERROR(INDEX(Participation_By_Student!$F:$F,MATCH($B42,Participation_By_Student!$B:$B,0)),"")</f>
        <v>0</v>
      </c>
      <c r="AP42">
        <f>IFERROR(INDEX(Participation_By_Student!$G:$G,MATCH($B42,Participation_By_Student!$B:$B,0)),"")</f>
        <v>0</v>
      </c>
    </row>
    <row r="43" spans="1:42" x14ac:dyDescent="0.3">
      <c r="A43" s="2" t="s">
        <v>60</v>
      </c>
      <c r="B43" s="2" t="s">
        <v>149</v>
      </c>
      <c r="C43" s="2" t="s">
        <v>150</v>
      </c>
      <c r="D43" s="2" t="s">
        <v>63</v>
      </c>
      <c r="E43" s="2" t="s">
        <v>64</v>
      </c>
      <c r="F43" s="5">
        <f>IFERROR(INDEX(Baseline_Entry!$P:$P,MATCH($B43,Baseline_Entry!$B:$B,0)),"")</f>
        <v>81.2</v>
      </c>
      <c r="G43" s="5" t="str">
        <f t="shared" si="0"/>
        <v>Yes</v>
      </c>
      <c r="H43" s="5">
        <v>87.836000000000013</v>
      </c>
      <c r="I43" s="5">
        <v>86.8</v>
      </c>
      <c r="J43" s="5">
        <v>-1.036000000000016</v>
      </c>
      <c r="K43" s="5">
        <v>85.54</v>
      </c>
      <c r="L43" s="5">
        <v>83.25</v>
      </c>
      <c r="M43" s="5">
        <v>-2.2900000000000058</v>
      </c>
      <c r="N43" s="5">
        <v>89.54</v>
      </c>
      <c r="O43" s="5">
        <v>89.25</v>
      </c>
      <c r="P43" s="5">
        <v>-0.29000000000000631</v>
      </c>
      <c r="Q43" s="5">
        <v>86</v>
      </c>
      <c r="R43" s="5">
        <v>92</v>
      </c>
      <c r="S43" s="5">
        <v>6</v>
      </c>
      <c r="T43" s="5">
        <v>94.5</v>
      </c>
      <c r="U43" s="5">
        <v>83</v>
      </c>
      <c r="V43" s="5">
        <v>-11.5</v>
      </c>
      <c r="W43" s="5">
        <v>83.6</v>
      </c>
      <c r="X43" s="5">
        <v>86.5</v>
      </c>
      <c r="Y43" s="5">
        <v>2.9000000000000061</v>
      </c>
      <c r="Z43" s="2" t="s">
        <v>819</v>
      </c>
      <c r="AA43" s="2" t="s">
        <v>65</v>
      </c>
      <c r="AB43" s="2" t="s">
        <v>65</v>
      </c>
      <c r="AC43" s="2">
        <v>0</v>
      </c>
      <c r="AD43" s="2" t="str">
        <f>IFERROR(INDEX(University_Exit!$D:$D,MATCH($B43,University_Exit!$B:$B,0)),"")</f>
        <v>الكلية العسكرية</v>
      </c>
      <c r="AE43" s="2" t="str">
        <f>IFERROR(INDEX(University_Exit!$F:$F,MATCH($B43,University_Exit!$B:$B,0)),"")</f>
        <v>مرشح ضابط</v>
      </c>
      <c r="AF43" s="2" t="str">
        <f>IFERROR(INDEX(University_Exit!$L:$L,MATCH($B43,University_Exit!$B:$B,0)),"")</f>
        <v>No</v>
      </c>
      <c r="AG43" s="2">
        <f>IFERROR(INDEX(University_Exit!$H:$H,MATCH($B43,University_Exit!$B:$B,0)),"")</f>
        <v>89.3</v>
      </c>
      <c r="AH43" s="6">
        <f>IFERROR(INDEX(University_Exit!$K:$K,MATCH($B43,University_Exit!$B:$B,0)),"")</f>
        <v>910</v>
      </c>
      <c r="AI43" s="2" t="str">
        <f>IFERROR(INDEX(University_Exit!$G:$G,MATCH($B43,University_Exit!$B:$B,0)),"")</f>
        <v>وزارة الدفاع</v>
      </c>
      <c r="AJ43" t="str">
        <f>IFERROR(INDEX(Baseline_Entry!$N:$N,MATCH($B43,Baseline_Entry!$B:$B,0)),"")</f>
        <v/>
      </c>
      <c r="AK43" t="str">
        <f>IFERROR(INDEX(Cognitive_Profile!$E:$E,MATCH($B43,Cognitive_Profile!$B:$B,0)),"")</f>
        <v/>
      </c>
      <c r="AL43" t="str">
        <f t="shared" si="1"/>
        <v/>
      </c>
      <c r="AM43">
        <f>IFERROR(INDEX(Participation_By_Student!$D:$D,MATCH($B43,Participation_By_Student!$B:$B,0)),"")</f>
        <v>0</v>
      </c>
      <c r="AN43">
        <f>IFERROR(INDEX(Participation_By_Student!$E:$E,MATCH($B43,Participation_By_Student!$B:$B,0)),"")</f>
        <v>0</v>
      </c>
      <c r="AO43">
        <f>IFERROR(INDEX(Participation_By_Student!$F:$F,MATCH($B43,Participation_By_Student!$B:$B,0)),"")</f>
        <v>0</v>
      </c>
      <c r="AP43">
        <f>IFERROR(INDEX(Participation_By_Student!$G:$G,MATCH($B43,Participation_By_Student!$B:$B,0)),"")</f>
        <v>0</v>
      </c>
    </row>
    <row r="44" spans="1:42" x14ac:dyDescent="0.3">
      <c r="A44" s="2" t="s">
        <v>60</v>
      </c>
      <c r="B44" s="2" t="s">
        <v>151</v>
      </c>
      <c r="C44" s="2" t="s">
        <v>152</v>
      </c>
      <c r="D44" s="2" t="s">
        <v>63</v>
      </c>
      <c r="E44" s="2" t="s">
        <v>64</v>
      </c>
      <c r="F44" s="5">
        <f>IFERROR(INDEX(Baseline_Entry!$P:$P,MATCH($B44,Baseline_Entry!$B:$B,0)),"")</f>
        <v>89.800000000000011</v>
      </c>
      <c r="G44" s="5" t="str">
        <f t="shared" si="0"/>
        <v>Yes</v>
      </c>
      <c r="H44" s="5">
        <v>85.703999999999994</v>
      </c>
      <c r="I44" s="5">
        <v>82.975999999999999</v>
      </c>
      <c r="J44" s="5">
        <v>-2.727999999999994</v>
      </c>
      <c r="K44" s="5">
        <v>82.46</v>
      </c>
      <c r="L44" s="5">
        <v>75.94</v>
      </c>
      <c r="M44" s="5">
        <v>-6.519999999999996</v>
      </c>
      <c r="N44" s="5">
        <v>87.46</v>
      </c>
      <c r="O44" s="5">
        <v>81.94</v>
      </c>
      <c r="P44" s="5">
        <v>-5.519999999999996</v>
      </c>
      <c r="Q44" s="5">
        <v>86.5</v>
      </c>
      <c r="R44" s="5">
        <v>91.5</v>
      </c>
      <c r="S44" s="5">
        <v>5</v>
      </c>
      <c r="T44" s="5">
        <v>87</v>
      </c>
      <c r="U44" s="5">
        <v>78</v>
      </c>
      <c r="V44" s="5">
        <v>-9</v>
      </c>
      <c r="W44" s="5">
        <v>85.1</v>
      </c>
      <c r="X44" s="5">
        <v>87.5</v>
      </c>
      <c r="Y44" s="5">
        <v>2.4000000000000061</v>
      </c>
      <c r="Z44" s="2" t="s">
        <v>820</v>
      </c>
      <c r="AA44" s="2" t="s">
        <v>65</v>
      </c>
      <c r="AB44" s="2" t="s">
        <v>65</v>
      </c>
      <c r="AC44" s="2">
        <v>0</v>
      </c>
      <c r="AD44" s="2" t="str">
        <f>IFERROR(INDEX(University_Exit!$D:$D,MATCH($B44,University_Exit!$B:$B,0)),"")</f>
        <v>Newcastle University</v>
      </c>
      <c r="AE44" s="2" t="str">
        <f>IFERROR(INDEX(University_Exit!$F:$F,MATCH($B44,University_Exit!$B:$B,0)),"")</f>
        <v>Cyber Security</v>
      </c>
      <c r="AF44" s="2" t="str">
        <f>IFERROR(INDEX(University_Exit!$L:$L,MATCH($B44,University_Exit!$B:$B,0)),"")</f>
        <v>No</v>
      </c>
      <c r="AG44" s="2">
        <f>IFERROR(INDEX(University_Exit!$H:$H,MATCH($B44,University_Exit!$B:$B,0)),"")</f>
        <v>81.900000000000006</v>
      </c>
      <c r="AH44" s="6">
        <f>IFERROR(INDEX(University_Exit!$K:$K,MATCH($B44,University_Exit!$B:$B,0)),"")</f>
        <v>1070</v>
      </c>
      <c r="AI44" s="2" t="str">
        <f>IFERROR(INDEX(University_Exit!$G:$G,MATCH($B44,University_Exit!$B:$B,0)),"")</f>
        <v>Ministry of Education</v>
      </c>
      <c r="AJ44" t="str">
        <f>IFERROR(INDEX(Baseline_Entry!$N:$N,MATCH($B44,Baseline_Entry!$B:$B,0)),"")</f>
        <v/>
      </c>
      <c r="AK44" t="str">
        <f>IFERROR(INDEX(Cognitive_Profile!$E:$E,MATCH($B44,Cognitive_Profile!$B:$B,0)),"")</f>
        <v/>
      </c>
      <c r="AL44" t="str">
        <f t="shared" si="1"/>
        <v/>
      </c>
      <c r="AM44">
        <f>IFERROR(INDEX(Participation_By_Student!$D:$D,MATCH($B44,Participation_By_Student!$B:$B,0)),"")</f>
        <v>0</v>
      </c>
      <c r="AN44">
        <f>IFERROR(INDEX(Participation_By_Student!$E:$E,MATCH($B44,Participation_By_Student!$B:$B,0)),"")</f>
        <v>0</v>
      </c>
      <c r="AO44">
        <f>IFERROR(INDEX(Participation_By_Student!$F:$F,MATCH($B44,Participation_By_Student!$B:$B,0)),"")</f>
        <v>0</v>
      </c>
      <c r="AP44">
        <f>IFERROR(INDEX(Participation_By_Student!$G:$G,MATCH($B44,Participation_By_Student!$B:$B,0)),"")</f>
        <v>0</v>
      </c>
    </row>
    <row r="45" spans="1:42" x14ac:dyDescent="0.3">
      <c r="A45" s="2" t="s">
        <v>60</v>
      </c>
      <c r="B45" s="2" t="s">
        <v>153</v>
      </c>
      <c r="C45" s="2" t="s">
        <v>154</v>
      </c>
      <c r="D45" s="2" t="s">
        <v>63</v>
      </c>
      <c r="E45" s="2" t="s">
        <v>64</v>
      </c>
      <c r="F45" s="5">
        <f>IFERROR(INDEX(Baseline_Entry!$P:$P,MATCH($B45,Baseline_Entry!$B:$B,0)),"")</f>
        <v>59.6</v>
      </c>
      <c r="G45" s="5" t="str">
        <f t="shared" si="0"/>
        <v>Yes</v>
      </c>
      <c r="H45" s="5">
        <v>80.464000000000013</v>
      </c>
      <c r="I45" s="5">
        <v>86.376000000000005</v>
      </c>
      <c r="J45" s="5">
        <v>5.9119999999999919</v>
      </c>
      <c r="K45" s="5">
        <v>78.36</v>
      </c>
      <c r="L45" s="5">
        <v>82.94</v>
      </c>
      <c r="M45" s="5">
        <v>4.5799999999999983</v>
      </c>
      <c r="N45" s="5">
        <v>82.36</v>
      </c>
      <c r="O45" s="5">
        <v>85.94</v>
      </c>
      <c r="P45" s="5">
        <v>3.5799999999999979</v>
      </c>
      <c r="Q45" s="5">
        <v>88</v>
      </c>
      <c r="R45" s="5">
        <v>97</v>
      </c>
      <c r="S45" s="5">
        <v>9</v>
      </c>
      <c r="T45" s="5">
        <v>75</v>
      </c>
      <c r="U45" s="5">
        <v>74.5</v>
      </c>
      <c r="V45" s="5">
        <v>-0.5</v>
      </c>
      <c r="W45" s="5">
        <v>78.599999999999994</v>
      </c>
      <c r="X45" s="5">
        <v>91.5</v>
      </c>
      <c r="Y45" s="5">
        <v>12.900000000000009</v>
      </c>
      <c r="Z45" s="2" t="s">
        <v>819</v>
      </c>
      <c r="AA45" s="2" t="s">
        <v>65</v>
      </c>
      <c r="AB45" s="2" t="s">
        <v>65</v>
      </c>
      <c r="AC45" s="2">
        <v>0</v>
      </c>
      <c r="AD45" s="2" t="str">
        <f>IFERROR(INDEX(University_Exit!$D:$D,MATCH($B45,University_Exit!$B:$B,0)),"")</f>
        <v>Texas A&amp;M University Qatar</v>
      </c>
      <c r="AE45" s="2" t="str">
        <f>IFERROR(INDEX(University_Exit!$F:$F,MATCH($B45,University_Exit!$B:$B,0)),"")</f>
        <v>Petrolium Engineering</v>
      </c>
      <c r="AF45" s="2" t="str">
        <f>IFERROR(INDEX(University_Exit!$L:$L,MATCH($B45,University_Exit!$B:$B,0)),"")</f>
        <v>Yes</v>
      </c>
      <c r="AG45" s="2">
        <f>IFERROR(INDEX(University_Exit!$H:$H,MATCH($B45,University_Exit!$B:$B,0)),"")</f>
        <v>85.9</v>
      </c>
      <c r="AH45" s="6">
        <f>IFERROR(INDEX(University_Exit!$K:$K,MATCH($B45,University_Exit!$B:$B,0)),"")</f>
        <v>990</v>
      </c>
      <c r="AI45" s="2" t="str">
        <f>IFERROR(INDEX(University_Exit!$G:$G,MATCH($B45,University_Exit!$B:$B,0)),"")</f>
        <v>Qatar Energy</v>
      </c>
      <c r="AJ45" t="str">
        <f>IFERROR(INDEX(Baseline_Entry!$N:$N,MATCH($B45,Baseline_Entry!$B:$B,0)),"")</f>
        <v/>
      </c>
      <c r="AK45" t="str">
        <f>IFERROR(INDEX(Cognitive_Profile!$E:$E,MATCH($B45,Cognitive_Profile!$B:$B,0)),"")</f>
        <v/>
      </c>
      <c r="AL45" t="str">
        <f t="shared" si="1"/>
        <v/>
      </c>
      <c r="AM45">
        <f>IFERROR(INDEX(Participation_By_Student!$D:$D,MATCH($B45,Participation_By_Student!$B:$B,0)),"")</f>
        <v>0</v>
      </c>
      <c r="AN45">
        <f>IFERROR(INDEX(Participation_By_Student!$E:$E,MATCH($B45,Participation_By_Student!$B:$B,0)),"")</f>
        <v>0</v>
      </c>
      <c r="AO45">
        <f>IFERROR(INDEX(Participation_By_Student!$F:$F,MATCH($B45,Participation_By_Student!$B:$B,0)),"")</f>
        <v>0</v>
      </c>
      <c r="AP45">
        <f>IFERROR(INDEX(Participation_By_Student!$G:$G,MATCH($B45,Participation_By_Student!$B:$B,0)),"")</f>
        <v>0</v>
      </c>
    </row>
    <row r="46" spans="1:42" x14ac:dyDescent="0.3">
      <c r="A46" s="2" t="s">
        <v>60</v>
      </c>
      <c r="B46" s="2" t="s">
        <v>155</v>
      </c>
      <c r="C46" s="2" t="s">
        <v>156</v>
      </c>
      <c r="D46" s="2" t="s">
        <v>63</v>
      </c>
      <c r="E46" s="2" t="s">
        <v>64</v>
      </c>
      <c r="F46" s="5">
        <f>IFERROR(INDEX(Baseline_Entry!$P:$P,MATCH($B46,Baseline_Entry!$B:$B,0)),"")</f>
        <v>78.599999999999994</v>
      </c>
      <c r="G46" s="5" t="str">
        <f t="shared" si="0"/>
        <v>Yes</v>
      </c>
      <c r="H46" s="5">
        <v>90.483999999999995</v>
      </c>
      <c r="I46" s="5">
        <v>88.551999999999992</v>
      </c>
      <c r="J46" s="5">
        <v>-1.9320000000000019</v>
      </c>
      <c r="K46" s="5">
        <v>89.21</v>
      </c>
      <c r="L46" s="5">
        <v>83.38</v>
      </c>
      <c r="M46" s="5">
        <v>-5.8299999999999983</v>
      </c>
      <c r="N46" s="5">
        <v>90.21</v>
      </c>
      <c r="O46" s="5">
        <v>88.38</v>
      </c>
      <c r="P46" s="5">
        <v>-1.8299999999999981</v>
      </c>
      <c r="Q46" s="5">
        <v>89</v>
      </c>
      <c r="R46" s="5">
        <v>92</v>
      </c>
      <c r="S46" s="5">
        <v>3</v>
      </c>
      <c r="T46" s="5">
        <v>91.5</v>
      </c>
      <c r="U46" s="5">
        <v>87.5</v>
      </c>
      <c r="V46" s="5">
        <v>-4</v>
      </c>
      <c r="W46" s="5">
        <v>92.5</v>
      </c>
      <c r="X46" s="5">
        <v>91.5</v>
      </c>
      <c r="Y46" s="5">
        <v>-1</v>
      </c>
      <c r="Z46" s="2" t="s">
        <v>819</v>
      </c>
      <c r="AA46" s="2" t="s">
        <v>66</v>
      </c>
      <c r="AB46" s="2" t="s">
        <v>65</v>
      </c>
      <c r="AC46" s="2">
        <v>-1</v>
      </c>
      <c r="AD46" s="2" t="str">
        <f>IFERROR(INDEX(University_Exit!$D:$D,MATCH($B46,University_Exit!$B:$B,0)),"")</f>
        <v>University of Liverpool</v>
      </c>
      <c r="AE46" s="2" t="str">
        <f>IFERROR(INDEX(University_Exit!$F:$F,MATCH($B46,University_Exit!$B:$B,0)),"")</f>
        <v>CS/Electrical Engineering</v>
      </c>
      <c r="AF46" s="2" t="str">
        <f>IFERROR(INDEX(University_Exit!$L:$L,MATCH($B46,University_Exit!$B:$B,0)),"")</f>
        <v>Yes</v>
      </c>
      <c r="AG46" s="2">
        <f>IFERROR(INDEX(University_Exit!$H:$H,MATCH($B46,University_Exit!$B:$B,0)),"")</f>
        <v>88.4</v>
      </c>
      <c r="AH46" s="6">
        <f>IFERROR(INDEX(University_Exit!$K:$K,MATCH($B46,University_Exit!$B:$B,0)),"")</f>
        <v>1060</v>
      </c>
      <c r="AI46" s="2" t="str">
        <f>IFERROR(INDEX(University_Exit!$G:$G,MATCH($B46,University_Exit!$B:$B,0)),"")</f>
        <v>وزارة الدفاع</v>
      </c>
      <c r="AJ46" t="str">
        <f>IFERROR(INDEX(Baseline_Entry!$N:$N,MATCH($B46,Baseline_Entry!$B:$B,0)),"")</f>
        <v/>
      </c>
      <c r="AK46" t="str">
        <f>IFERROR(INDEX(Cognitive_Profile!$E:$E,MATCH($B46,Cognitive_Profile!$B:$B,0)),"")</f>
        <v/>
      </c>
      <c r="AL46" t="str">
        <f t="shared" si="1"/>
        <v/>
      </c>
      <c r="AM46">
        <f>IFERROR(INDEX(Participation_By_Student!$D:$D,MATCH($B46,Participation_By_Student!$B:$B,0)),"")</f>
        <v>0</v>
      </c>
      <c r="AN46">
        <f>IFERROR(INDEX(Participation_By_Student!$E:$E,MATCH($B46,Participation_By_Student!$B:$B,0)),"")</f>
        <v>0</v>
      </c>
      <c r="AO46">
        <f>IFERROR(INDEX(Participation_By_Student!$F:$F,MATCH($B46,Participation_By_Student!$B:$B,0)),"")</f>
        <v>0</v>
      </c>
      <c r="AP46">
        <f>IFERROR(INDEX(Participation_By_Student!$G:$G,MATCH($B46,Participation_By_Student!$B:$B,0)),"")</f>
        <v>0</v>
      </c>
    </row>
    <row r="47" spans="1:42" x14ac:dyDescent="0.3">
      <c r="A47" s="2" t="s">
        <v>60</v>
      </c>
      <c r="B47" s="2" t="s">
        <v>157</v>
      </c>
      <c r="C47" s="2" t="s">
        <v>158</v>
      </c>
      <c r="D47" s="2" t="s">
        <v>63</v>
      </c>
      <c r="E47" s="2" t="s">
        <v>64</v>
      </c>
      <c r="F47" s="5">
        <f>IFERROR(INDEX(Baseline_Entry!$P:$P,MATCH($B47,Baseline_Entry!$B:$B,0)),"")</f>
        <v>69.400000000000006</v>
      </c>
      <c r="G47" s="5" t="str">
        <f t="shared" si="0"/>
        <v>Yes</v>
      </c>
      <c r="H47" s="5">
        <v>78.923999999999992</v>
      </c>
      <c r="I47" s="5">
        <v>92.9</v>
      </c>
      <c r="J47" s="5">
        <v>13.97600000000001</v>
      </c>
      <c r="K47" s="5">
        <v>78.209999999999994</v>
      </c>
      <c r="L47" s="5">
        <v>91.25</v>
      </c>
      <c r="M47" s="5">
        <v>13.04000000000001</v>
      </c>
      <c r="N47" s="5">
        <v>84.21</v>
      </c>
      <c r="O47" s="5">
        <v>94.25</v>
      </c>
      <c r="P47" s="5">
        <v>10.04000000000001</v>
      </c>
      <c r="Q47" s="5">
        <v>69</v>
      </c>
      <c r="R47" s="5">
        <v>92.5</v>
      </c>
      <c r="S47" s="5">
        <v>23.5</v>
      </c>
      <c r="T47" s="5">
        <v>88</v>
      </c>
      <c r="U47" s="5">
        <v>91</v>
      </c>
      <c r="V47" s="5">
        <v>3</v>
      </c>
      <c r="W47" s="5">
        <v>75.2</v>
      </c>
      <c r="X47" s="5">
        <v>95.5</v>
      </c>
      <c r="Y47" s="5">
        <v>20.3</v>
      </c>
      <c r="Z47" s="2" t="s">
        <v>819</v>
      </c>
      <c r="AA47" s="2" t="s">
        <v>99</v>
      </c>
      <c r="AB47" s="2" t="s">
        <v>66</v>
      </c>
      <c r="AC47" s="2">
        <v>2</v>
      </c>
      <c r="AD47" s="2" t="str">
        <f>IFERROR(INDEX(University_Exit!$D:$D,MATCH($B47,University_Exit!$B:$B,0)),"")</f>
        <v>University of Liverpool</v>
      </c>
      <c r="AE47" s="2" t="str">
        <f>IFERROR(INDEX(University_Exit!$F:$F,MATCH($B47,University_Exit!$B:$B,0)),"")</f>
        <v>Computer Science</v>
      </c>
      <c r="AF47" s="2" t="str">
        <f>IFERROR(INDEX(University_Exit!$L:$L,MATCH($B47,University_Exit!$B:$B,0)),"")</f>
        <v>Yes</v>
      </c>
      <c r="AG47" s="2">
        <f>IFERROR(INDEX(University_Exit!$H:$H,MATCH($B47,University_Exit!$B:$B,0)),"")</f>
        <v>94.3</v>
      </c>
      <c r="AH47" s="6">
        <f>IFERROR(INDEX(University_Exit!$K:$K,MATCH($B47,University_Exit!$B:$B,0)),"")</f>
        <v>830</v>
      </c>
      <c r="AI47" s="2" t="str">
        <f>IFERROR(INDEX(University_Exit!$G:$G,MATCH($B47,University_Exit!$B:$B,0)),"")</f>
        <v>Ministry of Education</v>
      </c>
      <c r="AJ47" t="str">
        <f>IFERROR(INDEX(Baseline_Entry!$N:$N,MATCH($B47,Baseline_Entry!$B:$B,0)),"")</f>
        <v/>
      </c>
      <c r="AK47" t="str">
        <f>IFERROR(INDEX(Cognitive_Profile!$E:$E,MATCH($B47,Cognitive_Profile!$B:$B,0)),"")</f>
        <v/>
      </c>
      <c r="AL47" t="str">
        <f t="shared" si="1"/>
        <v/>
      </c>
      <c r="AM47">
        <f>IFERROR(INDEX(Participation_By_Student!$D:$D,MATCH($B47,Participation_By_Student!$B:$B,0)),"")</f>
        <v>0</v>
      </c>
      <c r="AN47">
        <f>IFERROR(INDEX(Participation_By_Student!$E:$E,MATCH($B47,Participation_By_Student!$B:$B,0)),"")</f>
        <v>0</v>
      </c>
      <c r="AO47">
        <f>IFERROR(INDEX(Participation_By_Student!$F:$F,MATCH($B47,Participation_By_Student!$B:$B,0)),"")</f>
        <v>0</v>
      </c>
      <c r="AP47">
        <f>IFERROR(INDEX(Participation_By_Student!$G:$G,MATCH($B47,Participation_By_Student!$B:$B,0)),"")</f>
        <v>0</v>
      </c>
    </row>
    <row r="48" spans="1:42" x14ac:dyDescent="0.3">
      <c r="A48" s="2" t="s">
        <v>60</v>
      </c>
      <c r="B48" s="2" t="s">
        <v>159</v>
      </c>
      <c r="C48" s="2" t="s">
        <v>160</v>
      </c>
      <c r="D48" s="2" t="s">
        <v>63</v>
      </c>
      <c r="E48" s="2" t="s">
        <v>64</v>
      </c>
      <c r="F48" s="5">
        <f>IFERROR(INDEX(Baseline_Entry!$P:$P,MATCH($B48,Baseline_Entry!$B:$B,0)),"")</f>
        <v>71.8</v>
      </c>
      <c r="G48" s="5" t="str">
        <f t="shared" si="0"/>
        <v>Yes</v>
      </c>
      <c r="H48" s="5">
        <v>83.075999999999993</v>
      </c>
      <c r="I48" s="5">
        <v>92.623999999999995</v>
      </c>
      <c r="J48" s="5">
        <v>9.5480000000000018</v>
      </c>
      <c r="K48" s="5">
        <v>85.64</v>
      </c>
      <c r="L48" s="5">
        <v>92.31</v>
      </c>
      <c r="M48" s="5">
        <v>6.6700000000000017</v>
      </c>
      <c r="N48" s="5">
        <v>86.64</v>
      </c>
      <c r="O48" s="5">
        <v>93.31</v>
      </c>
      <c r="P48" s="5">
        <v>6.6700000000000017</v>
      </c>
      <c r="Q48" s="5">
        <v>69</v>
      </c>
      <c r="R48" s="5">
        <v>91.5</v>
      </c>
      <c r="S48" s="5">
        <v>22.5</v>
      </c>
      <c r="T48" s="5">
        <v>88</v>
      </c>
      <c r="U48" s="5">
        <v>91</v>
      </c>
      <c r="V48" s="5">
        <v>3</v>
      </c>
      <c r="W48" s="5">
        <v>86.1</v>
      </c>
      <c r="X48" s="5">
        <v>95</v>
      </c>
      <c r="Y48" s="5">
        <v>8.9000000000000057</v>
      </c>
      <c r="Z48" s="2" t="s">
        <v>819</v>
      </c>
      <c r="AA48" s="2" t="s">
        <v>65</v>
      </c>
      <c r="AB48" s="2" t="s">
        <v>66</v>
      </c>
      <c r="AC48" s="2">
        <v>1</v>
      </c>
      <c r="AD48" s="2" t="str">
        <f>IFERROR(INDEX(University_Exit!$D:$D,MATCH($B48,University_Exit!$B:$B,0)),"")</f>
        <v>University of Liverpool</v>
      </c>
      <c r="AE48" s="2" t="str">
        <f>IFERROR(INDEX(University_Exit!$F:$F,MATCH($B48,University_Exit!$B:$B,0)),"")</f>
        <v>Electric and Electronic Engineering</v>
      </c>
      <c r="AF48" s="2" t="str">
        <f>IFERROR(INDEX(University_Exit!$L:$L,MATCH($B48,University_Exit!$B:$B,0)),"")</f>
        <v>Yes</v>
      </c>
      <c r="AG48" s="2">
        <f>IFERROR(INDEX(University_Exit!$H:$H,MATCH($B48,University_Exit!$B:$B,0)),"")</f>
        <v>93.3</v>
      </c>
      <c r="AH48" s="6">
        <f>IFERROR(INDEX(University_Exit!$K:$K,MATCH($B48,University_Exit!$B:$B,0)),"")</f>
        <v>910</v>
      </c>
      <c r="AI48" s="2" t="str">
        <f>IFERROR(INDEX(University_Exit!$G:$G,MATCH($B48,University_Exit!$B:$B,0)),"")</f>
        <v>Qatar Energy</v>
      </c>
      <c r="AJ48" t="str">
        <f>IFERROR(INDEX(Baseline_Entry!$N:$N,MATCH($B48,Baseline_Entry!$B:$B,0)),"")</f>
        <v/>
      </c>
      <c r="AK48" t="str">
        <f>IFERROR(INDEX(Cognitive_Profile!$E:$E,MATCH($B48,Cognitive_Profile!$B:$B,0)),"")</f>
        <v/>
      </c>
      <c r="AL48" t="str">
        <f t="shared" si="1"/>
        <v/>
      </c>
      <c r="AM48">
        <f>IFERROR(INDEX(Participation_By_Student!$D:$D,MATCH($B48,Participation_By_Student!$B:$B,0)),"")</f>
        <v>0</v>
      </c>
      <c r="AN48">
        <f>IFERROR(INDEX(Participation_By_Student!$E:$E,MATCH($B48,Participation_By_Student!$B:$B,0)),"")</f>
        <v>0</v>
      </c>
      <c r="AO48">
        <f>IFERROR(INDEX(Participation_By_Student!$F:$F,MATCH($B48,Participation_By_Student!$B:$B,0)),"")</f>
        <v>0</v>
      </c>
      <c r="AP48">
        <f>IFERROR(INDEX(Participation_By_Student!$G:$G,MATCH($B48,Participation_By_Student!$B:$B,0)),"")</f>
        <v>0</v>
      </c>
    </row>
    <row r="49" spans="1:42" x14ac:dyDescent="0.3">
      <c r="A49" s="2" t="s">
        <v>60</v>
      </c>
      <c r="B49" s="2" t="s">
        <v>161</v>
      </c>
      <c r="C49" s="2" t="s">
        <v>162</v>
      </c>
      <c r="D49" s="2" t="s">
        <v>63</v>
      </c>
      <c r="E49" s="2" t="s">
        <v>64</v>
      </c>
      <c r="F49" s="5">
        <f>IFERROR(INDEX(Baseline_Entry!$P:$P,MATCH($B49,Baseline_Entry!$B:$B,0)),"")</f>
        <v>69.8</v>
      </c>
      <c r="G49" s="5" t="str">
        <f t="shared" si="0"/>
        <v>Yes</v>
      </c>
      <c r="H49" s="5">
        <v>78.195999999999998</v>
      </c>
      <c r="I49" s="5">
        <v>85.724000000000004</v>
      </c>
      <c r="J49" s="5">
        <v>7.5280000000000058</v>
      </c>
      <c r="K49" s="5">
        <v>78.290000000000006</v>
      </c>
      <c r="L49" s="5">
        <v>83.06</v>
      </c>
      <c r="M49" s="5">
        <v>4.769999999999996</v>
      </c>
      <c r="N49" s="5">
        <v>81.290000000000006</v>
      </c>
      <c r="O49" s="5">
        <v>83.06</v>
      </c>
      <c r="P49" s="5">
        <v>1.769999999999996</v>
      </c>
      <c r="Q49" s="5">
        <v>81</v>
      </c>
      <c r="R49" s="5">
        <v>91.5</v>
      </c>
      <c r="S49" s="5">
        <v>10.5</v>
      </c>
      <c r="T49" s="5">
        <v>71.5</v>
      </c>
      <c r="U49" s="5">
        <v>84</v>
      </c>
      <c r="V49" s="5">
        <v>12.5</v>
      </c>
      <c r="W49" s="5">
        <v>78.900000000000006</v>
      </c>
      <c r="X49" s="5">
        <v>87</v>
      </c>
      <c r="Y49" s="5">
        <v>8.0999999999999943</v>
      </c>
      <c r="Z49" s="2" t="s">
        <v>819</v>
      </c>
      <c r="AA49" s="2" t="s">
        <v>99</v>
      </c>
      <c r="AB49" s="2" t="s">
        <v>65</v>
      </c>
      <c r="AC49" s="2">
        <v>1</v>
      </c>
      <c r="AD49" s="2" t="str">
        <f>IFERROR(INDEX(University_Exit!$D:$D,MATCH($B49,University_Exit!$B:$B,0)),"")</f>
        <v>Qatar University</v>
      </c>
      <c r="AE49" s="2" t="str">
        <f>IFERROR(INDEX(University_Exit!$F:$F,MATCH($B49,University_Exit!$B:$B,0)),"")</f>
        <v>Enviromental Studies</v>
      </c>
      <c r="AF49" s="2" t="str">
        <f>IFERROR(INDEX(University_Exit!$L:$L,MATCH($B49,University_Exit!$B:$B,0)),"")</f>
        <v>No</v>
      </c>
      <c r="AG49" s="2">
        <f>IFERROR(INDEX(University_Exit!$H:$H,MATCH($B49,University_Exit!$B:$B,0)),"")</f>
        <v>83.1</v>
      </c>
      <c r="AH49" s="6">
        <f>IFERROR(INDEX(University_Exit!$K:$K,MATCH($B49,University_Exit!$B:$B,0)),"")</f>
        <v>810</v>
      </c>
      <c r="AI49" s="2" t="str">
        <f>IFERROR(INDEX(University_Exit!$G:$G,MATCH($B49,University_Exit!$B:$B,0)),"")</f>
        <v>خاص/ مجاني</v>
      </c>
      <c r="AJ49" t="str">
        <f>IFERROR(INDEX(Baseline_Entry!$N:$N,MATCH($B49,Baseline_Entry!$B:$B,0)),"")</f>
        <v/>
      </c>
      <c r="AK49" t="str">
        <f>IFERROR(INDEX(Cognitive_Profile!$E:$E,MATCH($B49,Cognitive_Profile!$B:$B,0)),"")</f>
        <v/>
      </c>
      <c r="AL49" t="str">
        <f t="shared" si="1"/>
        <v/>
      </c>
      <c r="AM49">
        <f>IFERROR(INDEX(Participation_By_Student!$D:$D,MATCH($B49,Participation_By_Student!$B:$B,0)),"")</f>
        <v>0</v>
      </c>
      <c r="AN49">
        <f>IFERROR(INDEX(Participation_By_Student!$E:$E,MATCH($B49,Participation_By_Student!$B:$B,0)),"")</f>
        <v>0</v>
      </c>
      <c r="AO49">
        <f>IFERROR(INDEX(Participation_By_Student!$F:$F,MATCH($B49,Participation_By_Student!$B:$B,0)),"")</f>
        <v>0</v>
      </c>
      <c r="AP49">
        <f>IFERROR(INDEX(Participation_By_Student!$G:$G,MATCH($B49,Participation_By_Student!$B:$B,0)),"")</f>
        <v>0</v>
      </c>
    </row>
    <row r="50" spans="1:42" x14ac:dyDescent="0.3">
      <c r="A50" s="2" t="s">
        <v>60</v>
      </c>
      <c r="B50" s="2" t="s">
        <v>163</v>
      </c>
      <c r="C50" s="2" t="s">
        <v>164</v>
      </c>
      <c r="D50" s="2" t="s">
        <v>63</v>
      </c>
      <c r="E50" s="2" t="s">
        <v>64</v>
      </c>
      <c r="F50" s="5">
        <f>IFERROR(INDEX(Baseline_Entry!$P:$P,MATCH($B50,Baseline_Entry!$B:$B,0)),"")</f>
        <v>60.2</v>
      </c>
      <c r="G50" s="5" t="str">
        <f t="shared" si="0"/>
        <v>Yes</v>
      </c>
      <c r="H50" s="5">
        <v>72.768000000000001</v>
      </c>
      <c r="I50" s="5">
        <v>88.524000000000001</v>
      </c>
      <c r="J50" s="5">
        <v>15.756</v>
      </c>
      <c r="K50" s="5">
        <v>77.569999999999993</v>
      </c>
      <c r="L50" s="5">
        <v>84.56</v>
      </c>
      <c r="M50" s="5">
        <v>6.9900000000000091</v>
      </c>
      <c r="N50" s="5">
        <v>79.569999999999993</v>
      </c>
      <c r="O50" s="5">
        <v>90.56</v>
      </c>
      <c r="P50" s="5">
        <v>10.990000000000011</v>
      </c>
      <c r="Q50" s="5">
        <v>52</v>
      </c>
      <c r="R50" s="5">
        <v>88</v>
      </c>
      <c r="S50" s="5">
        <v>36</v>
      </c>
      <c r="T50" s="5">
        <v>81.5</v>
      </c>
      <c r="U50" s="5">
        <v>90</v>
      </c>
      <c r="V50" s="5">
        <v>8.5</v>
      </c>
      <c r="W50" s="5">
        <v>73.2</v>
      </c>
      <c r="X50" s="5">
        <v>89.5</v>
      </c>
      <c r="Y50" s="5">
        <v>16.3</v>
      </c>
      <c r="Z50" s="2" t="s">
        <v>819</v>
      </c>
      <c r="AA50" s="2" t="s">
        <v>99</v>
      </c>
      <c r="AB50" s="2" t="s">
        <v>65</v>
      </c>
      <c r="AC50" s="2">
        <v>1</v>
      </c>
      <c r="AD50" s="2" t="str">
        <f>IFERROR(INDEX(University_Exit!$D:$D,MATCH($B50,University_Exit!$B:$B,0)),"")</f>
        <v>University of Central Lancashire</v>
      </c>
      <c r="AE50" s="2" t="str">
        <f>IFERROR(INDEX(University_Exit!$F:$F,MATCH($B50,University_Exit!$B:$B,0)),"")</f>
        <v>Fire &amp; safety Engineering</v>
      </c>
      <c r="AF50" s="2" t="str">
        <f>IFERROR(INDEX(University_Exit!$L:$L,MATCH($B50,University_Exit!$B:$B,0)),"")</f>
        <v>Yes</v>
      </c>
      <c r="AG50" s="2">
        <f>IFERROR(INDEX(University_Exit!$H:$H,MATCH($B50,University_Exit!$B:$B,0)),"")</f>
        <v>90.6</v>
      </c>
      <c r="AH50" s="6">
        <f>IFERROR(INDEX(University_Exit!$K:$K,MATCH($B50,University_Exit!$B:$B,0)),"")</f>
        <v>880</v>
      </c>
      <c r="AI50" s="2" t="str">
        <f>IFERROR(INDEX(University_Exit!$G:$G,MATCH($B50,University_Exit!$B:$B,0)),"")</f>
        <v>Qatar Energy</v>
      </c>
      <c r="AJ50" t="str">
        <f>IFERROR(INDEX(Baseline_Entry!$N:$N,MATCH($B50,Baseline_Entry!$B:$B,0)),"")</f>
        <v/>
      </c>
      <c r="AK50" t="str">
        <f>IFERROR(INDEX(Cognitive_Profile!$E:$E,MATCH($B50,Cognitive_Profile!$B:$B,0)),"")</f>
        <v/>
      </c>
      <c r="AL50" t="str">
        <f t="shared" si="1"/>
        <v/>
      </c>
      <c r="AM50">
        <f>IFERROR(INDEX(Participation_By_Student!$D:$D,MATCH($B50,Participation_By_Student!$B:$B,0)),"")</f>
        <v>0</v>
      </c>
      <c r="AN50">
        <f>IFERROR(INDEX(Participation_By_Student!$E:$E,MATCH($B50,Participation_By_Student!$B:$B,0)),"")</f>
        <v>0</v>
      </c>
      <c r="AO50">
        <f>IFERROR(INDEX(Participation_By_Student!$F:$F,MATCH($B50,Participation_By_Student!$B:$B,0)),"")</f>
        <v>0</v>
      </c>
      <c r="AP50">
        <f>IFERROR(INDEX(Participation_By_Student!$G:$G,MATCH($B50,Participation_By_Student!$B:$B,0)),"")</f>
        <v>0</v>
      </c>
    </row>
    <row r="51" spans="1:42" x14ac:dyDescent="0.3">
      <c r="A51" s="2" t="s">
        <v>60</v>
      </c>
      <c r="B51" s="2" t="s">
        <v>165</v>
      </c>
      <c r="C51" s="2" t="s">
        <v>166</v>
      </c>
      <c r="D51" s="2" t="s">
        <v>63</v>
      </c>
      <c r="E51" s="2" t="s">
        <v>64</v>
      </c>
      <c r="F51" s="5">
        <f>IFERROR(INDEX(Baseline_Entry!$P:$P,MATCH($B51,Baseline_Entry!$B:$B,0)),"")</f>
        <v>75.8</v>
      </c>
      <c r="G51" s="5" t="str">
        <f t="shared" si="0"/>
        <v>Yes</v>
      </c>
      <c r="H51" s="5">
        <v>78.784000000000006</v>
      </c>
      <c r="I51" s="5">
        <v>92.451999999999998</v>
      </c>
      <c r="J51" s="5">
        <v>13.66799999999999</v>
      </c>
      <c r="K51" s="5">
        <v>76.86</v>
      </c>
      <c r="L51" s="5">
        <v>90.88</v>
      </c>
      <c r="M51" s="5">
        <v>14.02</v>
      </c>
      <c r="N51" s="5">
        <v>82.86</v>
      </c>
      <c r="O51" s="5">
        <v>93.88</v>
      </c>
      <c r="P51" s="5">
        <v>11.02</v>
      </c>
      <c r="Q51" s="5">
        <v>77.5</v>
      </c>
      <c r="R51" s="5">
        <v>93.5</v>
      </c>
      <c r="S51" s="5">
        <v>16</v>
      </c>
      <c r="T51" s="5">
        <v>82</v>
      </c>
      <c r="U51" s="5">
        <v>88</v>
      </c>
      <c r="V51" s="5">
        <v>6</v>
      </c>
      <c r="W51" s="5">
        <v>74.7</v>
      </c>
      <c r="X51" s="5">
        <v>96</v>
      </c>
      <c r="Y51" s="5">
        <v>21.3</v>
      </c>
      <c r="Z51" s="2" t="s">
        <v>819</v>
      </c>
      <c r="AA51" s="2" t="s">
        <v>99</v>
      </c>
      <c r="AB51" s="2" t="s">
        <v>66</v>
      </c>
      <c r="AC51" s="2">
        <v>2</v>
      </c>
      <c r="AD51" s="2" t="str">
        <f>IFERROR(INDEX(University_Exit!$D:$D,MATCH($B51,University_Exit!$B:$B,0)),"")</f>
        <v>Qatar University</v>
      </c>
      <c r="AE51" s="2" t="str">
        <f>IFERROR(INDEX(University_Exit!$F:$F,MATCH($B51,University_Exit!$B:$B,0)),"")</f>
        <v>Medicine</v>
      </c>
      <c r="AF51" s="2" t="str">
        <f>IFERROR(INDEX(University_Exit!$L:$L,MATCH($B51,University_Exit!$B:$B,0)),"")</f>
        <v>Yes</v>
      </c>
      <c r="AG51" s="2">
        <f>IFERROR(INDEX(University_Exit!$H:$H,MATCH($B51,University_Exit!$B:$B,0)),"")</f>
        <v>93.9</v>
      </c>
      <c r="AH51" s="6">
        <f>IFERROR(INDEX(University_Exit!$K:$K,MATCH($B51,University_Exit!$B:$B,0)),"")</f>
        <v>950</v>
      </c>
      <c r="AI51" s="2" t="str">
        <f>IFERROR(INDEX(University_Exit!$G:$G,MATCH($B51,University_Exit!$B:$B,0)),"")</f>
        <v>Ministry of Education</v>
      </c>
      <c r="AJ51" t="str">
        <f>IFERROR(INDEX(Baseline_Entry!$N:$N,MATCH($B51,Baseline_Entry!$B:$B,0)),"")</f>
        <v/>
      </c>
      <c r="AK51" t="str">
        <f>IFERROR(INDEX(Cognitive_Profile!$E:$E,MATCH($B51,Cognitive_Profile!$B:$B,0)),"")</f>
        <v/>
      </c>
      <c r="AL51" t="str">
        <f t="shared" si="1"/>
        <v/>
      </c>
      <c r="AM51">
        <f>IFERROR(INDEX(Participation_By_Student!$D:$D,MATCH($B51,Participation_By_Student!$B:$B,0)),"")</f>
        <v>0</v>
      </c>
      <c r="AN51">
        <f>IFERROR(INDEX(Participation_By_Student!$E:$E,MATCH($B51,Participation_By_Student!$B:$B,0)),"")</f>
        <v>0</v>
      </c>
      <c r="AO51">
        <f>IFERROR(INDEX(Participation_By_Student!$F:$F,MATCH($B51,Participation_By_Student!$B:$B,0)),"")</f>
        <v>0</v>
      </c>
      <c r="AP51">
        <f>IFERROR(INDEX(Participation_By_Student!$G:$G,MATCH($B51,Participation_By_Student!$B:$B,0)),"")</f>
        <v>0</v>
      </c>
    </row>
    <row r="52" spans="1:42" x14ac:dyDescent="0.3">
      <c r="A52" s="2" t="s">
        <v>60</v>
      </c>
      <c r="B52" s="2" t="s">
        <v>167</v>
      </c>
      <c r="C52" s="2" t="s">
        <v>168</v>
      </c>
      <c r="D52" s="2" t="s">
        <v>63</v>
      </c>
      <c r="E52" s="2" t="s">
        <v>64</v>
      </c>
      <c r="F52" s="5">
        <f>IFERROR(INDEX(Baseline_Entry!$P:$P,MATCH($B52,Baseline_Entry!$B:$B,0)),"")</f>
        <v>65.400000000000006</v>
      </c>
      <c r="G52" s="5" t="str">
        <f t="shared" si="0"/>
        <v>Yes</v>
      </c>
      <c r="H52" s="5">
        <v>77.256</v>
      </c>
      <c r="I52" s="5">
        <v>89.852000000000004</v>
      </c>
      <c r="J52" s="5">
        <v>12.596</v>
      </c>
      <c r="K52" s="5">
        <v>79.540000000000006</v>
      </c>
      <c r="L52" s="5">
        <v>88.63</v>
      </c>
      <c r="M52" s="5">
        <v>9.0899999999999892</v>
      </c>
      <c r="N52" s="5">
        <v>83.54</v>
      </c>
      <c r="O52" s="5">
        <v>90.63</v>
      </c>
      <c r="P52" s="5">
        <v>7.0899999999999892</v>
      </c>
      <c r="Q52" s="5">
        <v>65.5</v>
      </c>
      <c r="R52" s="5">
        <v>89.5</v>
      </c>
      <c r="S52" s="5">
        <v>24</v>
      </c>
      <c r="T52" s="5">
        <v>77.5</v>
      </c>
      <c r="U52" s="5">
        <v>87.5</v>
      </c>
      <c r="V52" s="5">
        <v>10</v>
      </c>
      <c r="W52" s="5">
        <v>80.2</v>
      </c>
      <c r="X52" s="5">
        <v>93</v>
      </c>
      <c r="Y52" s="5">
        <v>12.8</v>
      </c>
      <c r="Z52" s="2" t="s">
        <v>819</v>
      </c>
      <c r="AA52" s="2" t="s">
        <v>99</v>
      </c>
      <c r="AB52" s="2" t="s">
        <v>65</v>
      </c>
      <c r="AC52" s="2">
        <v>1</v>
      </c>
      <c r="AD52" s="2" t="str">
        <f>IFERROR(INDEX(University_Exit!$D:$D,MATCH($B52,University_Exit!$B:$B,0)),"")</f>
        <v>الكلية البحرية العسكرية في بولندا</v>
      </c>
      <c r="AE52" s="2" t="str">
        <f>IFERROR(INDEX(University_Exit!$F:$F,MATCH($B52,University_Exit!$B:$B,0)),"")</f>
        <v>Marine engineering</v>
      </c>
      <c r="AF52" s="2" t="str">
        <f>IFERROR(INDEX(University_Exit!$L:$L,MATCH($B52,University_Exit!$B:$B,0)),"")</f>
        <v>Yes</v>
      </c>
      <c r="AG52" s="2">
        <f>IFERROR(INDEX(University_Exit!$H:$H,MATCH($B52,University_Exit!$B:$B,0)),"")</f>
        <v>90.6</v>
      </c>
      <c r="AH52" s="6">
        <f>IFERROR(INDEX(University_Exit!$K:$K,MATCH($B52,University_Exit!$B:$B,0)),"")</f>
        <v>930</v>
      </c>
      <c r="AI52" s="2" t="str">
        <f>IFERROR(INDEX(University_Exit!$G:$G,MATCH($B52,University_Exit!$B:$B,0)),"")</f>
        <v>وزارة الداخلية</v>
      </c>
      <c r="AJ52" t="str">
        <f>IFERROR(INDEX(Baseline_Entry!$N:$N,MATCH($B52,Baseline_Entry!$B:$B,0)),"")</f>
        <v/>
      </c>
      <c r="AK52" t="str">
        <f>IFERROR(INDEX(Cognitive_Profile!$E:$E,MATCH($B52,Cognitive_Profile!$B:$B,0)),"")</f>
        <v/>
      </c>
      <c r="AL52" t="str">
        <f t="shared" si="1"/>
        <v/>
      </c>
      <c r="AM52">
        <f>IFERROR(INDEX(Participation_By_Student!$D:$D,MATCH($B52,Participation_By_Student!$B:$B,0)),"")</f>
        <v>0</v>
      </c>
      <c r="AN52">
        <f>IFERROR(INDEX(Participation_By_Student!$E:$E,MATCH($B52,Participation_By_Student!$B:$B,0)),"")</f>
        <v>0</v>
      </c>
      <c r="AO52">
        <f>IFERROR(INDEX(Participation_By_Student!$F:$F,MATCH($B52,Participation_By_Student!$B:$B,0)),"")</f>
        <v>0</v>
      </c>
      <c r="AP52">
        <f>IFERROR(INDEX(Participation_By_Student!$G:$G,MATCH($B52,Participation_By_Student!$B:$B,0)),"")</f>
        <v>0</v>
      </c>
    </row>
    <row r="53" spans="1:42" x14ac:dyDescent="0.3">
      <c r="A53" s="2" t="s">
        <v>60</v>
      </c>
      <c r="B53" s="2" t="s">
        <v>169</v>
      </c>
      <c r="C53" s="2" t="s">
        <v>170</v>
      </c>
      <c r="D53" s="2" t="s">
        <v>63</v>
      </c>
      <c r="E53" s="2" t="s">
        <v>64</v>
      </c>
      <c r="F53" s="5">
        <f>IFERROR(INDEX(Baseline_Entry!$P:$P,MATCH($B53,Baseline_Entry!$B:$B,0)),"")</f>
        <v>66</v>
      </c>
      <c r="G53" s="5" t="str">
        <f t="shared" si="0"/>
        <v>Yes</v>
      </c>
      <c r="H53" s="5">
        <v>83.472000000000008</v>
      </c>
      <c r="I53" s="5">
        <v>94.024000000000001</v>
      </c>
      <c r="J53" s="5">
        <v>10.551999999999991</v>
      </c>
      <c r="K53" s="5">
        <v>83.18</v>
      </c>
      <c r="L53" s="5">
        <v>90.56</v>
      </c>
      <c r="M53" s="5">
        <v>7.3799999999999946</v>
      </c>
      <c r="N53" s="5">
        <v>89.18</v>
      </c>
      <c r="O53" s="5">
        <v>95.56</v>
      </c>
      <c r="P53" s="5">
        <v>6.3799999999999946</v>
      </c>
      <c r="Q53" s="5">
        <v>68</v>
      </c>
      <c r="R53" s="5">
        <v>93</v>
      </c>
      <c r="S53" s="5">
        <v>25</v>
      </c>
      <c r="T53" s="5">
        <v>89</v>
      </c>
      <c r="U53" s="5">
        <v>98</v>
      </c>
      <c r="V53" s="5">
        <v>9</v>
      </c>
      <c r="W53" s="5">
        <v>88</v>
      </c>
      <c r="X53" s="5">
        <v>93</v>
      </c>
      <c r="Y53" s="5">
        <v>5</v>
      </c>
      <c r="Z53" s="2" t="s">
        <v>819</v>
      </c>
      <c r="AA53" s="2" t="s">
        <v>65</v>
      </c>
      <c r="AB53" s="2" t="s">
        <v>66</v>
      </c>
      <c r="AC53" s="2">
        <v>1</v>
      </c>
      <c r="AD53" s="2" t="str">
        <f>IFERROR(INDEX(University_Exit!$D:$D,MATCH($B53,University_Exit!$B:$B,0)),"")</f>
        <v>Newcastle University</v>
      </c>
      <c r="AE53" s="2" t="str">
        <f>IFERROR(INDEX(University_Exit!$F:$F,MATCH($B53,University_Exit!$B:$B,0)),"")</f>
        <v>Marine engineering</v>
      </c>
      <c r="AF53" s="2" t="str">
        <f>IFERROR(INDEX(University_Exit!$L:$L,MATCH($B53,University_Exit!$B:$B,0)),"")</f>
        <v>Yes</v>
      </c>
      <c r="AG53" s="2">
        <f>IFERROR(INDEX(University_Exit!$H:$H,MATCH($B53,University_Exit!$B:$B,0)),"")</f>
        <v>95.6</v>
      </c>
      <c r="AH53" s="6">
        <f>IFERROR(INDEX(University_Exit!$K:$K,MATCH($B53,University_Exit!$B:$B,0)),"")</f>
        <v>830</v>
      </c>
      <c r="AI53" s="2" t="str">
        <f>IFERROR(INDEX(University_Exit!$G:$G,MATCH($B53,University_Exit!$B:$B,0)),"")</f>
        <v>Qatar Energy</v>
      </c>
      <c r="AJ53" t="str">
        <f>IFERROR(INDEX(Baseline_Entry!$N:$N,MATCH($B53,Baseline_Entry!$B:$B,0)),"")</f>
        <v/>
      </c>
      <c r="AK53" t="str">
        <f>IFERROR(INDEX(Cognitive_Profile!$E:$E,MATCH($B53,Cognitive_Profile!$B:$B,0)),"")</f>
        <v/>
      </c>
      <c r="AL53" t="str">
        <f t="shared" si="1"/>
        <v/>
      </c>
      <c r="AM53">
        <f>IFERROR(INDEX(Participation_By_Student!$D:$D,MATCH($B53,Participation_By_Student!$B:$B,0)),"")</f>
        <v>0</v>
      </c>
      <c r="AN53">
        <f>IFERROR(INDEX(Participation_By_Student!$E:$E,MATCH($B53,Participation_By_Student!$B:$B,0)),"")</f>
        <v>0</v>
      </c>
      <c r="AO53">
        <f>IFERROR(INDEX(Participation_By_Student!$F:$F,MATCH($B53,Participation_By_Student!$B:$B,0)),"")</f>
        <v>0</v>
      </c>
      <c r="AP53">
        <f>IFERROR(INDEX(Participation_By_Student!$G:$G,MATCH($B53,Participation_By_Student!$B:$B,0)),"")</f>
        <v>0</v>
      </c>
    </row>
    <row r="54" spans="1:42" x14ac:dyDescent="0.3">
      <c r="A54" s="2" t="s">
        <v>60</v>
      </c>
      <c r="B54" s="2" t="s">
        <v>171</v>
      </c>
      <c r="C54" s="2" t="s">
        <v>172</v>
      </c>
      <c r="D54" s="2" t="s">
        <v>63</v>
      </c>
      <c r="E54" s="2" t="s">
        <v>64</v>
      </c>
      <c r="F54" s="5">
        <f>IFERROR(INDEX(Baseline_Entry!$P:$P,MATCH($B54,Baseline_Entry!$B:$B,0)),"")</f>
        <v>69.599999999999994</v>
      </c>
      <c r="G54" s="5" t="str">
        <f t="shared" si="0"/>
        <v>Yes</v>
      </c>
      <c r="H54" s="5">
        <v>79.143999999999991</v>
      </c>
      <c r="I54" s="5">
        <v>88.3</v>
      </c>
      <c r="J54" s="5">
        <v>9.1560000000000059</v>
      </c>
      <c r="K54" s="5">
        <v>80.459999999999994</v>
      </c>
      <c r="L54" s="5">
        <v>89.5</v>
      </c>
      <c r="M54" s="5">
        <v>9.0400000000000063</v>
      </c>
      <c r="N54" s="5">
        <v>84.46</v>
      </c>
      <c r="O54" s="5">
        <v>90.5</v>
      </c>
      <c r="P54" s="5">
        <v>6.0400000000000063</v>
      </c>
      <c r="Q54" s="5">
        <v>73.5</v>
      </c>
      <c r="R54" s="5">
        <v>87</v>
      </c>
      <c r="S54" s="5">
        <v>13.5</v>
      </c>
      <c r="T54" s="5">
        <v>75.5</v>
      </c>
      <c r="U54" s="5">
        <v>83</v>
      </c>
      <c r="V54" s="5">
        <v>7.5</v>
      </c>
      <c r="W54" s="5">
        <v>81.8</v>
      </c>
      <c r="X54" s="5">
        <v>91.5</v>
      </c>
      <c r="Y54" s="5">
        <v>9.7000000000000028</v>
      </c>
      <c r="Z54" s="2" t="s">
        <v>819</v>
      </c>
      <c r="AA54" s="2" t="s">
        <v>99</v>
      </c>
      <c r="AB54" s="2" t="s">
        <v>65</v>
      </c>
      <c r="AC54" s="2">
        <v>1</v>
      </c>
      <c r="AD54" s="2" t="str">
        <f>IFERROR(INDEX(University_Exit!$D:$D,MATCH($B54,University_Exit!$B:$B,0)),"")</f>
        <v>Texas A&amp;M University Qatar</v>
      </c>
      <c r="AE54" s="2" t="str">
        <f>IFERROR(INDEX(University_Exit!$F:$F,MATCH($B54,University_Exit!$B:$B,0)),"")</f>
        <v>Mechanical engineering</v>
      </c>
      <c r="AF54" s="2" t="str">
        <f>IFERROR(INDEX(University_Exit!$L:$L,MATCH($B54,University_Exit!$B:$B,0)),"")</f>
        <v>Yes</v>
      </c>
      <c r="AG54" s="2">
        <f>IFERROR(INDEX(University_Exit!$H:$H,MATCH($B54,University_Exit!$B:$B,0)),"")</f>
        <v>90.5</v>
      </c>
      <c r="AH54" s="6">
        <f>IFERROR(INDEX(University_Exit!$K:$K,MATCH($B54,University_Exit!$B:$B,0)),"")</f>
        <v>980</v>
      </c>
      <c r="AI54" s="2" t="str">
        <f>IFERROR(INDEX(University_Exit!$G:$G,MATCH($B54,University_Exit!$B:$B,0)),"")</f>
        <v>Ministry of Education</v>
      </c>
      <c r="AJ54" t="str">
        <f>IFERROR(INDEX(Baseline_Entry!$N:$N,MATCH($B54,Baseline_Entry!$B:$B,0)),"")</f>
        <v/>
      </c>
      <c r="AK54" t="str">
        <f>IFERROR(INDEX(Cognitive_Profile!$E:$E,MATCH($B54,Cognitive_Profile!$B:$B,0)),"")</f>
        <v/>
      </c>
      <c r="AL54" t="str">
        <f t="shared" si="1"/>
        <v/>
      </c>
      <c r="AM54">
        <f>IFERROR(INDEX(Participation_By_Student!$D:$D,MATCH($B54,Participation_By_Student!$B:$B,0)),"")</f>
        <v>0</v>
      </c>
      <c r="AN54">
        <f>IFERROR(INDEX(Participation_By_Student!$E:$E,MATCH($B54,Participation_By_Student!$B:$B,0)),"")</f>
        <v>0</v>
      </c>
      <c r="AO54">
        <f>IFERROR(INDEX(Participation_By_Student!$F:$F,MATCH($B54,Participation_By_Student!$B:$B,0)),"")</f>
        <v>0</v>
      </c>
      <c r="AP54">
        <f>IFERROR(INDEX(Participation_By_Student!$G:$G,MATCH($B54,Participation_By_Student!$B:$B,0)),"")</f>
        <v>0</v>
      </c>
    </row>
    <row r="55" spans="1:42" x14ac:dyDescent="0.3">
      <c r="A55" s="2" t="s">
        <v>60</v>
      </c>
      <c r="B55" s="2" t="s">
        <v>173</v>
      </c>
      <c r="C55" s="2" t="s">
        <v>174</v>
      </c>
      <c r="D55" s="2" t="s">
        <v>63</v>
      </c>
      <c r="E55" s="2" t="s">
        <v>64</v>
      </c>
      <c r="F55" s="5">
        <f>IFERROR(INDEX(Baseline_Entry!$P:$P,MATCH($B55,Baseline_Entry!$B:$B,0)),"")</f>
        <v>81.2</v>
      </c>
      <c r="G55" s="5" t="str">
        <f t="shared" si="0"/>
        <v>Yes</v>
      </c>
      <c r="H55" s="5">
        <v>86.983999999999995</v>
      </c>
      <c r="I55" s="5">
        <v>98.551999999999992</v>
      </c>
      <c r="J55" s="5">
        <v>11.568</v>
      </c>
      <c r="K55" s="5">
        <v>87.71</v>
      </c>
      <c r="L55" s="5">
        <v>97.38</v>
      </c>
      <c r="M55" s="5">
        <v>9.6700000000000017</v>
      </c>
      <c r="N55" s="5">
        <v>89.71</v>
      </c>
      <c r="O55" s="5">
        <v>99.38</v>
      </c>
      <c r="P55" s="5">
        <v>9.6700000000000017</v>
      </c>
      <c r="Q55" s="5">
        <v>83.5</v>
      </c>
      <c r="R55" s="5">
        <v>98</v>
      </c>
      <c r="S55" s="5">
        <v>14.5</v>
      </c>
      <c r="T55" s="5">
        <v>91</v>
      </c>
      <c r="U55" s="5">
        <v>99.5</v>
      </c>
      <c r="V55" s="5">
        <v>8.5</v>
      </c>
      <c r="W55" s="5">
        <v>83</v>
      </c>
      <c r="X55" s="5">
        <v>98.5</v>
      </c>
      <c r="Y55" s="5">
        <v>15.5</v>
      </c>
      <c r="Z55" s="2" t="s">
        <v>819</v>
      </c>
      <c r="AA55" s="2" t="s">
        <v>65</v>
      </c>
      <c r="AB55" s="2" t="s">
        <v>66</v>
      </c>
      <c r="AC55" s="2">
        <v>1</v>
      </c>
      <c r="AD55" s="2" t="str">
        <f>IFERROR(INDEX(University_Exit!$D:$D,MATCH($B55,University_Exit!$B:$B,0)),"")</f>
        <v>Qatar University</v>
      </c>
      <c r="AE55" s="2" t="str">
        <f>IFERROR(INDEX(University_Exit!$F:$F,MATCH($B55,University_Exit!$B:$B,0)),"")</f>
        <v>Medicine</v>
      </c>
      <c r="AF55" s="2" t="str">
        <f>IFERROR(INDEX(University_Exit!$L:$L,MATCH($B55,University_Exit!$B:$B,0)),"")</f>
        <v>Yes</v>
      </c>
      <c r="AG55" s="2">
        <f>IFERROR(INDEX(University_Exit!$H:$H,MATCH($B55,University_Exit!$B:$B,0)),"")</f>
        <v>99.4</v>
      </c>
      <c r="AH55" s="6">
        <f>IFERROR(INDEX(University_Exit!$K:$K,MATCH($B55,University_Exit!$B:$B,0)),"")</f>
        <v>980</v>
      </c>
      <c r="AI55" s="2" t="str">
        <f>IFERROR(INDEX(University_Exit!$G:$G,MATCH($B55,University_Exit!$B:$B,0)),"")</f>
        <v>Ministry of Education</v>
      </c>
      <c r="AJ55" t="str">
        <f>IFERROR(INDEX(Baseline_Entry!$N:$N,MATCH($B55,Baseline_Entry!$B:$B,0)),"")</f>
        <v/>
      </c>
      <c r="AK55" t="str">
        <f>IFERROR(INDEX(Cognitive_Profile!$E:$E,MATCH($B55,Cognitive_Profile!$B:$B,0)),"")</f>
        <v/>
      </c>
      <c r="AL55" t="str">
        <f t="shared" si="1"/>
        <v/>
      </c>
      <c r="AM55">
        <f>IFERROR(INDEX(Participation_By_Student!$D:$D,MATCH($B55,Participation_By_Student!$B:$B,0)),"")</f>
        <v>0</v>
      </c>
      <c r="AN55">
        <f>IFERROR(INDEX(Participation_By_Student!$E:$E,MATCH($B55,Participation_By_Student!$B:$B,0)),"")</f>
        <v>0</v>
      </c>
      <c r="AO55">
        <f>IFERROR(INDEX(Participation_By_Student!$F:$F,MATCH($B55,Participation_By_Student!$B:$B,0)),"")</f>
        <v>0</v>
      </c>
      <c r="AP55">
        <f>IFERROR(INDEX(Participation_By_Student!$G:$G,MATCH($B55,Participation_By_Student!$B:$B,0)),"")</f>
        <v>0</v>
      </c>
    </row>
    <row r="56" spans="1:42" x14ac:dyDescent="0.3">
      <c r="A56" s="2" t="s">
        <v>60</v>
      </c>
      <c r="B56" s="2" t="s">
        <v>175</v>
      </c>
      <c r="C56" s="2" t="s">
        <v>176</v>
      </c>
      <c r="D56" s="2" t="s">
        <v>63</v>
      </c>
      <c r="E56" s="2" t="s">
        <v>64</v>
      </c>
      <c r="F56" s="5">
        <f>IFERROR(INDEX(Baseline_Entry!$P:$P,MATCH($B56,Baseline_Entry!$B:$B,0)),"")</f>
        <v>91.199999999999989</v>
      </c>
      <c r="G56" s="5" t="str">
        <f t="shared" si="0"/>
        <v>Yes</v>
      </c>
      <c r="H56" s="5">
        <v>97.092000000000013</v>
      </c>
      <c r="I56" s="5">
        <v>86.724000000000004</v>
      </c>
      <c r="J56" s="5">
        <v>-10.368000000000009</v>
      </c>
      <c r="K56" s="5">
        <v>94.93</v>
      </c>
      <c r="L56" s="5">
        <v>83.31</v>
      </c>
      <c r="M56" s="5">
        <v>-11.62</v>
      </c>
      <c r="N56" s="5">
        <v>96.93</v>
      </c>
      <c r="O56" s="5">
        <v>88.31</v>
      </c>
      <c r="P56" s="5">
        <v>-8.6200000000000045</v>
      </c>
      <c r="Q56" s="5">
        <v>96.5</v>
      </c>
      <c r="R56" s="5">
        <v>93</v>
      </c>
      <c r="S56" s="5">
        <v>-3.5</v>
      </c>
      <c r="T56" s="5">
        <v>99.5</v>
      </c>
      <c r="U56" s="5">
        <v>87.5</v>
      </c>
      <c r="V56" s="5">
        <v>-12</v>
      </c>
      <c r="W56" s="5">
        <v>97.6</v>
      </c>
      <c r="X56" s="5">
        <v>81.5</v>
      </c>
      <c r="Y56" s="5">
        <v>-16.099999999999991</v>
      </c>
      <c r="Z56" s="2" t="s">
        <v>820</v>
      </c>
      <c r="AA56" s="2" t="s">
        <v>66</v>
      </c>
      <c r="AB56" s="2" t="s">
        <v>65</v>
      </c>
      <c r="AC56" s="2">
        <v>-1</v>
      </c>
      <c r="AD56" s="2" t="str">
        <f>IFERROR(INDEX(University_Exit!$D:$D,MATCH($B56,University_Exit!$B:$B,0)),"")</f>
        <v>Aston University</v>
      </c>
      <c r="AE56" s="2" t="str">
        <f>IFERROR(INDEX(University_Exit!$F:$F,MATCH($B56,University_Exit!$B:$B,0)),"")</f>
        <v>Chemical engineering</v>
      </c>
      <c r="AF56" s="2" t="str">
        <f>IFERROR(INDEX(University_Exit!$L:$L,MATCH($B56,University_Exit!$B:$B,0)),"")</f>
        <v>Yes</v>
      </c>
      <c r="AG56" s="2">
        <f>IFERROR(INDEX(University_Exit!$H:$H,MATCH($B56,University_Exit!$B:$B,0)),"")</f>
        <v>88.3</v>
      </c>
      <c r="AH56" s="6">
        <f>IFERROR(INDEX(University_Exit!$K:$K,MATCH($B56,University_Exit!$B:$B,0)),"")</f>
        <v>1200</v>
      </c>
      <c r="AI56" s="2" t="str">
        <f>IFERROR(INDEX(University_Exit!$G:$G,MATCH($B56,University_Exit!$B:$B,0)),"")</f>
        <v>Qatar Energy</v>
      </c>
      <c r="AJ56" t="str">
        <f>IFERROR(INDEX(Baseline_Entry!$N:$N,MATCH($B56,Baseline_Entry!$B:$B,0)),"")</f>
        <v/>
      </c>
      <c r="AK56" t="str">
        <f>IFERROR(INDEX(Cognitive_Profile!$E:$E,MATCH($B56,Cognitive_Profile!$B:$B,0)),"")</f>
        <v/>
      </c>
      <c r="AL56" t="str">
        <f t="shared" si="1"/>
        <v/>
      </c>
      <c r="AM56">
        <f>IFERROR(INDEX(Participation_By_Student!$D:$D,MATCH($B56,Participation_By_Student!$B:$B,0)),"")</f>
        <v>0</v>
      </c>
      <c r="AN56">
        <f>IFERROR(INDEX(Participation_By_Student!$E:$E,MATCH($B56,Participation_By_Student!$B:$B,0)),"")</f>
        <v>0</v>
      </c>
      <c r="AO56">
        <f>IFERROR(INDEX(Participation_By_Student!$F:$F,MATCH($B56,Participation_By_Student!$B:$B,0)),"")</f>
        <v>0</v>
      </c>
      <c r="AP56">
        <f>IFERROR(INDEX(Participation_By_Student!$G:$G,MATCH($B56,Participation_By_Student!$B:$B,0)),"")</f>
        <v>0</v>
      </c>
    </row>
    <row r="57" spans="1:42" x14ac:dyDescent="0.3">
      <c r="A57" s="2" t="s">
        <v>60</v>
      </c>
      <c r="B57" s="2" t="s">
        <v>177</v>
      </c>
      <c r="C57" s="2" t="s">
        <v>178</v>
      </c>
      <c r="D57" s="2" t="s">
        <v>63</v>
      </c>
      <c r="E57" s="2" t="s">
        <v>64</v>
      </c>
      <c r="F57" s="5">
        <f>IFERROR(INDEX(Baseline_Entry!$P:$P,MATCH($B57,Baseline_Entry!$B:$B,0)),"")</f>
        <v>64.599999999999994</v>
      </c>
      <c r="G57" s="5" t="str">
        <f t="shared" si="0"/>
        <v>Yes</v>
      </c>
      <c r="H57" s="5">
        <v>80.84</v>
      </c>
      <c r="I57" s="5">
        <v>88.176000000000002</v>
      </c>
      <c r="J57" s="5">
        <v>7.3359999999999994</v>
      </c>
      <c r="K57" s="5">
        <v>83.5</v>
      </c>
      <c r="L57" s="5">
        <v>86.44</v>
      </c>
      <c r="M57" s="5">
        <v>2.9399999999999982</v>
      </c>
      <c r="N57" s="5">
        <v>84.5</v>
      </c>
      <c r="O57" s="5">
        <v>90.44</v>
      </c>
      <c r="P57" s="5">
        <v>5.9399999999999977</v>
      </c>
      <c r="Q57" s="5">
        <v>65.5</v>
      </c>
      <c r="R57" s="5">
        <v>86</v>
      </c>
      <c r="S57" s="5">
        <v>20.5</v>
      </c>
      <c r="T57" s="5">
        <v>93.5</v>
      </c>
      <c r="U57" s="5">
        <v>88.5</v>
      </c>
      <c r="V57" s="5">
        <v>-5</v>
      </c>
      <c r="W57" s="5">
        <v>77.2</v>
      </c>
      <c r="X57" s="5">
        <v>89.5</v>
      </c>
      <c r="Y57" s="5">
        <v>12.3</v>
      </c>
      <c r="Z57" s="2" t="s">
        <v>819</v>
      </c>
      <c r="AA57" s="2" t="s">
        <v>65</v>
      </c>
      <c r="AB57" s="2" t="s">
        <v>65</v>
      </c>
      <c r="AC57" s="2">
        <v>0</v>
      </c>
      <c r="AD57" s="2" t="str">
        <f>IFERROR(INDEX(University_Exit!$D:$D,MATCH($B57,University_Exit!$B:$B,0)),"")</f>
        <v>Qatar University</v>
      </c>
      <c r="AE57" s="2" t="str">
        <f>IFERROR(INDEX(University_Exit!$F:$F,MATCH($B57,University_Exit!$B:$B,0)),"")</f>
        <v>Medicine</v>
      </c>
      <c r="AF57" s="2" t="str">
        <f>IFERROR(INDEX(University_Exit!$L:$L,MATCH($B57,University_Exit!$B:$B,0)),"")</f>
        <v>Yes</v>
      </c>
      <c r="AG57" s="2">
        <f>IFERROR(INDEX(University_Exit!$H:$H,MATCH($B57,University_Exit!$B:$B,0)),"")</f>
        <v>90.4</v>
      </c>
      <c r="AH57" s="6">
        <f>IFERROR(INDEX(University_Exit!$K:$K,MATCH($B57,University_Exit!$B:$B,0)),"")</f>
        <v>900</v>
      </c>
      <c r="AI57" s="2" t="str">
        <f>IFERROR(INDEX(University_Exit!$G:$G,MATCH($B57,University_Exit!$B:$B,0)),"")</f>
        <v>Ministry of Education</v>
      </c>
      <c r="AJ57" t="str">
        <f>IFERROR(INDEX(Baseline_Entry!$N:$N,MATCH($B57,Baseline_Entry!$B:$B,0)),"")</f>
        <v/>
      </c>
      <c r="AK57" t="str">
        <f>IFERROR(INDEX(Cognitive_Profile!$E:$E,MATCH($B57,Cognitive_Profile!$B:$B,0)),"")</f>
        <v/>
      </c>
      <c r="AL57" t="str">
        <f t="shared" si="1"/>
        <v/>
      </c>
      <c r="AM57">
        <f>IFERROR(INDEX(Participation_By_Student!$D:$D,MATCH($B57,Participation_By_Student!$B:$B,0)),"")</f>
        <v>0</v>
      </c>
      <c r="AN57">
        <f>IFERROR(INDEX(Participation_By_Student!$E:$E,MATCH($B57,Participation_By_Student!$B:$B,0)),"")</f>
        <v>0</v>
      </c>
      <c r="AO57">
        <f>IFERROR(INDEX(Participation_By_Student!$F:$F,MATCH($B57,Participation_By_Student!$B:$B,0)),"")</f>
        <v>0</v>
      </c>
      <c r="AP57">
        <f>IFERROR(INDEX(Participation_By_Student!$G:$G,MATCH($B57,Participation_By_Student!$B:$B,0)),"")</f>
        <v>0</v>
      </c>
    </row>
    <row r="58" spans="1:42" x14ac:dyDescent="0.3">
      <c r="A58" s="2" t="s">
        <v>60</v>
      </c>
      <c r="B58" s="2" t="s">
        <v>179</v>
      </c>
      <c r="C58" s="2" t="s">
        <v>180</v>
      </c>
      <c r="D58" s="2" t="s">
        <v>63</v>
      </c>
      <c r="E58" s="2" t="s">
        <v>64</v>
      </c>
      <c r="F58" s="5">
        <f>IFERROR(INDEX(Baseline_Entry!$P:$P,MATCH($B58,Baseline_Entry!$B:$B,0)),"")</f>
        <v>79.400000000000006</v>
      </c>
      <c r="G58" s="5" t="str">
        <f t="shared" si="0"/>
        <v>Yes</v>
      </c>
      <c r="H58" s="5">
        <v>90.66</v>
      </c>
      <c r="I58" s="5">
        <v>93.8</v>
      </c>
      <c r="J58" s="5">
        <v>3.140000000000001</v>
      </c>
      <c r="K58" s="5">
        <v>90.75</v>
      </c>
      <c r="L58" s="5">
        <v>90.75</v>
      </c>
      <c r="M58" s="5">
        <v>0</v>
      </c>
      <c r="N58" s="5">
        <v>92.75</v>
      </c>
      <c r="O58" s="5">
        <v>96.75</v>
      </c>
      <c r="P58" s="5">
        <v>4</v>
      </c>
      <c r="Q58" s="5">
        <v>82.5</v>
      </c>
      <c r="R58" s="5">
        <v>93.5</v>
      </c>
      <c r="S58" s="5">
        <v>11</v>
      </c>
      <c r="T58" s="5">
        <v>95</v>
      </c>
      <c r="U58" s="5">
        <v>93</v>
      </c>
      <c r="V58" s="5">
        <v>-2</v>
      </c>
      <c r="W58" s="5">
        <v>92.3</v>
      </c>
      <c r="X58" s="5">
        <v>95</v>
      </c>
      <c r="Y58" s="5">
        <v>2.7000000000000028</v>
      </c>
      <c r="Z58" s="2" t="s">
        <v>819</v>
      </c>
      <c r="AA58" s="2" t="s">
        <v>66</v>
      </c>
      <c r="AB58" s="2" t="s">
        <v>66</v>
      </c>
      <c r="AC58" s="2">
        <v>0</v>
      </c>
      <c r="AD58" s="2" t="str">
        <f>IFERROR(INDEX(University_Exit!$D:$D,MATCH($B58,University_Exit!$B:$B,0)),"")</f>
        <v>University of Liverpool</v>
      </c>
      <c r="AE58" s="2" t="str">
        <f>IFERROR(INDEX(University_Exit!$F:$F,MATCH($B58,University_Exit!$B:$B,0)),"")</f>
        <v>Electrical Engineering</v>
      </c>
      <c r="AF58" s="2" t="str">
        <f>IFERROR(INDEX(University_Exit!$L:$L,MATCH($B58,University_Exit!$B:$B,0)),"")</f>
        <v>Yes</v>
      </c>
      <c r="AG58" s="2">
        <f>IFERROR(INDEX(University_Exit!$H:$H,MATCH($B58,University_Exit!$B:$B,0)),"")</f>
        <v>96.8</v>
      </c>
      <c r="AH58" s="6">
        <f>IFERROR(INDEX(University_Exit!$K:$K,MATCH($B58,University_Exit!$B:$B,0)),"")</f>
        <v>1080</v>
      </c>
      <c r="AI58" s="2" t="str">
        <f>IFERROR(INDEX(University_Exit!$G:$G,MATCH($B58,University_Exit!$B:$B,0)),"")</f>
        <v>Qatar Energy</v>
      </c>
      <c r="AJ58" t="str">
        <f>IFERROR(INDEX(Baseline_Entry!$N:$N,MATCH($B58,Baseline_Entry!$B:$B,0)),"")</f>
        <v/>
      </c>
      <c r="AK58" t="str">
        <f>IFERROR(INDEX(Cognitive_Profile!$E:$E,MATCH($B58,Cognitive_Profile!$B:$B,0)),"")</f>
        <v/>
      </c>
      <c r="AL58" t="str">
        <f t="shared" si="1"/>
        <v/>
      </c>
      <c r="AM58">
        <f>IFERROR(INDEX(Participation_By_Student!$D:$D,MATCH($B58,Participation_By_Student!$B:$B,0)),"")</f>
        <v>0</v>
      </c>
      <c r="AN58">
        <f>IFERROR(INDEX(Participation_By_Student!$E:$E,MATCH($B58,Participation_By_Student!$B:$B,0)),"")</f>
        <v>0</v>
      </c>
      <c r="AO58">
        <f>IFERROR(INDEX(Participation_By_Student!$F:$F,MATCH($B58,Participation_By_Student!$B:$B,0)),"")</f>
        <v>0</v>
      </c>
      <c r="AP58">
        <f>IFERROR(INDEX(Participation_By_Student!$G:$G,MATCH($B58,Participation_By_Student!$B:$B,0)),"")</f>
        <v>0</v>
      </c>
    </row>
    <row r="59" spans="1:42" x14ac:dyDescent="0.3">
      <c r="A59" s="2" t="s">
        <v>60</v>
      </c>
      <c r="B59" s="2" t="s">
        <v>181</v>
      </c>
      <c r="C59" s="2" t="s">
        <v>182</v>
      </c>
      <c r="D59" s="2" t="s">
        <v>63</v>
      </c>
      <c r="E59" s="2" t="s">
        <v>64</v>
      </c>
      <c r="F59" s="5">
        <f>IFERROR(INDEX(Baseline_Entry!$P:$P,MATCH($B59,Baseline_Entry!$B:$B,0)),"")</f>
        <v>73.400000000000006</v>
      </c>
      <c r="G59" s="5" t="str">
        <f t="shared" si="0"/>
        <v>Yes</v>
      </c>
      <c r="H59" s="5">
        <v>86.460000000000008</v>
      </c>
      <c r="I59" s="5">
        <v>94.1</v>
      </c>
      <c r="J59" s="5">
        <v>7.6399999999999864</v>
      </c>
      <c r="K59" s="5">
        <v>84.25</v>
      </c>
      <c r="L59" s="5">
        <v>92.5</v>
      </c>
      <c r="M59" s="5">
        <v>8.25</v>
      </c>
      <c r="N59" s="5">
        <v>88.25</v>
      </c>
      <c r="O59" s="5">
        <v>96.5</v>
      </c>
      <c r="P59" s="5">
        <v>8.25</v>
      </c>
      <c r="Q59" s="5">
        <v>83</v>
      </c>
      <c r="R59" s="5">
        <v>94</v>
      </c>
      <c r="S59" s="5">
        <v>11</v>
      </c>
      <c r="T59" s="5">
        <v>92.5</v>
      </c>
      <c r="U59" s="5">
        <v>93.5</v>
      </c>
      <c r="V59" s="5">
        <v>1</v>
      </c>
      <c r="W59" s="5">
        <v>84.3</v>
      </c>
      <c r="X59" s="5">
        <v>94</v>
      </c>
      <c r="Y59" s="5">
        <v>9.7000000000000028</v>
      </c>
      <c r="Z59" s="2" t="s">
        <v>819</v>
      </c>
      <c r="AA59" s="2" t="s">
        <v>65</v>
      </c>
      <c r="AB59" s="2" t="s">
        <v>66</v>
      </c>
      <c r="AC59" s="2">
        <v>1</v>
      </c>
      <c r="AD59" s="2" t="str">
        <f>IFERROR(INDEX(University_Exit!$D:$D,MATCH($B59,University_Exit!$B:$B,0)),"")</f>
        <v>Qatar University</v>
      </c>
      <c r="AE59" s="2" t="str">
        <f>IFERROR(INDEX(University_Exit!$F:$F,MATCH($B59,University_Exit!$B:$B,0)),"")</f>
        <v>Medicine</v>
      </c>
      <c r="AF59" s="2" t="str">
        <f>IFERROR(INDEX(University_Exit!$L:$L,MATCH($B59,University_Exit!$B:$B,0)),"")</f>
        <v>Yes</v>
      </c>
      <c r="AG59" s="2">
        <f>IFERROR(INDEX(University_Exit!$H:$H,MATCH($B59,University_Exit!$B:$B,0)),"")</f>
        <v>96.5</v>
      </c>
      <c r="AH59" s="6">
        <f>IFERROR(INDEX(University_Exit!$K:$K,MATCH($B59,University_Exit!$B:$B,0)),"")</f>
        <v>990</v>
      </c>
      <c r="AI59" s="2" t="str">
        <f>IFERROR(INDEX(University_Exit!$G:$G,MATCH($B59,University_Exit!$B:$B,0)),"")</f>
        <v>Ministry of Education</v>
      </c>
      <c r="AJ59" t="str">
        <f>IFERROR(INDEX(Baseline_Entry!$N:$N,MATCH($B59,Baseline_Entry!$B:$B,0)),"")</f>
        <v/>
      </c>
      <c r="AK59" t="str">
        <f>IFERROR(INDEX(Cognitive_Profile!$E:$E,MATCH($B59,Cognitive_Profile!$B:$B,0)),"")</f>
        <v/>
      </c>
      <c r="AL59" t="str">
        <f t="shared" si="1"/>
        <v/>
      </c>
      <c r="AM59">
        <f>IFERROR(INDEX(Participation_By_Student!$D:$D,MATCH($B59,Participation_By_Student!$B:$B,0)),"")</f>
        <v>0</v>
      </c>
      <c r="AN59">
        <f>IFERROR(INDEX(Participation_By_Student!$E:$E,MATCH($B59,Participation_By_Student!$B:$B,0)),"")</f>
        <v>0</v>
      </c>
      <c r="AO59">
        <f>IFERROR(INDEX(Participation_By_Student!$F:$F,MATCH($B59,Participation_By_Student!$B:$B,0)),"")</f>
        <v>0</v>
      </c>
      <c r="AP59">
        <f>IFERROR(INDEX(Participation_By_Student!$G:$G,MATCH($B59,Participation_By_Student!$B:$B,0)),"")</f>
        <v>0</v>
      </c>
    </row>
    <row r="60" spans="1:42" x14ac:dyDescent="0.3">
      <c r="A60" s="2" t="s">
        <v>60</v>
      </c>
      <c r="B60" s="2" t="s">
        <v>183</v>
      </c>
      <c r="C60" s="2" t="s">
        <v>184</v>
      </c>
      <c r="D60" s="2" t="s">
        <v>63</v>
      </c>
      <c r="E60" s="2" t="s">
        <v>64</v>
      </c>
      <c r="F60" s="5">
        <f>IFERROR(INDEX(Baseline_Entry!$P:$P,MATCH($B60,Baseline_Entry!$B:$B,0)),"")</f>
        <v>82</v>
      </c>
      <c r="G60" s="5" t="str">
        <f t="shared" si="0"/>
        <v>Yes</v>
      </c>
      <c r="H60" s="5">
        <v>89.248000000000005</v>
      </c>
      <c r="I60" s="5">
        <v>82.8</v>
      </c>
      <c r="J60" s="5">
        <v>-6.4480000000000084</v>
      </c>
      <c r="K60" s="5">
        <v>91.07</v>
      </c>
      <c r="L60" s="5">
        <v>79.25</v>
      </c>
      <c r="M60" s="5">
        <v>-11.81999999999999</v>
      </c>
      <c r="N60" s="5">
        <v>92.07</v>
      </c>
      <c r="O60" s="5">
        <v>84.25</v>
      </c>
      <c r="P60" s="5">
        <v>-7.8199999999999932</v>
      </c>
      <c r="Q60" s="5">
        <v>78</v>
      </c>
      <c r="R60" s="5">
        <v>89.5</v>
      </c>
      <c r="S60" s="5">
        <v>11.5</v>
      </c>
      <c r="T60" s="5">
        <v>94.5</v>
      </c>
      <c r="U60" s="5">
        <v>72.5</v>
      </c>
      <c r="V60" s="5">
        <v>-22</v>
      </c>
      <c r="W60" s="5">
        <v>90.6</v>
      </c>
      <c r="X60" s="5">
        <v>88.5</v>
      </c>
      <c r="Y60" s="5">
        <v>-2.0999999999999939</v>
      </c>
      <c r="Z60" s="2" t="s">
        <v>819</v>
      </c>
      <c r="AA60" s="2" t="s">
        <v>65</v>
      </c>
      <c r="AB60" s="2" t="s">
        <v>65</v>
      </c>
      <c r="AC60" s="2">
        <v>0</v>
      </c>
      <c r="AD60" s="2" t="str">
        <f>IFERROR(INDEX(University_Exit!$D:$D,MATCH($B60,University_Exit!$B:$B,0)),"")</f>
        <v>Univeristy of Brunel</v>
      </c>
      <c r="AE60" s="2" t="str">
        <f>IFERROR(INDEX(University_Exit!$F:$F,MATCH($B60,University_Exit!$B:$B,0)),"")</f>
        <v>Genetic</v>
      </c>
      <c r="AF60" s="2" t="str">
        <f>IFERROR(INDEX(University_Exit!$L:$L,MATCH($B60,University_Exit!$B:$B,0)),"")</f>
        <v>No</v>
      </c>
      <c r="AG60" s="2">
        <f>IFERROR(INDEX(University_Exit!$H:$H,MATCH($B60,University_Exit!$B:$B,0)),"")</f>
        <v>84.3</v>
      </c>
      <c r="AH60" s="6">
        <f>IFERROR(INDEX(University_Exit!$K:$K,MATCH($B60,University_Exit!$B:$B,0)),"")</f>
        <v>770</v>
      </c>
      <c r="AI60" s="2" t="str">
        <f>IFERROR(INDEX(University_Exit!$G:$G,MATCH($B60,University_Exit!$B:$B,0)),"")</f>
        <v>Ministry of Education</v>
      </c>
      <c r="AJ60" t="str">
        <f>IFERROR(INDEX(Baseline_Entry!$N:$N,MATCH($B60,Baseline_Entry!$B:$B,0)),"")</f>
        <v/>
      </c>
      <c r="AK60" t="str">
        <f>IFERROR(INDEX(Cognitive_Profile!$E:$E,MATCH($B60,Cognitive_Profile!$B:$B,0)),"")</f>
        <v/>
      </c>
      <c r="AL60" t="str">
        <f t="shared" si="1"/>
        <v/>
      </c>
      <c r="AM60">
        <f>IFERROR(INDEX(Participation_By_Student!$D:$D,MATCH($B60,Participation_By_Student!$B:$B,0)),"")</f>
        <v>0</v>
      </c>
      <c r="AN60">
        <f>IFERROR(INDEX(Participation_By_Student!$E:$E,MATCH($B60,Participation_By_Student!$B:$B,0)),"")</f>
        <v>0</v>
      </c>
      <c r="AO60">
        <f>IFERROR(INDEX(Participation_By_Student!$F:$F,MATCH($B60,Participation_By_Student!$B:$B,0)),"")</f>
        <v>0</v>
      </c>
      <c r="AP60">
        <f>IFERROR(INDEX(Participation_By_Student!$G:$G,MATCH($B60,Participation_By_Student!$B:$B,0)),"")</f>
        <v>0</v>
      </c>
    </row>
    <row r="61" spans="1:42" x14ac:dyDescent="0.3">
      <c r="A61" s="2" t="s">
        <v>185</v>
      </c>
      <c r="B61" s="2" t="s">
        <v>186</v>
      </c>
      <c r="C61" s="2" t="s">
        <v>187</v>
      </c>
      <c r="D61" s="2" t="s">
        <v>188</v>
      </c>
      <c r="E61" s="2" t="s">
        <v>189</v>
      </c>
      <c r="F61" s="5">
        <f>IFERROR(INDEX(Baseline_Entry!$P:$P,MATCH($B61,Baseline_Entry!$B:$B,0)),"")</f>
        <v>81.581220657277001</v>
      </c>
      <c r="G61" s="5" t="str">
        <f t="shared" si="0"/>
        <v>Yes</v>
      </c>
      <c r="H61" s="5">
        <v>81.256</v>
      </c>
      <c r="I61" s="5">
        <v>98.051999999999992</v>
      </c>
      <c r="J61" s="5">
        <v>16.795999999999989</v>
      </c>
      <c r="K61" s="5">
        <v>81.69</v>
      </c>
      <c r="L61" s="5">
        <v>93.88</v>
      </c>
      <c r="M61" s="5">
        <v>12.19</v>
      </c>
      <c r="N61" s="5">
        <v>84.69</v>
      </c>
      <c r="O61" s="5">
        <v>97.88</v>
      </c>
      <c r="P61" s="5">
        <v>13.19</v>
      </c>
      <c r="Q61" s="5">
        <v>83</v>
      </c>
      <c r="R61" s="5">
        <v>99</v>
      </c>
      <c r="S61" s="5">
        <v>16</v>
      </c>
      <c r="T61" s="5">
        <v>77</v>
      </c>
      <c r="U61" s="5">
        <v>99.5</v>
      </c>
      <c r="V61" s="5">
        <v>22.5</v>
      </c>
      <c r="W61" s="5">
        <v>79.900000000000006</v>
      </c>
      <c r="X61" s="5">
        <v>100</v>
      </c>
      <c r="Y61" s="5">
        <v>20.099999999999991</v>
      </c>
      <c r="Z61" s="2" t="str">
        <f t="shared" ref="Z61:Z92" si="2">IF(IF(F2="",H2,F2)&lt;70,"Low starter",IF(IF(F2="",H2,F2)&lt;85,"Middle starter","High starter"))</f>
        <v>Middle starter</v>
      </c>
      <c r="AA61" s="2" t="s">
        <v>65</v>
      </c>
      <c r="AB61" s="2" t="s">
        <v>66</v>
      </c>
      <c r="AC61" s="2">
        <v>1</v>
      </c>
      <c r="AD61" s="2" t="str">
        <f>IFERROR(INDEX(University_Exit!$D:$D,MATCH($B61,University_Exit!$B:$B,0)),"")</f>
        <v>Univerity of Manchaster</v>
      </c>
      <c r="AE61" s="2" t="str">
        <f>IFERROR(INDEX(University_Exit!$F:$F,MATCH($B61,University_Exit!$B:$B,0)),"")</f>
        <v>Mechanical engineering</v>
      </c>
      <c r="AF61" s="2" t="str">
        <f>IFERROR(INDEX(University_Exit!$L:$L,MATCH($B61,University_Exit!$B:$B,0)),"")</f>
        <v>Yes</v>
      </c>
      <c r="AG61" s="2">
        <f>IFERROR(INDEX(University_Exit!$H:$H,MATCH($B61,University_Exit!$B:$B,0)),"")</f>
        <v>97.9</v>
      </c>
      <c r="AH61" s="6">
        <f>IFERROR(INDEX(University_Exit!$K:$K,MATCH($B61,University_Exit!$B:$B,0)),"")</f>
        <v>1320</v>
      </c>
      <c r="AI61" s="2" t="str">
        <f>IFERROR(INDEX(University_Exit!$G:$G,MATCH($B61,University_Exit!$B:$B,0)),"")</f>
        <v>Qatar Energy</v>
      </c>
      <c r="AJ61">
        <f>IFERROR(INDEX(Baseline_Entry!$N:$N,MATCH($B61,Baseline_Entry!$B:$B,0)),"")</f>
        <v>105</v>
      </c>
      <c r="AK61">
        <f>IFERROR(INDEX(Cognitive_Profile!$E:$E,MATCH($B61,Cognitive_Profile!$B:$B,0)),"")</f>
        <v>105</v>
      </c>
      <c r="AL61">
        <f t="shared" si="1"/>
        <v>0</v>
      </c>
      <c r="AM61">
        <f>IFERROR(INDEX(Participation_By_Student!$D:$D,MATCH($B61,Participation_By_Student!$B:$B,0)),"")</f>
        <v>1</v>
      </c>
      <c r="AN61">
        <f>IFERROR(INDEX(Participation_By_Student!$E:$E,MATCH($B61,Participation_By_Student!$B:$B,0)),"")</f>
        <v>2</v>
      </c>
      <c r="AO61">
        <f>IFERROR(INDEX(Participation_By_Student!$F:$F,MATCH($B61,Participation_By_Student!$B:$B,0)),"")</f>
        <v>0</v>
      </c>
      <c r="AP61">
        <f>IFERROR(INDEX(Participation_By_Student!$G:$G,MATCH($B61,Participation_By_Student!$B:$B,0)),"")</f>
        <v>2</v>
      </c>
    </row>
    <row r="62" spans="1:42" x14ac:dyDescent="0.3">
      <c r="A62" s="2" t="s">
        <v>185</v>
      </c>
      <c r="B62" s="2" t="s">
        <v>190</v>
      </c>
      <c r="C62" s="2" t="s">
        <v>191</v>
      </c>
      <c r="D62" s="2" t="s">
        <v>188</v>
      </c>
      <c r="E62" s="2" t="s">
        <v>189</v>
      </c>
      <c r="F62" s="5">
        <f>IFERROR(INDEX(Baseline_Entry!$P:$P,MATCH($B62,Baseline_Entry!$B:$B,0)),"")</f>
        <v>92.050704225352106</v>
      </c>
      <c r="G62" s="5" t="str">
        <f t="shared" si="0"/>
        <v>Yes</v>
      </c>
      <c r="H62" s="5">
        <v>80.663999999999987</v>
      </c>
      <c r="I62" s="5">
        <v>95.9</v>
      </c>
      <c r="J62" s="5">
        <v>15.23600000000002</v>
      </c>
      <c r="K62" s="5">
        <v>81.96</v>
      </c>
      <c r="L62" s="5">
        <v>93</v>
      </c>
      <c r="M62" s="5">
        <v>11.04000000000001</v>
      </c>
      <c r="N62" s="5">
        <v>83.96</v>
      </c>
      <c r="O62" s="5">
        <v>94</v>
      </c>
      <c r="P62" s="5">
        <v>10.04000000000001</v>
      </c>
      <c r="Q62" s="5">
        <v>84.5</v>
      </c>
      <c r="R62" s="5">
        <v>97</v>
      </c>
      <c r="S62" s="5">
        <v>12.5</v>
      </c>
      <c r="T62" s="5">
        <v>77</v>
      </c>
      <c r="U62" s="5">
        <v>96</v>
      </c>
      <c r="V62" s="5">
        <v>19</v>
      </c>
      <c r="W62" s="5">
        <v>75.900000000000006</v>
      </c>
      <c r="X62" s="5">
        <v>99.5</v>
      </c>
      <c r="Y62" s="5">
        <v>23.599999999999991</v>
      </c>
      <c r="Z62" s="2" t="str">
        <f t="shared" si="2"/>
        <v>High starter</v>
      </c>
      <c r="AA62" s="2" t="s">
        <v>65</v>
      </c>
      <c r="AB62" s="2" t="s">
        <v>66</v>
      </c>
      <c r="AC62" s="2">
        <v>1</v>
      </c>
      <c r="AD62" s="2" t="str">
        <f>IFERROR(INDEX(University_Exit!$D:$D,MATCH($B62,University_Exit!$B:$B,0)),"")</f>
        <v>Qatar University</v>
      </c>
      <c r="AE62" s="2" t="str">
        <f>IFERROR(INDEX(University_Exit!$F:$F,MATCH($B62,University_Exit!$B:$B,0)),"")</f>
        <v>Electrial Engineering</v>
      </c>
      <c r="AF62" s="2" t="str">
        <f>IFERROR(INDEX(University_Exit!$L:$L,MATCH($B62,University_Exit!$B:$B,0)),"")</f>
        <v>Yes</v>
      </c>
      <c r="AG62" s="2">
        <f>IFERROR(INDEX(University_Exit!$H:$H,MATCH($B62,University_Exit!$B:$B,0)),"")</f>
        <v>94</v>
      </c>
      <c r="AH62" s="6">
        <f>IFERROR(INDEX(University_Exit!$K:$K,MATCH($B62,University_Exit!$B:$B,0)),"")</f>
        <v>1180</v>
      </c>
      <c r="AI62" s="2" t="str">
        <f>IFERROR(INDEX(University_Exit!$G:$G,MATCH($B62,University_Exit!$B:$B,0)),"")</f>
        <v>لا يوجد</v>
      </c>
      <c r="AJ62">
        <f>IFERROR(INDEX(Baseline_Entry!$N:$N,MATCH($B62,Baseline_Entry!$B:$B,0)),"")</f>
        <v>107</v>
      </c>
      <c r="AK62">
        <f>IFERROR(INDEX(Cognitive_Profile!$E:$E,MATCH($B62,Cognitive_Profile!$B:$B,0)),"")</f>
        <v>107</v>
      </c>
      <c r="AL62">
        <f t="shared" si="1"/>
        <v>0</v>
      </c>
      <c r="AM62">
        <f>IFERROR(INDEX(Participation_By_Student!$D:$D,MATCH($B62,Participation_By_Student!$B:$B,0)),"")</f>
        <v>1</v>
      </c>
      <c r="AN62">
        <f>IFERROR(INDEX(Participation_By_Student!$E:$E,MATCH($B62,Participation_By_Student!$B:$B,0)),"")</f>
        <v>2</v>
      </c>
      <c r="AO62">
        <f>IFERROR(INDEX(Participation_By_Student!$F:$F,MATCH($B62,Participation_By_Student!$B:$B,0)),"")</f>
        <v>0</v>
      </c>
      <c r="AP62">
        <f>IFERROR(INDEX(Participation_By_Student!$G:$G,MATCH($B62,Participation_By_Student!$B:$B,0)),"")</f>
        <v>2</v>
      </c>
    </row>
    <row r="63" spans="1:42" x14ac:dyDescent="0.3">
      <c r="A63" s="2" t="s">
        <v>185</v>
      </c>
      <c r="B63" s="2" t="s">
        <v>192</v>
      </c>
      <c r="C63" s="2" t="s">
        <v>193</v>
      </c>
      <c r="D63" s="2" t="s">
        <v>188</v>
      </c>
      <c r="E63" s="2" t="s">
        <v>189</v>
      </c>
      <c r="F63" s="5">
        <f>IFERROR(INDEX(Baseline_Entry!$P:$P,MATCH($B63,Baseline_Entry!$B:$B,0)),"")</f>
        <v>66.630985915492957</v>
      </c>
      <c r="G63" s="5" t="str">
        <f t="shared" si="0"/>
        <v>Yes</v>
      </c>
      <c r="H63" s="5">
        <v>86.5</v>
      </c>
      <c r="I63" s="5">
        <v>76.823999999999998</v>
      </c>
      <c r="J63" s="5">
        <v>-9.6760000000000019</v>
      </c>
      <c r="K63" s="5">
        <v>87</v>
      </c>
      <c r="L63" s="5">
        <v>73.06</v>
      </c>
      <c r="M63" s="5">
        <v>-13.94</v>
      </c>
      <c r="N63" s="5">
        <v>89</v>
      </c>
      <c r="O63" s="5">
        <v>76.06</v>
      </c>
      <c r="P63" s="5">
        <v>-12.94</v>
      </c>
      <c r="Q63" s="5">
        <v>84</v>
      </c>
      <c r="R63" s="5">
        <v>74.5</v>
      </c>
      <c r="S63" s="5">
        <v>-9.5</v>
      </c>
      <c r="T63" s="5">
        <v>90</v>
      </c>
      <c r="U63" s="5">
        <v>72.5</v>
      </c>
      <c r="V63" s="5">
        <v>-17.5</v>
      </c>
      <c r="W63" s="5">
        <v>82.5</v>
      </c>
      <c r="X63" s="5">
        <v>88</v>
      </c>
      <c r="Y63" s="5">
        <v>5.5</v>
      </c>
      <c r="Z63" s="2" t="str">
        <f t="shared" si="2"/>
        <v>Middle starter</v>
      </c>
      <c r="AA63" s="2" t="s">
        <v>65</v>
      </c>
      <c r="AB63" s="2" t="s">
        <v>99</v>
      </c>
      <c r="AC63" s="2">
        <v>-1</v>
      </c>
      <c r="AD63" s="2" t="str">
        <f>IFERROR(INDEX(University_Exit!$D:$D,MATCH($B63,University_Exit!$B:$B,0)),"")</f>
        <v>Qatar University</v>
      </c>
      <c r="AE63" s="2" t="str">
        <f>IFERROR(INDEX(University_Exit!$F:$F,MATCH($B63,University_Exit!$B:$B,0)),"")</f>
        <v>Electrial Engineering</v>
      </c>
      <c r="AF63" s="2" t="str">
        <f>IFERROR(INDEX(University_Exit!$L:$L,MATCH($B63,University_Exit!$B:$B,0)),"")</f>
        <v>Yes</v>
      </c>
      <c r="AG63" s="2">
        <f>IFERROR(INDEX(University_Exit!$H:$H,MATCH($B63,University_Exit!$B:$B,0)),"")</f>
        <v>76.099999999999994</v>
      </c>
      <c r="AH63" s="6">
        <f>IFERROR(INDEX(University_Exit!$K:$K,MATCH($B63,University_Exit!$B:$B,0)),"")</f>
        <v>780</v>
      </c>
      <c r="AI63" s="2" t="str">
        <f>IFERROR(INDEX(University_Exit!$G:$G,MATCH($B63,University_Exit!$B:$B,0)),"")</f>
        <v>لا يوجد</v>
      </c>
      <c r="AJ63">
        <f>IFERROR(INDEX(Baseline_Entry!$N:$N,MATCH($B63,Baseline_Entry!$B:$B,0)),"")</f>
        <v>93</v>
      </c>
      <c r="AK63">
        <f>IFERROR(INDEX(Cognitive_Profile!$E:$E,MATCH($B63,Cognitive_Profile!$B:$B,0)),"")</f>
        <v>93</v>
      </c>
      <c r="AL63">
        <f t="shared" si="1"/>
        <v>0</v>
      </c>
      <c r="AM63">
        <f>IFERROR(INDEX(Participation_By_Student!$D:$D,MATCH($B63,Participation_By_Student!$B:$B,0)),"")</f>
        <v>1</v>
      </c>
      <c r="AN63">
        <f>IFERROR(INDEX(Participation_By_Student!$E:$E,MATCH($B63,Participation_By_Student!$B:$B,0)),"")</f>
        <v>1</v>
      </c>
      <c r="AO63">
        <f>IFERROR(INDEX(Participation_By_Student!$F:$F,MATCH($B63,Participation_By_Student!$B:$B,0)),"")</f>
        <v>0</v>
      </c>
      <c r="AP63">
        <f>IFERROR(INDEX(Participation_By_Student!$G:$G,MATCH($B63,Participation_By_Student!$B:$B,0)),"")</f>
        <v>1</v>
      </c>
    </row>
    <row r="64" spans="1:42" x14ac:dyDescent="0.3">
      <c r="A64" s="2" t="s">
        <v>185</v>
      </c>
      <c r="B64" s="2" t="s">
        <v>194</v>
      </c>
      <c r="C64" s="2" t="s">
        <v>195</v>
      </c>
      <c r="D64" s="2" t="s">
        <v>188</v>
      </c>
      <c r="E64" s="2" t="s">
        <v>189</v>
      </c>
      <c r="F64" s="5">
        <f>IFERROR(INDEX(Baseline_Entry!$P:$P,MATCH($B64,Baseline_Entry!$B:$B,0)),"")</f>
        <v>96.535211267605632</v>
      </c>
      <c r="G64" s="5" t="str">
        <f t="shared" si="0"/>
        <v>Yes</v>
      </c>
      <c r="H64" s="5">
        <v>83.847999999999999</v>
      </c>
      <c r="I64" s="5">
        <v>92.4</v>
      </c>
      <c r="J64" s="5">
        <v>8.5520000000000067</v>
      </c>
      <c r="K64" s="5">
        <v>81.62</v>
      </c>
      <c r="L64" s="5">
        <v>91.5</v>
      </c>
      <c r="M64" s="5">
        <v>9.8799999999999955</v>
      </c>
      <c r="N64" s="5">
        <v>87.62</v>
      </c>
      <c r="O64" s="5">
        <v>93.5</v>
      </c>
      <c r="P64" s="5">
        <v>5.8799999999999946</v>
      </c>
      <c r="Q64" s="5">
        <v>84</v>
      </c>
      <c r="R64" s="5">
        <v>94</v>
      </c>
      <c r="S64" s="5">
        <v>10</v>
      </c>
      <c r="T64" s="5">
        <v>84</v>
      </c>
      <c r="U64" s="5">
        <v>87.5</v>
      </c>
      <c r="V64" s="5">
        <v>3.5</v>
      </c>
      <c r="W64" s="5">
        <v>82</v>
      </c>
      <c r="X64" s="5">
        <v>95.5</v>
      </c>
      <c r="Y64" s="5">
        <v>13.5</v>
      </c>
      <c r="Z64" s="2" t="str">
        <f t="shared" si="2"/>
        <v>Middle starter</v>
      </c>
      <c r="AA64" s="2" t="s">
        <v>65</v>
      </c>
      <c r="AB64" s="2" t="s">
        <v>66</v>
      </c>
      <c r="AC64" s="2">
        <v>1</v>
      </c>
      <c r="AD64" s="2" t="str">
        <f>IFERROR(INDEX(University_Exit!$D:$D,MATCH($B64,University_Exit!$B:$B,0)),"")</f>
        <v>Swansea Univeristy</v>
      </c>
      <c r="AE64" s="2" t="str">
        <f>IFERROR(INDEX(University_Exit!$F:$F,MATCH($B64,University_Exit!$B:$B,0)),"")</f>
        <v>Electrial Engineering</v>
      </c>
      <c r="AF64" s="2" t="str">
        <f>IFERROR(INDEX(University_Exit!$L:$L,MATCH($B64,University_Exit!$B:$B,0)),"")</f>
        <v>Yes</v>
      </c>
      <c r="AG64" s="2">
        <f>IFERROR(INDEX(University_Exit!$H:$H,MATCH($B64,University_Exit!$B:$B,0)),"")</f>
        <v>93.5</v>
      </c>
      <c r="AH64" s="6">
        <f>IFERROR(INDEX(University_Exit!$K:$K,MATCH($B64,University_Exit!$B:$B,0)),"")</f>
        <v>0</v>
      </c>
      <c r="AI64" s="2" t="str">
        <f>IFERROR(INDEX(University_Exit!$G:$G,MATCH($B64,University_Exit!$B:$B,0)),"")</f>
        <v>Qatar Energy</v>
      </c>
      <c r="AJ64">
        <f>IFERROR(INDEX(Baseline_Entry!$N:$N,MATCH($B64,Baseline_Entry!$B:$B,0)),"")</f>
        <v>96</v>
      </c>
      <c r="AK64">
        <f>IFERROR(INDEX(Cognitive_Profile!$E:$E,MATCH($B64,Cognitive_Profile!$B:$B,0)),"")</f>
        <v>96</v>
      </c>
      <c r="AL64">
        <f t="shared" si="1"/>
        <v>0</v>
      </c>
      <c r="AM64">
        <f>IFERROR(INDEX(Participation_By_Student!$D:$D,MATCH($B64,Participation_By_Student!$B:$B,0)),"")</f>
        <v>1</v>
      </c>
      <c r="AN64">
        <f>IFERROR(INDEX(Participation_By_Student!$E:$E,MATCH($B64,Participation_By_Student!$B:$B,0)),"")</f>
        <v>4</v>
      </c>
      <c r="AO64">
        <f>IFERROR(INDEX(Participation_By_Student!$F:$F,MATCH($B64,Participation_By_Student!$B:$B,0)),"")</f>
        <v>3</v>
      </c>
      <c r="AP64">
        <f>IFERROR(INDEX(Participation_By_Student!$G:$G,MATCH($B64,Participation_By_Student!$B:$B,0)),"")</f>
        <v>4</v>
      </c>
    </row>
    <row r="65" spans="1:42" x14ac:dyDescent="0.3">
      <c r="A65" s="2" t="s">
        <v>185</v>
      </c>
      <c r="B65" s="2" t="s">
        <v>196</v>
      </c>
      <c r="C65" s="2" t="s">
        <v>197</v>
      </c>
      <c r="D65" s="2" t="s">
        <v>188</v>
      </c>
      <c r="E65" s="2" t="s">
        <v>189</v>
      </c>
      <c r="F65" s="5">
        <f>IFERROR(INDEX(Baseline_Entry!$P:$P,MATCH($B65,Baseline_Entry!$B:$B,0)),"")</f>
        <v>90.001877934272287</v>
      </c>
      <c r="G65" s="5" t="str">
        <f t="shared" si="0"/>
        <v>Yes</v>
      </c>
      <c r="H65" s="5">
        <v>86.155999999999992</v>
      </c>
      <c r="I65" s="5">
        <v>96.451999999999998</v>
      </c>
      <c r="J65" s="5">
        <v>10.29600000000001</v>
      </c>
      <c r="K65" s="5">
        <v>85.89</v>
      </c>
      <c r="L65" s="5">
        <v>96.38</v>
      </c>
      <c r="M65" s="5">
        <v>10.48999999999999</v>
      </c>
      <c r="N65" s="5">
        <v>88.89</v>
      </c>
      <c r="O65" s="5">
        <v>96.38</v>
      </c>
      <c r="P65" s="5">
        <v>7.4899999999999949</v>
      </c>
      <c r="Q65" s="5">
        <v>83.5</v>
      </c>
      <c r="R65" s="5">
        <v>93</v>
      </c>
      <c r="S65" s="5">
        <v>9.5</v>
      </c>
      <c r="T65" s="5">
        <v>87.5</v>
      </c>
      <c r="U65" s="5">
        <v>98</v>
      </c>
      <c r="V65" s="5">
        <v>10.5</v>
      </c>
      <c r="W65" s="5">
        <v>85</v>
      </c>
      <c r="X65" s="5">
        <v>98.5</v>
      </c>
      <c r="Y65" s="5">
        <v>13.5</v>
      </c>
      <c r="Z65" s="2" t="str">
        <f t="shared" si="2"/>
        <v>High starter</v>
      </c>
      <c r="AA65" s="2" t="s">
        <v>65</v>
      </c>
      <c r="AB65" s="2" t="s">
        <v>66</v>
      </c>
      <c r="AC65" s="2">
        <v>1</v>
      </c>
      <c r="AD65" s="2" t="str">
        <f>IFERROR(INDEX(University_Exit!$D:$D,MATCH($B65,University_Exit!$B:$B,0)),"")</f>
        <v>Swansea Univeristy</v>
      </c>
      <c r="AE65" s="2" t="str">
        <f>IFERROR(INDEX(University_Exit!$F:$F,MATCH($B65,University_Exit!$B:$B,0)),"")</f>
        <v>Electrial Engineering</v>
      </c>
      <c r="AF65" s="2" t="str">
        <f>IFERROR(INDEX(University_Exit!$L:$L,MATCH($B65,University_Exit!$B:$B,0)),"")</f>
        <v>Yes</v>
      </c>
      <c r="AG65" s="2">
        <f>IFERROR(INDEX(University_Exit!$H:$H,MATCH($B65,University_Exit!$B:$B,0)),"")</f>
        <v>96.4</v>
      </c>
      <c r="AH65" s="6">
        <f>IFERROR(INDEX(University_Exit!$K:$K,MATCH($B65,University_Exit!$B:$B,0)),"")</f>
        <v>970</v>
      </c>
      <c r="AI65" s="2" t="str">
        <f>IFERROR(INDEX(University_Exit!$G:$G,MATCH($B65,University_Exit!$B:$B,0)),"")</f>
        <v>Qatar Energy</v>
      </c>
      <c r="AJ65">
        <f>IFERROR(INDEX(Baseline_Entry!$N:$N,MATCH($B65,Baseline_Entry!$B:$B,0)),"")</f>
        <v>96</v>
      </c>
      <c r="AK65">
        <f>IFERROR(INDEX(Cognitive_Profile!$E:$E,MATCH($B65,Cognitive_Profile!$B:$B,0)),"")</f>
        <v>96</v>
      </c>
      <c r="AL65">
        <f t="shared" si="1"/>
        <v>0</v>
      </c>
      <c r="AM65">
        <f>IFERROR(INDEX(Participation_By_Student!$D:$D,MATCH($B65,Participation_By_Student!$B:$B,0)),"")</f>
        <v>1</v>
      </c>
      <c r="AN65">
        <f>IFERROR(INDEX(Participation_By_Student!$E:$E,MATCH($B65,Participation_By_Student!$B:$B,0)),"")</f>
        <v>1</v>
      </c>
      <c r="AO65">
        <f>IFERROR(INDEX(Participation_By_Student!$F:$F,MATCH($B65,Participation_By_Student!$B:$B,0)),"")</f>
        <v>0</v>
      </c>
      <c r="AP65">
        <f>IFERROR(INDEX(Participation_By_Student!$G:$G,MATCH($B65,Participation_By_Student!$B:$B,0)),"")</f>
        <v>1</v>
      </c>
    </row>
    <row r="66" spans="1:42" x14ac:dyDescent="0.3">
      <c r="A66" s="2" t="s">
        <v>185</v>
      </c>
      <c r="B66" s="2" t="s">
        <v>198</v>
      </c>
      <c r="C66" s="2" t="s">
        <v>199</v>
      </c>
      <c r="D66" s="2" t="s">
        <v>188</v>
      </c>
      <c r="E66" s="2" t="s">
        <v>189</v>
      </c>
      <c r="F66" s="5">
        <f>IFERROR(INDEX(Baseline_Entry!$P:$P,MATCH($B66,Baseline_Entry!$B:$B,0)),"")</f>
        <v>96.706103286384973</v>
      </c>
      <c r="G66" s="5" t="str">
        <f t="shared" ref="G66:G129" si="3">IF(F66="","No","Yes")</f>
        <v>Yes</v>
      </c>
      <c r="H66" s="5">
        <v>94.628</v>
      </c>
      <c r="I66" s="5">
        <v>98.123999999999995</v>
      </c>
      <c r="J66" s="5">
        <v>3.4959999999999951</v>
      </c>
      <c r="K66" s="5">
        <v>95.62</v>
      </c>
      <c r="L66" s="5">
        <v>95.31</v>
      </c>
      <c r="M66" s="5">
        <v>-0.31000000000000227</v>
      </c>
      <c r="N66" s="5">
        <v>95.62</v>
      </c>
      <c r="O66" s="5">
        <v>97.31</v>
      </c>
      <c r="P66" s="5">
        <v>1.6899999999999979</v>
      </c>
      <c r="Q66" s="5">
        <v>94.5</v>
      </c>
      <c r="R66" s="5">
        <v>99.5</v>
      </c>
      <c r="S66" s="5">
        <v>5</v>
      </c>
      <c r="T66" s="5">
        <v>95.5</v>
      </c>
      <c r="U66" s="5">
        <v>99</v>
      </c>
      <c r="V66" s="5">
        <v>3.5</v>
      </c>
      <c r="W66" s="5">
        <v>91.9</v>
      </c>
      <c r="X66" s="5">
        <v>99.5</v>
      </c>
      <c r="Y66" s="5">
        <v>7.5999999999999943</v>
      </c>
      <c r="Z66" s="2" t="str">
        <f t="shared" si="2"/>
        <v>Middle starter</v>
      </c>
      <c r="AA66" s="2" t="s">
        <v>66</v>
      </c>
      <c r="AB66" s="2" t="s">
        <v>66</v>
      </c>
      <c r="AC66" s="2">
        <v>0</v>
      </c>
      <c r="AD66" s="2" t="str">
        <f>IFERROR(INDEX(University_Exit!$D:$D,MATCH($B66,University_Exit!$B:$B,0)),"")</f>
        <v>Liverpool</v>
      </c>
      <c r="AE66" s="2" t="str">
        <f>IFERROR(INDEX(University_Exit!$F:$F,MATCH($B66,University_Exit!$B:$B,0)),"")</f>
        <v>Mechanical engineering</v>
      </c>
      <c r="AF66" s="2" t="str">
        <f>IFERROR(INDEX(University_Exit!$L:$L,MATCH($B66,University_Exit!$B:$B,0)),"")</f>
        <v>Yes</v>
      </c>
      <c r="AG66" s="2">
        <f>IFERROR(INDEX(University_Exit!$H:$H,MATCH($B66,University_Exit!$B:$B,0)),"")</f>
        <v>97.3</v>
      </c>
      <c r="AH66" s="6">
        <f>IFERROR(INDEX(University_Exit!$K:$K,MATCH($B66,University_Exit!$B:$B,0)),"")</f>
        <v>1200</v>
      </c>
      <c r="AI66" s="2" t="str">
        <f>IFERROR(INDEX(University_Exit!$G:$G,MATCH($B66,University_Exit!$B:$B,0)),"")</f>
        <v>Qatar Energy</v>
      </c>
      <c r="AJ66">
        <f>IFERROR(INDEX(Baseline_Entry!$N:$N,MATCH($B66,Baseline_Entry!$B:$B,0)),"")</f>
        <v>99</v>
      </c>
      <c r="AK66">
        <f>IFERROR(INDEX(Cognitive_Profile!$E:$E,MATCH($B66,Cognitive_Profile!$B:$B,0)),"")</f>
        <v>99</v>
      </c>
      <c r="AL66">
        <f t="shared" ref="AL66:AL129" si="4">IF(OR(AJ66="",AK66=""),"",AK66-AJ66)</f>
        <v>0</v>
      </c>
      <c r="AM66">
        <f>IFERROR(INDEX(Participation_By_Student!$D:$D,MATCH($B66,Participation_By_Student!$B:$B,0)),"")</f>
        <v>1</v>
      </c>
      <c r="AN66">
        <f>IFERROR(INDEX(Participation_By_Student!$E:$E,MATCH($B66,Participation_By_Student!$B:$B,0)),"")</f>
        <v>2</v>
      </c>
      <c r="AO66">
        <f>IFERROR(INDEX(Participation_By_Student!$F:$F,MATCH($B66,Participation_By_Student!$B:$B,0)),"")</f>
        <v>1</v>
      </c>
      <c r="AP66">
        <f>IFERROR(INDEX(Participation_By_Student!$G:$G,MATCH($B66,Participation_By_Student!$B:$B,0)),"")</f>
        <v>2</v>
      </c>
    </row>
    <row r="67" spans="1:42" x14ac:dyDescent="0.3">
      <c r="A67" s="2" t="s">
        <v>185</v>
      </c>
      <c r="B67" s="2" t="s">
        <v>200</v>
      </c>
      <c r="C67" s="2" t="s">
        <v>201</v>
      </c>
      <c r="D67" s="2" t="s">
        <v>188</v>
      </c>
      <c r="E67" s="2" t="s">
        <v>189</v>
      </c>
      <c r="F67" s="5">
        <f>IFERROR(INDEX(Baseline_Entry!$P:$P,MATCH($B67,Baseline_Entry!$B:$B,0)),"")</f>
        <v>66.0338028169014</v>
      </c>
      <c r="G67" s="5" t="str">
        <f t="shared" si="3"/>
        <v>Yes</v>
      </c>
      <c r="H67" s="5">
        <v>90.960000000000008</v>
      </c>
      <c r="I67" s="5">
        <v>91.652000000000001</v>
      </c>
      <c r="J67" s="5">
        <v>0.69199999999999307</v>
      </c>
      <c r="K67" s="5">
        <v>89</v>
      </c>
      <c r="L67" s="5">
        <v>92.38</v>
      </c>
      <c r="M67" s="5">
        <v>3.379999999999995</v>
      </c>
      <c r="N67" s="5">
        <v>93</v>
      </c>
      <c r="O67" s="5">
        <v>92.38</v>
      </c>
      <c r="P67" s="5">
        <v>-0.62000000000000455</v>
      </c>
      <c r="Q67" s="5">
        <v>89.5</v>
      </c>
      <c r="R67" s="5">
        <v>91</v>
      </c>
      <c r="S67" s="5">
        <v>1.5</v>
      </c>
      <c r="T67" s="5">
        <v>95</v>
      </c>
      <c r="U67" s="5">
        <v>87.5</v>
      </c>
      <c r="V67" s="5">
        <v>-7.5</v>
      </c>
      <c r="W67" s="5">
        <v>88.3</v>
      </c>
      <c r="X67" s="5">
        <v>95</v>
      </c>
      <c r="Y67" s="5">
        <v>6.7000000000000028</v>
      </c>
      <c r="Z67" s="2" t="str">
        <f t="shared" si="2"/>
        <v>Middle starter</v>
      </c>
      <c r="AA67" s="2" t="s">
        <v>66</v>
      </c>
      <c r="AB67" s="2" t="s">
        <v>66</v>
      </c>
      <c r="AC67" s="2">
        <v>0</v>
      </c>
      <c r="AD67" s="2" t="str">
        <f>IFERROR(INDEX(University_Exit!$D:$D,MATCH($B67,University_Exit!$B:$B,0)),"")</f>
        <v>Texas A&amp;M University Qatar</v>
      </c>
      <c r="AE67" s="2" t="str">
        <f>IFERROR(INDEX(University_Exit!$F:$F,MATCH($B67,University_Exit!$B:$B,0)),"")</f>
        <v>Mechanical Engineering</v>
      </c>
      <c r="AF67" s="2" t="str">
        <f>IFERROR(INDEX(University_Exit!$L:$L,MATCH($B67,University_Exit!$B:$B,0)),"")</f>
        <v>Yes</v>
      </c>
      <c r="AG67" s="2">
        <f>IFERROR(INDEX(University_Exit!$H:$H,MATCH($B67,University_Exit!$B:$B,0)),"")</f>
        <v>92.4</v>
      </c>
      <c r="AH67" s="6">
        <f>IFERROR(INDEX(University_Exit!$K:$K,MATCH($B67,University_Exit!$B:$B,0)),"")</f>
        <v>980</v>
      </c>
      <c r="AI67" s="2" t="str">
        <f>IFERROR(INDEX(University_Exit!$G:$G,MATCH($B67,University_Exit!$B:$B,0)),"")</f>
        <v>Qatar Energy</v>
      </c>
      <c r="AJ67">
        <f>IFERROR(INDEX(Baseline_Entry!$N:$N,MATCH($B67,Baseline_Entry!$B:$B,0)),"")</f>
        <v>95</v>
      </c>
      <c r="AK67">
        <f>IFERROR(INDEX(Cognitive_Profile!$E:$E,MATCH($B67,Cognitive_Profile!$B:$B,0)),"")</f>
        <v>95</v>
      </c>
      <c r="AL67">
        <f t="shared" si="4"/>
        <v>0</v>
      </c>
      <c r="AM67">
        <f>IFERROR(INDEX(Participation_By_Student!$D:$D,MATCH($B67,Participation_By_Student!$B:$B,0)),"")</f>
        <v>1</v>
      </c>
      <c r="AN67">
        <f>IFERROR(INDEX(Participation_By_Student!$E:$E,MATCH($B67,Participation_By_Student!$B:$B,0)),"")</f>
        <v>1</v>
      </c>
      <c r="AO67">
        <f>IFERROR(INDEX(Participation_By_Student!$F:$F,MATCH($B67,Participation_By_Student!$B:$B,0)),"")</f>
        <v>0</v>
      </c>
      <c r="AP67">
        <f>IFERROR(INDEX(Participation_By_Student!$G:$G,MATCH($B67,Participation_By_Student!$B:$B,0)),"")</f>
        <v>1</v>
      </c>
    </row>
    <row r="68" spans="1:42" x14ac:dyDescent="0.3">
      <c r="A68" s="2" t="s">
        <v>185</v>
      </c>
      <c r="B68" s="2" t="s">
        <v>202</v>
      </c>
      <c r="C68" s="2" t="s">
        <v>203</v>
      </c>
      <c r="D68" s="2" t="s">
        <v>188</v>
      </c>
      <c r="E68" s="2" t="s">
        <v>189</v>
      </c>
      <c r="F68" s="5">
        <f>IFERROR(INDEX(Baseline_Entry!$P:$P,MATCH($B68,Baseline_Entry!$B:$B,0)),"")</f>
        <v>84.146478873239445</v>
      </c>
      <c r="G68" s="5" t="str">
        <f t="shared" si="3"/>
        <v>Yes</v>
      </c>
      <c r="H68" s="5">
        <v>85.775999999999996</v>
      </c>
      <c r="I68" s="5">
        <v>92.951999999999998</v>
      </c>
      <c r="J68" s="5">
        <v>7.1760000000000019</v>
      </c>
      <c r="K68" s="5">
        <v>84.19</v>
      </c>
      <c r="L68" s="5">
        <v>89.63</v>
      </c>
      <c r="M68" s="5">
        <v>5.4399999999999977</v>
      </c>
      <c r="N68" s="5">
        <v>87.19</v>
      </c>
      <c r="O68" s="5">
        <v>94.63</v>
      </c>
      <c r="P68" s="5">
        <v>7.4399999999999977</v>
      </c>
      <c r="Q68" s="5">
        <v>85</v>
      </c>
      <c r="R68" s="5">
        <v>91</v>
      </c>
      <c r="S68" s="5">
        <v>6</v>
      </c>
      <c r="T68" s="5">
        <v>90.5</v>
      </c>
      <c r="U68" s="5">
        <v>90.5</v>
      </c>
      <c r="V68" s="5">
        <v>0</v>
      </c>
      <c r="W68" s="5">
        <v>82</v>
      </c>
      <c r="X68" s="5">
        <v>99</v>
      </c>
      <c r="Y68" s="5">
        <v>17</v>
      </c>
      <c r="Z68" s="2" t="str">
        <f t="shared" si="2"/>
        <v>Middle starter</v>
      </c>
      <c r="AA68" s="2" t="s">
        <v>65</v>
      </c>
      <c r="AB68" s="2" t="s">
        <v>66</v>
      </c>
      <c r="AC68" s="2">
        <v>1</v>
      </c>
      <c r="AD68" s="2" t="str">
        <f>IFERROR(INDEX(University_Exit!$D:$D,MATCH($B68,University_Exit!$B:$B,0)),"")</f>
        <v>DePaul University</v>
      </c>
      <c r="AE68" s="2" t="str">
        <f>IFERROR(INDEX(University_Exit!$F:$F,MATCH($B68,University_Exit!$B:$B,0)),"")</f>
        <v>Cyber Security</v>
      </c>
      <c r="AF68" s="2" t="str">
        <f>IFERROR(INDEX(University_Exit!$L:$L,MATCH($B68,University_Exit!$B:$B,0)),"")</f>
        <v>No</v>
      </c>
      <c r="AG68" s="2">
        <f>IFERROR(INDEX(University_Exit!$H:$H,MATCH($B68,University_Exit!$B:$B,0)),"")</f>
        <v>94.6</v>
      </c>
      <c r="AH68" s="6">
        <f>IFERROR(INDEX(University_Exit!$K:$K,MATCH($B68,University_Exit!$B:$B,0)),"")</f>
        <v>1070</v>
      </c>
      <c r="AI68" s="2" t="str">
        <f>IFERROR(INDEX(University_Exit!$G:$G,MATCH($B68,University_Exit!$B:$B,0)),"")</f>
        <v>الجيش</v>
      </c>
      <c r="AJ68">
        <f>IFERROR(INDEX(Baseline_Entry!$N:$N,MATCH($B68,Baseline_Entry!$B:$B,0)),"")</f>
        <v>104</v>
      </c>
      <c r="AK68">
        <f>IFERROR(INDEX(Cognitive_Profile!$E:$E,MATCH($B68,Cognitive_Profile!$B:$B,0)),"")</f>
        <v>104</v>
      </c>
      <c r="AL68">
        <f t="shared" si="4"/>
        <v>0</v>
      </c>
      <c r="AM68">
        <f>IFERROR(INDEX(Participation_By_Student!$D:$D,MATCH($B68,Participation_By_Student!$B:$B,0)),"")</f>
        <v>1</v>
      </c>
      <c r="AN68">
        <f>IFERROR(INDEX(Participation_By_Student!$E:$E,MATCH($B68,Participation_By_Student!$B:$B,0)),"")</f>
        <v>2</v>
      </c>
      <c r="AO68">
        <f>IFERROR(INDEX(Participation_By_Student!$F:$F,MATCH($B68,Participation_By_Student!$B:$B,0)),"")</f>
        <v>1</v>
      </c>
      <c r="AP68">
        <f>IFERROR(INDEX(Participation_By_Student!$G:$G,MATCH($B68,Participation_By_Student!$B:$B,0)),"")</f>
        <v>2</v>
      </c>
    </row>
    <row r="69" spans="1:42" x14ac:dyDescent="0.3">
      <c r="A69" s="2" t="s">
        <v>185</v>
      </c>
      <c r="B69" s="2" t="s">
        <v>204</v>
      </c>
      <c r="C69" s="2" t="s">
        <v>205</v>
      </c>
      <c r="D69" s="2" t="s">
        <v>188</v>
      </c>
      <c r="E69" s="2" t="s">
        <v>189</v>
      </c>
      <c r="F69" s="5">
        <f>IFERROR(INDEX(Baseline_Entry!$P:$P,MATCH($B69,Baseline_Entry!$B:$B,0)),"")</f>
        <v>75.9643192488263</v>
      </c>
      <c r="G69" s="5" t="str">
        <f t="shared" si="3"/>
        <v>Yes</v>
      </c>
      <c r="H69" s="5">
        <v>88.171999999999997</v>
      </c>
      <c r="I69" s="5">
        <v>90.7</v>
      </c>
      <c r="J69" s="5">
        <v>2.5280000000000058</v>
      </c>
      <c r="K69" s="5">
        <v>86.58</v>
      </c>
      <c r="L69" s="5">
        <v>88.75</v>
      </c>
      <c r="M69" s="5">
        <v>2.1700000000000021</v>
      </c>
      <c r="N69" s="5">
        <v>90.58</v>
      </c>
      <c r="O69" s="5">
        <v>92.75</v>
      </c>
      <c r="P69" s="5">
        <v>2.1700000000000021</v>
      </c>
      <c r="Q69" s="5">
        <v>85.5</v>
      </c>
      <c r="R69" s="5">
        <v>91</v>
      </c>
      <c r="S69" s="5">
        <v>5.5</v>
      </c>
      <c r="T69" s="5">
        <v>92.5</v>
      </c>
      <c r="U69" s="5">
        <v>89</v>
      </c>
      <c r="V69" s="5">
        <v>-3.5</v>
      </c>
      <c r="W69" s="5">
        <v>85.7</v>
      </c>
      <c r="X69" s="5">
        <v>92</v>
      </c>
      <c r="Y69" s="5">
        <v>6.2999999999999972</v>
      </c>
      <c r="Z69" s="2" t="str">
        <f t="shared" si="2"/>
        <v>High starter</v>
      </c>
      <c r="AA69" s="2" t="s">
        <v>65</v>
      </c>
      <c r="AB69" s="2" t="s">
        <v>66</v>
      </c>
      <c r="AC69" s="2">
        <v>1</v>
      </c>
      <c r="AD69" s="2" t="str">
        <f>IFERROR(INDEX(University_Exit!$D:$D,MATCH($B69,University_Exit!$B:$B,0)),"")</f>
        <v>Swansea Univeristy</v>
      </c>
      <c r="AE69" s="2" t="str">
        <f>IFERROR(INDEX(University_Exit!$F:$F,MATCH($B69,University_Exit!$B:$B,0)),"")</f>
        <v>Electrial Engineering</v>
      </c>
      <c r="AF69" s="2" t="str">
        <f>IFERROR(INDEX(University_Exit!$L:$L,MATCH($B69,University_Exit!$B:$B,0)),"")</f>
        <v>Yes</v>
      </c>
      <c r="AG69" s="2">
        <f>IFERROR(INDEX(University_Exit!$H:$H,MATCH($B69,University_Exit!$B:$B,0)),"")</f>
        <v>92.8</v>
      </c>
      <c r="AH69" s="6">
        <f>IFERROR(INDEX(University_Exit!$K:$K,MATCH($B69,University_Exit!$B:$B,0)),"")</f>
        <v>850</v>
      </c>
      <c r="AI69" s="2" t="str">
        <f>IFERROR(INDEX(University_Exit!$G:$G,MATCH($B69,University_Exit!$B:$B,0)),"")</f>
        <v>Qatar Energy</v>
      </c>
      <c r="AJ69">
        <f>IFERROR(INDEX(Baseline_Entry!$N:$N,MATCH($B69,Baseline_Entry!$B:$B,0)),"")</f>
        <v>93</v>
      </c>
      <c r="AK69">
        <f>IFERROR(INDEX(Cognitive_Profile!$E:$E,MATCH($B69,Cognitive_Profile!$B:$B,0)),"")</f>
        <v>93</v>
      </c>
      <c r="AL69">
        <f t="shared" si="4"/>
        <v>0</v>
      </c>
      <c r="AM69">
        <f>IFERROR(INDEX(Participation_By_Student!$D:$D,MATCH($B69,Participation_By_Student!$B:$B,0)),"")</f>
        <v>1</v>
      </c>
      <c r="AN69">
        <f>IFERROR(INDEX(Participation_By_Student!$E:$E,MATCH($B69,Participation_By_Student!$B:$B,0)),"")</f>
        <v>1</v>
      </c>
      <c r="AO69">
        <f>IFERROR(INDEX(Participation_By_Student!$F:$F,MATCH($B69,Participation_By_Student!$B:$B,0)),"")</f>
        <v>0</v>
      </c>
      <c r="AP69">
        <f>IFERROR(INDEX(Participation_By_Student!$G:$G,MATCH($B69,Participation_By_Student!$B:$B,0)),"")</f>
        <v>1</v>
      </c>
    </row>
    <row r="70" spans="1:42" x14ac:dyDescent="0.3">
      <c r="A70" s="2" t="s">
        <v>185</v>
      </c>
      <c r="B70" s="2" t="s">
        <v>206</v>
      </c>
      <c r="C70" s="2" t="s">
        <v>207</v>
      </c>
      <c r="D70" s="2" t="s">
        <v>188</v>
      </c>
      <c r="E70" s="2" t="s">
        <v>189</v>
      </c>
      <c r="F70" s="5">
        <f>IFERROR(INDEX(Baseline_Entry!$P:$P,MATCH($B70,Baseline_Entry!$B:$B,0)),"")</f>
        <v>87.975586854460104</v>
      </c>
      <c r="G70" s="5" t="str">
        <f t="shared" si="3"/>
        <v>Yes</v>
      </c>
      <c r="H70" s="5">
        <v>87.912000000000006</v>
      </c>
      <c r="I70" s="5">
        <v>98.676000000000002</v>
      </c>
      <c r="J70" s="5">
        <v>10.763999999999999</v>
      </c>
      <c r="K70" s="5">
        <v>85.73</v>
      </c>
      <c r="L70" s="5">
        <v>98.44</v>
      </c>
      <c r="M70" s="5">
        <v>12.70999999999999</v>
      </c>
      <c r="N70" s="5">
        <v>90.73</v>
      </c>
      <c r="O70" s="5">
        <v>98.44</v>
      </c>
      <c r="P70" s="5">
        <v>7.7099999999999937</v>
      </c>
      <c r="Q70" s="5">
        <v>88.5</v>
      </c>
      <c r="R70" s="5">
        <v>96.5</v>
      </c>
      <c r="S70" s="5">
        <v>8</v>
      </c>
      <c r="T70" s="5">
        <v>89.5</v>
      </c>
      <c r="U70" s="5">
        <v>100</v>
      </c>
      <c r="V70" s="5">
        <v>10.5</v>
      </c>
      <c r="W70" s="5">
        <v>85.1</v>
      </c>
      <c r="X70" s="5">
        <v>100</v>
      </c>
      <c r="Y70" s="5">
        <v>14.900000000000009</v>
      </c>
      <c r="Z70" s="2" t="str">
        <f t="shared" si="2"/>
        <v>Low starter</v>
      </c>
      <c r="AA70" s="2" t="s">
        <v>65</v>
      </c>
      <c r="AB70" s="2" t="s">
        <v>66</v>
      </c>
      <c r="AC70" s="2">
        <v>1</v>
      </c>
      <c r="AD70" s="2" t="str">
        <f>IFERROR(INDEX(University_Exit!$D:$D,MATCH($B70,University_Exit!$B:$B,0)),"")</f>
        <v>Uinversity of sheffiled</v>
      </c>
      <c r="AE70" s="2" t="str">
        <f>IFERROR(INDEX(University_Exit!$F:$F,MATCH($B70,University_Exit!$B:$B,0)),"")</f>
        <v>Electrial Engineering</v>
      </c>
      <c r="AF70" s="2" t="str">
        <f>IFERROR(INDEX(University_Exit!$L:$L,MATCH($B70,University_Exit!$B:$B,0)),"")</f>
        <v>Yes</v>
      </c>
      <c r="AG70" s="2">
        <f>IFERROR(INDEX(University_Exit!$H:$H,MATCH($B70,University_Exit!$B:$B,0)),"")</f>
        <v>98.4</v>
      </c>
      <c r="AH70" s="6">
        <f>IFERROR(INDEX(University_Exit!$K:$K,MATCH($B70,University_Exit!$B:$B,0)),"")</f>
        <v>1210</v>
      </c>
      <c r="AI70" s="2" t="str">
        <f>IFERROR(INDEX(University_Exit!$G:$G,MATCH($B70,University_Exit!$B:$B,0)),"")</f>
        <v>Qatar Energy</v>
      </c>
      <c r="AJ70">
        <f>IFERROR(INDEX(Baseline_Entry!$N:$N,MATCH($B70,Baseline_Entry!$B:$B,0)),"")</f>
        <v>101</v>
      </c>
      <c r="AK70">
        <f>IFERROR(INDEX(Cognitive_Profile!$E:$E,MATCH($B70,Cognitive_Profile!$B:$B,0)),"")</f>
        <v>101</v>
      </c>
      <c r="AL70">
        <f t="shared" si="4"/>
        <v>0</v>
      </c>
      <c r="AM70">
        <f>IFERROR(INDEX(Participation_By_Student!$D:$D,MATCH($B70,Participation_By_Student!$B:$B,0)),"")</f>
        <v>4</v>
      </c>
      <c r="AN70">
        <f>IFERROR(INDEX(Participation_By_Student!$E:$E,MATCH($B70,Participation_By_Student!$B:$B,0)),"")</f>
        <v>10</v>
      </c>
      <c r="AO70">
        <f>IFERROR(INDEX(Participation_By_Student!$F:$F,MATCH($B70,Participation_By_Student!$B:$B,0)),"")</f>
        <v>6</v>
      </c>
      <c r="AP70">
        <f>IFERROR(INDEX(Participation_By_Student!$G:$G,MATCH($B70,Participation_By_Student!$B:$B,0)),"")</f>
        <v>11</v>
      </c>
    </row>
    <row r="71" spans="1:42" x14ac:dyDescent="0.3">
      <c r="A71" s="2" t="s">
        <v>185</v>
      </c>
      <c r="B71" s="2" t="s">
        <v>208</v>
      </c>
      <c r="C71" s="2" t="s">
        <v>209</v>
      </c>
      <c r="D71" s="2" t="s">
        <v>188</v>
      </c>
      <c r="E71" s="2" t="s">
        <v>189</v>
      </c>
      <c r="F71" s="5">
        <f>IFERROR(INDEX(Baseline_Entry!$P:$P,MATCH($B71,Baseline_Entry!$B:$B,0)),"")</f>
        <v>79.111737089201881</v>
      </c>
      <c r="G71" s="5" t="str">
        <f t="shared" si="3"/>
        <v>Yes</v>
      </c>
      <c r="H71" s="5">
        <v>92.087999999999994</v>
      </c>
      <c r="I71" s="5">
        <v>88.623999999999995</v>
      </c>
      <c r="J71" s="5">
        <v>-3.4639999999999991</v>
      </c>
      <c r="K71" s="5">
        <v>91.12</v>
      </c>
      <c r="L71" s="5">
        <v>86.31</v>
      </c>
      <c r="M71" s="5">
        <v>-4.8100000000000023</v>
      </c>
      <c r="N71" s="5">
        <v>94.12</v>
      </c>
      <c r="O71" s="5">
        <v>89.31</v>
      </c>
      <c r="P71" s="5">
        <v>-4.8100000000000023</v>
      </c>
      <c r="Q71" s="5">
        <v>93</v>
      </c>
      <c r="R71" s="5">
        <v>87.5</v>
      </c>
      <c r="S71" s="5">
        <v>-5.5</v>
      </c>
      <c r="T71" s="5">
        <v>92.5</v>
      </c>
      <c r="U71" s="5">
        <v>84</v>
      </c>
      <c r="V71" s="5">
        <v>-8.5</v>
      </c>
      <c r="W71" s="5">
        <v>89.7</v>
      </c>
      <c r="X71" s="5">
        <v>96</v>
      </c>
      <c r="Y71" s="5">
        <v>6.2999999999999972</v>
      </c>
      <c r="Z71" s="2" t="str">
        <f t="shared" si="2"/>
        <v>Middle starter</v>
      </c>
      <c r="AA71" s="2" t="s">
        <v>66</v>
      </c>
      <c r="AB71" s="2" t="s">
        <v>65</v>
      </c>
      <c r="AC71" s="2">
        <v>-1</v>
      </c>
      <c r="AD71" s="2" t="str">
        <f>IFERROR(INDEX(University_Exit!$D:$D,MATCH($B71,University_Exit!$B:$B,0)),"")</f>
        <v>Strathclyde Univerity</v>
      </c>
      <c r="AE71" s="2" t="str">
        <f>IFERROR(INDEX(University_Exit!$F:$F,MATCH($B71,University_Exit!$B:$B,0)),"")</f>
        <v>Civil Engineering</v>
      </c>
      <c r="AF71" s="2" t="str">
        <f>IFERROR(INDEX(University_Exit!$L:$L,MATCH($B71,University_Exit!$B:$B,0)),"")</f>
        <v>Yes</v>
      </c>
      <c r="AG71" s="2">
        <f>IFERROR(INDEX(University_Exit!$H:$H,MATCH($B71,University_Exit!$B:$B,0)),"")</f>
        <v>89.3</v>
      </c>
      <c r="AH71" s="6">
        <f>IFERROR(INDEX(University_Exit!$K:$K,MATCH($B71,University_Exit!$B:$B,0)),"")</f>
        <v>950</v>
      </c>
      <c r="AI71" s="2" t="str">
        <f>IFERROR(INDEX(University_Exit!$G:$G,MATCH($B71,University_Exit!$B:$B,0)),"")</f>
        <v>Ministry of Education</v>
      </c>
      <c r="AJ71">
        <f>IFERROR(INDEX(Baseline_Entry!$N:$N,MATCH($B71,Baseline_Entry!$B:$B,0)),"")</f>
        <v>103</v>
      </c>
      <c r="AK71">
        <f>IFERROR(INDEX(Cognitive_Profile!$E:$E,MATCH($B71,Cognitive_Profile!$B:$B,0)),"")</f>
        <v>103</v>
      </c>
      <c r="AL71">
        <f t="shared" si="4"/>
        <v>0</v>
      </c>
      <c r="AM71">
        <f>IFERROR(INDEX(Participation_By_Student!$D:$D,MATCH($B71,Participation_By_Student!$B:$B,0)),"")</f>
        <v>1</v>
      </c>
      <c r="AN71">
        <f>IFERROR(INDEX(Participation_By_Student!$E:$E,MATCH($B71,Participation_By_Student!$B:$B,0)),"")</f>
        <v>1</v>
      </c>
      <c r="AO71">
        <f>IFERROR(INDEX(Participation_By_Student!$F:$F,MATCH($B71,Participation_By_Student!$B:$B,0)),"")</f>
        <v>0</v>
      </c>
      <c r="AP71">
        <f>IFERROR(INDEX(Participation_By_Student!$G:$G,MATCH($B71,Participation_By_Student!$B:$B,0)),"")</f>
        <v>1</v>
      </c>
    </row>
    <row r="72" spans="1:42" x14ac:dyDescent="0.3">
      <c r="A72" s="2" t="s">
        <v>185</v>
      </c>
      <c r="B72" s="2" t="s">
        <v>210</v>
      </c>
      <c r="C72" s="2" t="s">
        <v>211</v>
      </c>
      <c r="D72" s="2" t="s">
        <v>188</v>
      </c>
      <c r="E72" s="2" t="s">
        <v>189</v>
      </c>
      <c r="F72" s="5">
        <f>IFERROR(INDEX(Baseline_Entry!$P:$P,MATCH($B72,Baseline_Entry!$B:$B,0)),"")</f>
        <v>88.291079812206576</v>
      </c>
      <c r="G72" s="5" t="str">
        <f t="shared" si="3"/>
        <v>Yes</v>
      </c>
      <c r="H72" s="5">
        <v>83.635999999999996</v>
      </c>
      <c r="I72" s="5">
        <v>94.6</v>
      </c>
      <c r="J72" s="5">
        <v>10.964</v>
      </c>
      <c r="K72" s="5">
        <v>85.89</v>
      </c>
      <c r="L72" s="5">
        <v>91.25</v>
      </c>
      <c r="M72" s="5">
        <v>5.3599999999999994</v>
      </c>
      <c r="N72" s="5">
        <v>85.89</v>
      </c>
      <c r="O72" s="5">
        <v>95.25</v>
      </c>
      <c r="P72" s="5">
        <v>9.36</v>
      </c>
      <c r="Q72" s="5">
        <v>79</v>
      </c>
      <c r="R72" s="5">
        <v>88.5</v>
      </c>
      <c r="S72" s="5">
        <v>9.5</v>
      </c>
      <c r="T72" s="5">
        <v>87.5</v>
      </c>
      <c r="U72" s="5">
        <v>98</v>
      </c>
      <c r="V72" s="5">
        <v>10.5</v>
      </c>
      <c r="W72" s="5">
        <v>79.900000000000006</v>
      </c>
      <c r="X72" s="5">
        <v>100</v>
      </c>
      <c r="Y72" s="5">
        <v>20.099999999999991</v>
      </c>
      <c r="Z72" s="2" t="str">
        <f t="shared" si="2"/>
        <v>Middle starter</v>
      </c>
      <c r="AA72" s="2" t="s">
        <v>65</v>
      </c>
      <c r="AB72" s="2" t="s">
        <v>66</v>
      </c>
      <c r="AC72" s="2">
        <v>1</v>
      </c>
      <c r="AD72" s="2" t="str">
        <f>IFERROR(INDEX(University_Exit!$D:$D,MATCH($B72,University_Exit!$B:$B,0)),"")</f>
        <v>Qatar University</v>
      </c>
      <c r="AE72" s="2" t="str">
        <f>IFERROR(INDEX(University_Exit!$F:$F,MATCH($B72,University_Exit!$B:$B,0)),"")</f>
        <v>Electric and Electronic Engineering</v>
      </c>
      <c r="AF72" s="2" t="str">
        <f>IFERROR(INDEX(University_Exit!$L:$L,MATCH($B72,University_Exit!$B:$B,0)),"")</f>
        <v>Yes</v>
      </c>
      <c r="AG72" s="2">
        <f>IFERROR(INDEX(University_Exit!$H:$H,MATCH($B72,University_Exit!$B:$B,0)),"")</f>
        <v>95.3</v>
      </c>
      <c r="AH72" s="6">
        <f>IFERROR(INDEX(University_Exit!$K:$K,MATCH($B72,University_Exit!$B:$B,0)),"")</f>
        <v>1080</v>
      </c>
      <c r="AI72" s="2" t="str">
        <f>IFERROR(INDEX(University_Exit!$G:$G,MATCH($B72,University_Exit!$B:$B,0)),"")</f>
        <v>Qatar Energy</v>
      </c>
      <c r="AJ72">
        <f>IFERROR(INDEX(Baseline_Entry!$N:$N,MATCH($B72,Baseline_Entry!$B:$B,0)),"")</f>
        <v>112</v>
      </c>
      <c r="AK72">
        <f>IFERROR(INDEX(Cognitive_Profile!$E:$E,MATCH($B72,Cognitive_Profile!$B:$B,0)),"")</f>
        <v>112</v>
      </c>
      <c r="AL72">
        <f t="shared" si="4"/>
        <v>0</v>
      </c>
      <c r="AM72">
        <f>IFERROR(INDEX(Participation_By_Student!$D:$D,MATCH($B72,Participation_By_Student!$B:$B,0)),"")</f>
        <v>1</v>
      </c>
      <c r="AN72">
        <f>IFERROR(INDEX(Participation_By_Student!$E:$E,MATCH($B72,Participation_By_Student!$B:$B,0)),"")</f>
        <v>6</v>
      </c>
      <c r="AO72">
        <f>IFERROR(INDEX(Participation_By_Student!$F:$F,MATCH($B72,Participation_By_Student!$B:$B,0)),"")</f>
        <v>2</v>
      </c>
      <c r="AP72">
        <f>IFERROR(INDEX(Participation_By_Student!$G:$G,MATCH($B72,Participation_By_Student!$B:$B,0)),"")</f>
        <v>6</v>
      </c>
    </row>
    <row r="73" spans="1:42" x14ac:dyDescent="0.3">
      <c r="A73" s="2" t="s">
        <v>185</v>
      </c>
      <c r="B73" s="2" t="s">
        <v>212</v>
      </c>
      <c r="C73" s="2" t="s">
        <v>213</v>
      </c>
      <c r="D73" s="2" t="s">
        <v>188</v>
      </c>
      <c r="E73" s="2" t="s">
        <v>189</v>
      </c>
      <c r="F73" s="5">
        <f>IFERROR(INDEX(Baseline_Entry!$P:$P,MATCH($B73,Baseline_Entry!$B:$B,0)),"")</f>
        <v>60.108920187793423</v>
      </c>
      <c r="G73" s="5" t="str">
        <f t="shared" si="3"/>
        <v>Yes</v>
      </c>
      <c r="H73" s="5">
        <v>79.716000000000008</v>
      </c>
      <c r="I73" s="5">
        <v>79.652000000000001</v>
      </c>
      <c r="J73" s="5">
        <v>-6.4000000000007162E-2</v>
      </c>
      <c r="K73" s="5">
        <v>78.540000000000006</v>
      </c>
      <c r="L73" s="5">
        <v>77.38</v>
      </c>
      <c r="M73" s="5">
        <v>-1.160000000000011</v>
      </c>
      <c r="N73" s="5">
        <v>84.54</v>
      </c>
      <c r="O73" s="5">
        <v>82.38</v>
      </c>
      <c r="P73" s="5">
        <v>-2.1600000000000108</v>
      </c>
      <c r="Q73" s="5">
        <v>76</v>
      </c>
      <c r="R73" s="5">
        <v>84</v>
      </c>
      <c r="S73" s="5">
        <v>8</v>
      </c>
      <c r="T73" s="5">
        <v>80.5</v>
      </c>
      <c r="U73" s="5">
        <v>73</v>
      </c>
      <c r="V73" s="5">
        <v>-7.5</v>
      </c>
      <c r="W73" s="5">
        <v>79</v>
      </c>
      <c r="X73" s="5">
        <v>81.5</v>
      </c>
      <c r="Y73" s="5">
        <v>2.5</v>
      </c>
      <c r="Z73" s="2" t="str">
        <f t="shared" si="2"/>
        <v>Middle starter</v>
      </c>
      <c r="AA73" s="2" t="s">
        <v>99</v>
      </c>
      <c r="AB73" s="2" t="s">
        <v>99</v>
      </c>
      <c r="AC73" s="2">
        <v>0</v>
      </c>
      <c r="AD73" s="2" t="str">
        <f>IFERROR(INDEX(University_Exit!$D:$D,MATCH($B73,University_Exit!$B:$B,0)),"")</f>
        <v>الكلية العسكرية</v>
      </c>
      <c r="AE73" s="2" t="str">
        <f>IFERROR(INDEX(University_Exit!$F:$F,MATCH($B73,University_Exit!$B:$B,0)),"")</f>
        <v>مرشح ضابط</v>
      </c>
      <c r="AF73" s="2" t="str">
        <f>IFERROR(INDEX(University_Exit!$L:$L,MATCH($B73,University_Exit!$B:$B,0)),"")</f>
        <v>No</v>
      </c>
      <c r="AG73" s="2">
        <f>IFERROR(INDEX(University_Exit!$H:$H,MATCH($B73,University_Exit!$B:$B,0)),"")</f>
        <v>82.4</v>
      </c>
      <c r="AH73" s="6">
        <f>IFERROR(INDEX(University_Exit!$K:$K,MATCH($B73,University_Exit!$B:$B,0)),"")</f>
        <v>830</v>
      </c>
      <c r="AI73" s="2" t="str">
        <f>IFERROR(INDEX(University_Exit!$G:$G,MATCH($B73,University_Exit!$B:$B,0)),"")</f>
        <v>وزارة الداخلية</v>
      </c>
      <c r="AJ73">
        <f>IFERROR(INDEX(Baseline_Entry!$N:$N,MATCH($B73,Baseline_Entry!$B:$B,0)),"")</f>
        <v>101</v>
      </c>
      <c r="AK73">
        <f>IFERROR(INDEX(Cognitive_Profile!$E:$E,MATCH($B73,Cognitive_Profile!$B:$B,0)),"")</f>
        <v>101</v>
      </c>
      <c r="AL73">
        <f t="shared" si="4"/>
        <v>0</v>
      </c>
      <c r="AM73">
        <f>IFERROR(INDEX(Participation_By_Student!$D:$D,MATCH($B73,Participation_By_Student!$B:$B,0)),"")</f>
        <v>3</v>
      </c>
      <c r="AN73">
        <f>IFERROR(INDEX(Participation_By_Student!$E:$E,MATCH($B73,Participation_By_Student!$B:$B,0)),"")</f>
        <v>8</v>
      </c>
      <c r="AO73">
        <f>IFERROR(INDEX(Participation_By_Student!$F:$F,MATCH($B73,Participation_By_Student!$B:$B,0)),"")</f>
        <v>3</v>
      </c>
      <c r="AP73">
        <f>IFERROR(INDEX(Participation_By_Student!$G:$G,MATCH($B73,Participation_By_Student!$B:$B,0)),"")</f>
        <v>8</v>
      </c>
    </row>
    <row r="74" spans="1:42" x14ac:dyDescent="0.3">
      <c r="A74" s="2" t="s">
        <v>185</v>
      </c>
      <c r="B74" s="2" t="s">
        <v>214</v>
      </c>
      <c r="C74" s="2" t="s">
        <v>215</v>
      </c>
      <c r="D74" s="2" t="s">
        <v>188</v>
      </c>
      <c r="E74" s="2" t="s">
        <v>189</v>
      </c>
      <c r="F74" s="5">
        <f>IFERROR(INDEX(Baseline_Entry!$P:$P,MATCH($B74,Baseline_Entry!$B:$B,0)),"")</f>
        <v>92.018779342723008</v>
      </c>
      <c r="G74" s="5" t="str">
        <f t="shared" si="3"/>
        <v>Yes</v>
      </c>
      <c r="H74" s="5">
        <v>88.38</v>
      </c>
      <c r="I74" s="5">
        <v>86.9</v>
      </c>
      <c r="J74" s="5">
        <v>-1.47999999999999</v>
      </c>
      <c r="K74" s="5">
        <v>90.35</v>
      </c>
      <c r="L74" s="5">
        <v>84.75</v>
      </c>
      <c r="M74" s="5">
        <v>-5.5999999999999943</v>
      </c>
      <c r="N74" s="5">
        <v>90.35</v>
      </c>
      <c r="O74" s="5">
        <v>88.75</v>
      </c>
      <c r="P74" s="5">
        <v>-1.5999999999999941</v>
      </c>
      <c r="Q74" s="5">
        <v>84.5</v>
      </c>
      <c r="R74" s="5">
        <v>88</v>
      </c>
      <c r="S74" s="5">
        <v>3.5</v>
      </c>
      <c r="T74" s="5">
        <v>91</v>
      </c>
      <c r="U74" s="5">
        <v>82.5</v>
      </c>
      <c r="V74" s="5">
        <v>-8.5</v>
      </c>
      <c r="W74" s="5">
        <v>85.7</v>
      </c>
      <c r="X74" s="5">
        <v>90.5</v>
      </c>
      <c r="Y74" s="5">
        <v>4.7999999999999972</v>
      </c>
      <c r="Z74" s="2" t="str">
        <f t="shared" si="2"/>
        <v>Middle starter</v>
      </c>
      <c r="AA74" s="2" t="s">
        <v>65</v>
      </c>
      <c r="AB74" s="2" t="s">
        <v>65</v>
      </c>
      <c r="AC74" s="2">
        <v>0</v>
      </c>
      <c r="AD74" s="2" t="str">
        <f>IFERROR(INDEX(University_Exit!$D:$D,MATCH($B74,University_Exit!$B:$B,0)),"")</f>
        <v>القطرية للطيران</v>
      </c>
      <c r="AE74" s="2" t="str">
        <f>IFERROR(INDEX(University_Exit!$F:$F,MATCH($B74,University_Exit!$B:$B,0)),"")</f>
        <v>طيار</v>
      </c>
      <c r="AF74" s="2" t="str">
        <f>IFERROR(INDEX(University_Exit!$L:$L,MATCH($B74,University_Exit!$B:$B,0)),"")</f>
        <v>No</v>
      </c>
      <c r="AG74" s="2">
        <f>IFERROR(INDEX(University_Exit!$H:$H,MATCH($B74,University_Exit!$B:$B,0)),"")</f>
        <v>88.8</v>
      </c>
      <c r="AH74" s="6">
        <f>IFERROR(INDEX(University_Exit!$K:$K,MATCH($B74,University_Exit!$B:$B,0)),"")</f>
        <v>730</v>
      </c>
      <c r="AI74" s="2" t="str">
        <f>IFERROR(INDEX(University_Exit!$G:$G,MATCH($B74,University_Exit!$B:$B,0)),"")</f>
        <v>Qatar Airways</v>
      </c>
      <c r="AJ74">
        <f>IFERROR(INDEX(Baseline_Entry!$N:$N,MATCH($B74,Baseline_Entry!$B:$B,0)),"")</f>
        <v>108</v>
      </c>
      <c r="AK74">
        <f>IFERROR(INDEX(Cognitive_Profile!$E:$E,MATCH($B74,Cognitive_Profile!$B:$B,0)),"")</f>
        <v>108</v>
      </c>
      <c r="AL74">
        <f t="shared" si="4"/>
        <v>0</v>
      </c>
      <c r="AM74">
        <f>IFERROR(INDEX(Participation_By_Student!$D:$D,MATCH($B74,Participation_By_Student!$B:$B,0)),"")</f>
        <v>1</v>
      </c>
      <c r="AN74">
        <f>IFERROR(INDEX(Participation_By_Student!$E:$E,MATCH($B74,Participation_By_Student!$B:$B,0)),"")</f>
        <v>1</v>
      </c>
      <c r="AO74">
        <f>IFERROR(INDEX(Participation_By_Student!$F:$F,MATCH($B74,Participation_By_Student!$B:$B,0)),"")</f>
        <v>0</v>
      </c>
      <c r="AP74">
        <f>IFERROR(INDEX(Participation_By_Student!$G:$G,MATCH($B74,Participation_By_Student!$B:$B,0)),"")</f>
        <v>1</v>
      </c>
    </row>
    <row r="75" spans="1:42" x14ac:dyDescent="0.3">
      <c r="A75" s="2" t="s">
        <v>185</v>
      </c>
      <c r="B75" s="2" t="s">
        <v>216</v>
      </c>
      <c r="C75" s="2" t="s">
        <v>217</v>
      </c>
      <c r="D75" s="2" t="s">
        <v>188</v>
      </c>
      <c r="E75" s="2" t="s">
        <v>189</v>
      </c>
      <c r="F75" s="5">
        <f>IFERROR(INDEX(Baseline_Entry!$P:$P,MATCH($B75,Baseline_Entry!$B:$B,0)),"")</f>
        <v>78.753051643192478</v>
      </c>
      <c r="G75" s="5" t="str">
        <f t="shared" si="3"/>
        <v>Yes</v>
      </c>
      <c r="H75" s="5">
        <v>76.475999999999999</v>
      </c>
      <c r="I75" s="5">
        <v>88.751999999999995</v>
      </c>
      <c r="J75" s="5">
        <v>12.276</v>
      </c>
      <c r="K75" s="5">
        <v>77.040000000000006</v>
      </c>
      <c r="L75" s="5">
        <v>85.38</v>
      </c>
      <c r="M75" s="5">
        <v>8.3399999999999892</v>
      </c>
      <c r="N75" s="5">
        <v>78.040000000000006</v>
      </c>
      <c r="O75" s="5">
        <v>85.38</v>
      </c>
      <c r="P75" s="5">
        <v>7.3399999999999892</v>
      </c>
      <c r="Q75" s="5">
        <v>69.5</v>
      </c>
      <c r="R75" s="5">
        <v>87.5</v>
      </c>
      <c r="S75" s="5">
        <v>18</v>
      </c>
      <c r="T75" s="5">
        <v>87.5</v>
      </c>
      <c r="U75" s="5">
        <v>87.5</v>
      </c>
      <c r="V75" s="5">
        <v>0</v>
      </c>
      <c r="W75" s="5">
        <v>70.3</v>
      </c>
      <c r="X75" s="5">
        <v>98</v>
      </c>
      <c r="Y75" s="5">
        <v>27.7</v>
      </c>
      <c r="Z75" s="2" t="str">
        <f t="shared" si="2"/>
        <v>Low starter</v>
      </c>
      <c r="AA75" s="2" t="s">
        <v>99</v>
      </c>
      <c r="AB75" s="2" t="s">
        <v>65</v>
      </c>
      <c r="AC75" s="2">
        <v>1</v>
      </c>
      <c r="AD75" s="2" t="str">
        <f>IFERROR(INDEX(University_Exit!$D:$D,MATCH($B75,University_Exit!$B:$B,0)),"")</f>
        <v>Blackpool and the Fylde College</v>
      </c>
      <c r="AE75" s="2" t="str">
        <f>IFERROR(INDEX(University_Exit!$F:$F,MATCH($B75,University_Exit!$B:$B,0)),"")</f>
        <v>Marine engineering</v>
      </c>
      <c r="AF75" s="2" t="str">
        <f>IFERROR(INDEX(University_Exit!$L:$L,MATCH($B75,University_Exit!$B:$B,0)),"")</f>
        <v>Yes</v>
      </c>
      <c r="AG75" s="2">
        <f>IFERROR(INDEX(University_Exit!$H:$H,MATCH($B75,University_Exit!$B:$B,0)),"")</f>
        <v>85.4</v>
      </c>
      <c r="AH75" s="6">
        <f>IFERROR(INDEX(University_Exit!$K:$K,MATCH($B75,University_Exit!$B:$B,0)),"")</f>
        <v>970</v>
      </c>
      <c r="AI75" s="2" t="str">
        <f>IFERROR(INDEX(University_Exit!$G:$G,MATCH($B75,University_Exit!$B:$B,0)),"")</f>
        <v>Qatar Energy</v>
      </c>
      <c r="AJ75">
        <f>IFERROR(INDEX(Baseline_Entry!$N:$N,MATCH($B75,Baseline_Entry!$B:$B,0)),"")</f>
        <v>85</v>
      </c>
      <c r="AK75">
        <f>IFERROR(INDEX(Cognitive_Profile!$E:$E,MATCH($B75,Cognitive_Profile!$B:$B,0)),"")</f>
        <v>85</v>
      </c>
      <c r="AL75">
        <f t="shared" si="4"/>
        <v>0</v>
      </c>
      <c r="AM75">
        <f>IFERROR(INDEX(Participation_By_Student!$D:$D,MATCH($B75,Participation_By_Student!$B:$B,0)),"")</f>
        <v>1</v>
      </c>
      <c r="AN75">
        <f>IFERROR(INDEX(Participation_By_Student!$E:$E,MATCH($B75,Participation_By_Student!$B:$B,0)),"")</f>
        <v>4</v>
      </c>
      <c r="AO75">
        <f>IFERROR(INDEX(Participation_By_Student!$F:$F,MATCH($B75,Participation_By_Student!$B:$B,0)),"")</f>
        <v>3</v>
      </c>
      <c r="AP75">
        <f>IFERROR(INDEX(Participation_By_Student!$G:$G,MATCH($B75,Participation_By_Student!$B:$B,0)),"")</f>
        <v>4</v>
      </c>
    </row>
    <row r="76" spans="1:42" x14ac:dyDescent="0.3">
      <c r="A76" s="2" t="s">
        <v>185</v>
      </c>
      <c r="B76" s="2" t="s">
        <v>218</v>
      </c>
      <c r="C76" s="2" t="s">
        <v>219</v>
      </c>
      <c r="D76" s="2" t="s">
        <v>188</v>
      </c>
      <c r="E76" s="2" t="s">
        <v>189</v>
      </c>
      <c r="F76" s="5">
        <f>IFERROR(INDEX(Baseline_Entry!$P:$P,MATCH($B76,Baseline_Entry!$B:$B,0)),"")</f>
        <v>108.0244131455399</v>
      </c>
      <c r="G76" s="5" t="str">
        <f t="shared" si="3"/>
        <v>Yes</v>
      </c>
      <c r="H76" s="5">
        <v>71.10799999999999</v>
      </c>
      <c r="I76" s="5">
        <v>95.924000000000007</v>
      </c>
      <c r="J76" s="5">
        <v>24.81600000000002</v>
      </c>
      <c r="K76" s="5">
        <v>72.27</v>
      </c>
      <c r="L76" s="5">
        <v>92.56</v>
      </c>
      <c r="M76" s="5">
        <v>20.29000000000001</v>
      </c>
      <c r="N76" s="5">
        <v>76.27</v>
      </c>
      <c r="O76" s="5">
        <v>96.56</v>
      </c>
      <c r="P76" s="5">
        <v>20.29000000000001</v>
      </c>
      <c r="Q76" s="5">
        <v>78</v>
      </c>
      <c r="R76" s="5">
        <v>95.5</v>
      </c>
      <c r="S76" s="5">
        <v>17.5</v>
      </c>
      <c r="T76" s="5">
        <v>69.5</v>
      </c>
      <c r="U76" s="5">
        <v>97</v>
      </c>
      <c r="V76" s="5">
        <v>27.5</v>
      </c>
      <c r="W76" s="5">
        <v>59.5</v>
      </c>
      <c r="X76" s="5">
        <v>98</v>
      </c>
      <c r="Y76" s="5">
        <v>38.5</v>
      </c>
      <c r="Z76" s="2" t="str">
        <f t="shared" si="2"/>
        <v>Middle starter</v>
      </c>
      <c r="AA76" s="2" t="s">
        <v>99</v>
      </c>
      <c r="AB76" s="2" t="s">
        <v>66</v>
      </c>
      <c r="AC76" s="2">
        <v>2</v>
      </c>
      <c r="AD76" s="2" t="str">
        <f>IFERROR(INDEX(University_Exit!$D:$D,MATCH($B76,University_Exit!$B:$B,0)),"")</f>
        <v>Blackpool and the Fylde College</v>
      </c>
      <c r="AE76" s="2" t="str">
        <f>IFERROR(INDEX(University_Exit!$F:$F,MATCH($B76,University_Exit!$B:$B,0)),"")</f>
        <v>Marine engineering</v>
      </c>
      <c r="AF76" s="2" t="str">
        <f>IFERROR(INDEX(University_Exit!$L:$L,MATCH($B76,University_Exit!$B:$B,0)),"")</f>
        <v>Yes</v>
      </c>
      <c r="AG76" s="2">
        <f>IFERROR(INDEX(University_Exit!$H:$H,MATCH($B76,University_Exit!$B:$B,0)),"")</f>
        <v>96.6</v>
      </c>
      <c r="AH76" s="6">
        <f>IFERROR(INDEX(University_Exit!$K:$K,MATCH($B76,University_Exit!$B:$B,0)),"")</f>
        <v>1270</v>
      </c>
      <c r="AI76" s="2" t="str">
        <f>IFERROR(INDEX(University_Exit!$G:$G,MATCH($B76,University_Exit!$B:$B,0)),"")</f>
        <v>Qatar Energy</v>
      </c>
      <c r="AJ76">
        <f>IFERROR(INDEX(Baseline_Entry!$N:$N,MATCH($B76,Baseline_Entry!$B:$B,0)),"")</f>
        <v>112</v>
      </c>
      <c r="AK76">
        <f>IFERROR(INDEX(Cognitive_Profile!$E:$E,MATCH($B76,Cognitive_Profile!$B:$B,0)),"")</f>
        <v>112</v>
      </c>
      <c r="AL76">
        <f t="shared" si="4"/>
        <v>0</v>
      </c>
      <c r="AM76">
        <f>IFERROR(INDEX(Participation_By_Student!$D:$D,MATCH($B76,Participation_By_Student!$B:$B,0)),"")</f>
        <v>1</v>
      </c>
      <c r="AN76">
        <f>IFERROR(INDEX(Participation_By_Student!$E:$E,MATCH($B76,Participation_By_Student!$B:$B,0)),"")</f>
        <v>1</v>
      </c>
      <c r="AO76">
        <f>IFERROR(INDEX(Participation_By_Student!$F:$F,MATCH($B76,Participation_By_Student!$B:$B,0)),"")</f>
        <v>0</v>
      </c>
      <c r="AP76">
        <f>IFERROR(INDEX(Participation_By_Student!$G:$G,MATCH($B76,Participation_By_Student!$B:$B,0)),"")</f>
        <v>1</v>
      </c>
    </row>
    <row r="77" spans="1:42" x14ac:dyDescent="0.3">
      <c r="A77" s="2" t="s">
        <v>185</v>
      </c>
      <c r="B77" s="2" t="s">
        <v>220</v>
      </c>
      <c r="C77" s="2" t="s">
        <v>221</v>
      </c>
      <c r="D77" s="2" t="s">
        <v>188</v>
      </c>
      <c r="E77" s="2" t="s">
        <v>189</v>
      </c>
      <c r="F77" s="5">
        <f>IFERROR(INDEX(Baseline_Entry!$P:$P,MATCH($B77,Baseline_Entry!$B:$B,0)),"")</f>
        <v>100.71737089201878</v>
      </c>
      <c r="G77" s="5" t="str">
        <f t="shared" si="3"/>
        <v>Yes</v>
      </c>
      <c r="H77" s="5">
        <v>75.415999999999997</v>
      </c>
      <c r="I77" s="5">
        <v>92.775999999999996</v>
      </c>
      <c r="J77" s="5">
        <v>17.36</v>
      </c>
      <c r="K77" s="5">
        <v>78.89</v>
      </c>
      <c r="L77" s="5">
        <v>88.69</v>
      </c>
      <c r="M77" s="5">
        <v>9.7999999999999972</v>
      </c>
      <c r="N77" s="5">
        <v>79.89</v>
      </c>
      <c r="O77" s="5">
        <v>92.69</v>
      </c>
      <c r="P77" s="5">
        <v>12.8</v>
      </c>
      <c r="Q77" s="5">
        <v>74</v>
      </c>
      <c r="R77" s="5">
        <v>90.5</v>
      </c>
      <c r="S77" s="5">
        <v>16.5</v>
      </c>
      <c r="T77" s="5">
        <v>69</v>
      </c>
      <c r="U77" s="5">
        <v>96</v>
      </c>
      <c r="V77" s="5">
        <v>27</v>
      </c>
      <c r="W77" s="5">
        <v>75.3</v>
      </c>
      <c r="X77" s="5">
        <v>96</v>
      </c>
      <c r="Y77" s="5">
        <v>20.7</v>
      </c>
      <c r="Z77" s="2" t="str">
        <f t="shared" si="2"/>
        <v>Low starter</v>
      </c>
      <c r="AA77" s="2" t="s">
        <v>99</v>
      </c>
      <c r="AB77" s="2" t="s">
        <v>66</v>
      </c>
      <c r="AC77" s="2">
        <v>2</v>
      </c>
      <c r="AD77" s="2" t="str">
        <f>IFERROR(INDEX(University_Exit!$D:$D,MATCH($B77,University_Exit!$B:$B,0)),"")</f>
        <v>Strathclyde Univerity</v>
      </c>
      <c r="AE77" s="2" t="str">
        <f>IFERROR(INDEX(University_Exit!$F:$F,MATCH($B77,University_Exit!$B:$B,0)),"")</f>
        <v>Electrial Engineering</v>
      </c>
      <c r="AF77" s="2" t="str">
        <f>IFERROR(INDEX(University_Exit!$L:$L,MATCH($B77,University_Exit!$B:$B,0)),"")</f>
        <v>Yes</v>
      </c>
      <c r="AG77" s="2">
        <f>IFERROR(INDEX(University_Exit!$H:$H,MATCH($B77,University_Exit!$B:$B,0)),"")</f>
        <v>92.7</v>
      </c>
      <c r="AH77" s="6">
        <f>IFERROR(INDEX(University_Exit!$K:$K,MATCH($B77,University_Exit!$B:$B,0)),"")</f>
        <v>970</v>
      </c>
      <c r="AI77" s="2" t="str">
        <f>IFERROR(INDEX(University_Exit!$G:$G,MATCH($B77,University_Exit!$B:$B,0)),"")</f>
        <v>Qatar Energy</v>
      </c>
      <c r="AJ77">
        <f>IFERROR(INDEX(Baseline_Entry!$N:$N,MATCH($B77,Baseline_Entry!$B:$B,0)),"")</f>
        <v>107</v>
      </c>
      <c r="AK77">
        <f>IFERROR(INDEX(Cognitive_Profile!$E:$E,MATCH($B77,Cognitive_Profile!$B:$B,0)),"")</f>
        <v>107</v>
      </c>
      <c r="AL77">
        <f t="shared" si="4"/>
        <v>0</v>
      </c>
      <c r="AM77">
        <f>IFERROR(INDEX(Participation_By_Student!$D:$D,MATCH($B77,Participation_By_Student!$B:$B,0)),"")</f>
        <v>2</v>
      </c>
      <c r="AN77">
        <f>IFERROR(INDEX(Participation_By_Student!$E:$E,MATCH($B77,Participation_By_Student!$B:$B,0)),"")</f>
        <v>6</v>
      </c>
      <c r="AO77">
        <f>IFERROR(INDEX(Participation_By_Student!$F:$F,MATCH($B77,Participation_By_Student!$B:$B,0)),"")</f>
        <v>3</v>
      </c>
      <c r="AP77">
        <f>IFERROR(INDEX(Participation_By_Student!$G:$G,MATCH($B77,Participation_By_Student!$B:$B,0)),"")</f>
        <v>6</v>
      </c>
    </row>
    <row r="78" spans="1:42" x14ac:dyDescent="0.3">
      <c r="A78" s="2" t="s">
        <v>185</v>
      </c>
      <c r="B78" s="2" t="s">
        <v>222</v>
      </c>
      <c r="C78" s="2" t="s">
        <v>223</v>
      </c>
      <c r="D78" s="2" t="s">
        <v>188</v>
      </c>
      <c r="E78" s="2" t="s">
        <v>189</v>
      </c>
      <c r="F78" s="5">
        <f>IFERROR(INDEX(Baseline_Entry!$P:$P,MATCH($B78,Baseline_Entry!$B:$B,0)),"")</f>
        <v>73.372769953051645</v>
      </c>
      <c r="G78" s="5" t="str">
        <f t="shared" si="3"/>
        <v>Yes</v>
      </c>
      <c r="H78" s="5">
        <v>79.77600000000001</v>
      </c>
      <c r="I78" s="5">
        <v>90.9</v>
      </c>
      <c r="J78" s="5">
        <v>11.124000000000001</v>
      </c>
      <c r="K78" s="5">
        <v>81.040000000000006</v>
      </c>
      <c r="L78" s="5">
        <v>84.5</v>
      </c>
      <c r="M78" s="5">
        <v>3.4599999999999942</v>
      </c>
      <c r="N78" s="5">
        <v>81.040000000000006</v>
      </c>
      <c r="O78" s="5">
        <v>90.5</v>
      </c>
      <c r="P78" s="5">
        <v>9.4599999999999937</v>
      </c>
      <c r="Q78" s="5">
        <v>84.5</v>
      </c>
      <c r="R78" s="5">
        <v>91.5</v>
      </c>
      <c r="S78" s="5">
        <v>7</v>
      </c>
      <c r="T78" s="5">
        <v>86</v>
      </c>
      <c r="U78" s="5">
        <v>92</v>
      </c>
      <c r="V78" s="5">
        <v>6</v>
      </c>
      <c r="W78" s="5">
        <v>66.3</v>
      </c>
      <c r="X78" s="5">
        <v>96</v>
      </c>
      <c r="Y78" s="5">
        <v>29.7</v>
      </c>
      <c r="Z78" s="2" t="str">
        <f t="shared" si="2"/>
        <v>Middle starter</v>
      </c>
      <c r="AA78" s="2" t="s">
        <v>99</v>
      </c>
      <c r="AB78" s="2" t="s">
        <v>66</v>
      </c>
      <c r="AC78" s="2">
        <v>2</v>
      </c>
      <c r="AD78" s="2" t="str">
        <f>IFERROR(INDEX(University_Exit!$D:$D,MATCH($B78,University_Exit!$B:$B,0)),"")</f>
        <v>University of Nottingham</v>
      </c>
      <c r="AE78" s="2" t="str">
        <f>IFERROR(INDEX(University_Exit!$F:$F,MATCH($B78,University_Exit!$B:$B,0)),"")</f>
        <v>Electric and Electronic Engineering</v>
      </c>
      <c r="AF78" s="2" t="str">
        <f>IFERROR(INDEX(University_Exit!$L:$L,MATCH($B78,University_Exit!$B:$B,0)),"")</f>
        <v>Yes</v>
      </c>
      <c r="AG78" s="2">
        <f>IFERROR(INDEX(University_Exit!$H:$H,MATCH($B78,University_Exit!$B:$B,0)),"")</f>
        <v>89.1</v>
      </c>
      <c r="AH78" s="6">
        <f>IFERROR(INDEX(University_Exit!$K:$K,MATCH($B78,University_Exit!$B:$B,0)),"")</f>
        <v>900</v>
      </c>
      <c r="AI78" s="2" t="str">
        <f>IFERROR(INDEX(University_Exit!$G:$G,MATCH($B78,University_Exit!$B:$B,0)),"")</f>
        <v>Qatar Energy</v>
      </c>
      <c r="AJ78">
        <f>IFERROR(INDEX(Baseline_Entry!$N:$N,MATCH($B78,Baseline_Entry!$B:$B,0)),"")</f>
        <v>99</v>
      </c>
      <c r="AK78">
        <f>IFERROR(INDEX(Cognitive_Profile!$E:$E,MATCH($B78,Cognitive_Profile!$B:$B,0)),"")</f>
        <v>99</v>
      </c>
      <c r="AL78">
        <f t="shared" si="4"/>
        <v>0</v>
      </c>
      <c r="AM78">
        <f>IFERROR(INDEX(Participation_By_Student!$D:$D,MATCH($B78,Participation_By_Student!$B:$B,0)),"")</f>
        <v>1</v>
      </c>
      <c r="AN78">
        <f>IFERROR(INDEX(Participation_By_Student!$E:$E,MATCH($B78,Participation_By_Student!$B:$B,0)),"")</f>
        <v>2</v>
      </c>
      <c r="AO78">
        <f>IFERROR(INDEX(Participation_By_Student!$F:$F,MATCH($B78,Participation_By_Student!$B:$B,0)),"")</f>
        <v>1</v>
      </c>
      <c r="AP78">
        <f>IFERROR(INDEX(Participation_By_Student!$G:$G,MATCH($B78,Participation_By_Student!$B:$B,0)),"")</f>
        <v>2</v>
      </c>
    </row>
    <row r="79" spans="1:42" x14ac:dyDescent="0.3">
      <c r="A79" s="2" t="s">
        <v>185</v>
      </c>
      <c r="B79" s="2" t="s">
        <v>224</v>
      </c>
      <c r="C79" s="2" t="s">
        <v>225</v>
      </c>
      <c r="D79" s="2" t="s">
        <v>188</v>
      </c>
      <c r="E79" s="2" t="s">
        <v>189</v>
      </c>
      <c r="F79" s="5">
        <f>IFERROR(INDEX(Baseline_Entry!$P:$P,MATCH($B79,Baseline_Entry!$B:$B,0)),"")</f>
        <v>71.068544600938964</v>
      </c>
      <c r="G79" s="5" t="str">
        <f t="shared" si="3"/>
        <v>Yes</v>
      </c>
      <c r="H79" s="5">
        <v>91.99199999999999</v>
      </c>
      <c r="I79" s="5">
        <v>86.9</v>
      </c>
      <c r="J79" s="5">
        <v>-5.0919999999999854</v>
      </c>
      <c r="K79" s="5">
        <v>91.08</v>
      </c>
      <c r="L79" s="5">
        <v>84.25</v>
      </c>
      <c r="M79" s="5">
        <v>-6.8299999999999983</v>
      </c>
      <c r="N79" s="5">
        <v>93.08</v>
      </c>
      <c r="O79" s="5">
        <v>85.25</v>
      </c>
      <c r="P79" s="5">
        <v>-7.8299999999999983</v>
      </c>
      <c r="Q79" s="5">
        <v>92</v>
      </c>
      <c r="R79" s="5">
        <v>86</v>
      </c>
      <c r="S79" s="5">
        <v>-6</v>
      </c>
      <c r="T79" s="5">
        <v>92.5</v>
      </c>
      <c r="U79" s="5">
        <v>87.5</v>
      </c>
      <c r="V79" s="5">
        <v>-5</v>
      </c>
      <c r="W79" s="5">
        <v>91.3</v>
      </c>
      <c r="X79" s="5">
        <v>91.5</v>
      </c>
      <c r="Y79" s="5">
        <v>0.20000000000000279</v>
      </c>
      <c r="Z79" s="2" t="str">
        <f t="shared" si="2"/>
        <v>Middle starter</v>
      </c>
      <c r="AA79" s="2" t="s">
        <v>66</v>
      </c>
      <c r="AB79" s="2" t="s">
        <v>65</v>
      </c>
      <c r="AC79" s="2">
        <v>-1</v>
      </c>
      <c r="AD79" s="2" t="str">
        <f>IFERROR(INDEX(University_Exit!$D:$D,MATCH($B79,University_Exit!$B:$B,0)),"")</f>
        <v>Texas A&amp;M University Qatar</v>
      </c>
      <c r="AE79" s="2" t="str">
        <f>IFERROR(INDEX(University_Exit!$F:$F,MATCH($B79,University_Exit!$B:$B,0)),"")</f>
        <v>Electrial Engineering</v>
      </c>
      <c r="AF79" s="2" t="str">
        <f>IFERROR(INDEX(University_Exit!$L:$L,MATCH($B79,University_Exit!$B:$B,0)),"")</f>
        <v>Yes</v>
      </c>
      <c r="AG79" s="2">
        <f>IFERROR(INDEX(University_Exit!$H:$H,MATCH($B79,University_Exit!$B:$B,0)),"")</f>
        <v>83.2</v>
      </c>
      <c r="AH79" s="6">
        <f>IFERROR(INDEX(University_Exit!$K:$K,MATCH($B79,University_Exit!$B:$B,0)),"")</f>
        <v>890</v>
      </c>
      <c r="AI79" s="2" t="str">
        <f>IFERROR(INDEX(University_Exit!$G:$G,MATCH($B79,University_Exit!$B:$B,0)),"")</f>
        <v>Qatar Energy</v>
      </c>
      <c r="AJ79">
        <f>IFERROR(INDEX(Baseline_Entry!$N:$N,MATCH($B79,Baseline_Entry!$B:$B,0)),"")</f>
        <v>96</v>
      </c>
      <c r="AK79">
        <f>IFERROR(INDEX(Cognitive_Profile!$E:$E,MATCH($B79,Cognitive_Profile!$B:$B,0)),"")</f>
        <v>96</v>
      </c>
      <c r="AL79">
        <f t="shared" si="4"/>
        <v>0</v>
      </c>
      <c r="AM79">
        <f>IFERROR(INDEX(Participation_By_Student!$D:$D,MATCH($B79,Participation_By_Student!$B:$B,0)),"")</f>
        <v>3</v>
      </c>
      <c r="AN79">
        <f>IFERROR(INDEX(Participation_By_Student!$E:$E,MATCH($B79,Participation_By_Student!$B:$B,0)),"")</f>
        <v>6</v>
      </c>
      <c r="AO79">
        <f>IFERROR(INDEX(Participation_By_Student!$F:$F,MATCH($B79,Participation_By_Student!$B:$B,0)),"")</f>
        <v>2</v>
      </c>
      <c r="AP79">
        <f>IFERROR(INDEX(Participation_By_Student!$G:$G,MATCH($B79,Participation_By_Student!$B:$B,0)),"")</f>
        <v>7</v>
      </c>
    </row>
    <row r="80" spans="1:42" x14ac:dyDescent="0.3">
      <c r="A80" s="2" t="s">
        <v>185</v>
      </c>
      <c r="B80" s="2" t="s">
        <v>226</v>
      </c>
      <c r="C80" s="2" t="s">
        <v>227</v>
      </c>
      <c r="D80" s="2" t="s">
        <v>188</v>
      </c>
      <c r="E80" s="2" t="s">
        <v>189</v>
      </c>
      <c r="F80" s="5">
        <f>IFERROR(INDEX(Baseline_Entry!$P:$P,MATCH($B80,Baseline_Entry!$B:$B,0)),"")</f>
        <v>65.526760563380279</v>
      </c>
      <c r="G80" s="5" t="str">
        <f t="shared" si="3"/>
        <v>Yes</v>
      </c>
      <c r="H80" s="5">
        <v>83.628</v>
      </c>
      <c r="I80" s="5">
        <v>90.652000000000001</v>
      </c>
      <c r="J80" s="5">
        <v>7.0240000000000009</v>
      </c>
      <c r="K80" s="5">
        <v>83.42</v>
      </c>
      <c r="L80" s="5">
        <v>90.88</v>
      </c>
      <c r="M80" s="5">
        <v>7.4599999999999937</v>
      </c>
      <c r="N80" s="5">
        <v>86.42</v>
      </c>
      <c r="O80" s="5">
        <v>90.88</v>
      </c>
      <c r="P80" s="5">
        <v>4.4599999999999937</v>
      </c>
      <c r="Q80" s="5">
        <v>84.5</v>
      </c>
      <c r="R80" s="5">
        <v>96</v>
      </c>
      <c r="S80" s="5">
        <v>11.5</v>
      </c>
      <c r="T80" s="5">
        <v>85.5</v>
      </c>
      <c r="U80" s="5">
        <v>83</v>
      </c>
      <c r="V80" s="5">
        <v>-2.5</v>
      </c>
      <c r="W80" s="5">
        <v>78.3</v>
      </c>
      <c r="X80" s="5">
        <v>92.5</v>
      </c>
      <c r="Y80" s="5">
        <v>14.2</v>
      </c>
      <c r="Z80" s="2" t="str">
        <f t="shared" si="2"/>
        <v>Middle starter</v>
      </c>
      <c r="AA80" s="2" t="s">
        <v>65</v>
      </c>
      <c r="AB80" s="2" t="s">
        <v>66</v>
      </c>
      <c r="AC80" s="2">
        <v>1</v>
      </c>
      <c r="AD80" s="2" t="str">
        <f>IFERROR(INDEX(University_Exit!$D:$D,MATCH($B80,University_Exit!$B:$B,0)),"")</f>
        <v>Swansea Univeristy</v>
      </c>
      <c r="AE80" s="2" t="str">
        <f>IFERROR(INDEX(University_Exit!$F:$F,MATCH($B80,University_Exit!$B:$B,0)),"")</f>
        <v>Computer Science</v>
      </c>
      <c r="AF80" s="2" t="str">
        <f>IFERROR(INDEX(University_Exit!$L:$L,MATCH($B80,University_Exit!$B:$B,0)),"")</f>
        <v>Yes</v>
      </c>
      <c r="AG80" s="2">
        <f>IFERROR(INDEX(University_Exit!$H:$H,MATCH($B80,University_Exit!$B:$B,0)),"")</f>
        <v>90.5</v>
      </c>
      <c r="AH80" s="6">
        <f>IFERROR(INDEX(University_Exit!$K:$K,MATCH($B80,University_Exit!$B:$B,0)),"")</f>
        <v>850</v>
      </c>
      <c r="AI80" s="2" t="str">
        <f>IFERROR(INDEX(University_Exit!$G:$G,MATCH($B80,University_Exit!$B:$B,0)),"")</f>
        <v>Qatar Energy</v>
      </c>
      <c r="AJ80">
        <f>IFERROR(INDEX(Baseline_Entry!$N:$N,MATCH($B80,Baseline_Entry!$B:$B,0)),"")</f>
        <v>90</v>
      </c>
      <c r="AK80">
        <f>IFERROR(INDEX(Cognitive_Profile!$E:$E,MATCH($B80,Cognitive_Profile!$B:$B,0)),"")</f>
        <v>90</v>
      </c>
      <c r="AL80">
        <f t="shared" si="4"/>
        <v>0</v>
      </c>
      <c r="AM80">
        <f>IFERROR(INDEX(Participation_By_Student!$D:$D,MATCH($B80,Participation_By_Student!$B:$B,0)),"")</f>
        <v>1</v>
      </c>
      <c r="AN80">
        <f>IFERROR(INDEX(Participation_By_Student!$E:$E,MATCH($B80,Participation_By_Student!$B:$B,0)),"")</f>
        <v>1</v>
      </c>
      <c r="AO80">
        <f>IFERROR(INDEX(Participation_By_Student!$F:$F,MATCH($B80,Participation_By_Student!$B:$B,0)),"")</f>
        <v>0</v>
      </c>
      <c r="AP80">
        <f>IFERROR(INDEX(Participation_By_Student!$G:$G,MATCH($B80,Participation_By_Student!$B:$B,0)),"")</f>
        <v>1</v>
      </c>
    </row>
    <row r="81" spans="1:42" x14ac:dyDescent="0.3">
      <c r="A81" s="2" t="s">
        <v>185</v>
      </c>
      <c r="B81" s="2" t="s">
        <v>228</v>
      </c>
      <c r="C81" s="2" t="s">
        <v>229</v>
      </c>
      <c r="D81" s="2" t="s">
        <v>188</v>
      </c>
      <c r="E81" s="2" t="s">
        <v>189</v>
      </c>
      <c r="F81" s="5">
        <f>IFERROR(INDEX(Baseline_Entry!$P:$P,MATCH($B81,Baseline_Entry!$B:$B,0)),"")</f>
        <v>61.335211267605622</v>
      </c>
      <c r="G81" s="5" t="str">
        <f t="shared" si="3"/>
        <v>Yes</v>
      </c>
      <c r="H81" s="5">
        <v>81.58</v>
      </c>
      <c r="I81" s="5">
        <v>86.575999999999993</v>
      </c>
      <c r="J81" s="5">
        <v>4.9959999999999951</v>
      </c>
      <c r="K81" s="5">
        <v>84.65</v>
      </c>
      <c r="L81" s="5">
        <v>83.94</v>
      </c>
      <c r="M81" s="5">
        <v>-0.71000000000000796</v>
      </c>
      <c r="N81" s="5">
        <v>84.65</v>
      </c>
      <c r="O81" s="5">
        <v>87.94</v>
      </c>
      <c r="P81" s="5">
        <v>3.289999999999992</v>
      </c>
      <c r="Q81" s="5">
        <v>80.5</v>
      </c>
      <c r="R81" s="5">
        <v>88.5</v>
      </c>
      <c r="S81" s="5">
        <v>8</v>
      </c>
      <c r="T81" s="5">
        <v>84</v>
      </c>
      <c r="U81" s="5">
        <v>79</v>
      </c>
      <c r="V81" s="5">
        <v>-5</v>
      </c>
      <c r="W81" s="5">
        <v>74.099999999999994</v>
      </c>
      <c r="X81" s="5">
        <v>93.5</v>
      </c>
      <c r="Y81" s="5">
        <v>19.400000000000009</v>
      </c>
      <c r="Z81" s="2" t="str">
        <f t="shared" si="2"/>
        <v>Middle starter</v>
      </c>
      <c r="AA81" s="2" t="s">
        <v>65</v>
      </c>
      <c r="AB81" s="2" t="s">
        <v>65</v>
      </c>
      <c r="AC81" s="2">
        <v>0</v>
      </c>
      <c r="AD81" s="2" t="str">
        <f>IFERROR(INDEX(University_Exit!$D:$D,MATCH($B81,University_Exit!$B:$B,0)),"")</f>
        <v>Texas A&amp;M University Qatar</v>
      </c>
      <c r="AE81" s="2" t="str">
        <f>IFERROR(INDEX(University_Exit!$F:$F,MATCH($B81,University_Exit!$B:$B,0)),"")</f>
        <v>Mechanical engineering</v>
      </c>
      <c r="AF81" s="2" t="str">
        <f>IFERROR(INDEX(University_Exit!$L:$L,MATCH($B81,University_Exit!$B:$B,0)),"")</f>
        <v>Yes</v>
      </c>
      <c r="AG81" s="2">
        <f>IFERROR(INDEX(University_Exit!$H:$H,MATCH($B81,University_Exit!$B:$B,0)),"")</f>
        <v>86.5</v>
      </c>
      <c r="AH81" s="6">
        <f>IFERROR(INDEX(University_Exit!$K:$K,MATCH($B81,University_Exit!$B:$B,0)),"")</f>
        <v>860</v>
      </c>
      <c r="AI81" s="2" t="str">
        <f>IFERROR(INDEX(University_Exit!$G:$G,MATCH($B81,University_Exit!$B:$B,0)),"")</f>
        <v>Qatar Energy</v>
      </c>
      <c r="AJ81">
        <f>IFERROR(INDEX(Baseline_Entry!$N:$N,MATCH($B81,Baseline_Entry!$B:$B,0)),"")</f>
        <v>96</v>
      </c>
      <c r="AK81">
        <f>IFERROR(INDEX(Cognitive_Profile!$E:$E,MATCH($B81,Cognitive_Profile!$B:$B,0)),"")</f>
        <v>96</v>
      </c>
      <c r="AL81">
        <f t="shared" si="4"/>
        <v>0</v>
      </c>
      <c r="AM81">
        <f>IFERROR(INDEX(Participation_By_Student!$D:$D,MATCH($B81,Participation_By_Student!$B:$B,0)),"")</f>
        <v>1</v>
      </c>
      <c r="AN81">
        <f>IFERROR(INDEX(Participation_By_Student!$E:$E,MATCH($B81,Participation_By_Student!$B:$B,0)),"")</f>
        <v>1</v>
      </c>
      <c r="AO81">
        <f>IFERROR(INDEX(Participation_By_Student!$F:$F,MATCH($B81,Participation_By_Student!$B:$B,0)),"")</f>
        <v>0</v>
      </c>
      <c r="AP81">
        <f>IFERROR(INDEX(Participation_By_Student!$G:$G,MATCH($B81,Participation_By_Student!$B:$B,0)),"")</f>
        <v>1</v>
      </c>
    </row>
    <row r="82" spans="1:42" x14ac:dyDescent="0.3">
      <c r="A82" s="2" t="s">
        <v>185</v>
      </c>
      <c r="B82" s="2" t="s">
        <v>230</v>
      </c>
      <c r="C82" s="2" t="s">
        <v>231</v>
      </c>
      <c r="D82" s="2" t="s">
        <v>188</v>
      </c>
      <c r="E82" s="2" t="s">
        <v>189</v>
      </c>
      <c r="F82" s="5">
        <f>IFERROR(INDEX(Baseline_Entry!$P:$P,MATCH($B82,Baseline_Entry!$B:$B,0)),"")</f>
        <v>72.054460093896708</v>
      </c>
      <c r="G82" s="5" t="str">
        <f t="shared" si="3"/>
        <v>Yes</v>
      </c>
      <c r="H82" s="5">
        <v>77.183999999999997</v>
      </c>
      <c r="I82" s="5">
        <v>93.751999999999995</v>
      </c>
      <c r="J82" s="5">
        <v>16.568000000000001</v>
      </c>
      <c r="K82" s="5">
        <v>80.31</v>
      </c>
      <c r="L82" s="5">
        <v>91.13</v>
      </c>
      <c r="M82" s="5">
        <v>10.81999999999999</v>
      </c>
      <c r="N82" s="5">
        <v>80.31</v>
      </c>
      <c r="O82" s="5">
        <v>94.13</v>
      </c>
      <c r="P82" s="5">
        <v>13.81999999999999</v>
      </c>
      <c r="Q82" s="5">
        <v>84.5</v>
      </c>
      <c r="R82" s="5">
        <v>93.5</v>
      </c>
      <c r="S82" s="5">
        <v>9</v>
      </c>
      <c r="T82" s="5">
        <v>68</v>
      </c>
      <c r="U82" s="5">
        <v>93.5</v>
      </c>
      <c r="V82" s="5">
        <v>25.5</v>
      </c>
      <c r="W82" s="5">
        <v>72.8</v>
      </c>
      <c r="X82" s="5">
        <v>96.5</v>
      </c>
      <c r="Y82" s="5">
        <v>23.7</v>
      </c>
      <c r="Z82" s="2" t="str">
        <f t="shared" si="2"/>
        <v>Low starter</v>
      </c>
      <c r="AA82" s="2" t="s">
        <v>99</v>
      </c>
      <c r="AB82" s="2" t="s">
        <v>66</v>
      </c>
      <c r="AC82" s="2">
        <v>2</v>
      </c>
      <c r="AD82" s="2" t="str">
        <f>IFERROR(INDEX(University_Exit!$D:$D,MATCH($B82,University_Exit!$B:$B,0)),"")</f>
        <v>University of Nottingham</v>
      </c>
      <c r="AE82" s="2" t="str">
        <f>IFERROR(INDEX(University_Exit!$F:$F,MATCH($B82,University_Exit!$B:$B,0)),"")</f>
        <v>Electrial Engineering</v>
      </c>
      <c r="AF82" s="2" t="str">
        <f>IFERROR(INDEX(University_Exit!$L:$L,MATCH($B82,University_Exit!$B:$B,0)),"")</f>
        <v>Yes</v>
      </c>
      <c r="AG82" s="2">
        <f>IFERROR(INDEX(University_Exit!$H:$H,MATCH($B82,University_Exit!$B:$B,0)),"")</f>
        <v>93.8</v>
      </c>
      <c r="AH82" s="6">
        <f>IFERROR(INDEX(University_Exit!$K:$K,MATCH($B82,University_Exit!$B:$B,0)),"")</f>
        <v>860</v>
      </c>
      <c r="AI82" s="2" t="str">
        <f>IFERROR(INDEX(University_Exit!$G:$G,MATCH($B82,University_Exit!$B:$B,0)),"")</f>
        <v>Qatar Energy</v>
      </c>
      <c r="AJ82">
        <f>IFERROR(INDEX(Baseline_Entry!$N:$N,MATCH($B82,Baseline_Entry!$B:$B,0)),"")</f>
        <v>86</v>
      </c>
      <c r="AK82">
        <f>IFERROR(INDEX(Cognitive_Profile!$E:$E,MATCH($B82,Cognitive_Profile!$B:$B,0)),"")</f>
        <v>86</v>
      </c>
      <c r="AL82">
        <f t="shared" si="4"/>
        <v>0</v>
      </c>
      <c r="AM82">
        <f>IFERROR(INDEX(Participation_By_Student!$D:$D,MATCH($B82,Participation_By_Student!$B:$B,0)),"")</f>
        <v>1</v>
      </c>
      <c r="AN82">
        <f>IFERROR(INDEX(Participation_By_Student!$E:$E,MATCH($B82,Participation_By_Student!$B:$B,0)),"")</f>
        <v>5</v>
      </c>
      <c r="AO82">
        <f>IFERROR(INDEX(Participation_By_Student!$F:$F,MATCH($B82,Participation_By_Student!$B:$B,0)),"")</f>
        <v>2</v>
      </c>
      <c r="AP82">
        <f>IFERROR(INDEX(Participation_By_Student!$G:$G,MATCH($B82,Participation_By_Student!$B:$B,0)),"")</f>
        <v>5</v>
      </c>
    </row>
    <row r="83" spans="1:42" x14ac:dyDescent="0.3">
      <c r="A83" s="2" t="s">
        <v>185</v>
      </c>
      <c r="B83" s="2" t="s">
        <v>232</v>
      </c>
      <c r="C83" s="2" t="s">
        <v>233</v>
      </c>
      <c r="D83" s="2" t="s">
        <v>188</v>
      </c>
      <c r="E83" s="2" t="s">
        <v>189</v>
      </c>
      <c r="F83" s="5">
        <f>IFERROR(INDEX(Baseline_Entry!$P:$P,MATCH($B83,Baseline_Entry!$B:$B,0)),"")</f>
        <v>71.451643192488248</v>
      </c>
      <c r="G83" s="5" t="str">
        <f t="shared" si="3"/>
        <v>Yes</v>
      </c>
      <c r="H83" s="5">
        <v>85.063999999999993</v>
      </c>
      <c r="I83" s="5">
        <v>87.924000000000007</v>
      </c>
      <c r="J83" s="5">
        <v>2.8600000000000141</v>
      </c>
      <c r="K83" s="5">
        <v>83.46</v>
      </c>
      <c r="L83" s="5">
        <v>86.06</v>
      </c>
      <c r="M83" s="5">
        <v>2.600000000000009</v>
      </c>
      <c r="N83" s="5">
        <v>89.46</v>
      </c>
      <c r="O83" s="5">
        <v>89.06</v>
      </c>
      <c r="P83" s="5">
        <v>-0.39999999999999147</v>
      </c>
      <c r="Q83" s="5">
        <v>85</v>
      </c>
      <c r="R83" s="5">
        <v>81.5</v>
      </c>
      <c r="S83" s="5">
        <v>-3.5</v>
      </c>
      <c r="T83" s="5">
        <v>86</v>
      </c>
      <c r="U83" s="5">
        <v>90.5</v>
      </c>
      <c r="V83" s="5">
        <v>4.5</v>
      </c>
      <c r="W83" s="5">
        <v>81.400000000000006</v>
      </c>
      <c r="X83" s="5">
        <v>92.5</v>
      </c>
      <c r="Y83" s="5">
        <v>11.099999999999991</v>
      </c>
      <c r="Z83" s="2" t="str">
        <f t="shared" si="2"/>
        <v>Low starter</v>
      </c>
      <c r="AA83" s="2" t="s">
        <v>65</v>
      </c>
      <c r="AB83" s="2" t="s">
        <v>65</v>
      </c>
      <c r="AC83" s="2">
        <v>0</v>
      </c>
      <c r="AD83" s="2" t="str">
        <f>IFERROR(INDEX(University_Exit!$D:$D,MATCH($B83,University_Exit!$B:$B,0)),"")</f>
        <v>Strathclyde Univerity</v>
      </c>
      <c r="AE83" s="2" t="str">
        <f>IFERROR(INDEX(University_Exit!$F:$F,MATCH($B83,University_Exit!$B:$B,0)),"")</f>
        <v>Chemical engineering</v>
      </c>
      <c r="AF83" s="2" t="str">
        <f>IFERROR(INDEX(University_Exit!$L:$L,MATCH($B83,University_Exit!$B:$B,0)),"")</f>
        <v>Yes</v>
      </c>
      <c r="AG83" s="2">
        <f>IFERROR(INDEX(University_Exit!$H:$H,MATCH($B83,University_Exit!$B:$B,0)),"")</f>
        <v>87.9</v>
      </c>
      <c r="AH83" s="6">
        <f>IFERROR(INDEX(University_Exit!$K:$K,MATCH($B83,University_Exit!$B:$B,0)),"")</f>
        <v>820</v>
      </c>
      <c r="AI83" s="2" t="str">
        <f>IFERROR(INDEX(University_Exit!$G:$G,MATCH($B83,University_Exit!$B:$B,0)),"")</f>
        <v>Qatar Energy</v>
      </c>
      <c r="AJ83">
        <f>IFERROR(INDEX(Baseline_Entry!$N:$N,MATCH($B83,Baseline_Entry!$B:$B,0)),"")</f>
        <v>84</v>
      </c>
      <c r="AK83">
        <f>IFERROR(INDEX(Cognitive_Profile!$E:$E,MATCH($B83,Cognitive_Profile!$B:$B,0)),"")</f>
        <v>84</v>
      </c>
      <c r="AL83">
        <f t="shared" si="4"/>
        <v>0</v>
      </c>
      <c r="AM83">
        <f>IFERROR(INDEX(Participation_By_Student!$D:$D,MATCH($B83,Participation_By_Student!$B:$B,0)),"")</f>
        <v>1</v>
      </c>
      <c r="AN83">
        <f>IFERROR(INDEX(Participation_By_Student!$E:$E,MATCH($B83,Participation_By_Student!$B:$B,0)),"")</f>
        <v>3</v>
      </c>
      <c r="AO83">
        <f>IFERROR(INDEX(Participation_By_Student!$F:$F,MATCH($B83,Participation_By_Student!$B:$B,0)),"")</f>
        <v>1</v>
      </c>
      <c r="AP83">
        <f>IFERROR(INDEX(Participation_By_Student!$G:$G,MATCH($B83,Participation_By_Student!$B:$B,0)),"")</f>
        <v>3</v>
      </c>
    </row>
    <row r="84" spans="1:42" x14ac:dyDescent="0.3">
      <c r="A84" s="2" t="s">
        <v>185</v>
      </c>
      <c r="B84" s="2" t="s">
        <v>234</v>
      </c>
      <c r="C84" s="2" t="s">
        <v>235</v>
      </c>
      <c r="D84" s="2" t="s">
        <v>188</v>
      </c>
      <c r="E84" s="2" t="s">
        <v>189</v>
      </c>
      <c r="F84" s="5">
        <f>IFERROR(INDEX(Baseline_Entry!$P:$P,MATCH($B84,Baseline_Entry!$B:$B,0)),"")</f>
        <v>78.769953051643185</v>
      </c>
      <c r="G84" s="5" t="str">
        <f t="shared" si="3"/>
        <v>Yes</v>
      </c>
      <c r="H84" s="5">
        <v>78.715999999999994</v>
      </c>
      <c r="I84" s="5">
        <v>97.424000000000007</v>
      </c>
      <c r="J84" s="5">
        <v>18.708000000000009</v>
      </c>
      <c r="K84" s="5">
        <v>79.39</v>
      </c>
      <c r="L84" s="5">
        <v>95.81</v>
      </c>
      <c r="M84" s="5">
        <v>16.420000000000002</v>
      </c>
      <c r="N84" s="5">
        <v>81.39</v>
      </c>
      <c r="O84" s="5">
        <v>97.81</v>
      </c>
      <c r="P84" s="5">
        <v>16.420000000000002</v>
      </c>
      <c r="Q84" s="5">
        <v>84.5</v>
      </c>
      <c r="R84" s="5">
        <v>94</v>
      </c>
      <c r="S84" s="5">
        <v>9.5</v>
      </c>
      <c r="T84" s="5">
        <v>80.5</v>
      </c>
      <c r="U84" s="5">
        <v>99.5</v>
      </c>
      <c r="V84" s="5">
        <v>19</v>
      </c>
      <c r="W84" s="5">
        <v>67.8</v>
      </c>
      <c r="X84" s="5">
        <v>100</v>
      </c>
      <c r="Y84" s="5">
        <v>32.200000000000003</v>
      </c>
      <c r="Z84" s="2" t="str">
        <f t="shared" si="2"/>
        <v>High starter</v>
      </c>
      <c r="AA84" s="2" t="s">
        <v>99</v>
      </c>
      <c r="AB84" s="2" t="s">
        <v>66</v>
      </c>
      <c r="AC84" s="2">
        <v>2</v>
      </c>
      <c r="AD84" s="2" t="str">
        <f>IFERROR(INDEX(University_Exit!$D:$D,MATCH($B84,University_Exit!$B:$B,0)),"")</f>
        <v>Univerity of Sheffiled</v>
      </c>
      <c r="AE84" s="2" t="str">
        <f>IFERROR(INDEX(University_Exit!$F:$F,MATCH($B84,University_Exit!$B:$B,0)),"")</f>
        <v>Computer Science</v>
      </c>
      <c r="AF84" s="2" t="str">
        <f>IFERROR(INDEX(University_Exit!$L:$L,MATCH($B84,University_Exit!$B:$B,0)),"")</f>
        <v>Yes</v>
      </c>
      <c r="AG84" s="2">
        <f>IFERROR(INDEX(University_Exit!$H:$H,MATCH($B84,University_Exit!$B:$B,0)),"")</f>
        <v>96.9</v>
      </c>
      <c r="AH84" s="6">
        <f>IFERROR(INDEX(University_Exit!$K:$K,MATCH($B84,University_Exit!$B:$B,0)),"")</f>
        <v>1130</v>
      </c>
      <c r="AI84" s="2" t="str">
        <f>IFERROR(INDEX(University_Exit!$G:$G,MATCH($B84,University_Exit!$B:$B,0)),"")</f>
        <v>Qatar Energy</v>
      </c>
      <c r="AJ84">
        <f>IFERROR(INDEX(Baseline_Entry!$N:$N,MATCH($B84,Baseline_Entry!$B:$B,0)),"")</f>
        <v>97</v>
      </c>
      <c r="AK84">
        <f>IFERROR(INDEX(Cognitive_Profile!$E:$E,MATCH($B84,Cognitive_Profile!$B:$B,0)),"")</f>
        <v>97</v>
      </c>
      <c r="AL84">
        <f t="shared" si="4"/>
        <v>0</v>
      </c>
      <c r="AM84">
        <f>IFERROR(INDEX(Participation_By_Student!$D:$D,MATCH($B84,Participation_By_Student!$B:$B,0)),"")</f>
        <v>3</v>
      </c>
      <c r="AN84">
        <f>IFERROR(INDEX(Participation_By_Student!$E:$E,MATCH($B84,Participation_By_Student!$B:$B,0)),"")</f>
        <v>6</v>
      </c>
      <c r="AO84">
        <f>IFERROR(INDEX(Participation_By_Student!$F:$F,MATCH($B84,Participation_By_Student!$B:$B,0)),"")</f>
        <v>3</v>
      </c>
      <c r="AP84">
        <f>IFERROR(INDEX(Participation_By_Student!$G:$G,MATCH($B84,Participation_By_Student!$B:$B,0)),"")</f>
        <v>8</v>
      </c>
    </row>
    <row r="85" spans="1:42" x14ac:dyDescent="0.3">
      <c r="A85" s="2" t="s">
        <v>185</v>
      </c>
      <c r="B85" s="2" t="s">
        <v>236</v>
      </c>
      <c r="C85" s="2" t="s">
        <v>237</v>
      </c>
      <c r="D85" s="2" t="s">
        <v>188</v>
      </c>
      <c r="E85" s="2" t="s">
        <v>189</v>
      </c>
      <c r="F85" s="5">
        <f>IFERROR(INDEX(Baseline_Entry!$P:$P,MATCH($B85,Baseline_Entry!$B:$B,0)),"")</f>
        <v>65.468544600938969</v>
      </c>
      <c r="G85" s="5" t="str">
        <f t="shared" si="3"/>
        <v>Yes</v>
      </c>
      <c r="H85" s="5">
        <v>90.943999999999988</v>
      </c>
      <c r="I85" s="5">
        <v>86.176000000000002</v>
      </c>
      <c r="J85" s="5">
        <v>-4.7679999999999856</v>
      </c>
      <c r="K85" s="5">
        <v>91.46</v>
      </c>
      <c r="L85" s="5">
        <v>82.19</v>
      </c>
      <c r="M85" s="5">
        <v>-9.269999999999996</v>
      </c>
      <c r="N85" s="5">
        <v>92.46</v>
      </c>
      <c r="O85" s="5">
        <v>83.19</v>
      </c>
      <c r="P85" s="5">
        <v>-9.269999999999996</v>
      </c>
      <c r="Q85" s="5">
        <v>88</v>
      </c>
      <c r="R85" s="5">
        <v>86.5</v>
      </c>
      <c r="S85" s="5">
        <v>-1.5</v>
      </c>
      <c r="T85" s="5">
        <v>94</v>
      </c>
      <c r="U85" s="5">
        <v>85</v>
      </c>
      <c r="V85" s="5">
        <v>-9</v>
      </c>
      <c r="W85" s="5">
        <v>88.8</v>
      </c>
      <c r="X85" s="5">
        <v>94</v>
      </c>
      <c r="Y85" s="5">
        <v>5.2000000000000028</v>
      </c>
      <c r="Z85" s="2" t="str">
        <f t="shared" si="2"/>
        <v>Middle starter</v>
      </c>
      <c r="AA85" s="2" t="s">
        <v>66</v>
      </c>
      <c r="AB85" s="2" t="s">
        <v>65</v>
      </c>
      <c r="AC85" s="2">
        <v>-1</v>
      </c>
      <c r="AD85" s="2" t="str">
        <f>IFERROR(INDEX(University_Exit!$D:$D,MATCH($B85,University_Exit!$B:$B,0)),"")</f>
        <v>Texas A&amp;M University Qatar</v>
      </c>
      <c r="AE85" s="2" t="str">
        <f>IFERROR(INDEX(University_Exit!$F:$F,MATCH($B85,University_Exit!$B:$B,0)),"")</f>
        <v>Mechanical Engineering</v>
      </c>
      <c r="AF85" s="2" t="str">
        <f>IFERROR(INDEX(University_Exit!$L:$L,MATCH($B85,University_Exit!$B:$B,0)),"")</f>
        <v>Yes</v>
      </c>
      <c r="AG85" s="2">
        <f>IFERROR(INDEX(University_Exit!$H:$H,MATCH($B85,University_Exit!$B:$B,0)),"")</f>
        <v>76.8</v>
      </c>
      <c r="AH85" s="6">
        <f>IFERROR(INDEX(University_Exit!$K:$K,MATCH($B85,University_Exit!$B:$B,0)),"")</f>
        <v>860</v>
      </c>
      <c r="AI85" s="2" t="str">
        <f>IFERROR(INDEX(University_Exit!$G:$G,MATCH($B85,University_Exit!$B:$B,0)),"")</f>
        <v>وزارة الداخلية</v>
      </c>
      <c r="AJ85">
        <f>IFERROR(INDEX(Baseline_Entry!$N:$N,MATCH($B85,Baseline_Entry!$B:$B,0)),"")</f>
        <v>96</v>
      </c>
      <c r="AK85">
        <f>IFERROR(INDEX(Cognitive_Profile!$E:$E,MATCH($B85,Cognitive_Profile!$B:$B,0)),"")</f>
        <v>96</v>
      </c>
      <c r="AL85">
        <f t="shared" si="4"/>
        <v>0</v>
      </c>
      <c r="AM85">
        <f>IFERROR(INDEX(Participation_By_Student!$D:$D,MATCH($B85,Participation_By_Student!$B:$B,0)),"")</f>
        <v>1</v>
      </c>
      <c r="AN85">
        <f>IFERROR(INDEX(Participation_By_Student!$E:$E,MATCH($B85,Participation_By_Student!$B:$B,0)),"")</f>
        <v>2</v>
      </c>
      <c r="AO85">
        <f>IFERROR(INDEX(Participation_By_Student!$F:$F,MATCH($B85,Participation_By_Student!$B:$B,0)),"")</f>
        <v>1</v>
      </c>
      <c r="AP85">
        <f>IFERROR(INDEX(Participation_By_Student!$G:$G,MATCH($B85,Participation_By_Student!$B:$B,0)),"")</f>
        <v>2</v>
      </c>
    </row>
    <row r="86" spans="1:42" x14ac:dyDescent="0.3">
      <c r="A86" s="2" t="s">
        <v>185</v>
      </c>
      <c r="B86" s="2" t="s">
        <v>238</v>
      </c>
      <c r="C86" s="2" t="s">
        <v>239</v>
      </c>
      <c r="D86" s="2" t="s">
        <v>188</v>
      </c>
      <c r="E86" s="2" t="s">
        <v>189</v>
      </c>
      <c r="F86" s="5">
        <f>IFERROR(INDEX(Baseline_Entry!$P:$P,MATCH($B86,Baseline_Entry!$B:$B,0)),"")</f>
        <v>66.764319248826297</v>
      </c>
      <c r="G86" s="5" t="str">
        <f t="shared" si="3"/>
        <v>Yes</v>
      </c>
      <c r="H86" s="5">
        <v>64.912000000000006</v>
      </c>
      <c r="I86" s="5">
        <v>95.8</v>
      </c>
      <c r="J86" s="5">
        <v>30.887999999999991</v>
      </c>
      <c r="K86" s="5">
        <v>63.73</v>
      </c>
      <c r="L86" s="5">
        <v>93.5</v>
      </c>
      <c r="M86" s="5">
        <v>29.77</v>
      </c>
      <c r="N86" s="5">
        <v>68.73</v>
      </c>
      <c r="O86" s="5">
        <v>94.5</v>
      </c>
      <c r="P86" s="5">
        <v>25.77</v>
      </c>
      <c r="Q86" s="5">
        <v>66.5</v>
      </c>
      <c r="R86" s="5">
        <v>94</v>
      </c>
      <c r="S86" s="5">
        <v>27.5</v>
      </c>
      <c r="T86" s="5">
        <v>67</v>
      </c>
      <c r="U86" s="5">
        <v>97.5</v>
      </c>
      <c r="V86" s="5">
        <v>30.5</v>
      </c>
      <c r="W86" s="5">
        <v>58.6</v>
      </c>
      <c r="X86" s="5">
        <v>99.5</v>
      </c>
      <c r="Y86" s="5">
        <v>40.9</v>
      </c>
      <c r="Z86" s="2" t="str">
        <f t="shared" si="2"/>
        <v>Middle starter</v>
      </c>
      <c r="AA86" s="2" t="s">
        <v>120</v>
      </c>
      <c r="AB86" s="2" t="s">
        <v>66</v>
      </c>
      <c r="AC86" s="2">
        <v>3</v>
      </c>
      <c r="AD86" s="2" t="str">
        <f>IFERROR(INDEX(University_Exit!$D:$D,MATCH($B86,University_Exit!$B:$B,0)),"")</f>
        <v>Cardiff University</v>
      </c>
      <c r="AE86" s="2" t="str">
        <f>IFERROR(INDEX(University_Exit!$F:$F,MATCH($B86,University_Exit!$B:$B,0)),"")</f>
        <v>Mechanical Engineering</v>
      </c>
      <c r="AF86" s="2" t="str">
        <f>IFERROR(INDEX(University_Exit!$L:$L,MATCH($B86,University_Exit!$B:$B,0)),"")</f>
        <v>Yes</v>
      </c>
      <c r="AG86" s="2">
        <f>IFERROR(INDEX(University_Exit!$H:$H,MATCH($B86,University_Exit!$B:$B,0)),"")</f>
        <v>94.1</v>
      </c>
      <c r="AH86" s="6">
        <f>IFERROR(INDEX(University_Exit!$K:$K,MATCH($B86,University_Exit!$B:$B,0)),"")</f>
        <v>930</v>
      </c>
      <c r="AI86" s="2" t="str">
        <f>IFERROR(INDEX(University_Exit!$G:$G,MATCH($B86,University_Exit!$B:$B,0)),"")</f>
        <v>Qatar Energy</v>
      </c>
      <c r="AJ86">
        <f>IFERROR(INDEX(Baseline_Entry!$N:$N,MATCH($B86,Baseline_Entry!$B:$B,0)),"")</f>
        <v>93</v>
      </c>
      <c r="AK86">
        <f>IFERROR(INDEX(Cognitive_Profile!$E:$E,MATCH($B86,Cognitive_Profile!$B:$B,0)),"")</f>
        <v>93</v>
      </c>
      <c r="AL86">
        <f t="shared" si="4"/>
        <v>0</v>
      </c>
      <c r="AM86">
        <f>IFERROR(INDEX(Participation_By_Student!$D:$D,MATCH($B86,Participation_By_Student!$B:$B,0)),"")</f>
        <v>1</v>
      </c>
      <c r="AN86">
        <f>IFERROR(INDEX(Participation_By_Student!$E:$E,MATCH($B86,Participation_By_Student!$B:$B,0)),"")</f>
        <v>1</v>
      </c>
      <c r="AO86">
        <f>IFERROR(INDEX(Participation_By_Student!$F:$F,MATCH($B86,Participation_By_Student!$B:$B,0)),"")</f>
        <v>0</v>
      </c>
      <c r="AP86">
        <f>IFERROR(INDEX(Participation_By_Student!$G:$G,MATCH($B86,Participation_By_Student!$B:$B,0)),"")</f>
        <v>1</v>
      </c>
    </row>
    <row r="87" spans="1:42" x14ac:dyDescent="0.3">
      <c r="A87" s="2" t="s">
        <v>185</v>
      </c>
      <c r="B87" s="2" t="s">
        <v>240</v>
      </c>
      <c r="C87" s="2" t="s">
        <v>241</v>
      </c>
      <c r="D87" s="2" t="s">
        <v>188</v>
      </c>
      <c r="E87" s="2" t="s">
        <v>189</v>
      </c>
      <c r="F87" s="5">
        <f>IFERROR(INDEX(Baseline_Entry!$P:$P,MATCH($B87,Baseline_Entry!$B:$B,0)),"")</f>
        <v>92.25352112676056</v>
      </c>
      <c r="G87" s="5" t="str">
        <f t="shared" si="3"/>
        <v>Yes</v>
      </c>
      <c r="H87" s="5">
        <v>87.9</v>
      </c>
      <c r="I87" s="5">
        <v>93.6</v>
      </c>
      <c r="J87" s="5">
        <v>5.6999999999999886</v>
      </c>
      <c r="K87" s="5">
        <v>87.15</v>
      </c>
      <c r="L87" s="5">
        <v>91.75</v>
      </c>
      <c r="M87" s="5">
        <v>4.5999999999999943</v>
      </c>
      <c r="N87" s="5">
        <v>89.15</v>
      </c>
      <c r="O87" s="5">
        <v>93.75</v>
      </c>
      <c r="P87" s="5">
        <v>4.5999999999999943</v>
      </c>
      <c r="Q87" s="5">
        <v>88</v>
      </c>
      <c r="R87" s="5">
        <v>98.5</v>
      </c>
      <c r="S87" s="5">
        <v>10.5</v>
      </c>
      <c r="T87" s="5">
        <v>90.5</v>
      </c>
      <c r="U87" s="5">
        <v>86.5</v>
      </c>
      <c r="V87" s="5">
        <v>-4</v>
      </c>
      <c r="W87" s="5">
        <v>84.7</v>
      </c>
      <c r="X87" s="5">
        <v>97.5</v>
      </c>
      <c r="Y87" s="5">
        <v>12.8</v>
      </c>
      <c r="Z87" s="2" t="str">
        <f t="shared" si="2"/>
        <v>High starter</v>
      </c>
      <c r="AA87" s="2" t="s">
        <v>65</v>
      </c>
      <c r="AB87" s="2" t="s">
        <v>66</v>
      </c>
      <c r="AC87" s="2">
        <v>1</v>
      </c>
      <c r="AD87" s="2" t="str">
        <f>IFERROR(INDEX(University_Exit!$D:$D,MATCH($B87,University_Exit!$B:$B,0)),"")</f>
        <v>Newcastle University</v>
      </c>
      <c r="AE87" s="2" t="str">
        <f>IFERROR(INDEX(University_Exit!$F:$F,MATCH($B87,University_Exit!$B:$B,0)),"")</f>
        <v>Electrial Engineering</v>
      </c>
      <c r="AF87" s="2" t="str">
        <f>IFERROR(INDEX(University_Exit!$L:$L,MATCH($B87,University_Exit!$B:$B,0)),"")</f>
        <v>Yes</v>
      </c>
      <c r="AG87" s="2">
        <f>IFERROR(INDEX(University_Exit!$H:$H,MATCH($B87,University_Exit!$B:$B,0)),"")</f>
        <v>90.9</v>
      </c>
      <c r="AH87" s="6">
        <f>IFERROR(INDEX(University_Exit!$K:$K,MATCH($B87,University_Exit!$B:$B,0)),"")</f>
        <v>1110</v>
      </c>
      <c r="AI87" s="2" t="str">
        <f>IFERROR(INDEX(University_Exit!$G:$G,MATCH($B87,University_Exit!$B:$B,0)),"")</f>
        <v>Qatar Energy</v>
      </c>
      <c r="AJ87">
        <f>IFERROR(INDEX(Baseline_Entry!$N:$N,MATCH($B87,Baseline_Entry!$B:$B,0)),"")</f>
        <v>109</v>
      </c>
      <c r="AK87">
        <f>IFERROR(INDEX(Cognitive_Profile!$E:$E,MATCH($B87,Cognitive_Profile!$B:$B,0)),"")</f>
        <v>109</v>
      </c>
      <c r="AL87">
        <f t="shared" si="4"/>
        <v>0</v>
      </c>
      <c r="AM87">
        <f>IFERROR(INDEX(Participation_By_Student!$D:$D,MATCH($B87,Participation_By_Student!$B:$B,0)),"")</f>
        <v>1</v>
      </c>
      <c r="AN87">
        <f>IFERROR(INDEX(Participation_By_Student!$E:$E,MATCH($B87,Participation_By_Student!$B:$B,0)),"")</f>
        <v>2</v>
      </c>
      <c r="AO87">
        <f>IFERROR(INDEX(Participation_By_Student!$F:$F,MATCH($B87,Participation_By_Student!$B:$B,0)),"")</f>
        <v>0</v>
      </c>
      <c r="AP87">
        <f>IFERROR(INDEX(Participation_By_Student!$G:$G,MATCH($B87,Participation_By_Student!$B:$B,0)),"")</f>
        <v>2</v>
      </c>
    </row>
    <row r="88" spans="1:42" x14ac:dyDescent="0.3">
      <c r="A88" s="2" t="s">
        <v>185</v>
      </c>
      <c r="B88" s="2" t="s">
        <v>242</v>
      </c>
      <c r="C88" s="2" t="s">
        <v>243</v>
      </c>
      <c r="D88" s="2" t="s">
        <v>188</v>
      </c>
      <c r="E88" s="2" t="s">
        <v>189</v>
      </c>
      <c r="F88" s="5">
        <f>IFERROR(INDEX(Baseline_Entry!$P:$P,MATCH($B88,Baseline_Entry!$B:$B,0)),"")</f>
        <v>107.76338028169015</v>
      </c>
      <c r="G88" s="5" t="str">
        <f t="shared" si="3"/>
        <v>Yes</v>
      </c>
      <c r="H88" s="5">
        <v>79.132000000000005</v>
      </c>
      <c r="I88" s="5">
        <v>97.024000000000001</v>
      </c>
      <c r="J88" s="5">
        <v>17.891999999999999</v>
      </c>
      <c r="K88" s="5">
        <v>78.23</v>
      </c>
      <c r="L88" s="5">
        <v>93.31</v>
      </c>
      <c r="M88" s="5">
        <v>15.08</v>
      </c>
      <c r="N88" s="5">
        <v>83.23</v>
      </c>
      <c r="O88" s="5">
        <v>96.31</v>
      </c>
      <c r="P88" s="5">
        <v>13.08</v>
      </c>
      <c r="Q88" s="5">
        <v>81.5</v>
      </c>
      <c r="R88" s="5">
        <v>98</v>
      </c>
      <c r="S88" s="5">
        <v>16.5</v>
      </c>
      <c r="T88" s="5">
        <v>76</v>
      </c>
      <c r="U88" s="5">
        <v>98.5</v>
      </c>
      <c r="V88" s="5">
        <v>22.5</v>
      </c>
      <c r="W88" s="5">
        <v>76.7</v>
      </c>
      <c r="X88" s="5">
        <v>99</v>
      </c>
      <c r="Y88" s="5">
        <v>22.3</v>
      </c>
      <c r="Z88" s="2" t="str">
        <f t="shared" si="2"/>
        <v>Low starter</v>
      </c>
      <c r="AA88" s="2" t="s">
        <v>99</v>
      </c>
      <c r="AB88" s="2" t="s">
        <v>66</v>
      </c>
      <c r="AC88" s="2">
        <v>2</v>
      </c>
      <c r="AD88" s="2" t="str">
        <f>IFERROR(INDEX(University_Exit!$D:$D,MATCH($B88,University_Exit!$B:$B,0)),"")</f>
        <v>Newcastle University</v>
      </c>
      <c r="AE88" s="2" t="str">
        <f>IFERROR(INDEX(University_Exit!$F:$F,MATCH($B88,University_Exit!$B:$B,0)),"")</f>
        <v>Chemical engineering</v>
      </c>
      <c r="AF88" s="2" t="str">
        <f>IFERROR(INDEX(University_Exit!$L:$L,MATCH($B88,University_Exit!$B:$B,0)),"")</f>
        <v>Yes</v>
      </c>
      <c r="AG88" s="2">
        <f>IFERROR(INDEX(University_Exit!$H:$H,MATCH($B88,University_Exit!$B:$B,0)),"")</f>
        <v>95.9</v>
      </c>
      <c r="AH88" s="6">
        <f>IFERROR(INDEX(University_Exit!$K:$K,MATCH($B88,University_Exit!$B:$B,0)),"")</f>
        <v>1250</v>
      </c>
      <c r="AI88" s="2" t="str">
        <f>IFERROR(INDEX(University_Exit!$G:$G,MATCH($B88,University_Exit!$B:$B,0)),"")</f>
        <v>Qatar Energy</v>
      </c>
      <c r="AJ88">
        <f>IFERROR(INDEX(Baseline_Entry!$N:$N,MATCH($B88,Baseline_Entry!$B:$B,0)),"")</f>
        <v>116</v>
      </c>
      <c r="AK88">
        <f>IFERROR(INDEX(Cognitive_Profile!$E:$E,MATCH($B88,Cognitive_Profile!$B:$B,0)),"")</f>
        <v>116</v>
      </c>
      <c r="AL88">
        <f t="shared" si="4"/>
        <v>0</v>
      </c>
      <c r="AM88">
        <f>IFERROR(INDEX(Participation_By_Student!$D:$D,MATCH($B88,Participation_By_Student!$B:$B,0)),"")</f>
        <v>1</v>
      </c>
      <c r="AN88">
        <f>IFERROR(INDEX(Participation_By_Student!$E:$E,MATCH($B88,Participation_By_Student!$B:$B,0)),"")</f>
        <v>1</v>
      </c>
      <c r="AO88">
        <f>IFERROR(INDEX(Participation_By_Student!$F:$F,MATCH($B88,Participation_By_Student!$B:$B,0)),"")</f>
        <v>0</v>
      </c>
      <c r="AP88">
        <f>IFERROR(INDEX(Participation_By_Student!$G:$G,MATCH($B88,Participation_By_Student!$B:$B,0)),"")</f>
        <v>1</v>
      </c>
    </row>
    <row r="89" spans="1:42" x14ac:dyDescent="0.3">
      <c r="A89" s="2" t="s">
        <v>185</v>
      </c>
      <c r="B89" s="2" t="s">
        <v>244</v>
      </c>
      <c r="C89" s="2" t="s">
        <v>245</v>
      </c>
      <c r="D89" s="2" t="s">
        <v>188</v>
      </c>
      <c r="E89" s="2" t="s">
        <v>189</v>
      </c>
      <c r="F89" s="5">
        <f>IFERROR(INDEX(Baseline_Entry!$P:$P,MATCH($B89,Baseline_Entry!$B:$B,0)),"")</f>
        <v>91.575586854460084</v>
      </c>
      <c r="G89" s="5" t="str">
        <f t="shared" si="3"/>
        <v>Yes</v>
      </c>
      <c r="H89" s="5">
        <v>88.411999999999992</v>
      </c>
      <c r="I89" s="5">
        <v>95.951999999999998</v>
      </c>
      <c r="J89" s="5">
        <v>7.5400000000000063</v>
      </c>
      <c r="K89" s="5">
        <v>87.58</v>
      </c>
      <c r="L89" s="5">
        <v>94.88</v>
      </c>
      <c r="M89" s="5">
        <v>7.2999999999999972</v>
      </c>
      <c r="N89" s="5">
        <v>90.58</v>
      </c>
      <c r="O89" s="5">
        <v>96.88</v>
      </c>
      <c r="P89" s="5">
        <v>6.2999999999999972</v>
      </c>
      <c r="Q89" s="5">
        <v>89</v>
      </c>
      <c r="R89" s="5">
        <v>96.5</v>
      </c>
      <c r="S89" s="5">
        <v>7.5</v>
      </c>
      <c r="T89" s="5">
        <v>90.5</v>
      </c>
      <c r="U89" s="5">
        <v>94.5</v>
      </c>
      <c r="V89" s="5">
        <v>4</v>
      </c>
      <c r="W89" s="5">
        <v>84.4</v>
      </c>
      <c r="X89" s="5">
        <v>97</v>
      </c>
      <c r="Y89" s="5">
        <v>12.599999999999991</v>
      </c>
      <c r="Z89" s="2" t="str">
        <f t="shared" si="2"/>
        <v>Middle starter</v>
      </c>
      <c r="AA89" s="2" t="s">
        <v>65</v>
      </c>
      <c r="AB89" s="2" t="s">
        <v>66</v>
      </c>
      <c r="AC89" s="2">
        <v>1</v>
      </c>
      <c r="AD89" s="2" t="str">
        <f>IFERROR(INDEX(University_Exit!$D:$D,MATCH($B89,University_Exit!$B:$B,0)),"")</f>
        <v>Uinversity of sheffiled</v>
      </c>
      <c r="AE89" s="2" t="str">
        <f>IFERROR(INDEX(University_Exit!$F:$F,MATCH($B89,University_Exit!$B:$B,0)),"")</f>
        <v>Computer Science</v>
      </c>
      <c r="AF89" s="2" t="str">
        <f>IFERROR(INDEX(University_Exit!$L:$L,MATCH($B89,University_Exit!$B:$B,0)),"")</f>
        <v>Yes</v>
      </c>
      <c r="AG89" s="2">
        <f>IFERROR(INDEX(University_Exit!$H:$H,MATCH($B89,University_Exit!$B:$B,0)),"")</f>
        <v>96.3</v>
      </c>
      <c r="AH89" s="6">
        <f>IFERROR(INDEX(University_Exit!$K:$K,MATCH($B89,University_Exit!$B:$B,0)),"")</f>
        <v>940</v>
      </c>
      <c r="AI89" s="2" t="str">
        <f>IFERROR(INDEX(University_Exit!$G:$G,MATCH($B89,University_Exit!$B:$B,0)),"")</f>
        <v>Qatar Energy</v>
      </c>
      <c r="AJ89">
        <f>IFERROR(INDEX(Baseline_Entry!$N:$N,MATCH($B89,Baseline_Entry!$B:$B,0)),"")</f>
        <v>101</v>
      </c>
      <c r="AK89">
        <f>IFERROR(INDEX(Cognitive_Profile!$E:$E,MATCH($B89,Cognitive_Profile!$B:$B,0)),"")</f>
        <v>101</v>
      </c>
      <c r="AL89">
        <f t="shared" si="4"/>
        <v>0</v>
      </c>
      <c r="AM89">
        <f>IFERROR(INDEX(Participation_By_Student!$D:$D,MATCH($B89,Participation_By_Student!$B:$B,0)),"")</f>
        <v>2</v>
      </c>
      <c r="AN89">
        <f>IFERROR(INDEX(Participation_By_Student!$E:$E,MATCH($B89,Participation_By_Student!$B:$B,0)),"")</f>
        <v>2</v>
      </c>
      <c r="AO89">
        <f>IFERROR(INDEX(Participation_By_Student!$F:$F,MATCH($B89,Participation_By_Student!$B:$B,0)),"")</f>
        <v>0</v>
      </c>
      <c r="AP89">
        <f>IFERROR(INDEX(Participation_By_Student!$G:$G,MATCH($B89,Participation_By_Student!$B:$B,0)),"")</f>
        <v>2</v>
      </c>
    </row>
    <row r="90" spans="1:42" x14ac:dyDescent="0.3">
      <c r="A90" s="2" t="s">
        <v>185</v>
      </c>
      <c r="B90" s="2" t="s">
        <v>246</v>
      </c>
      <c r="C90" s="2" t="s">
        <v>247</v>
      </c>
      <c r="D90" s="2" t="s">
        <v>188</v>
      </c>
      <c r="E90" s="2" t="s">
        <v>189</v>
      </c>
      <c r="F90" s="5">
        <f>IFERROR(INDEX(Baseline_Entry!$P:$P,MATCH($B90,Baseline_Entry!$B:$B,0)),"")</f>
        <v>66.262910798122064</v>
      </c>
      <c r="G90" s="5" t="str">
        <f t="shared" si="3"/>
        <v>Yes</v>
      </c>
      <c r="H90" s="5">
        <v>0</v>
      </c>
      <c r="I90" s="5">
        <v>77.524000000000001</v>
      </c>
      <c r="J90" s="5">
        <v>77.524000000000001</v>
      </c>
      <c r="K90" s="5">
        <v>0</v>
      </c>
      <c r="L90" s="5">
        <v>70.81</v>
      </c>
      <c r="M90" s="5">
        <v>70.81</v>
      </c>
      <c r="N90" s="5">
        <v>0</v>
      </c>
      <c r="O90" s="5">
        <v>76.81</v>
      </c>
      <c r="P90" s="5">
        <v>76.81</v>
      </c>
      <c r="Q90" s="5">
        <v>0</v>
      </c>
      <c r="R90" s="5">
        <v>77</v>
      </c>
      <c r="S90" s="5">
        <v>77</v>
      </c>
      <c r="T90" s="5">
        <v>0</v>
      </c>
      <c r="U90" s="5">
        <v>72.5</v>
      </c>
      <c r="V90" s="5">
        <v>72.5</v>
      </c>
      <c r="W90" s="5">
        <v>0</v>
      </c>
      <c r="X90" s="5">
        <v>90.5</v>
      </c>
      <c r="Y90" s="5">
        <v>90.5</v>
      </c>
      <c r="Z90" s="2" t="str">
        <f t="shared" si="2"/>
        <v>High starter</v>
      </c>
      <c r="AA90" s="2" t="s">
        <v>120</v>
      </c>
      <c r="AB90" s="2" t="s">
        <v>99</v>
      </c>
      <c r="AC90" s="2">
        <v>1</v>
      </c>
      <c r="AD90" s="2" t="str">
        <f>IFERROR(INDEX(University_Exit!$D:$D,MATCH($B90,University_Exit!$B:$B,0)),"")</f>
        <v>Qatar University</v>
      </c>
      <c r="AE90" s="2" t="str">
        <f>IFERROR(INDEX(University_Exit!$F:$F,MATCH($B90,University_Exit!$B:$B,0)),"")</f>
        <v>سنة اول تاسيسي</v>
      </c>
      <c r="AF90" s="2" t="str">
        <f>IFERROR(INDEX(University_Exit!$L:$L,MATCH($B90,University_Exit!$B:$B,0)),"")</f>
        <v>No</v>
      </c>
      <c r="AG90" s="2">
        <f>IFERROR(INDEX(University_Exit!$H:$H,MATCH($B90,University_Exit!$B:$B,0)),"")</f>
        <v>90.9</v>
      </c>
      <c r="AH90" s="6">
        <f>IFERROR(INDEX(University_Exit!$K:$K,MATCH($B90,University_Exit!$B:$B,0)),"")</f>
        <v>850</v>
      </c>
      <c r="AI90" s="2" t="str">
        <f>IFERROR(INDEX(University_Exit!$G:$G,MATCH($B90,University_Exit!$B:$B,0)),"")</f>
        <v>لا يوجد</v>
      </c>
      <c r="AJ90">
        <f>IFERROR(INDEX(Baseline_Entry!$N:$N,MATCH($B90,Baseline_Entry!$B:$B,0)),"")</f>
        <v>92</v>
      </c>
      <c r="AK90">
        <f>IFERROR(INDEX(Cognitive_Profile!$E:$E,MATCH($B90,Cognitive_Profile!$B:$B,0)),"")</f>
        <v>92</v>
      </c>
      <c r="AL90">
        <f t="shared" si="4"/>
        <v>0</v>
      </c>
      <c r="AM90">
        <f>IFERROR(INDEX(Participation_By_Student!$D:$D,MATCH($B90,Participation_By_Student!$B:$B,0)),"")</f>
        <v>3</v>
      </c>
      <c r="AN90">
        <f>IFERROR(INDEX(Participation_By_Student!$E:$E,MATCH($B90,Participation_By_Student!$B:$B,0)),"")</f>
        <v>7</v>
      </c>
      <c r="AO90">
        <f>IFERROR(INDEX(Participation_By_Student!$F:$F,MATCH($B90,Participation_By_Student!$B:$B,0)),"")</f>
        <v>2</v>
      </c>
      <c r="AP90">
        <f>IFERROR(INDEX(Participation_By_Student!$G:$G,MATCH($B90,Participation_By_Student!$B:$B,0)),"")</f>
        <v>8</v>
      </c>
    </row>
    <row r="91" spans="1:42" x14ac:dyDescent="0.3">
      <c r="A91" s="2" t="s">
        <v>185</v>
      </c>
      <c r="B91" s="2" t="s">
        <v>248</v>
      </c>
      <c r="C91" s="2" t="s">
        <v>249</v>
      </c>
      <c r="D91" s="2" t="s">
        <v>188</v>
      </c>
      <c r="E91" s="2" t="s">
        <v>189</v>
      </c>
      <c r="F91" s="5">
        <f>IFERROR(INDEX(Baseline_Entry!$P:$P,MATCH($B91,Baseline_Entry!$B:$B,0)),"")</f>
        <v>101.78403755868544</v>
      </c>
      <c r="G91" s="5" t="str">
        <f t="shared" si="3"/>
        <v>Yes</v>
      </c>
      <c r="H91" s="5">
        <v>67.507999999999996</v>
      </c>
      <c r="I91" s="5">
        <v>93.975999999999999</v>
      </c>
      <c r="J91" s="5">
        <v>26.468</v>
      </c>
      <c r="K91" s="5">
        <v>65.27</v>
      </c>
      <c r="L91" s="5">
        <v>89.94</v>
      </c>
      <c r="M91" s="5">
        <v>24.67</v>
      </c>
      <c r="N91" s="5">
        <v>71.27</v>
      </c>
      <c r="O91" s="5">
        <v>95.94</v>
      </c>
      <c r="P91" s="5">
        <v>24.67</v>
      </c>
      <c r="Q91" s="5">
        <v>77.5</v>
      </c>
      <c r="R91" s="5">
        <v>98.5</v>
      </c>
      <c r="S91" s="5">
        <v>21</v>
      </c>
      <c r="T91" s="5">
        <v>68</v>
      </c>
      <c r="U91" s="5">
        <v>92</v>
      </c>
      <c r="V91" s="5">
        <v>24</v>
      </c>
      <c r="W91" s="5">
        <v>55.5</v>
      </c>
      <c r="X91" s="5">
        <v>93.5</v>
      </c>
      <c r="Y91" s="5">
        <v>38</v>
      </c>
      <c r="Z91" s="2" t="str">
        <f t="shared" si="2"/>
        <v>Low starter</v>
      </c>
      <c r="AA91" s="2" t="s">
        <v>120</v>
      </c>
      <c r="AB91" s="2" t="s">
        <v>66</v>
      </c>
      <c r="AC91" s="2">
        <v>3</v>
      </c>
      <c r="AD91" s="2" t="str">
        <f>IFERROR(INDEX(University_Exit!$D:$D,MATCH($B91,University_Exit!$B:$B,0)),"")</f>
        <v>Swansea Univeristy</v>
      </c>
      <c r="AE91" s="2" t="str">
        <f>IFERROR(INDEX(University_Exit!$F:$F,MATCH($B91,University_Exit!$B:$B,0)),"")</f>
        <v>Electrial Engineering</v>
      </c>
      <c r="AF91" s="2" t="str">
        <f>IFERROR(INDEX(University_Exit!$L:$L,MATCH($B91,University_Exit!$B:$B,0)),"")</f>
        <v>Yes</v>
      </c>
      <c r="AG91" s="2">
        <f>IFERROR(INDEX(University_Exit!$H:$H,MATCH($B91,University_Exit!$B:$B,0)),"")</f>
        <v>95.1</v>
      </c>
      <c r="AH91" s="6">
        <f>IFERROR(INDEX(University_Exit!$K:$K,MATCH($B91,University_Exit!$B:$B,0)),"")</f>
        <v>1220</v>
      </c>
      <c r="AI91" s="2" t="str">
        <f>IFERROR(INDEX(University_Exit!$G:$G,MATCH($B91,University_Exit!$B:$B,0)),"")</f>
        <v>Qatar Energy</v>
      </c>
      <c r="AJ91">
        <f>IFERROR(INDEX(Baseline_Entry!$N:$N,MATCH($B91,Baseline_Entry!$B:$B,0)),"")</f>
        <v>107</v>
      </c>
      <c r="AK91">
        <f>IFERROR(INDEX(Cognitive_Profile!$E:$E,MATCH($B91,Cognitive_Profile!$B:$B,0)),"")</f>
        <v>107</v>
      </c>
      <c r="AL91">
        <f t="shared" si="4"/>
        <v>0</v>
      </c>
      <c r="AM91">
        <f>IFERROR(INDEX(Participation_By_Student!$D:$D,MATCH($B91,Participation_By_Student!$B:$B,0)),"")</f>
        <v>1</v>
      </c>
      <c r="AN91">
        <f>IFERROR(INDEX(Participation_By_Student!$E:$E,MATCH($B91,Participation_By_Student!$B:$B,0)),"")</f>
        <v>2</v>
      </c>
      <c r="AO91">
        <f>IFERROR(INDEX(Participation_By_Student!$F:$F,MATCH($B91,Participation_By_Student!$B:$B,0)),"")</f>
        <v>0</v>
      </c>
      <c r="AP91">
        <f>IFERROR(INDEX(Participation_By_Student!$G:$G,MATCH($B91,Participation_By_Student!$B:$B,0)),"")</f>
        <v>2</v>
      </c>
    </row>
    <row r="92" spans="1:42" x14ac:dyDescent="0.3">
      <c r="A92" s="2" t="s">
        <v>185</v>
      </c>
      <c r="B92" s="2" t="s">
        <v>250</v>
      </c>
      <c r="C92" s="2" t="s">
        <v>251</v>
      </c>
      <c r="D92" s="2" t="s">
        <v>188</v>
      </c>
      <c r="E92" s="2" t="s">
        <v>189</v>
      </c>
      <c r="F92" s="5">
        <f>IFERROR(INDEX(Baseline_Entry!$P:$P,MATCH($B92,Baseline_Entry!$B:$B,0)),"")</f>
        <v>74.642253521126761</v>
      </c>
      <c r="G92" s="5" t="str">
        <f t="shared" si="3"/>
        <v>Yes</v>
      </c>
      <c r="H92" s="5">
        <v>71.555999999999997</v>
      </c>
      <c r="I92" s="5">
        <v>93.852000000000004</v>
      </c>
      <c r="J92" s="5">
        <v>22.29600000000001</v>
      </c>
      <c r="K92" s="5">
        <v>69.39</v>
      </c>
      <c r="L92" s="5">
        <v>90.13</v>
      </c>
      <c r="M92" s="5">
        <v>20.739999999999991</v>
      </c>
      <c r="N92" s="5">
        <v>74.39</v>
      </c>
      <c r="O92" s="5">
        <v>95.13</v>
      </c>
      <c r="P92" s="5">
        <v>20.739999999999991</v>
      </c>
      <c r="Q92" s="5">
        <v>80</v>
      </c>
      <c r="R92" s="5">
        <v>92</v>
      </c>
      <c r="S92" s="5">
        <v>12</v>
      </c>
      <c r="T92" s="5">
        <v>72</v>
      </c>
      <c r="U92" s="5">
        <v>94.5</v>
      </c>
      <c r="V92" s="5">
        <v>22.5</v>
      </c>
      <c r="W92" s="5">
        <v>62</v>
      </c>
      <c r="X92" s="5">
        <v>97.5</v>
      </c>
      <c r="Y92" s="5">
        <v>35.5</v>
      </c>
      <c r="Z92" s="2" t="str">
        <f t="shared" si="2"/>
        <v>High starter</v>
      </c>
      <c r="AA92" s="2" t="s">
        <v>99</v>
      </c>
      <c r="AB92" s="2" t="s">
        <v>66</v>
      </c>
      <c r="AC92" s="2">
        <v>2</v>
      </c>
      <c r="AD92" s="2" t="str">
        <f>IFERROR(INDEX(University_Exit!$D:$D,MATCH($B92,University_Exit!$B:$B,0)),"")</f>
        <v>Swansea Univeristy</v>
      </c>
      <c r="AE92" s="2" t="str">
        <f>IFERROR(INDEX(University_Exit!$F:$F,MATCH($B92,University_Exit!$B:$B,0)),"")</f>
        <v>Electrial Engineering</v>
      </c>
      <c r="AF92" s="2" t="str">
        <f>IFERROR(INDEX(University_Exit!$L:$L,MATCH($B92,University_Exit!$B:$B,0)),"")</f>
        <v>Yes</v>
      </c>
      <c r="AG92" s="2">
        <f>IFERROR(INDEX(University_Exit!$H:$H,MATCH($B92,University_Exit!$B:$B,0)),"")</f>
        <v>94.5</v>
      </c>
      <c r="AH92" s="6">
        <f>IFERROR(INDEX(University_Exit!$K:$K,MATCH($B92,University_Exit!$B:$B,0)),"")</f>
        <v>770</v>
      </c>
      <c r="AI92" s="2" t="str">
        <f>IFERROR(INDEX(University_Exit!$G:$G,MATCH($B92,University_Exit!$B:$B,0)),"")</f>
        <v>Qatar Energy</v>
      </c>
      <c r="AJ92">
        <f>IFERROR(INDEX(Baseline_Entry!$N:$N,MATCH($B92,Baseline_Entry!$B:$B,0)),"")</f>
        <v>101</v>
      </c>
      <c r="AK92">
        <f>IFERROR(INDEX(Cognitive_Profile!$E:$E,MATCH($B92,Cognitive_Profile!$B:$B,0)),"")</f>
        <v>101</v>
      </c>
      <c r="AL92">
        <f t="shared" si="4"/>
        <v>0</v>
      </c>
      <c r="AM92">
        <f>IFERROR(INDEX(Participation_By_Student!$D:$D,MATCH($B92,Participation_By_Student!$B:$B,0)),"")</f>
        <v>1</v>
      </c>
      <c r="AN92">
        <f>IFERROR(INDEX(Participation_By_Student!$E:$E,MATCH($B92,Participation_By_Student!$B:$B,0)),"")</f>
        <v>1</v>
      </c>
      <c r="AO92">
        <f>IFERROR(INDEX(Participation_By_Student!$F:$F,MATCH($B92,Participation_By_Student!$B:$B,0)),"")</f>
        <v>0</v>
      </c>
      <c r="AP92">
        <f>IFERROR(INDEX(Participation_By_Student!$G:$G,MATCH($B92,Participation_By_Student!$B:$B,0)),"")</f>
        <v>1</v>
      </c>
    </row>
    <row r="93" spans="1:42" x14ac:dyDescent="0.3">
      <c r="A93" s="2" t="s">
        <v>185</v>
      </c>
      <c r="B93" s="2" t="s">
        <v>252</v>
      </c>
      <c r="C93" s="2" t="s">
        <v>253</v>
      </c>
      <c r="D93" s="2" t="s">
        <v>188</v>
      </c>
      <c r="E93" s="2" t="s">
        <v>189</v>
      </c>
      <c r="F93" s="5">
        <f>IFERROR(INDEX(Baseline_Entry!$P:$P,MATCH($B93,Baseline_Entry!$B:$B,0)),"")</f>
        <v>73.767136150234748</v>
      </c>
      <c r="G93" s="5" t="str">
        <f t="shared" si="3"/>
        <v>Yes</v>
      </c>
      <c r="H93" s="5">
        <v>76.188000000000002</v>
      </c>
      <c r="I93" s="5">
        <v>84.4</v>
      </c>
      <c r="J93" s="5">
        <v>8.2120000000000033</v>
      </c>
      <c r="K93" s="5">
        <v>74.42</v>
      </c>
      <c r="L93" s="5">
        <v>82.5</v>
      </c>
      <c r="M93" s="5">
        <v>8.0799999999999983</v>
      </c>
      <c r="N93" s="5">
        <v>79.42</v>
      </c>
      <c r="O93" s="5">
        <v>86.5</v>
      </c>
      <c r="P93" s="5">
        <v>7.0799999999999983</v>
      </c>
      <c r="Q93" s="5">
        <v>81</v>
      </c>
      <c r="R93" s="5">
        <v>87.5</v>
      </c>
      <c r="S93" s="5">
        <v>6.5</v>
      </c>
      <c r="T93" s="5">
        <v>80.5</v>
      </c>
      <c r="U93" s="5">
        <v>71.5</v>
      </c>
      <c r="V93" s="5">
        <v>-9</v>
      </c>
      <c r="W93" s="5">
        <v>65.599999999999994</v>
      </c>
      <c r="X93" s="5">
        <v>94</v>
      </c>
      <c r="Y93" s="5">
        <v>28.400000000000009</v>
      </c>
      <c r="Z93" s="2" t="str">
        <f t="shared" ref="Z93:Z124" si="5">IF(IF(F34="",H34,F34)&lt;70,"Low starter",IF(IF(F34="",H34,F34)&lt;85,"Middle starter","High starter"))</f>
        <v>High starter</v>
      </c>
      <c r="AA93" s="2" t="s">
        <v>99</v>
      </c>
      <c r="AB93" s="2" t="s">
        <v>65</v>
      </c>
      <c r="AC93" s="2">
        <v>1</v>
      </c>
      <c r="AD93" s="2" t="str">
        <f>IFERROR(INDEX(University_Exit!$D:$D,MATCH($B93,University_Exit!$B:$B,0)),"")</f>
        <v>الجسر الاكاديمي</v>
      </c>
      <c r="AE93" s="2" t="str">
        <f>IFERROR(INDEX(University_Exit!$F:$F,MATCH($B93,University_Exit!$B:$B,0)),"")</f>
        <v>تأسيسي</v>
      </c>
      <c r="AF93" s="2" t="str">
        <f>IFERROR(INDEX(University_Exit!$L:$L,MATCH($B93,University_Exit!$B:$B,0)),"")</f>
        <v>No</v>
      </c>
      <c r="AG93" s="2">
        <f>IFERROR(INDEX(University_Exit!$H:$H,MATCH($B93,University_Exit!$B:$B,0)),"")</f>
        <v>85.3</v>
      </c>
      <c r="AH93" s="6">
        <f>IFERROR(INDEX(University_Exit!$K:$K,MATCH($B93,University_Exit!$B:$B,0)),"")</f>
        <v>820</v>
      </c>
      <c r="AI93" s="2" t="str">
        <f>IFERROR(INDEX(University_Exit!$G:$G,MATCH($B93,University_Exit!$B:$B,0)),"")</f>
        <v>لا يوجد</v>
      </c>
      <c r="AJ93">
        <f>IFERROR(INDEX(Baseline_Entry!$N:$N,MATCH($B93,Baseline_Entry!$B:$B,0)),"")</f>
        <v>95</v>
      </c>
      <c r="AK93">
        <f>IFERROR(INDEX(Cognitive_Profile!$E:$E,MATCH($B93,Cognitive_Profile!$B:$B,0)),"")</f>
        <v>95</v>
      </c>
      <c r="AL93">
        <f t="shared" si="4"/>
        <v>0</v>
      </c>
      <c r="AM93">
        <f>IFERROR(INDEX(Participation_By_Student!$D:$D,MATCH($B93,Participation_By_Student!$B:$B,0)),"")</f>
        <v>1</v>
      </c>
      <c r="AN93">
        <f>IFERROR(INDEX(Participation_By_Student!$E:$E,MATCH($B93,Participation_By_Student!$B:$B,0)),"")</f>
        <v>2</v>
      </c>
      <c r="AO93">
        <f>IFERROR(INDEX(Participation_By_Student!$F:$F,MATCH($B93,Participation_By_Student!$B:$B,0)),"")</f>
        <v>0</v>
      </c>
      <c r="AP93">
        <f>IFERROR(INDEX(Participation_By_Student!$G:$G,MATCH($B93,Participation_By_Student!$B:$B,0)),"")</f>
        <v>2</v>
      </c>
    </row>
    <row r="94" spans="1:42" x14ac:dyDescent="0.3">
      <c r="A94" s="2" t="s">
        <v>185</v>
      </c>
      <c r="B94" s="2" t="s">
        <v>254</v>
      </c>
      <c r="C94" s="2" t="s">
        <v>255</v>
      </c>
      <c r="D94" s="2" t="s">
        <v>188</v>
      </c>
      <c r="E94" s="2" t="s">
        <v>189</v>
      </c>
      <c r="F94" s="5">
        <f>IFERROR(INDEX(Baseline_Entry!$P:$P,MATCH($B94,Baseline_Entry!$B:$B,0)),"")</f>
        <v>66.016901408450693</v>
      </c>
      <c r="G94" s="5" t="str">
        <f t="shared" si="3"/>
        <v>Yes</v>
      </c>
      <c r="H94" s="5">
        <v>85.823999999999998</v>
      </c>
      <c r="I94" s="5">
        <v>97.951999999999998</v>
      </c>
      <c r="J94" s="5">
        <v>12.128</v>
      </c>
      <c r="K94" s="5">
        <v>87.96</v>
      </c>
      <c r="L94" s="5">
        <v>93.38</v>
      </c>
      <c r="M94" s="5">
        <v>5.4200000000000017</v>
      </c>
      <c r="N94" s="5">
        <v>88.96</v>
      </c>
      <c r="O94" s="5">
        <v>98.38</v>
      </c>
      <c r="P94" s="5">
        <v>9.4200000000000017</v>
      </c>
      <c r="Q94" s="5">
        <v>79.5</v>
      </c>
      <c r="R94" s="5">
        <v>98.5</v>
      </c>
      <c r="S94" s="5">
        <v>19</v>
      </c>
      <c r="T94" s="5">
        <v>87</v>
      </c>
      <c r="U94" s="5">
        <v>100</v>
      </c>
      <c r="V94" s="5">
        <v>13</v>
      </c>
      <c r="W94" s="5">
        <v>85.7</v>
      </c>
      <c r="X94" s="5">
        <v>99.5</v>
      </c>
      <c r="Y94" s="5">
        <v>13.8</v>
      </c>
      <c r="Z94" s="2" t="str">
        <f t="shared" si="5"/>
        <v>Middle starter</v>
      </c>
      <c r="AA94" s="2" t="s">
        <v>65</v>
      </c>
      <c r="AB94" s="2" t="s">
        <v>66</v>
      </c>
      <c r="AC94" s="2">
        <v>1</v>
      </c>
      <c r="AD94" s="2" t="str">
        <f>IFERROR(INDEX(University_Exit!$D:$D,MATCH($B94,University_Exit!$B:$B,0)),"")</f>
        <v>Newcastle University</v>
      </c>
      <c r="AE94" s="2" t="str">
        <f>IFERROR(INDEX(University_Exit!$F:$F,MATCH($B94,University_Exit!$B:$B,0)),"")</f>
        <v>Electrial Engineering</v>
      </c>
      <c r="AF94" s="2" t="str">
        <f>IFERROR(INDEX(University_Exit!$L:$L,MATCH($B94,University_Exit!$B:$B,0)),"")</f>
        <v>Yes</v>
      </c>
      <c r="AG94" s="2">
        <f>IFERROR(INDEX(University_Exit!$H:$H,MATCH($B94,University_Exit!$B:$B,0)),"")</f>
        <v>97.8</v>
      </c>
      <c r="AH94" s="6">
        <f>IFERROR(INDEX(University_Exit!$K:$K,MATCH($B94,University_Exit!$B:$B,0)),"")</f>
        <v>1270</v>
      </c>
      <c r="AI94" s="2" t="str">
        <f>IFERROR(INDEX(University_Exit!$G:$G,MATCH($B94,University_Exit!$B:$B,0)),"")</f>
        <v>Qatar Energy</v>
      </c>
      <c r="AJ94">
        <f>IFERROR(INDEX(Baseline_Entry!$N:$N,MATCH($B94,Baseline_Entry!$B:$B,0)),"")</f>
        <v>83</v>
      </c>
      <c r="AK94">
        <f>IFERROR(INDEX(Cognitive_Profile!$E:$E,MATCH($B94,Cognitive_Profile!$B:$B,0)),"")</f>
        <v>83</v>
      </c>
      <c r="AL94">
        <f t="shared" si="4"/>
        <v>0</v>
      </c>
      <c r="AM94">
        <f>IFERROR(INDEX(Participation_By_Student!$D:$D,MATCH($B94,Participation_By_Student!$B:$B,0)),"")</f>
        <v>2</v>
      </c>
      <c r="AN94">
        <f>IFERROR(INDEX(Participation_By_Student!$E:$E,MATCH($B94,Participation_By_Student!$B:$B,0)),"")</f>
        <v>2</v>
      </c>
      <c r="AO94">
        <f>IFERROR(INDEX(Participation_By_Student!$F:$F,MATCH($B94,Participation_By_Student!$B:$B,0)),"")</f>
        <v>0</v>
      </c>
      <c r="AP94">
        <f>IFERROR(INDEX(Participation_By_Student!$G:$G,MATCH($B94,Participation_By_Student!$B:$B,0)),"")</f>
        <v>2</v>
      </c>
    </row>
    <row r="95" spans="1:42" x14ac:dyDescent="0.3">
      <c r="A95" s="2" t="s">
        <v>185</v>
      </c>
      <c r="B95" s="2" t="s">
        <v>256</v>
      </c>
      <c r="C95" s="2" t="s">
        <v>257</v>
      </c>
      <c r="D95" s="2" t="s">
        <v>188</v>
      </c>
      <c r="E95" s="2" t="s">
        <v>189</v>
      </c>
      <c r="F95" s="5">
        <f>IFERROR(INDEX(Baseline_Entry!$P:$P,MATCH($B95,Baseline_Entry!$B:$B,0)),"")</f>
        <v>82.199061032863852</v>
      </c>
      <c r="G95" s="5" t="str">
        <f t="shared" si="3"/>
        <v>Yes</v>
      </c>
      <c r="H95" s="5">
        <v>78.668000000000006</v>
      </c>
      <c r="I95" s="5">
        <v>92.5</v>
      </c>
      <c r="J95" s="5">
        <v>13.83199999999999</v>
      </c>
      <c r="K95" s="5">
        <v>75.42</v>
      </c>
      <c r="L95" s="5">
        <v>87.25</v>
      </c>
      <c r="M95" s="5">
        <v>11.83</v>
      </c>
      <c r="N95" s="5">
        <v>81.42</v>
      </c>
      <c r="O95" s="5">
        <v>92.25</v>
      </c>
      <c r="P95" s="5">
        <v>10.83</v>
      </c>
      <c r="Q95" s="5">
        <v>79.5</v>
      </c>
      <c r="R95" s="5">
        <v>92</v>
      </c>
      <c r="S95" s="5">
        <v>12.5</v>
      </c>
      <c r="T95" s="5">
        <v>85</v>
      </c>
      <c r="U95" s="5">
        <v>93.5</v>
      </c>
      <c r="V95" s="5">
        <v>8.5</v>
      </c>
      <c r="W95" s="5">
        <v>72</v>
      </c>
      <c r="X95" s="5">
        <v>97.5</v>
      </c>
      <c r="Y95" s="5">
        <v>25.5</v>
      </c>
      <c r="Z95" s="2" t="str">
        <f t="shared" si="5"/>
        <v>High starter</v>
      </c>
      <c r="AA95" s="2" t="s">
        <v>99</v>
      </c>
      <c r="AB95" s="2" t="s">
        <v>66</v>
      </c>
      <c r="AC95" s="2">
        <v>2</v>
      </c>
      <c r="AD95" s="2" t="str">
        <f>IFERROR(INDEX(University_Exit!$D:$D,MATCH($B95,University_Exit!$B:$B,0)),"")</f>
        <v>Qatar University</v>
      </c>
      <c r="AE95" s="2" t="str">
        <f>IFERROR(INDEX(University_Exit!$F:$F,MATCH($B95,University_Exit!$B:$B,0)),"")</f>
        <v>Computer Science</v>
      </c>
      <c r="AF95" s="2" t="str">
        <f>IFERROR(INDEX(University_Exit!$L:$L,MATCH($B95,University_Exit!$B:$B,0)),"")</f>
        <v>Yes</v>
      </c>
      <c r="AG95" s="2">
        <f>IFERROR(INDEX(University_Exit!$H:$H,MATCH($B95,University_Exit!$B:$B,0)),"")</f>
        <v>90.6</v>
      </c>
      <c r="AH95" s="6">
        <f>IFERROR(INDEX(University_Exit!$K:$K,MATCH($B95,University_Exit!$B:$B,0)),"")</f>
        <v>990</v>
      </c>
      <c r="AI95" s="2" t="str">
        <f>IFERROR(INDEX(University_Exit!$G:$G,MATCH($B95,University_Exit!$B:$B,0)),"")</f>
        <v>وزارة الدفاع</v>
      </c>
      <c r="AJ95">
        <f>IFERROR(INDEX(Baseline_Entry!$N:$N,MATCH($B95,Baseline_Entry!$B:$B,0)),"")</f>
        <v>94</v>
      </c>
      <c r="AK95">
        <f>IFERROR(INDEX(Cognitive_Profile!$E:$E,MATCH($B95,Cognitive_Profile!$B:$B,0)),"")</f>
        <v>94</v>
      </c>
      <c r="AL95">
        <f t="shared" si="4"/>
        <v>0</v>
      </c>
      <c r="AM95">
        <f>IFERROR(INDEX(Participation_By_Student!$D:$D,MATCH($B95,Participation_By_Student!$B:$B,0)),"")</f>
        <v>2</v>
      </c>
      <c r="AN95">
        <f>IFERROR(INDEX(Participation_By_Student!$E:$E,MATCH($B95,Participation_By_Student!$B:$B,0)),"")</f>
        <v>5</v>
      </c>
      <c r="AO95">
        <f>IFERROR(INDEX(Participation_By_Student!$F:$F,MATCH($B95,Participation_By_Student!$B:$B,0)),"")</f>
        <v>1</v>
      </c>
      <c r="AP95">
        <f>IFERROR(INDEX(Participation_By_Student!$G:$G,MATCH($B95,Participation_By_Student!$B:$B,0)),"")</f>
        <v>5</v>
      </c>
    </row>
    <row r="96" spans="1:42" x14ac:dyDescent="0.3">
      <c r="A96" s="2" t="s">
        <v>185</v>
      </c>
      <c r="B96" s="2" t="s">
        <v>258</v>
      </c>
      <c r="C96" s="2" t="s">
        <v>259</v>
      </c>
      <c r="D96" s="2" t="s">
        <v>188</v>
      </c>
      <c r="E96" s="2" t="s">
        <v>189</v>
      </c>
      <c r="F96" s="5">
        <f>IFERROR(INDEX(Baseline_Entry!$P:$P,MATCH($B96,Baseline_Entry!$B:$B,0)),"")</f>
        <v>66.535211267605632</v>
      </c>
      <c r="G96" s="5" t="str">
        <f t="shared" si="3"/>
        <v>Yes</v>
      </c>
      <c r="H96" s="5">
        <v>72.452000000000012</v>
      </c>
      <c r="I96" s="5">
        <v>95.975999999999999</v>
      </c>
      <c r="J96" s="5">
        <v>23.52399999999999</v>
      </c>
      <c r="K96" s="5">
        <v>71.73</v>
      </c>
      <c r="L96" s="5">
        <v>94.44</v>
      </c>
      <c r="M96" s="5">
        <v>22.70999999999999</v>
      </c>
      <c r="N96" s="5">
        <v>76.73</v>
      </c>
      <c r="O96" s="5">
        <v>95.44</v>
      </c>
      <c r="P96" s="5">
        <v>18.70999999999999</v>
      </c>
      <c r="Q96" s="5">
        <v>79</v>
      </c>
      <c r="R96" s="5">
        <v>95.5</v>
      </c>
      <c r="S96" s="5">
        <v>16.5</v>
      </c>
      <c r="T96" s="5">
        <v>75</v>
      </c>
      <c r="U96" s="5">
        <v>97</v>
      </c>
      <c r="V96" s="5">
        <v>22</v>
      </c>
      <c r="W96" s="5">
        <v>59.8</v>
      </c>
      <c r="X96" s="5">
        <v>97.5</v>
      </c>
      <c r="Y96" s="5">
        <v>37.700000000000003</v>
      </c>
      <c r="Z96" s="2" t="str">
        <f t="shared" si="5"/>
        <v>Middle starter</v>
      </c>
      <c r="AA96" s="2" t="s">
        <v>99</v>
      </c>
      <c r="AB96" s="2" t="s">
        <v>66</v>
      </c>
      <c r="AC96" s="2">
        <v>2</v>
      </c>
      <c r="AD96" s="2" t="str">
        <f>IFERROR(INDEX(University_Exit!$D:$D,MATCH($B96,University_Exit!$B:$B,0)),"")</f>
        <v>Newcastle University</v>
      </c>
      <c r="AE96" s="2" t="str">
        <f>IFERROR(INDEX(University_Exit!$F:$F,MATCH($B96,University_Exit!$B:$B,0)),"")</f>
        <v>Computer Science</v>
      </c>
      <c r="AF96" s="2" t="str">
        <f>IFERROR(INDEX(University_Exit!$L:$L,MATCH($B96,University_Exit!$B:$B,0)),"")</f>
        <v>Yes</v>
      </c>
      <c r="AG96" s="2">
        <f>IFERROR(INDEX(University_Exit!$H:$H,MATCH($B96,University_Exit!$B:$B,0)),"")</f>
        <v>93.7</v>
      </c>
      <c r="AH96" s="6">
        <f>IFERROR(INDEX(University_Exit!$K:$K,MATCH($B96,University_Exit!$B:$B,0)),"")</f>
        <v>900</v>
      </c>
      <c r="AI96" s="2" t="str">
        <f>IFERROR(INDEX(University_Exit!$G:$G,MATCH($B96,University_Exit!$B:$B,0)),"")</f>
        <v>Qatar Energy</v>
      </c>
      <c r="AJ96">
        <f>IFERROR(INDEX(Baseline_Entry!$N:$N,MATCH($B96,Baseline_Entry!$B:$B,0)),"")</f>
        <v>96</v>
      </c>
      <c r="AK96">
        <f>IFERROR(INDEX(Cognitive_Profile!$E:$E,MATCH($B96,Cognitive_Profile!$B:$B,0)),"")</f>
        <v>96</v>
      </c>
      <c r="AL96">
        <f t="shared" si="4"/>
        <v>0</v>
      </c>
      <c r="AM96">
        <f>IFERROR(INDEX(Participation_By_Student!$D:$D,MATCH($B96,Participation_By_Student!$B:$B,0)),"")</f>
        <v>1</v>
      </c>
      <c r="AN96">
        <f>IFERROR(INDEX(Participation_By_Student!$E:$E,MATCH($B96,Participation_By_Student!$B:$B,0)),"")</f>
        <v>4</v>
      </c>
      <c r="AO96">
        <f>IFERROR(INDEX(Participation_By_Student!$F:$F,MATCH($B96,Participation_By_Student!$B:$B,0)),"")</f>
        <v>1</v>
      </c>
      <c r="AP96">
        <f>IFERROR(INDEX(Participation_By_Student!$G:$G,MATCH($B96,Participation_By_Student!$B:$B,0)),"")</f>
        <v>4</v>
      </c>
    </row>
    <row r="97" spans="1:42" x14ac:dyDescent="0.3">
      <c r="A97" s="2" t="s">
        <v>185</v>
      </c>
      <c r="B97" s="2" t="s">
        <v>260</v>
      </c>
      <c r="C97" s="2" t="s">
        <v>261</v>
      </c>
      <c r="D97" s="2" t="s">
        <v>188</v>
      </c>
      <c r="E97" s="2" t="s">
        <v>189</v>
      </c>
      <c r="F97" s="5">
        <f>IFERROR(INDEX(Baseline_Entry!$P:$P,MATCH($B97,Baseline_Entry!$B:$B,0)),"")</f>
        <v>82.497652582159631</v>
      </c>
      <c r="G97" s="5" t="str">
        <f t="shared" si="3"/>
        <v>Yes</v>
      </c>
      <c r="H97" s="5">
        <v>92.772000000000006</v>
      </c>
      <c r="I97" s="5">
        <v>85.251999999999995</v>
      </c>
      <c r="J97" s="5">
        <v>-7.5200000000000102</v>
      </c>
      <c r="K97" s="5">
        <v>90.73</v>
      </c>
      <c r="L97" s="5">
        <v>80.13</v>
      </c>
      <c r="M97" s="5">
        <v>-10.60000000000001</v>
      </c>
      <c r="N97" s="5">
        <v>94.73</v>
      </c>
      <c r="O97" s="5">
        <v>82.13</v>
      </c>
      <c r="P97" s="5">
        <v>-12.60000000000001</v>
      </c>
      <c r="Q97" s="5">
        <v>91.5</v>
      </c>
      <c r="R97" s="5">
        <v>86.5</v>
      </c>
      <c r="S97" s="5">
        <v>-5</v>
      </c>
      <c r="T97" s="5">
        <v>95.5</v>
      </c>
      <c r="U97" s="5">
        <v>83</v>
      </c>
      <c r="V97" s="5">
        <v>-12.5</v>
      </c>
      <c r="W97" s="5">
        <v>91.4</v>
      </c>
      <c r="X97" s="5">
        <v>94.5</v>
      </c>
      <c r="Y97" s="5">
        <v>3.0999999999999939</v>
      </c>
      <c r="Z97" s="2" t="str">
        <f t="shared" si="5"/>
        <v>Middle starter</v>
      </c>
      <c r="AA97" s="2" t="s">
        <v>66</v>
      </c>
      <c r="AB97" s="2" t="s">
        <v>65</v>
      </c>
      <c r="AC97" s="2">
        <v>-1</v>
      </c>
      <c r="AD97" s="2" t="str">
        <f>IFERROR(INDEX(University_Exit!$D:$D,MATCH($B97,University_Exit!$B:$B,0)),"")</f>
        <v>Qatar University</v>
      </c>
      <c r="AE97" s="2" t="str">
        <f>IFERROR(INDEX(University_Exit!$F:$F,MATCH($B97,University_Exit!$B:$B,0)),"")</f>
        <v>Computer Science</v>
      </c>
      <c r="AF97" s="2" t="str">
        <f>IFERROR(INDEX(University_Exit!$L:$L,MATCH($B97,University_Exit!$B:$B,0)),"")</f>
        <v>Yes</v>
      </c>
      <c r="AG97" s="2">
        <f>IFERROR(INDEX(University_Exit!$H:$H,MATCH($B97,University_Exit!$B:$B,0)),"")</f>
        <v>77.5</v>
      </c>
      <c r="AH97" s="6">
        <f>IFERROR(INDEX(University_Exit!$K:$K,MATCH($B97,University_Exit!$B:$B,0)),"")</f>
        <v>820</v>
      </c>
      <c r="AI97" s="2">
        <f>IFERROR(INDEX(University_Exit!$G:$G,MATCH($B97,University_Exit!$B:$B,0)),"")</f>
        <v>0</v>
      </c>
      <c r="AJ97">
        <f>IFERROR(INDEX(Baseline_Entry!$N:$N,MATCH($B97,Baseline_Entry!$B:$B,0)),"")</f>
        <v>93</v>
      </c>
      <c r="AK97">
        <f>IFERROR(INDEX(Cognitive_Profile!$E:$E,MATCH($B97,Cognitive_Profile!$B:$B,0)),"")</f>
        <v>93</v>
      </c>
      <c r="AL97">
        <f t="shared" si="4"/>
        <v>0</v>
      </c>
      <c r="AM97">
        <f>IFERROR(INDEX(Participation_By_Student!$D:$D,MATCH($B97,Participation_By_Student!$B:$B,0)),"")</f>
        <v>1</v>
      </c>
      <c r="AN97">
        <f>IFERROR(INDEX(Participation_By_Student!$E:$E,MATCH($B97,Participation_By_Student!$B:$B,0)),"")</f>
        <v>5</v>
      </c>
      <c r="AO97">
        <f>IFERROR(INDEX(Participation_By_Student!$F:$F,MATCH($B97,Participation_By_Student!$B:$B,0)),"")</f>
        <v>2</v>
      </c>
      <c r="AP97">
        <f>IFERROR(INDEX(Participation_By_Student!$G:$G,MATCH($B97,Participation_By_Student!$B:$B,0)),"")</f>
        <v>5</v>
      </c>
    </row>
    <row r="98" spans="1:42" x14ac:dyDescent="0.3">
      <c r="A98" s="2" t="s">
        <v>185</v>
      </c>
      <c r="B98" s="2" t="s">
        <v>262</v>
      </c>
      <c r="C98" s="2" t="s">
        <v>263</v>
      </c>
      <c r="D98" s="2" t="s">
        <v>188</v>
      </c>
      <c r="E98" s="2" t="s">
        <v>189</v>
      </c>
      <c r="F98" s="5">
        <f>IFERROR(INDEX(Baseline_Entry!$P:$P,MATCH($B98,Baseline_Entry!$B:$B,0)),"")</f>
        <v>76.8075117370892</v>
      </c>
      <c r="G98" s="5" t="str">
        <f t="shared" si="3"/>
        <v>Yes</v>
      </c>
      <c r="H98" s="5">
        <v>73.623999999999995</v>
      </c>
      <c r="I98" s="5">
        <v>97.224000000000004</v>
      </c>
      <c r="J98" s="5">
        <v>23.600000000000009</v>
      </c>
      <c r="K98" s="5">
        <v>68.959999999999994</v>
      </c>
      <c r="L98" s="5">
        <v>93.81</v>
      </c>
      <c r="M98" s="5">
        <v>24.850000000000009</v>
      </c>
      <c r="N98" s="5">
        <v>74.959999999999994</v>
      </c>
      <c r="O98" s="5">
        <v>97.81</v>
      </c>
      <c r="P98" s="5">
        <v>22.850000000000009</v>
      </c>
      <c r="Q98" s="5">
        <v>84</v>
      </c>
      <c r="R98" s="5">
        <v>95.5</v>
      </c>
      <c r="S98" s="5">
        <v>11.5</v>
      </c>
      <c r="T98" s="5">
        <v>87.5</v>
      </c>
      <c r="U98" s="5">
        <v>99.5</v>
      </c>
      <c r="V98" s="5">
        <v>12</v>
      </c>
      <c r="W98" s="5">
        <v>52.7</v>
      </c>
      <c r="X98" s="5">
        <v>99.5</v>
      </c>
      <c r="Y98" s="5">
        <v>46.8</v>
      </c>
      <c r="Z98" s="2" t="str">
        <f t="shared" si="5"/>
        <v>High starter</v>
      </c>
      <c r="AA98" s="2" t="s">
        <v>99</v>
      </c>
      <c r="AB98" s="2" t="s">
        <v>66</v>
      </c>
      <c r="AC98" s="2">
        <v>2</v>
      </c>
      <c r="AD98" s="2" t="str">
        <f>IFERROR(INDEX(University_Exit!$D:$D,MATCH($B98,University_Exit!$B:$B,0)),"")</f>
        <v>Carnegie Mellon University Qatar</v>
      </c>
      <c r="AE98" s="2" t="str">
        <f>IFERROR(INDEX(University_Exit!$F:$F,MATCH($B98,University_Exit!$B:$B,0)),"")</f>
        <v>Computer Science</v>
      </c>
      <c r="AF98" s="2" t="str">
        <f>IFERROR(INDEX(University_Exit!$L:$L,MATCH($B98,University_Exit!$B:$B,0)),"")</f>
        <v>Yes</v>
      </c>
      <c r="AG98" s="2">
        <f>IFERROR(INDEX(University_Exit!$H:$H,MATCH($B98,University_Exit!$B:$B,0)),"")</f>
        <v>96.8</v>
      </c>
      <c r="AH98" s="6">
        <f>IFERROR(INDEX(University_Exit!$K:$K,MATCH($B98,University_Exit!$B:$B,0)),"")</f>
        <v>1150</v>
      </c>
      <c r="AI98" s="2" t="str">
        <f>IFERROR(INDEX(University_Exit!$G:$G,MATCH($B98,University_Exit!$B:$B,0)),"")</f>
        <v>Qatar Energy</v>
      </c>
      <c r="AJ98">
        <f>IFERROR(INDEX(Baseline_Entry!$N:$N,MATCH($B98,Baseline_Entry!$B:$B,0)),"")</f>
        <v>100</v>
      </c>
      <c r="AK98">
        <f>IFERROR(INDEX(Cognitive_Profile!$E:$E,MATCH($B98,Cognitive_Profile!$B:$B,0)),"")</f>
        <v>100</v>
      </c>
      <c r="AL98">
        <f t="shared" si="4"/>
        <v>0</v>
      </c>
      <c r="AM98">
        <f>IFERROR(INDEX(Participation_By_Student!$D:$D,MATCH($B98,Participation_By_Student!$B:$B,0)),"")</f>
        <v>2</v>
      </c>
      <c r="AN98">
        <f>IFERROR(INDEX(Participation_By_Student!$E:$E,MATCH($B98,Participation_By_Student!$B:$B,0)),"")</f>
        <v>3</v>
      </c>
      <c r="AO98">
        <f>IFERROR(INDEX(Participation_By_Student!$F:$F,MATCH($B98,Participation_By_Student!$B:$B,0)),"")</f>
        <v>1</v>
      </c>
      <c r="AP98">
        <f>IFERROR(INDEX(Participation_By_Student!$G:$G,MATCH($B98,Participation_By_Student!$B:$B,0)),"")</f>
        <v>3</v>
      </c>
    </row>
    <row r="99" spans="1:42" x14ac:dyDescent="0.3">
      <c r="A99" s="2" t="s">
        <v>185</v>
      </c>
      <c r="B99" s="2" t="s">
        <v>264</v>
      </c>
      <c r="C99" s="2" t="s">
        <v>265</v>
      </c>
      <c r="D99" s="2" t="s">
        <v>188</v>
      </c>
      <c r="E99" s="2" t="s">
        <v>189</v>
      </c>
      <c r="F99" s="5">
        <f>IFERROR(INDEX(Baseline_Entry!$P:$P,MATCH($B99,Baseline_Entry!$B:$B,0)),"")</f>
        <v>60.987793427230052</v>
      </c>
      <c r="G99" s="5" t="str">
        <f t="shared" si="3"/>
        <v>Yes</v>
      </c>
      <c r="H99" s="5">
        <v>86.963999999999999</v>
      </c>
      <c r="I99" s="5">
        <v>89.6</v>
      </c>
      <c r="J99" s="5">
        <v>2.6359999999999961</v>
      </c>
      <c r="K99" s="5">
        <v>83.81</v>
      </c>
      <c r="L99" s="5">
        <v>89</v>
      </c>
      <c r="M99" s="5">
        <v>5.1899999999999977</v>
      </c>
      <c r="N99" s="5">
        <v>88.81</v>
      </c>
      <c r="O99" s="5">
        <v>89</v>
      </c>
      <c r="P99" s="5">
        <v>0.1899999999999977</v>
      </c>
      <c r="Q99" s="5">
        <v>85.5</v>
      </c>
      <c r="R99" s="5">
        <v>89</v>
      </c>
      <c r="S99" s="5">
        <v>3.5</v>
      </c>
      <c r="T99" s="5">
        <v>90.5</v>
      </c>
      <c r="U99" s="5">
        <v>87.5</v>
      </c>
      <c r="V99" s="5">
        <v>-3</v>
      </c>
      <c r="W99" s="5">
        <v>86.2</v>
      </c>
      <c r="X99" s="5">
        <v>93.5</v>
      </c>
      <c r="Y99" s="5">
        <v>7.2999999999999972</v>
      </c>
      <c r="Z99" s="2" t="str">
        <f t="shared" si="5"/>
        <v>High starter</v>
      </c>
      <c r="AA99" s="2" t="s">
        <v>65</v>
      </c>
      <c r="AB99" s="2" t="s">
        <v>65</v>
      </c>
      <c r="AC99" s="2">
        <v>0</v>
      </c>
      <c r="AD99" s="2" t="str">
        <f>IFERROR(INDEX(University_Exit!$D:$D,MATCH($B99,University_Exit!$B:$B,0)),"")</f>
        <v>Blackpool and the Fylde College</v>
      </c>
      <c r="AE99" s="2" t="str">
        <f>IFERROR(INDEX(University_Exit!$F:$F,MATCH($B99,University_Exit!$B:$B,0)),"")</f>
        <v>Marine engineering</v>
      </c>
      <c r="AF99" s="2" t="str">
        <f>IFERROR(INDEX(University_Exit!$L:$L,MATCH($B99,University_Exit!$B:$B,0)),"")</f>
        <v>Yes</v>
      </c>
      <c r="AG99" s="2">
        <f>IFERROR(INDEX(University_Exit!$H:$H,MATCH($B99,University_Exit!$B:$B,0)),"")</f>
        <v>82.1</v>
      </c>
      <c r="AH99" s="6">
        <f>IFERROR(INDEX(University_Exit!$K:$K,MATCH($B99,University_Exit!$B:$B,0)),"")</f>
        <v>890</v>
      </c>
      <c r="AI99" s="2" t="str">
        <f>IFERROR(INDEX(University_Exit!$G:$G,MATCH($B99,University_Exit!$B:$B,0)),"")</f>
        <v>Qatar Energy</v>
      </c>
      <c r="AJ99">
        <f>IFERROR(INDEX(Baseline_Entry!$N:$N,MATCH($B99,Baseline_Entry!$B:$B,0)),"")</f>
        <v>86</v>
      </c>
      <c r="AK99">
        <f>IFERROR(INDEX(Cognitive_Profile!$E:$E,MATCH($B99,Cognitive_Profile!$B:$B,0)),"")</f>
        <v>86</v>
      </c>
      <c r="AL99">
        <f t="shared" si="4"/>
        <v>0</v>
      </c>
      <c r="AM99">
        <f>IFERROR(INDEX(Participation_By_Student!$D:$D,MATCH($B99,Participation_By_Student!$B:$B,0)),"")</f>
        <v>1</v>
      </c>
      <c r="AN99">
        <f>IFERROR(INDEX(Participation_By_Student!$E:$E,MATCH($B99,Participation_By_Student!$B:$B,0)),"")</f>
        <v>4</v>
      </c>
      <c r="AO99">
        <f>IFERROR(INDEX(Participation_By_Student!$F:$F,MATCH($B99,Participation_By_Student!$B:$B,0)),"")</f>
        <v>1</v>
      </c>
      <c r="AP99">
        <f>IFERROR(INDEX(Participation_By_Student!$G:$G,MATCH($B99,Participation_By_Student!$B:$B,0)),"")</f>
        <v>4</v>
      </c>
    </row>
    <row r="100" spans="1:42" x14ac:dyDescent="0.3">
      <c r="A100" s="2" t="s">
        <v>185</v>
      </c>
      <c r="B100" s="2" t="s">
        <v>266</v>
      </c>
      <c r="C100" s="2" t="s">
        <v>267</v>
      </c>
      <c r="D100" s="2" t="s">
        <v>188</v>
      </c>
      <c r="E100" s="2" t="s">
        <v>189</v>
      </c>
      <c r="F100" s="5">
        <f>IFERROR(INDEX(Baseline_Entry!$P:$P,MATCH($B100,Baseline_Entry!$B:$B,0)),"")</f>
        <v>72.514553990610338</v>
      </c>
      <c r="G100" s="5" t="str">
        <f t="shared" si="3"/>
        <v>Yes</v>
      </c>
      <c r="H100" s="5">
        <v>58.784000000000013</v>
      </c>
      <c r="I100" s="5">
        <v>77.5</v>
      </c>
      <c r="J100" s="5">
        <v>18.71599999999999</v>
      </c>
      <c r="K100" s="5">
        <v>62.11</v>
      </c>
      <c r="L100" s="5">
        <v>74.5</v>
      </c>
      <c r="M100" s="5">
        <v>12.39</v>
      </c>
      <c r="N100" s="5">
        <v>64.11</v>
      </c>
      <c r="O100" s="5">
        <v>77.5</v>
      </c>
      <c r="P100" s="5">
        <v>13.39</v>
      </c>
      <c r="Q100" s="5">
        <v>67.5</v>
      </c>
      <c r="R100" s="5">
        <v>81.5</v>
      </c>
      <c r="S100" s="5">
        <v>14</v>
      </c>
      <c r="T100" s="5">
        <v>50</v>
      </c>
      <c r="U100" s="5">
        <v>73.5</v>
      </c>
      <c r="V100" s="5">
        <v>23.5</v>
      </c>
      <c r="W100" s="5">
        <v>50.2</v>
      </c>
      <c r="X100" s="5">
        <v>80.5</v>
      </c>
      <c r="Y100" s="5">
        <v>30.3</v>
      </c>
      <c r="Z100" s="2" t="str">
        <f t="shared" si="5"/>
        <v>High starter</v>
      </c>
      <c r="AA100" s="2" t="s">
        <v>120</v>
      </c>
      <c r="AB100" s="2" t="s">
        <v>99</v>
      </c>
      <c r="AC100" s="2">
        <v>1</v>
      </c>
      <c r="AD100" s="2" t="str">
        <f>IFERROR(INDEX(University_Exit!$D:$D,MATCH($B100,University_Exit!$B:$B,0)),"")</f>
        <v>Qatar University</v>
      </c>
      <c r="AE100" s="2" t="str">
        <f>IFERROR(INDEX(University_Exit!$F:$F,MATCH($B100,University_Exit!$B:$B,0)),"")</f>
        <v>computer Engineering</v>
      </c>
      <c r="AF100" s="2" t="str">
        <f>IFERROR(INDEX(University_Exit!$L:$L,MATCH($B100,University_Exit!$B:$B,0)),"")</f>
        <v>Yes</v>
      </c>
      <c r="AG100" s="2">
        <f>IFERROR(INDEX(University_Exit!$H:$H,MATCH($B100,University_Exit!$B:$B,0)),"")</f>
        <v>90.7</v>
      </c>
      <c r="AH100" s="6">
        <f>IFERROR(INDEX(University_Exit!$K:$K,MATCH($B100,University_Exit!$B:$B,0)),"")</f>
        <v>780</v>
      </c>
      <c r="AI100" s="2" t="str">
        <f>IFERROR(INDEX(University_Exit!$G:$G,MATCH($B100,University_Exit!$B:$B,0)),"")</f>
        <v>لا يوجد</v>
      </c>
      <c r="AJ100">
        <f>IFERROR(INDEX(Baseline_Entry!$N:$N,MATCH($B100,Baseline_Entry!$B:$B,0)),"")</f>
        <v>105</v>
      </c>
      <c r="AK100">
        <f>IFERROR(INDEX(Cognitive_Profile!$E:$E,MATCH($B100,Cognitive_Profile!$B:$B,0)),"")</f>
        <v>105</v>
      </c>
      <c r="AL100">
        <f t="shared" si="4"/>
        <v>0</v>
      </c>
      <c r="AM100">
        <f>IFERROR(INDEX(Participation_By_Student!$D:$D,MATCH($B100,Participation_By_Student!$B:$B,0)),"")</f>
        <v>1</v>
      </c>
      <c r="AN100">
        <f>IFERROR(INDEX(Participation_By_Student!$E:$E,MATCH($B100,Participation_By_Student!$B:$B,0)),"")</f>
        <v>1</v>
      </c>
      <c r="AO100">
        <f>IFERROR(INDEX(Participation_By_Student!$F:$F,MATCH($B100,Participation_By_Student!$B:$B,0)),"")</f>
        <v>0</v>
      </c>
      <c r="AP100">
        <f>IFERROR(INDEX(Participation_By_Student!$G:$G,MATCH($B100,Participation_By_Student!$B:$B,0)),"")</f>
        <v>1</v>
      </c>
    </row>
    <row r="101" spans="1:42" x14ac:dyDescent="0.3">
      <c r="A101" s="2" t="s">
        <v>185</v>
      </c>
      <c r="B101" s="2" t="s">
        <v>268</v>
      </c>
      <c r="C101" s="2" t="s">
        <v>269</v>
      </c>
      <c r="D101" s="2" t="s">
        <v>188</v>
      </c>
      <c r="E101" s="2" t="s">
        <v>189</v>
      </c>
      <c r="F101" s="5">
        <f>IFERROR(INDEX(Baseline_Entry!$P:$P,MATCH($B101,Baseline_Entry!$B:$B,0)),"")</f>
        <v>82.306103286384982</v>
      </c>
      <c r="G101" s="5" t="str">
        <f t="shared" si="3"/>
        <v>Yes</v>
      </c>
      <c r="H101" s="5">
        <v>84.807999999999993</v>
      </c>
      <c r="I101" s="5">
        <v>95.8</v>
      </c>
      <c r="J101" s="5">
        <v>10.992000000000001</v>
      </c>
      <c r="K101" s="5">
        <v>81.77</v>
      </c>
      <c r="L101" s="5">
        <v>90.75</v>
      </c>
      <c r="M101" s="5">
        <v>8.980000000000004</v>
      </c>
      <c r="N101" s="5">
        <v>87.77</v>
      </c>
      <c r="O101" s="5">
        <v>96.75</v>
      </c>
      <c r="P101" s="5">
        <v>8.980000000000004</v>
      </c>
      <c r="Q101" s="5">
        <v>79.5</v>
      </c>
      <c r="R101" s="5">
        <v>93.5</v>
      </c>
      <c r="S101" s="5">
        <v>14</v>
      </c>
      <c r="T101" s="5">
        <v>89.5</v>
      </c>
      <c r="U101" s="5">
        <v>99.5</v>
      </c>
      <c r="V101" s="5">
        <v>10</v>
      </c>
      <c r="W101" s="5">
        <v>85.5</v>
      </c>
      <c r="X101" s="5">
        <v>98.5</v>
      </c>
      <c r="Y101" s="5">
        <v>13</v>
      </c>
      <c r="Z101" s="2" t="str">
        <f t="shared" si="5"/>
        <v>Low starter</v>
      </c>
      <c r="AA101" s="2" t="s">
        <v>65</v>
      </c>
      <c r="AB101" s="2" t="s">
        <v>66</v>
      </c>
      <c r="AC101" s="2">
        <v>1</v>
      </c>
      <c r="AD101" s="2" t="str">
        <f>IFERROR(INDEX(University_Exit!$D:$D,MATCH($B101,University_Exit!$B:$B,0)),"")</f>
        <v>Carnegie Mellon University Qatar</v>
      </c>
      <c r="AE101" s="2" t="str">
        <f>IFERROR(INDEX(University_Exit!$F:$F,MATCH($B101,University_Exit!$B:$B,0)),"")</f>
        <v>Computer Science</v>
      </c>
      <c r="AF101" s="2" t="str">
        <f>IFERROR(INDEX(University_Exit!$L:$L,MATCH($B101,University_Exit!$B:$B,0)),"")</f>
        <v>Yes</v>
      </c>
      <c r="AG101" s="2">
        <f>IFERROR(INDEX(University_Exit!$H:$H,MATCH($B101,University_Exit!$B:$B,0)),"")</f>
        <v>95.9</v>
      </c>
      <c r="AH101" s="6">
        <f>IFERROR(INDEX(University_Exit!$K:$K,MATCH($B101,University_Exit!$B:$B,0)),"")</f>
        <v>1040</v>
      </c>
      <c r="AI101" s="2" t="str">
        <f>IFERROR(INDEX(University_Exit!$G:$G,MATCH($B101,University_Exit!$B:$B,0)),"")</f>
        <v>Qatar Ebergy</v>
      </c>
      <c r="AJ101">
        <f>IFERROR(INDEX(Baseline_Entry!$N:$N,MATCH($B101,Baseline_Entry!$B:$B,0)),"")</f>
        <v>99</v>
      </c>
      <c r="AK101">
        <f>IFERROR(INDEX(Cognitive_Profile!$E:$E,MATCH($B101,Cognitive_Profile!$B:$B,0)),"")</f>
        <v>99</v>
      </c>
      <c r="AL101">
        <f t="shared" si="4"/>
        <v>0</v>
      </c>
      <c r="AM101">
        <f>IFERROR(INDEX(Participation_By_Student!$D:$D,MATCH($B101,Participation_By_Student!$B:$B,0)),"")</f>
        <v>1</v>
      </c>
      <c r="AN101">
        <f>IFERROR(INDEX(Participation_By_Student!$E:$E,MATCH($B101,Participation_By_Student!$B:$B,0)),"")</f>
        <v>4</v>
      </c>
      <c r="AO101">
        <f>IFERROR(INDEX(Participation_By_Student!$F:$F,MATCH($B101,Participation_By_Student!$B:$B,0)),"")</f>
        <v>0</v>
      </c>
      <c r="AP101">
        <f>IFERROR(INDEX(Participation_By_Student!$G:$G,MATCH($B101,Participation_By_Student!$B:$B,0)),"")</f>
        <v>4</v>
      </c>
    </row>
    <row r="102" spans="1:42" x14ac:dyDescent="0.3">
      <c r="A102" s="2" t="s">
        <v>185</v>
      </c>
      <c r="B102" s="2" t="s">
        <v>270</v>
      </c>
      <c r="C102" s="2" t="s">
        <v>271</v>
      </c>
      <c r="D102" s="2" t="s">
        <v>188</v>
      </c>
      <c r="E102" s="2" t="s">
        <v>189</v>
      </c>
      <c r="F102" s="5">
        <f>IFERROR(INDEX(Baseline_Entry!$P:$P,MATCH($B102,Baseline_Entry!$B:$B,0)),"")</f>
        <v>71.297652582159628</v>
      </c>
      <c r="G102" s="5" t="str">
        <f t="shared" si="3"/>
        <v>Yes</v>
      </c>
      <c r="H102" s="5">
        <v>77.128</v>
      </c>
      <c r="I102" s="5">
        <v>94.676000000000002</v>
      </c>
      <c r="J102" s="5">
        <v>17.547999999999998</v>
      </c>
      <c r="K102" s="5">
        <v>79.27</v>
      </c>
      <c r="L102" s="5">
        <v>91.69</v>
      </c>
      <c r="M102" s="5">
        <v>12.42</v>
      </c>
      <c r="N102" s="5">
        <v>79.27</v>
      </c>
      <c r="O102" s="5">
        <v>93.69</v>
      </c>
      <c r="P102" s="5">
        <v>14.42</v>
      </c>
      <c r="Q102" s="5">
        <v>79.5</v>
      </c>
      <c r="R102" s="5">
        <v>93.5</v>
      </c>
      <c r="S102" s="5">
        <v>14</v>
      </c>
      <c r="T102" s="5">
        <v>77.5</v>
      </c>
      <c r="U102" s="5">
        <v>97.5</v>
      </c>
      <c r="V102" s="5">
        <v>20</v>
      </c>
      <c r="W102" s="5">
        <v>70.099999999999994</v>
      </c>
      <c r="X102" s="5">
        <v>97</v>
      </c>
      <c r="Y102" s="5">
        <v>26.900000000000009</v>
      </c>
      <c r="Z102" s="2" t="str">
        <f t="shared" si="5"/>
        <v>Middle starter</v>
      </c>
      <c r="AA102" s="2" t="s">
        <v>99</v>
      </c>
      <c r="AB102" s="2" t="s">
        <v>66</v>
      </c>
      <c r="AC102" s="2">
        <v>2</v>
      </c>
      <c r="AD102" s="2" t="str">
        <f>IFERROR(INDEX(University_Exit!$D:$D,MATCH($B102,University_Exit!$B:$B,0)),"")</f>
        <v>Strathclyde Univerity</v>
      </c>
      <c r="AE102" s="2" t="str">
        <f>IFERROR(INDEX(University_Exit!$F:$F,MATCH($B102,University_Exit!$B:$B,0)),"")</f>
        <v>Chemical engineering</v>
      </c>
      <c r="AF102" s="2" t="str">
        <f>IFERROR(INDEX(University_Exit!$L:$L,MATCH($B102,University_Exit!$B:$B,0)),"")</f>
        <v>Yes</v>
      </c>
      <c r="AG102" s="2">
        <f>IFERROR(INDEX(University_Exit!$H:$H,MATCH($B102,University_Exit!$B:$B,0)),"")</f>
        <v>93.4</v>
      </c>
      <c r="AH102" s="6">
        <f>IFERROR(INDEX(University_Exit!$K:$K,MATCH($B102,University_Exit!$B:$B,0)),"")</f>
        <v>1040</v>
      </c>
      <c r="AI102" s="2" t="str">
        <f>IFERROR(INDEX(University_Exit!$G:$G,MATCH($B102,University_Exit!$B:$B,0)),"")</f>
        <v>Qatar Energy</v>
      </c>
      <c r="AJ102">
        <f>IFERROR(INDEX(Baseline_Entry!$N:$N,MATCH($B102,Baseline_Entry!$B:$B,0)),"")</f>
        <v>93</v>
      </c>
      <c r="AK102">
        <f>IFERROR(INDEX(Cognitive_Profile!$E:$E,MATCH($B102,Cognitive_Profile!$B:$B,0)),"")</f>
        <v>93</v>
      </c>
      <c r="AL102">
        <f t="shared" si="4"/>
        <v>0</v>
      </c>
      <c r="AM102">
        <f>IFERROR(INDEX(Participation_By_Student!$D:$D,MATCH($B102,Participation_By_Student!$B:$B,0)),"")</f>
        <v>1</v>
      </c>
      <c r="AN102">
        <f>IFERROR(INDEX(Participation_By_Student!$E:$E,MATCH($B102,Participation_By_Student!$B:$B,0)),"")</f>
        <v>5</v>
      </c>
      <c r="AO102">
        <f>IFERROR(INDEX(Participation_By_Student!$F:$F,MATCH($B102,Participation_By_Student!$B:$B,0)),"")</f>
        <v>1</v>
      </c>
      <c r="AP102">
        <f>IFERROR(INDEX(Participation_By_Student!$G:$G,MATCH($B102,Participation_By_Student!$B:$B,0)),"")</f>
        <v>5</v>
      </c>
    </row>
    <row r="103" spans="1:42" x14ac:dyDescent="0.3">
      <c r="A103" s="2" t="s">
        <v>185</v>
      </c>
      <c r="B103" s="2" t="s">
        <v>272</v>
      </c>
      <c r="C103" s="2" t="s">
        <v>273</v>
      </c>
      <c r="D103" s="2" t="s">
        <v>188</v>
      </c>
      <c r="E103" s="2" t="s">
        <v>189</v>
      </c>
      <c r="F103" s="5">
        <f>IFERROR(INDEX(Baseline_Entry!$P:$P,MATCH($B103,Baseline_Entry!$B:$B,0)),"")</f>
        <v>87.111737089201881</v>
      </c>
      <c r="G103" s="5" t="str">
        <f t="shared" si="3"/>
        <v>Yes</v>
      </c>
      <c r="H103" s="5">
        <v>90.332000000000008</v>
      </c>
      <c r="I103" s="5">
        <v>96.376000000000005</v>
      </c>
      <c r="J103" s="5">
        <v>6.0439999999999969</v>
      </c>
      <c r="K103" s="5">
        <v>90.73</v>
      </c>
      <c r="L103" s="5">
        <v>93.94</v>
      </c>
      <c r="M103" s="5">
        <v>3.2099999999999942</v>
      </c>
      <c r="N103" s="5">
        <v>92.73</v>
      </c>
      <c r="O103" s="5">
        <v>95.94</v>
      </c>
      <c r="P103" s="5">
        <v>3.2099999999999942</v>
      </c>
      <c r="Q103" s="5">
        <v>87</v>
      </c>
      <c r="R103" s="5">
        <v>93</v>
      </c>
      <c r="S103" s="5">
        <v>6</v>
      </c>
      <c r="T103" s="5">
        <v>94</v>
      </c>
      <c r="U103" s="5">
        <v>100</v>
      </c>
      <c r="V103" s="5">
        <v>6</v>
      </c>
      <c r="W103" s="5">
        <v>87.2</v>
      </c>
      <c r="X103" s="5">
        <v>99</v>
      </c>
      <c r="Y103" s="5">
        <v>11.8</v>
      </c>
      <c r="Z103" s="2" t="str">
        <f t="shared" si="5"/>
        <v>High starter</v>
      </c>
      <c r="AA103" s="2" t="s">
        <v>66</v>
      </c>
      <c r="AB103" s="2" t="s">
        <v>66</v>
      </c>
      <c r="AC103" s="2">
        <v>0</v>
      </c>
      <c r="AD103" s="2" t="str">
        <f>IFERROR(INDEX(University_Exit!$D:$D,MATCH($B103,University_Exit!$B:$B,0)),"")</f>
        <v>Carnegie Mellon University Qatar</v>
      </c>
      <c r="AE103" s="2" t="str">
        <f>IFERROR(INDEX(University_Exit!$F:$F,MATCH($B103,University_Exit!$B:$B,0)),"")</f>
        <v>Computer Science</v>
      </c>
      <c r="AF103" s="2" t="str">
        <f>IFERROR(INDEX(University_Exit!$L:$L,MATCH($B103,University_Exit!$B:$B,0)),"")</f>
        <v>Yes</v>
      </c>
      <c r="AG103" s="2">
        <f>IFERROR(INDEX(University_Exit!$H:$H,MATCH($B103,University_Exit!$B:$B,0)),"")</f>
        <v>95.4</v>
      </c>
      <c r="AH103" s="6">
        <f>IFERROR(INDEX(University_Exit!$K:$K,MATCH($B103,University_Exit!$B:$B,0)),"")</f>
        <v>1130</v>
      </c>
      <c r="AI103" s="2" t="str">
        <f>IFERROR(INDEX(University_Exit!$G:$G,MATCH($B103,University_Exit!$B:$B,0)),"")</f>
        <v>وزارة الداخلية</v>
      </c>
      <c r="AJ103">
        <f>IFERROR(INDEX(Baseline_Entry!$N:$N,MATCH($B103,Baseline_Entry!$B:$B,0)),"")</f>
        <v>103</v>
      </c>
      <c r="AK103">
        <f>IFERROR(INDEX(Cognitive_Profile!$E:$E,MATCH($B103,Cognitive_Profile!$B:$B,0)),"")</f>
        <v>103</v>
      </c>
      <c r="AL103">
        <f t="shared" si="4"/>
        <v>0</v>
      </c>
      <c r="AM103">
        <f>IFERROR(INDEX(Participation_By_Student!$D:$D,MATCH($B103,Participation_By_Student!$B:$B,0)),"")</f>
        <v>4</v>
      </c>
      <c r="AN103">
        <f>IFERROR(INDEX(Participation_By_Student!$E:$E,MATCH($B103,Participation_By_Student!$B:$B,0)),"")</f>
        <v>8</v>
      </c>
      <c r="AO103">
        <f>IFERROR(INDEX(Participation_By_Student!$F:$F,MATCH($B103,Participation_By_Student!$B:$B,0)),"")</f>
        <v>3</v>
      </c>
      <c r="AP103">
        <f>IFERROR(INDEX(Participation_By_Student!$G:$G,MATCH($B103,Participation_By_Student!$B:$B,0)),"")</f>
        <v>8</v>
      </c>
    </row>
    <row r="104" spans="1:42" x14ac:dyDescent="0.3">
      <c r="A104" s="2" t="s">
        <v>185</v>
      </c>
      <c r="B104" s="2" t="s">
        <v>274</v>
      </c>
      <c r="C104" s="2" t="s">
        <v>275</v>
      </c>
      <c r="D104" s="2" t="s">
        <v>188</v>
      </c>
      <c r="E104" s="2" t="s">
        <v>189</v>
      </c>
      <c r="F104" s="5">
        <f>IFERROR(INDEX(Baseline_Entry!$P:$P,MATCH($B104,Baseline_Entry!$B:$B,0)),"")</f>
        <v>77.153051643192498</v>
      </c>
      <c r="G104" s="5" t="str">
        <f t="shared" si="3"/>
        <v>Yes</v>
      </c>
      <c r="H104" s="5">
        <v>71.08</v>
      </c>
      <c r="I104" s="5">
        <v>93.775999999999996</v>
      </c>
      <c r="J104" s="5">
        <v>22.696000000000002</v>
      </c>
      <c r="K104" s="5">
        <v>68.849999999999994</v>
      </c>
      <c r="L104" s="5">
        <v>87.44</v>
      </c>
      <c r="M104" s="5">
        <v>18.59</v>
      </c>
      <c r="N104" s="5">
        <v>74.849999999999994</v>
      </c>
      <c r="O104" s="5">
        <v>93.44</v>
      </c>
      <c r="P104" s="5">
        <v>18.59</v>
      </c>
      <c r="Q104" s="5">
        <v>83.5</v>
      </c>
      <c r="R104" s="5">
        <v>96</v>
      </c>
      <c r="S104" s="5">
        <v>12.5</v>
      </c>
      <c r="T104" s="5">
        <v>70</v>
      </c>
      <c r="U104" s="5">
        <v>95</v>
      </c>
      <c r="V104" s="5">
        <v>25</v>
      </c>
      <c r="W104" s="5">
        <v>58.2</v>
      </c>
      <c r="X104" s="5">
        <v>97</v>
      </c>
      <c r="Y104" s="5">
        <v>38.799999999999997</v>
      </c>
      <c r="Z104" s="2" t="str">
        <f t="shared" si="5"/>
        <v>Low starter</v>
      </c>
      <c r="AA104" s="2" t="s">
        <v>99</v>
      </c>
      <c r="AB104" s="2" t="s">
        <v>66</v>
      </c>
      <c r="AC104" s="2">
        <v>2</v>
      </c>
      <c r="AD104" s="2" t="str">
        <f>IFERROR(INDEX(University_Exit!$D:$D,MATCH($B104,University_Exit!$B:$B,0)),"")</f>
        <v>Carnegie Mellon University Qatar</v>
      </c>
      <c r="AE104" s="2" t="str">
        <f>IFERROR(INDEX(University_Exit!$F:$F,MATCH($B104,University_Exit!$B:$B,0)),"")</f>
        <v>Information Technology</v>
      </c>
      <c r="AF104" s="2" t="str">
        <f>IFERROR(INDEX(University_Exit!$L:$L,MATCH($B104,University_Exit!$B:$B,0)),"")</f>
        <v>Yes</v>
      </c>
      <c r="AG104" s="2">
        <f>IFERROR(INDEX(University_Exit!$H:$H,MATCH($B104,University_Exit!$B:$B,0)),"")</f>
        <v>92.3</v>
      </c>
      <c r="AH104" s="6">
        <f>IFERROR(INDEX(University_Exit!$K:$K,MATCH($B104,University_Exit!$B:$B,0)),"")</f>
        <v>990</v>
      </c>
      <c r="AI104" s="2" t="str">
        <f>IFERROR(INDEX(University_Exit!$G:$G,MATCH($B104,University_Exit!$B:$B,0)),"")</f>
        <v>وزارة الخالية</v>
      </c>
      <c r="AJ104">
        <f>IFERROR(INDEX(Baseline_Entry!$N:$N,MATCH($B104,Baseline_Entry!$B:$B,0)),"")</f>
        <v>85</v>
      </c>
      <c r="AK104">
        <f>IFERROR(INDEX(Cognitive_Profile!$E:$E,MATCH($B104,Cognitive_Profile!$B:$B,0)),"")</f>
        <v>85</v>
      </c>
      <c r="AL104">
        <f t="shared" si="4"/>
        <v>0</v>
      </c>
      <c r="AM104">
        <f>IFERROR(INDEX(Participation_By_Student!$D:$D,MATCH($B104,Participation_By_Student!$B:$B,0)),"")</f>
        <v>3</v>
      </c>
      <c r="AN104">
        <f>IFERROR(INDEX(Participation_By_Student!$E:$E,MATCH($B104,Participation_By_Student!$B:$B,0)),"")</f>
        <v>4</v>
      </c>
      <c r="AO104">
        <f>IFERROR(INDEX(Participation_By_Student!$F:$F,MATCH($B104,Participation_By_Student!$B:$B,0)),"")</f>
        <v>1</v>
      </c>
      <c r="AP104">
        <f>IFERROR(INDEX(Participation_By_Student!$G:$G,MATCH($B104,Participation_By_Student!$B:$B,0)),"")</f>
        <v>4</v>
      </c>
    </row>
    <row r="105" spans="1:42" x14ac:dyDescent="0.3">
      <c r="A105" s="2" t="s">
        <v>185</v>
      </c>
      <c r="B105" s="2" t="s">
        <v>276</v>
      </c>
      <c r="C105" s="2" t="s">
        <v>277</v>
      </c>
      <c r="D105" s="2" t="s">
        <v>188</v>
      </c>
      <c r="E105" s="2" t="s">
        <v>189</v>
      </c>
      <c r="F105" s="5">
        <f>IFERROR(INDEX(Baseline_Entry!$P:$P,MATCH($B105,Baseline_Entry!$B:$B,0)),"")</f>
        <v>62.507042253521128</v>
      </c>
      <c r="G105" s="5" t="str">
        <f t="shared" si="3"/>
        <v>Yes</v>
      </c>
      <c r="H105" s="5">
        <v>81.78</v>
      </c>
      <c r="I105" s="5">
        <v>89.352000000000004</v>
      </c>
      <c r="J105" s="5">
        <v>7.5720000000000027</v>
      </c>
      <c r="K105" s="5">
        <v>85.65</v>
      </c>
      <c r="L105" s="5">
        <v>85.63</v>
      </c>
      <c r="M105" s="5">
        <v>-2.0000000000010228E-2</v>
      </c>
      <c r="N105" s="5">
        <v>85.65</v>
      </c>
      <c r="O105" s="5">
        <v>90.63</v>
      </c>
      <c r="P105" s="5">
        <v>4.9799999999999898</v>
      </c>
      <c r="Q105" s="5">
        <v>80.5</v>
      </c>
      <c r="R105" s="5">
        <v>86.5</v>
      </c>
      <c r="S105" s="5">
        <v>6</v>
      </c>
      <c r="T105" s="5">
        <v>78</v>
      </c>
      <c r="U105" s="5">
        <v>89</v>
      </c>
      <c r="V105" s="5">
        <v>11</v>
      </c>
      <c r="W105" s="5">
        <v>79.099999999999994</v>
      </c>
      <c r="X105" s="5">
        <v>95</v>
      </c>
      <c r="Y105" s="5">
        <v>15.900000000000009</v>
      </c>
      <c r="Z105" s="2" t="str">
        <f t="shared" si="5"/>
        <v>Middle starter</v>
      </c>
      <c r="AA105" s="2" t="s">
        <v>65</v>
      </c>
      <c r="AB105" s="2" t="s">
        <v>65</v>
      </c>
      <c r="AC105" s="2">
        <v>0</v>
      </c>
      <c r="AD105" s="2" t="str">
        <f>IFERROR(INDEX(University_Exit!$D:$D,MATCH($B105,University_Exit!$B:$B,0)),"")</f>
        <v>Qatar University</v>
      </c>
      <c r="AE105" s="2" t="str">
        <f>IFERROR(INDEX(University_Exit!$F:$F,MATCH($B105,University_Exit!$B:$B,0)),"")</f>
        <v>Computer Science</v>
      </c>
      <c r="AF105" s="2" t="str">
        <f>IFERROR(INDEX(University_Exit!$L:$L,MATCH($B105,University_Exit!$B:$B,0)),"")</f>
        <v>Yes</v>
      </c>
      <c r="AG105" s="2">
        <f>IFERROR(INDEX(University_Exit!$H:$H,MATCH($B105,University_Exit!$B:$B,0)),"")</f>
        <v>89</v>
      </c>
      <c r="AH105" s="6">
        <f>IFERROR(INDEX(University_Exit!$K:$K,MATCH($B105,University_Exit!$B:$B,0)),"")</f>
        <v>890</v>
      </c>
      <c r="AI105" s="2" t="str">
        <f>IFERROR(INDEX(University_Exit!$G:$G,MATCH($B105,University_Exit!$B:$B,0)),"")</f>
        <v>Ministry of Education</v>
      </c>
      <c r="AJ105">
        <f>IFERROR(INDEX(Baseline_Entry!$N:$N,MATCH($B105,Baseline_Entry!$B:$B,0)),"")</f>
        <v>76</v>
      </c>
      <c r="AK105">
        <f>IFERROR(INDEX(Cognitive_Profile!$E:$E,MATCH($B105,Cognitive_Profile!$B:$B,0)),"")</f>
        <v>76</v>
      </c>
      <c r="AL105">
        <f t="shared" si="4"/>
        <v>0</v>
      </c>
      <c r="AM105">
        <f>IFERROR(INDEX(Participation_By_Student!$D:$D,MATCH($B105,Participation_By_Student!$B:$B,0)),"")</f>
        <v>2</v>
      </c>
      <c r="AN105">
        <f>IFERROR(INDEX(Participation_By_Student!$E:$E,MATCH($B105,Participation_By_Student!$B:$B,0)),"")</f>
        <v>6</v>
      </c>
      <c r="AO105">
        <f>IFERROR(INDEX(Participation_By_Student!$F:$F,MATCH($B105,Participation_By_Student!$B:$B,0)),"")</f>
        <v>1</v>
      </c>
      <c r="AP105">
        <f>IFERROR(INDEX(Participation_By_Student!$G:$G,MATCH($B105,Participation_By_Student!$B:$B,0)),"")</f>
        <v>6</v>
      </c>
    </row>
    <row r="106" spans="1:42" x14ac:dyDescent="0.3">
      <c r="A106" s="2" t="s">
        <v>185</v>
      </c>
      <c r="B106" s="2" t="s">
        <v>278</v>
      </c>
      <c r="C106" s="2" t="s">
        <v>279</v>
      </c>
      <c r="D106" s="2" t="s">
        <v>188</v>
      </c>
      <c r="E106" s="2" t="s">
        <v>189</v>
      </c>
      <c r="F106" s="5">
        <f>IFERROR(INDEX(Baseline_Entry!$P:$P,MATCH($B106,Baseline_Entry!$B:$B,0)),"")</f>
        <v>113.68826291079813</v>
      </c>
      <c r="G106" s="5" t="str">
        <f t="shared" si="3"/>
        <v>Yes</v>
      </c>
      <c r="H106" s="5">
        <v>77.176000000000002</v>
      </c>
      <c r="I106" s="5">
        <v>98.676000000000002</v>
      </c>
      <c r="J106" s="5">
        <v>21.5</v>
      </c>
      <c r="K106" s="5">
        <v>80.69</v>
      </c>
      <c r="L106" s="5">
        <v>97.44</v>
      </c>
      <c r="M106" s="5">
        <v>16.75</v>
      </c>
      <c r="N106" s="5">
        <v>81.69</v>
      </c>
      <c r="O106" s="5">
        <v>98.44</v>
      </c>
      <c r="P106" s="5">
        <v>16.75</v>
      </c>
      <c r="Q106" s="5">
        <v>76</v>
      </c>
      <c r="R106" s="5">
        <v>98</v>
      </c>
      <c r="S106" s="5">
        <v>22</v>
      </c>
      <c r="T106" s="5">
        <v>72.5</v>
      </c>
      <c r="U106" s="5">
        <v>99.5</v>
      </c>
      <c r="V106" s="5">
        <v>27</v>
      </c>
      <c r="W106" s="5">
        <v>75</v>
      </c>
      <c r="X106" s="5">
        <v>100</v>
      </c>
      <c r="Y106" s="5">
        <v>25</v>
      </c>
      <c r="Z106" s="2" t="str">
        <f t="shared" si="5"/>
        <v>Low starter</v>
      </c>
      <c r="AA106" s="2" t="s">
        <v>99</v>
      </c>
      <c r="AB106" s="2" t="s">
        <v>66</v>
      </c>
      <c r="AC106" s="2">
        <v>2</v>
      </c>
      <c r="AD106" s="2" t="str">
        <f>IFERROR(INDEX(University_Exit!$D:$D,MATCH($B106,University_Exit!$B:$B,0)),"")</f>
        <v>Weill Conrell</v>
      </c>
      <c r="AE106" s="2" t="str">
        <f>IFERROR(INDEX(University_Exit!$F:$F,MATCH($B106,University_Exit!$B:$B,0)),"")</f>
        <v>Medicine</v>
      </c>
      <c r="AF106" s="2" t="str">
        <f>IFERROR(INDEX(University_Exit!$L:$L,MATCH($B106,University_Exit!$B:$B,0)),"")</f>
        <v>Yes</v>
      </c>
      <c r="AG106" s="2">
        <f>IFERROR(INDEX(University_Exit!$H:$H,MATCH($B106,University_Exit!$B:$B,0)),"")</f>
        <v>97.6</v>
      </c>
      <c r="AH106" s="6">
        <f>IFERROR(INDEX(University_Exit!$K:$K,MATCH($B106,University_Exit!$B:$B,0)),"")</f>
        <v>1200</v>
      </c>
      <c r="AI106" s="2" t="str">
        <f>IFERROR(INDEX(University_Exit!$G:$G,MATCH($B106,University_Exit!$B:$B,0)),"")</f>
        <v>Ministry of Education</v>
      </c>
      <c r="AJ106">
        <f>IFERROR(INDEX(Baseline_Entry!$N:$N,MATCH($B106,Baseline_Entry!$B:$B,0)),"")</f>
        <v>110</v>
      </c>
      <c r="AK106">
        <f>IFERROR(INDEX(Cognitive_Profile!$E:$E,MATCH($B106,Cognitive_Profile!$B:$B,0)),"")</f>
        <v>110</v>
      </c>
      <c r="AL106">
        <f t="shared" si="4"/>
        <v>0</v>
      </c>
      <c r="AM106">
        <f>IFERROR(INDEX(Participation_By_Student!$D:$D,MATCH($B106,Participation_By_Student!$B:$B,0)),"")</f>
        <v>3</v>
      </c>
      <c r="AN106">
        <f>IFERROR(INDEX(Participation_By_Student!$E:$E,MATCH($B106,Participation_By_Student!$B:$B,0)),"")</f>
        <v>3</v>
      </c>
      <c r="AO106">
        <f>IFERROR(INDEX(Participation_By_Student!$F:$F,MATCH($B106,Participation_By_Student!$B:$B,0)),"")</f>
        <v>1</v>
      </c>
      <c r="AP106">
        <f>IFERROR(INDEX(Participation_By_Student!$G:$G,MATCH($B106,Participation_By_Student!$B:$B,0)),"")</f>
        <v>3</v>
      </c>
    </row>
    <row r="107" spans="1:42" x14ac:dyDescent="0.3">
      <c r="A107" s="2" t="s">
        <v>185</v>
      </c>
      <c r="B107" s="2" t="s">
        <v>280</v>
      </c>
      <c r="C107" s="2" t="s">
        <v>281</v>
      </c>
      <c r="D107" s="2" t="s">
        <v>188</v>
      </c>
      <c r="E107" s="2" t="s">
        <v>189</v>
      </c>
      <c r="F107" s="5">
        <f>IFERROR(INDEX(Baseline_Entry!$P:$P,MATCH($B107,Baseline_Entry!$B:$B,0)),"")</f>
        <v>76.540845070422549</v>
      </c>
      <c r="G107" s="5" t="str">
        <f t="shared" si="3"/>
        <v>Yes</v>
      </c>
      <c r="H107" s="5">
        <v>75.763999999999996</v>
      </c>
      <c r="I107" s="5">
        <v>92.024000000000001</v>
      </c>
      <c r="J107" s="5">
        <v>16.260000000000009</v>
      </c>
      <c r="K107" s="5">
        <v>76.31</v>
      </c>
      <c r="L107" s="5">
        <v>92.56</v>
      </c>
      <c r="M107" s="5">
        <v>16.25</v>
      </c>
      <c r="N107" s="5">
        <v>80.31</v>
      </c>
      <c r="O107" s="5">
        <v>93.56</v>
      </c>
      <c r="P107" s="5">
        <v>13.25</v>
      </c>
      <c r="Q107" s="5">
        <v>70.5</v>
      </c>
      <c r="R107" s="5">
        <v>88.5</v>
      </c>
      <c r="S107" s="5">
        <v>18</v>
      </c>
      <c r="T107" s="5">
        <v>80.5</v>
      </c>
      <c r="U107" s="5">
        <v>87.5</v>
      </c>
      <c r="V107" s="5">
        <v>7</v>
      </c>
      <c r="W107" s="5">
        <v>71.2</v>
      </c>
      <c r="X107" s="5">
        <v>98</v>
      </c>
      <c r="Y107" s="5">
        <v>26.8</v>
      </c>
      <c r="Z107" s="2" t="str">
        <f t="shared" si="5"/>
        <v>Middle starter</v>
      </c>
      <c r="AA107" s="2" t="s">
        <v>99</v>
      </c>
      <c r="AB107" s="2" t="s">
        <v>66</v>
      </c>
      <c r="AC107" s="2">
        <v>2</v>
      </c>
      <c r="AD107" s="2" t="str">
        <f>IFERROR(INDEX(University_Exit!$D:$D,MATCH($B107,University_Exit!$B:$B,0)),"")</f>
        <v>Carnegie Mellon University Qatar</v>
      </c>
      <c r="AE107" s="2" t="str">
        <f>IFERROR(INDEX(University_Exit!$F:$F,MATCH($B107,University_Exit!$B:$B,0)),"")</f>
        <v>Computer Science</v>
      </c>
      <c r="AF107" s="2" t="str">
        <f>IFERROR(INDEX(University_Exit!$L:$L,MATCH($B107,University_Exit!$B:$B,0)),"")</f>
        <v>Yes</v>
      </c>
      <c r="AG107" s="2">
        <f>IFERROR(INDEX(University_Exit!$H:$H,MATCH($B107,University_Exit!$B:$B,0)),"")</f>
        <v>92.3</v>
      </c>
      <c r="AH107" s="6">
        <f>IFERROR(INDEX(University_Exit!$K:$K,MATCH($B107,University_Exit!$B:$B,0)),"")</f>
        <v>1030</v>
      </c>
      <c r="AI107" s="2" t="str">
        <f>IFERROR(INDEX(University_Exit!$G:$G,MATCH($B107,University_Exit!$B:$B,0)),"")</f>
        <v>Ministry of Education</v>
      </c>
      <c r="AJ107">
        <f>IFERROR(INDEX(Baseline_Entry!$N:$N,MATCH($B107,Baseline_Entry!$B:$B,0)),"")</f>
        <v>100</v>
      </c>
      <c r="AK107">
        <f>IFERROR(INDEX(Cognitive_Profile!$E:$E,MATCH($B107,Cognitive_Profile!$B:$B,0)),"")</f>
        <v>100</v>
      </c>
      <c r="AL107">
        <f t="shared" si="4"/>
        <v>0</v>
      </c>
      <c r="AM107">
        <f>IFERROR(INDEX(Participation_By_Student!$D:$D,MATCH($B107,Participation_By_Student!$B:$B,0)),"")</f>
        <v>2</v>
      </c>
      <c r="AN107">
        <f>IFERROR(INDEX(Participation_By_Student!$E:$E,MATCH($B107,Participation_By_Student!$B:$B,0)),"")</f>
        <v>6</v>
      </c>
      <c r="AO107">
        <f>IFERROR(INDEX(Participation_By_Student!$F:$F,MATCH($B107,Participation_By_Student!$B:$B,0)),"")</f>
        <v>2</v>
      </c>
      <c r="AP107">
        <f>IFERROR(INDEX(Participation_By_Student!$G:$G,MATCH($B107,Participation_By_Student!$B:$B,0)),"")</f>
        <v>6</v>
      </c>
    </row>
    <row r="108" spans="1:42" x14ac:dyDescent="0.3">
      <c r="A108" s="2" t="s">
        <v>185</v>
      </c>
      <c r="B108" s="2" t="s">
        <v>282</v>
      </c>
      <c r="C108" s="2" t="s">
        <v>283</v>
      </c>
      <c r="D108" s="2" t="s">
        <v>188</v>
      </c>
      <c r="E108" s="2" t="s">
        <v>189</v>
      </c>
      <c r="F108" s="5">
        <f>IFERROR(INDEX(Baseline_Entry!$P:$P,MATCH($B108,Baseline_Entry!$B:$B,0)),"")</f>
        <v>84.24225352112677</v>
      </c>
      <c r="G108" s="5" t="str">
        <f t="shared" si="3"/>
        <v>Yes</v>
      </c>
      <c r="H108" s="5">
        <v>80.559999999999988</v>
      </c>
      <c r="I108" s="5">
        <v>95.652000000000001</v>
      </c>
      <c r="J108" s="5">
        <v>15.092000000000009</v>
      </c>
      <c r="K108" s="5">
        <v>79.849999999999994</v>
      </c>
      <c r="L108" s="5">
        <v>92.38</v>
      </c>
      <c r="M108" s="5">
        <v>12.53</v>
      </c>
      <c r="N108" s="5">
        <v>81.849999999999994</v>
      </c>
      <c r="O108" s="5">
        <v>96.38</v>
      </c>
      <c r="P108" s="5">
        <v>14.53</v>
      </c>
      <c r="Q108" s="5">
        <v>86</v>
      </c>
      <c r="R108" s="5">
        <v>93</v>
      </c>
      <c r="S108" s="5">
        <v>7</v>
      </c>
      <c r="T108" s="5">
        <v>90</v>
      </c>
      <c r="U108" s="5">
        <v>97</v>
      </c>
      <c r="V108" s="5">
        <v>7</v>
      </c>
      <c r="W108" s="5">
        <v>65.099999999999994</v>
      </c>
      <c r="X108" s="5">
        <v>99.5</v>
      </c>
      <c r="Y108" s="5">
        <v>34.400000000000013</v>
      </c>
      <c r="Z108" s="2" t="str">
        <f t="shared" si="5"/>
        <v>Low starter</v>
      </c>
      <c r="AA108" s="2" t="s">
        <v>65</v>
      </c>
      <c r="AB108" s="2" t="s">
        <v>66</v>
      </c>
      <c r="AC108" s="2">
        <v>1</v>
      </c>
      <c r="AD108" s="2" t="str">
        <f>IFERROR(INDEX(University_Exit!$D:$D,MATCH($B108,University_Exit!$B:$B,0)),"")</f>
        <v>Northumbria University</v>
      </c>
      <c r="AE108" s="2" t="str">
        <f>IFERROR(INDEX(University_Exit!$F:$F,MATCH($B108,University_Exit!$B:$B,0)),"")</f>
        <v>Networking/Cyber Security</v>
      </c>
      <c r="AF108" s="2" t="str">
        <f>IFERROR(INDEX(University_Exit!$L:$L,MATCH($B108,University_Exit!$B:$B,0)),"")</f>
        <v>No</v>
      </c>
      <c r="AG108" s="2">
        <f>IFERROR(INDEX(University_Exit!$H:$H,MATCH($B108,University_Exit!$B:$B,0)),"")</f>
        <v>95.9</v>
      </c>
      <c r="AH108" s="6">
        <f>IFERROR(INDEX(University_Exit!$K:$K,MATCH($B108,University_Exit!$B:$B,0)),"")</f>
        <v>930</v>
      </c>
      <c r="AI108" s="2" t="str">
        <f>IFERROR(INDEX(University_Exit!$G:$G,MATCH($B108,University_Exit!$B:$B,0)),"")</f>
        <v>Qatar Energy</v>
      </c>
      <c r="AJ108">
        <f>IFERROR(INDEX(Baseline_Entry!$N:$N,MATCH($B108,Baseline_Entry!$B:$B,0)),"")</f>
        <v>101</v>
      </c>
      <c r="AK108">
        <f>IFERROR(INDEX(Cognitive_Profile!$E:$E,MATCH($B108,Cognitive_Profile!$B:$B,0)),"")</f>
        <v>101</v>
      </c>
      <c r="AL108">
        <f t="shared" si="4"/>
        <v>0</v>
      </c>
      <c r="AM108">
        <f>IFERROR(INDEX(Participation_By_Student!$D:$D,MATCH($B108,Participation_By_Student!$B:$B,0)),"")</f>
        <v>3</v>
      </c>
      <c r="AN108">
        <f>IFERROR(INDEX(Participation_By_Student!$E:$E,MATCH($B108,Participation_By_Student!$B:$B,0)),"")</f>
        <v>10</v>
      </c>
      <c r="AO108">
        <f>IFERROR(INDEX(Participation_By_Student!$F:$F,MATCH($B108,Participation_By_Student!$B:$B,0)),"")</f>
        <v>6</v>
      </c>
      <c r="AP108">
        <f>IFERROR(INDEX(Participation_By_Student!$G:$G,MATCH($B108,Participation_By_Student!$B:$B,0)),"")</f>
        <v>10</v>
      </c>
    </row>
    <row r="109" spans="1:42" x14ac:dyDescent="0.3">
      <c r="A109" s="2" t="s">
        <v>185</v>
      </c>
      <c r="B109" s="2" t="s">
        <v>284</v>
      </c>
      <c r="C109" s="2" t="s">
        <v>285</v>
      </c>
      <c r="D109" s="2" t="s">
        <v>188</v>
      </c>
      <c r="E109" s="2" t="s">
        <v>189</v>
      </c>
      <c r="F109" s="5">
        <f>IFERROR(INDEX(Baseline_Entry!$P:$P,MATCH($B109,Baseline_Entry!$B:$B,0)),"")</f>
        <v>84.769953051643185</v>
      </c>
      <c r="G109" s="5" t="str">
        <f t="shared" si="3"/>
        <v>Yes</v>
      </c>
      <c r="H109" s="5">
        <v>90.072000000000003</v>
      </c>
      <c r="I109" s="5">
        <v>96.623999999999995</v>
      </c>
      <c r="J109" s="5">
        <v>6.5519999999999916</v>
      </c>
      <c r="K109" s="5">
        <v>90.23</v>
      </c>
      <c r="L109" s="5">
        <v>92.56</v>
      </c>
      <c r="M109" s="5">
        <v>2.3299999999999979</v>
      </c>
      <c r="N109" s="5">
        <v>92.23</v>
      </c>
      <c r="O109" s="5">
        <v>97.56</v>
      </c>
      <c r="P109" s="5">
        <v>5.3299999999999983</v>
      </c>
      <c r="Q109" s="5">
        <v>92.5</v>
      </c>
      <c r="R109" s="5">
        <v>96</v>
      </c>
      <c r="S109" s="5">
        <v>3.5</v>
      </c>
      <c r="T109" s="5">
        <v>89</v>
      </c>
      <c r="U109" s="5">
        <v>98</v>
      </c>
      <c r="V109" s="5">
        <v>9</v>
      </c>
      <c r="W109" s="5">
        <v>86.4</v>
      </c>
      <c r="X109" s="5">
        <v>99</v>
      </c>
      <c r="Y109" s="5">
        <v>12.599999999999991</v>
      </c>
      <c r="Z109" s="2" t="str">
        <f t="shared" si="5"/>
        <v>Low starter</v>
      </c>
      <c r="AA109" s="2" t="s">
        <v>66</v>
      </c>
      <c r="AB109" s="2" t="s">
        <v>66</v>
      </c>
      <c r="AC109" s="2">
        <v>0</v>
      </c>
      <c r="AD109" s="2" t="str">
        <f>IFERROR(INDEX(University_Exit!$D:$D,MATCH($B109,University_Exit!$B:$B,0)),"")</f>
        <v>Qatar University</v>
      </c>
      <c r="AE109" s="2" t="str">
        <f>IFERROR(INDEX(University_Exit!$F:$F,MATCH($B109,University_Exit!$B:$B,0)),"")</f>
        <v>Medicine</v>
      </c>
      <c r="AF109" s="2" t="str">
        <f>IFERROR(INDEX(University_Exit!$L:$L,MATCH($B109,University_Exit!$B:$B,0)),"")</f>
        <v>Yes</v>
      </c>
      <c r="AG109" s="2">
        <f>IFERROR(INDEX(University_Exit!$H:$H,MATCH($B109,University_Exit!$B:$B,0)),"")</f>
        <v>97.5</v>
      </c>
      <c r="AH109" s="6">
        <f>IFERROR(INDEX(University_Exit!$K:$K,MATCH($B109,University_Exit!$B:$B,0)),"")</f>
        <v>930</v>
      </c>
      <c r="AI109" s="2" t="str">
        <f>IFERROR(INDEX(University_Exit!$G:$G,MATCH($B109,University_Exit!$B:$B,0)),"")</f>
        <v>Ministry of Education</v>
      </c>
      <c r="AJ109">
        <f>IFERROR(INDEX(Baseline_Entry!$N:$N,MATCH($B109,Baseline_Entry!$B:$B,0)),"")</f>
        <v>97</v>
      </c>
      <c r="AK109">
        <f>IFERROR(INDEX(Cognitive_Profile!$E:$E,MATCH($B109,Cognitive_Profile!$B:$B,0)),"")</f>
        <v>97</v>
      </c>
      <c r="AL109">
        <f t="shared" si="4"/>
        <v>0</v>
      </c>
      <c r="AM109">
        <f>IFERROR(INDEX(Participation_By_Student!$D:$D,MATCH($B109,Participation_By_Student!$B:$B,0)),"")</f>
        <v>2</v>
      </c>
      <c r="AN109">
        <f>IFERROR(INDEX(Participation_By_Student!$E:$E,MATCH($B109,Participation_By_Student!$B:$B,0)),"")</f>
        <v>2</v>
      </c>
      <c r="AO109">
        <f>IFERROR(INDEX(Participation_By_Student!$F:$F,MATCH($B109,Participation_By_Student!$B:$B,0)),"")</f>
        <v>0</v>
      </c>
      <c r="AP109">
        <f>IFERROR(INDEX(Participation_By_Student!$G:$G,MATCH($B109,Participation_By_Student!$B:$B,0)),"")</f>
        <v>2</v>
      </c>
    </row>
    <row r="110" spans="1:42" x14ac:dyDescent="0.3">
      <c r="A110" s="2" t="s">
        <v>185</v>
      </c>
      <c r="B110" s="2" t="s">
        <v>286</v>
      </c>
      <c r="C110" s="2" t="s">
        <v>287</v>
      </c>
      <c r="D110" s="2" t="s">
        <v>188</v>
      </c>
      <c r="E110" s="2" t="s">
        <v>189</v>
      </c>
      <c r="F110" s="5">
        <f>IFERROR(INDEX(Baseline_Entry!$P:$P,MATCH($B110,Baseline_Entry!$B:$B,0)),"")</f>
        <v>66.796244131455396</v>
      </c>
      <c r="G110" s="5" t="str">
        <f t="shared" si="3"/>
        <v>Yes</v>
      </c>
      <c r="H110" s="5">
        <v>81.707999999999998</v>
      </c>
      <c r="I110" s="5">
        <v>78.775999999999996</v>
      </c>
      <c r="J110" s="5">
        <v>-2.9320000000000022</v>
      </c>
      <c r="K110" s="5">
        <v>81.92</v>
      </c>
      <c r="L110" s="5">
        <v>78.69</v>
      </c>
      <c r="M110" s="5">
        <v>-3.230000000000004</v>
      </c>
      <c r="N110" s="5">
        <v>84.92</v>
      </c>
      <c r="O110" s="5">
        <v>79.69</v>
      </c>
      <c r="P110" s="5">
        <v>-5.230000000000004</v>
      </c>
      <c r="Q110" s="5">
        <v>77</v>
      </c>
      <c r="R110" s="5">
        <v>84</v>
      </c>
      <c r="S110" s="5">
        <v>7</v>
      </c>
      <c r="T110" s="5">
        <v>82.5</v>
      </c>
      <c r="U110" s="5">
        <v>69.5</v>
      </c>
      <c r="V110" s="5">
        <v>-13</v>
      </c>
      <c r="W110" s="5">
        <v>82.2</v>
      </c>
      <c r="X110" s="5">
        <v>82</v>
      </c>
      <c r="Y110" s="5">
        <v>-0.20000000000000279</v>
      </c>
      <c r="Z110" s="2" t="str">
        <f t="shared" si="5"/>
        <v>Middle starter</v>
      </c>
      <c r="AA110" s="2" t="s">
        <v>65</v>
      </c>
      <c r="AB110" s="2" t="s">
        <v>99</v>
      </c>
      <c r="AC110" s="2">
        <v>-1</v>
      </c>
      <c r="AD110" s="2" t="str">
        <f>IFERROR(INDEX(University_Exit!$D:$D,MATCH($B110,University_Exit!$B:$B,0)),"")</f>
        <v>Qatar University</v>
      </c>
      <c r="AE110" s="2" t="str">
        <f>IFERROR(INDEX(University_Exit!$F:$F,MATCH($B110,University_Exit!$B:$B,0)),"")</f>
        <v>Mechanical engineering</v>
      </c>
      <c r="AF110" s="2" t="str">
        <f>IFERROR(INDEX(University_Exit!$L:$L,MATCH($B110,University_Exit!$B:$B,0)),"")</f>
        <v>Yes</v>
      </c>
      <c r="AG110" s="2">
        <f>IFERROR(INDEX(University_Exit!$H:$H,MATCH($B110,University_Exit!$B:$B,0)),"")</f>
        <v>93.7</v>
      </c>
      <c r="AH110" s="6">
        <f>IFERROR(INDEX(University_Exit!$K:$K,MATCH($B110,University_Exit!$B:$B,0)),"")</f>
        <v>850</v>
      </c>
      <c r="AI110" s="2" t="str">
        <f>IFERROR(INDEX(University_Exit!$G:$G,MATCH($B110,University_Exit!$B:$B,0)),"")</f>
        <v>لا يوجد</v>
      </c>
      <c r="AJ110">
        <f>IFERROR(INDEX(Baseline_Entry!$N:$N,MATCH($B110,Baseline_Entry!$B:$B,0)),"")</f>
        <v>92</v>
      </c>
      <c r="AK110">
        <f>IFERROR(INDEX(Cognitive_Profile!$E:$E,MATCH($B110,Cognitive_Profile!$B:$B,0)),"")</f>
        <v>92</v>
      </c>
      <c r="AL110">
        <f t="shared" si="4"/>
        <v>0</v>
      </c>
      <c r="AM110">
        <f>IFERROR(INDEX(Participation_By_Student!$D:$D,MATCH($B110,Participation_By_Student!$B:$B,0)),"")</f>
        <v>1</v>
      </c>
      <c r="AN110">
        <f>IFERROR(INDEX(Participation_By_Student!$E:$E,MATCH($B110,Participation_By_Student!$B:$B,0)),"")</f>
        <v>2</v>
      </c>
      <c r="AO110">
        <f>IFERROR(INDEX(Participation_By_Student!$F:$F,MATCH($B110,Participation_By_Student!$B:$B,0)),"")</f>
        <v>0</v>
      </c>
      <c r="AP110">
        <f>IFERROR(INDEX(Participation_By_Student!$G:$G,MATCH($B110,Participation_By_Student!$B:$B,0)),"")</f>
        <v>2</v>
      </c>
    </row>
    <row r="111" spans="1:42" x14ac:dyDescent="0.3">
      <c r="A111" s="2" t="s">
        <v>185</v>
      </c>
      <c r="B111" s="2" t="s">
        <v>288</v>
      </c>
      <c r="C111" s="2" t="s">
        <v>289</v>
      </c>
      <c r="D111" s="2" t="s">
        <v>188</v>
      </c>
      <c r="E111" s="2" t="s">
        <v>189</v>
      </c>
      <c r="F111" s="5">
        <f>IFERROR(INDEX(Baseline_Entry!$P:$P,MATCH($B111,Baseline_Entry!$B:$B,0)),"")</f>
        <v>75.511737089201873</v>
      </c>
      <c r="G111" s="5" t="str">
        <f t="shared" si="3"/>
        <v>Yes</v>
      </c>
      <c r="H111" s="5">
        <v>86.496000000000009</v>
      </c>
      <c r="I111" s="5">
        <v>97.451999999999998</v>
      </c>
      <c r="J111" s="5">
        <v>10.955999999999991</v>
      </c>
      <c r="K111" s="5">
        <v>86.54</v>
      </c>
      <c r="L111" s="5">
        <v>92.13</v>
      </c>
      <c r="M111" s="5">
        <v>5.5899999999999892</v>
      </c>
      <c r="N111" s="5">
        <v>88.54</v>
      </c>
      <c r="O111" s="5">
        <v>98.13</v>
      </c>
      <c r="P111" s="5">
        <v>9.5899999999999892</v>
      </c>
      <c r="Q111" s="5">
        <v>89</v>
      </c>
      <c r="R111" s="5">
        <v>98.5</v>
      </c>
      <c r="S111" s="5">
        <v>9.5</v>
      </c>
      <c r="T111" s="5">
        <v>89.5</v>
      </c>
      <c r="U111" s="5">
        <v>98.5</v>
      </c>
      <c r="V111" s="5">
        <v>9</v>
      </c>
      <c r="W111" s="5">
        <v>78.900000000000006</v>
      </c>
      <c r="X111" s="5">
        <v>100</v>
      </c>
      <c r="Y111" s="5">
        <v>21.099999999999991</v>
      </c>
      <c r="Z111" s="2" t="str">
        <f t="shared" si="5"/>
        <v>Low starter</v>
      </c>
      <c r="AA111" s="2" t="s">
        <v>65</v>
      </c>
      <c r="AB111" s="2" t="s">
        <v>66</v>
      </c>
      <c r="AC111" s="2">
        <v>1</v>
      </c>
      <c r="AD111" s="2" t="str">
        <f>IFERROR(INDEX(University_Exit!$D:$D,MATCH($B111,University_Exit!$B:$B,0)),"")</f>
        <v>DePaul University</v>
      </c>
      <c r="AE111" s="2" t="str">
        <f>IFERROR(INDEX(University_Exit!$F:$F,MATCH($B111,University_Exit!$B:$B,0)),"")</f>
        <v>Cyber Security</v>
      </c>
      <c r="AF111" s="2" t="str">
        <f>IFERROR(INDEX(University_Exit!$L:$L,MATCH($B111,University_Exit!$B:$B,0)),"")</f>
        <v>No</v>
      </c>
      <c r="AG111" s="2">
        <f>IFERROR(INDEX(University_Exit!$H:$H,MATCH($B111,University_Exit!$B:$B,0)),"")</f>
        <v>96.4</v>
      </c>
      <c r="AH111" s="6">
        <f>IFERROR(INDEX(University_Exit!$K:$K,MATCH($B111,University_Exit!$B:$B,0)),"")</f>
        <v>1090</v>
      </c>
      <c r="AI111" s="2" t="str">
        <f>IFERROR(INDEX(University_Exit!$G:$G,MATCH($B111,University_Exit!$B:$B,0)),"")</f>
        <v>الجيش</v>
      </c>
      <c r="AJ111">
        <f>IFERROR(INDEX(Baseline_Entry!$N:$N,MATCH($B111,Baseline_Entry!$B:$B,0)),"")</f>
        <v>103</v>
      </c>
      <c r="AK111">
        <f>IFERROR(INDEX(Cognitive_Profile!$E:$E,MATCH($B111,Cognitive_Profile!$B:$B,0)),"")</f>
        <v>103</v>
      </c>
      <c r="AL111">
        <f t="shared" si="4"/>
        <v>0</v>
      </c>
      <c r="AM111">
        <f>IFERROR(INDEX(Participation_By_Student!$D:$D,MATCH($B111,Participation_By_Student!$B:$B,0)),"")</f>
        <v>1</v>
      </c>
      <c r="AN111">
        <f>IFERROR(INDEX(Participation_By_Student!$E:$E,MATCH($B111,Participation_By_Student!$B:$B,0)),"")</f>
        <v>4</v>
      </c>
      <c r="AO111">
        <f>IFERROR(INDEX(Participation_By_Student!$F:$F,MATCH($B111,Participation_By_Student!$B:$B,0)),"")</f>
        <v>0</v>
      </c>
      <c r="AP111">
        <f>IFERROR(INDEX(Participation_By_Student!$G:$G,MATCH($B111,Participation_By_Student!$B:$B,0)),"")</f>
        <v>4</v>
      </c>
    </row>
    <row r="112" spans="1:42" x14ac:dyDescent="0.3">
      <c r="A112" s="2" t="s">
        <v>185</v>
      </c>
      <c r="B112" s="2" t="s">
        <v>290</v>
      </c>
      <c r="C112" s="2" t="s">
        <v>291</v>
      </c>
      <c r="D112" s="2" t="s">
        <v>188</v>
      </c>
      <c r="E112" s="2" t="s">
        <v>189</v>
      </c>
      <c r="F112" s="5">
        <f>IFERROR(INDEX(Baseline_Entry!$P:$P,MATCH($B112,Baseline_Entry!$B:$B,0)),"")</f>
        <v>90.978403755868541</v>
      </c>
      <c r="G112" s="5" t="str">
        <f t="shared" si="3"/>
        <v>Yes</v>
      </c>
      <c r="H112" s="5">
        <v>92.948000000000008</v>
      </c>
      <c r="I112" s="5">
        <v>96.3</v>
      </c>
      <c r="J112" s="5">
        <v>3.3519999999999901</v>
      </c>
      <c r="K112" s="5">
        <v>89.42</v>
      </c>
      <c r="L112" s="5">
        <v>92.5</v>
      </c>
      <c r="M112" s="5">
        <v>3.0799999999999979</v>
      </c>
      <c r="N112" s="5">
        <v>94.42</v>
      </c>
      <c r="O112" s="5">
        <v>97.5</v>
      </c>
      <c r="P112" s="5">
        <v>3.0799999999999979</v>
      </c>
      <c r="Q112" s="5">
        <v>95.5</v>
      </c>
      <c r="R112" s="5">
        <v>94</v>
      </c>
      <c r="S112" s="5">
        <v>-1.5</v>
      </c>
      <c r="T112" s="5">
        <v>94</v>
      </c>
      <c r="U112" s="5">
        <v>97.5</v>
      </c>
      <c r="V112" s="5">
        <v>3.5</v>
      </c>
      <c r="W112" s="5">
        <v>91.4</v>
      </c>
      <c r="X112" s="5">
        <v>100</v>
      </c>
      <c r="Y112" s="5">
        <v>8.5999999999999943</v>
      </c>
      <c r="Z112" s="2" t="str">
        <f t="shared" si="5"/>
        <v>Low starter</v>
      </c>
      <c r="AA112" s="2" t="s">
        <v>66</v>
      </c>
      <c r="AB112" s="2" t="s">
        <v>66</v>
      </c>
      <c r="AC112" s="2">
        <v>0</v>
      </c>
      <c r="AD112" s="2" t="str">
        <f>IFERROR(INDEX(University_Exit!$D:$D,MATCH($B112,University_Exit!$B:$B,0)),"")</f>
        <v>Qatar University</v>
      </c>
      <c r="AE112" s="2" t="str">
        <f>IFERROR(INDEX(University_Exit!$F:$F,MATCH($B112,University_Exit!$B:$B,0)),"")</f>
        <v>Medicine</v>
      </c>
      <c r="AF112" s="2" t="str">
        <f>IFERROR(INDEX(University_Exit!$L:$L,MATCH($B112,University_Exit!$B:$B,0)),"")</f>
        <v>Yes</v>
      </c>
      <c r="AG112" s="2">
        <f>IFERROR(INDEX(University_Exit!$H:$H,MATCH($B112,University_Exit!$B:$B,0)),"")</f>
        <v>91.8</v>
      </c>
      <c r="AH112" s="6">
        <f>IFERROR(INDEX(University_Exit!$K:$K,MATCH($B112,University_Exit!$B:$B,0)),"")</f>
        <v>1140</v>
      </c>
      <c r="AI112" s="2" t="str">
        <f>IFERROR(INDEX(University_Exit!$G:$G,MATCH($B112,University_Exit!$B:$B,0)),"")</f>
        <v>Ministry of Education</v>
      </c>
      <c r="AJ112">
        <f>IFERROR(INDEX(Baseline_Entry!$N:$N,MATCH($B112,Baseline_Entry!$B:$B,0)),"")</f>
        <v>103</v>
      </c>
      <c r="AK112">
        <f>IFERROR(INDEX(Cognitive_Profile!$E:$E,MATCH($B112,Cognitive_Profile!$B:$B,0)),"")</f>
        <v>103</v>
      </c>
      <c r="AL112">
        <f t="shared" si="4"/>
        <v>0</v>
      </c>
      <c r="AM112">
        <f>IFERROR(INDEX(Participation_By_Student!$D:$D,MATCH($B112,Participation_By_Student!$B:$B,0)),"")</f>
        <v>1</v>
      </c>
      <c r="AN112">
        <f>IFERROR(INDEX(Participation_By_Student!$E:$E,MATCH($B112,Participation_By_Student!$B:$B,0)),"")</f>
        <v>1</v>
      </c>
      <c r="AO112">
        <f>IFERROR(INDEX(Participation_By_Student!$F:$F,MATCH($B112,Participation_By_Student!$B:$B,0)),"")</f>
        <v>0</v>
      </c>
      <c r="AP112">
        <f>IFERROR(INDEX(Participation_By_Student!$G:$G,MATCH($B112,Participation_By_Student!$B:$B,0)),"")</f>
        <v>1</v>
      </c>
    </row>
    <row r="113" spans="1:42" x14ac:dyDescent="0.3">
      <c r="A113" s="2" t="s">
        <v>185</v>
      </c>
      <c r="B113" s="2" t="s">
        <v>292</v>
      </c>
      <c r="C113" s="2" t="s">
        <v>293</v>
      </c>
      <c r="D113" s="2" t="s">
        <v>188</v>
      </c>
      <c r="E113" s="2" t="s">
        <v>189</v>
      </c>
      <c r="F113" s="5">
        <f>IFERROR(INDEX(Baseline_Entry!$P:$P,MATCH($B113,Baseline_Entry!$B:$B,0)),"")</f>
        <v>71.984976525821594</v>
      </c>
      <c r="G113" s="5" t="str">
        <f t="shared" si="3"/>
        <v>Yes</v>
      </c>
      <c r="H113" s="5">
        <v>69.484000000000009</v>
      </c>
      <c r="I113" s="5">
        <v>91.6</v>
      </c>
      <c r="J113" s="5">
        <v>22.115999999999989</v>
      </c>
      <c r="K113" s="5">
        <v>74.11</v>
      </c>
      <c r="L113" s="5">
        <v>91.75</v>
      </c>
      <c r="M113" s="5">
        <v>17.64</v>
      </c>
      <c r="N113" s="5">
        <v>74.11</v>
      </c>
      <c r="O113" s="5">
        <v>91.75</v>
      </c>
      <c r="P113" s="5">
        <v>17.64</v>
      </c>
      <c r="Q113" s="5">
        <v>60.5</v>
      </c>
      <c r="R113" s="5">
        <v>85</v>
      </c>
      <c r="S113" s="5">
        <v>24.5</v>
      </c>
      <c r="T113" s="5">
        <v>66.5</v>
      </c>
      <c r="U113" s="5">
        <v>92.5</v>
      </c>
      <c r="V113" s="5">
        <v>26</v>
      </c>
      <c r="W113" s="5">
        <v>72.2</v>
      </c>
      <c r="X113" s="5">
        <v>97</v>
      </c>
      <c r="Y113" s="5">
        <v>24.8</v>
      </c>
      <c r="Z113" s="2" t="str">
        <f t="shared" si="5"/>
        <v>Low starter</v>
      </c>
      <c r="AA113" s="2" t="s">
        <v>120</v>
      </c>
      <c r="AB113" s="2" t="s">
        <v>66</v>
      </c>
      <c r="AC113" s="2">
        <v>3</v>
      </c>
      <c r="AD113" s="2" t="str">
        <f>IFERROR(INDEX(University_Exit!$D:$D,MATCH($B113,University_Exit!$B:$B,0)),"")</f>
        <v>Qatar University</v>
      </c>
      <c r="AE113" s="2" t="str">
        <f>IFERROR(INDEX(University_Exit!$F:$F,MATCH($B113,University_Exit!$B:$B,0)),"")</f>
        <v>Mechanical engineering</v>
      </c>
      <c r="AF113" s="2" t="str">
        <f>IFERROR(INDEX(University_Exit!$L:$L,MATCH($B113,University_Exit!$B:$B,0)),"")</f>
        <v>Yes</v>
      </c>
      <c r="AG113" s="2">
        <f>IFERROR(INDEX(University_Exit!$H:$H,MATCH($B113,University_Exit!$B:$B,0)),"")</f>
        <v>79.7</v>
      </c>
      <c r="AH113" s="6">
        <f>IFERROR(INDEX(University_Exit!$K:$K,MATCH($B113,University_Exit!$B:$B,0)),"")</f>
        <v>900</v>
      </c>
      <c r="AI113" s="2" t="str">
        <f>IFERROR(INDEX(University_Exit!$G:$G,MATCH($B113,University_Exit!$B:$B,0)),"")</f>
        <v>لا يوجد</v>
      </c>
      <c r="AJ113">
        <f>IFERROR(INDEX(Baseline_Entry!$N:$N,MATCH($B113,Baseline_Entry!$B:$B,0)),"")</f>
        <v>84</v>
      </c>
      <c r="AK113">
        <f>IFERROR(INDEX(Cognitive_Profile!$E:$E,MATCH($B113,Cognitive_Profile!$B:$B,0)),"")</f>
        <v>84</v>
      </c>
      <c r="AL113">
        <f t="shared" si="4"/>
        <v>0</v>
      </c>
      <c r="AM113">
        <f>IFERROR(INDEX(Participation_By_Student!$D:$D,MATCH($B113,Participation_By_Student!$B:$B,0)),"")</f>
        <v>1</v>
      </c>
      <c r="AN113">
        <f>IFERROR(INDEX(Participation_By_Student!$E:$E,MATCH($B113,Participation_By_Student!$B:$B,0)),"")</f>
        <v>1</v>
      </c>
      <c r="AO113">
        <f>IFERROR(INDEX(Participation_By_Student!$F:$F,MATCH($B113,Participation_By_Student!$B:$B,0)),"")</f>
        <v>0</v>
      </c>
      <c r="AP113">
        <f>IFERROR(INDEX(Participation_By_Student!$G:$G,MATCH($B113,Participation_By_Student!$B:$B,0)),"")</f>
        <v>1</v>
      </c>
    </row>
    <row r="114" spans="1:42" x14ac:dyDescent="0.3">
      <c r="A114" s="2" t="s">
        <v>185</v>
      </c>
      <c r="B114" s="2" t="s">
        <v>294</v>
      </c>
      <c r="C114" s="2" t="s">
        <v>295</v>
      </c>
      <c r="D114" s="2" t="s">
        <v>188</v>
      </c>
      <c r="E114" s="2" t="s">
        <v>189</v>
      </c>
      <c r="F114" s="5">
        <f>IFERROR(INDEX(Baseline_Entry!$P:$P,MATCH($B114,Baseline_Entry!$B:$B,0)),"")</f>
        <v>95.117370892018769</v>
      </c>
      <c r="G114" s="5" t="str">
        <f t="shared" si="3"/>
        <v>Yes</v>
      </c>
      <c r="H114" s="5">
        <v>70.548000000000002</v>
      </c>
      <c r="I114" s="5">
        <v>92.924000000000007</v>
      </c>
      <c r="J114" s="5">
        <v>22.376000000000001</v>
      </c>
      <c r="K114" s="5">
        <v>68.27</v>
      </c>
      <c r="L114" s="5">
        <v>86.31</v>
      </c>
      <c r="M114" s="5">
        <v>18.04000000000001</v>
      </c>
      <c r="N114" s="5">
        <v>74.27</v>
      </c>
      <c r="O114" s="5">
        <v>92.31</v>
      </c>
      <c r="P114" s="5">
        <v>18.04000000000001</v>
      </c>
      <c r="Q114" s="5">
        <v>76</v>
      </c>
      <c r="R114" s="5">
        <v>95.5</v>
      </c>
      <c r="S114" s="5">
        <v>19.5</v>
      </c>
      <c r="T114" s="5">
        <v>70.5</v>
      </c>
      <c r="U114" s="5">
        <v>94.5</v>
      </c>
      <c r="V114" s="5">
        <v>24</v>
      </c>
      <c r="W114" s="5">
        <v>63.7</v>
      </c>
      <c r="X114" s="5">
        <v>96</v>
      </c>
      <c r="Y114" s="5">
        <v>32.299999999999997</v>
      </c>
      <c r="Z114" s="2" t="str">
        <f t="shared" si="5"/>
        <v>Middle starter</v>
      </c>
      <c r="AA114" s="2" t="s">
        <v>99</v>
      </c>
      <c r="AB114" s="2" t="s">
        <v>66</v>
      </c>
      <c r="AC114" s="2">
        <v>2</v>
      </c>
      <c r="AD114" s="2" t="str">
        <f>IFERROR(INDEX(University_Exit!$D:$D,MATCH($B114,University_Exit!$B:$B,0)),"")</f>
        <v>Carnegie Mellon University Qatar</v>
      </c>
      <c r="AE114" s="2" t="str">
        <f>IFERROR(INDEX(University_Exit!$F:$F,MATCH($B114,University_Exit!$B:$B,0)),"")</f>
        <v>Information Technology</v>
      </c>
      <c r="AF114" s="2" t="str">
        <f>IFERROR(INDEX(University_Exit!$L:$L,MATCH($B114,University_Exit!$B:$B,0)),"")</f>
        <v>Yes</v>
      </c>
      <c r="AG114" s="2">
        <f>IFERROR(INDEX(University_Exit!$H:$H,MATCH($B114,University_Exit!$B:$B,0)),"")</f>
        <v>98.4</v>
      </c>
      <c r="AH114" s="6">
        <f>IFERROR(INDEX(University_Exit!$K:$K,MATCH($B114,University_Exit!$B:$B,0)),"")</f>
        <v>1200</v>
      </c>
      <c r="AI114" s="2" t="str">
        <f>IFERROR(INDEX(University_Exit!$G:$G,MATCH($B114,University_Exit!$B:$B,0)),"")</f>
        <v>Ministry of Education</v>
      </c>
      <c r="AJ114">
        <f>IFERROR(INDEX(Baseline_Entry!$N:$N,MATCH($B114,Baseline_Entry!$B:$B,0)),"")</f>
        <v>107</v>
      </c>
      <c r="AK114">
        <f>IFERROR(INDEX(Cognitive_Profile!$E:$E,MATCH($B114,Cognitive_Profile!$B:$B,0)),"")</f>
        <v>107</v>
      </c>
      <c r="AL114">
        <f t="shared" si="4"/>
        <v>0</v>
      </c>
      <c r="AM114">
        <f>IFERROR(INDEX(Participation_By_Student!$D:$D,MATCH($B114,Participation_By_Student!$B:$B,0)),"")</f>
        <v>1</v>
      </c>
      <c r="AN114">
        <f>IFERROR(INDEX(Participation_By_Student!$E:$E,MATCH($B114,Participation_By_Student!$B:$B,0)),"")</f>
        <v>1</v>
      </c>
      <c r="AO114">
        <f>IFERROR(INDEX(Participation_By_Student!$F:$F,MATCH($B114,Participation_By_Student!$B:$B,0)),"")</f>
        <v>0</v>
      </c>
      <c r="AP114">
        <f>IFERROR(INDEX(Participation_By_Student!$G:$G,MATCH($B114,Participation_By_Student!$B:$B,0)),"")</f>
        <v>1</v>
      </c>
    </row>
    <row r="115" spans="1:42" x14ac:dyDescent="0.3">
      <c r="A115" s="2" t="s">
        <v>185</v>
      </c>
      <c r="B115" s="2" t="s">
        <v>296</v>
      </c>
      <c r="C115" s="2" t="s">
        <v>297</v>
      </c>
      <c r="D115" s="2" t="s">
        <v>188</v>
      </c>
      <c r="E115" s="2" t="s">
        <v>189</v>
      </c>
      <c r="F115" s="5">
        <f>IFERROR(INDEX(Baseline_Entry!$P:$P,MATCH($B115,Baseline_Entry!$B:$B,0)),"")</f>
        <v>82.876995305164314</v>
      </c>
      <c r="G115" s="5" t="str">
        <f t="shared" si="3"/>
        <v>Yes</v>
      </c>
      <c r="H115" s="5">
        <v>87.268000000000001</v>
      </c>
      <c r="I115" s="5">
        <v>96.751999999999995</v>
      </c>
      <c r="J115" s="5">
        <v>9.4839999999999947</v>
      </c>
      <c r="K115" s="5">
        <v>86.77</v>
      </c>
      <c r="L115" s="5">
        <v>92.88</v>
      </c>
      <c r="M115" s="5">
        <v>6.1099999999999994</v>
      </c>
      <c r="N115" s="5">
        <v>89.77</v>
      </c>
      <c r="O115" s="5">
        <v>95.88</v>
      </c>
      <c r="P115" s="5">
        <v>6.1099999999999994</v>
      </c>
      <c r="Q115" s="5">
        <v>91.5</v>
      </c>
      <c r="R115" s="5">
        <v>97</v>
      </c>
      <c r="S115" s="5">
        <v>5.5</v>
      </c>
      <c r="T115" s="5">
        <v>84</v>
      </c>
      <c r="U115" s="5">
        <v>98.5</v>
      </c>
      <c r="V115" s="5">
        <v>14.5</v>
      </c>
      <c r="W115" s="5">
        <v>84.3</v>
      </c>
      <c r="X115" s="5">
        <v>99.5</v>
      </c>
      <c r="Y115" s="5">
        <v>15.2</v>
      </c>
      <c r="Z115" s="2" t="str">
        <f t="shared" si="5"/>
        <v>High starter</v>
      </c>
      <c r="AA115" s="2" t="s">
        <v>65</v>
      </c>
      <c r="AB115" s="2" t="s">
        <v>66</v>
      </c>
      <c r="AC115" s="2">
        <v>1</v>
      </c>
      <c r="AD115" s="2" t="str">
        <f>IFERROR(INDEX(University_Exit!$D:$D,MATCH($B115,University_Exit!$B:$B,0)),"")</f>
        <v>الكلية العسكرية</v>
      </c>
      <c r="AE115" s="2" t="str">
        <f>IFERROR(INDEX(University_Exit!$F:$F,MATCH($B115,University_Exit!$B:$B,0)),"")</f>
        <v>مرشح ضابط</v>
      </c>
      <c r="AF115" s="2" t="str">
        <f>IFERROR(INDEX(University_Exit!$L:$L,MATCH($B115,University_Exit!$B:$B,0)),"")</f>
        <v>No</v>
      </c>
      <c r="AG115" s="2">
        <f>IFERROR(INDEX(University_Exit!$H:$H,MATCH($B115,University_Exit!$B:$B,0)),"")</f>
        <v>93.6</v>
      </c>
      <c r="AH115" s="6">
        <f>IFERROR(INDEX(University_Exit!$K:$K,MATCH($B115,University_Exit!$B:$B,0)),"")</f>
        <v>1030</v>
      </c>
      <c r="AI115" s="2" t="str">
        <f>IFERROR(INDEX(University_Exit!$G:$G,MATCH($B115,University_Exit!$B:$B,0)),"")</f>
        <v>وزارة الدفاع</v>
      </c>
      <c r="AJ115">
        <f>IFERROR(INDEX(Baseline_Entry!$N:$N,MATCH($B115,Baseline_Entry!$B:$B,0)),"")</f>
        <v>102</v>
      </c>
      <c r="AK115">
        <f>IFERROR(INDEX(Cognitive_Profile!$E:$E,MATCH($B115,Cognitive_Profile!$B:$B,0)),"")</f>
        <v>102</v>
      </c>
      <c r="AL115">
        <f t="shared" si="4"/>
        <v>0</v>
      </c>
      <c r="AM115">
        <f>IFERROR(INDEX(Participation_By_Student!$D:$D,MATCH($B115,Participation_By_Student!$B:$B,0)),"")</f>
        <v>2</v>
      </c>
      <c r="AN115">
        <f>IFERROR(INDEX(Participation_By_Student!$E:$E,MATCH($B115,Participation_By_Student!$B:$B,0)),"")</f>
        <v>2</v>
      </c>
      <c r="AO115">
        <f>IFERROR(INDEX(Participation_By_Student!$F:$F,MATCH($B115,Participation_By_Student!$B:$B,0)),"")</f>
        <v>1</v>
      </c>
      <c r="AP115">
        <f>IFERROR(INDEX(Participation_By_Student!$G:$G,MATCH($B115,Participation_By_Student!$B:$B,0)),"")</f>
        <v>2</v>
      </c>
    </row>
    <row r="116" spans="1:42" x14ac:dyDescent="0.3">
      <c r="A116" s="2" t="s">
        <v>298</v>
      </c>
      <c r="B116" s="2" t="s">
        <v>299</v>
      </c>
      <c r="C116" s="2" t="s">
        <v>300</v>
      </c>
      <c r="D116" s="2" t="s">
        <v>301</v>
      </c>
      <c r="E116" s="2" t="s">
        <v>302</v>
      </c>
      <c r="F116" s="5">
        <f>IFERROR(INDEX(Baseline_Entry!$P:$P,MATCH($B116,Baseline_Entry!$B:$B,0)),"")</f>
        <v>59.645070422535213</v>
      </c>
      <c r="G116" s="5" t="str">
        <f t="shared" si="3"/>
        <v>Yes</v>
      </c>
      <c r="H116" s="5">
        <v>83.404000000000011</v>
      </c>
      <c r="I116" s="5">
        <v>89.6</v>
      </c>
      <c r="J116" s="5">
        <v>6.1959999999999837</v>
      </c>
      <c r="K116" s="5">
        <v>80.11</v>
      </c>
      <c r="L116" s="5">
        <v>88.5</v>
      </c>
      <c r="M116" s="5">
        <v>8.39</v>
      </c>
      <c r="N116" s="5">
        <v>86.11</v>
      </c>
      <c r="O116" s="5">
        <v>89.5</v>
      </c>
      <c r="P116" s="5">
        <v>3.390000000000001</v>
      </c>
      <c r="Q116" s="5">
        <v>91</v>
      </c>
      <c r="R116" s="5">
        <v>90</v>
      </c>
      <c r="S116" s="5">
        <v>-1</v>
      </c>
      <c r="T116" s="5">
        <v>82</v>
      </c>
      <c r="U116" s="5">
        <v>88.5</v>
      </c>
      <c r="V116" s="5">
        <v>6.5</v>
      </c>
      <c r="W116" s="5">
        <v>77.8</v>
      </c>
      <c r="X116" s="5">
        <v>91.5</v>
      </c>
      <c r="Y116" s="5">
        <v>13.7</v>
      </c>
      <c r="Z116" s="2" t="str">
        <f t="shared" si="5"/>
        <v>Low starter</v>
      </c>
      <c r="AA116" s="2" t="s">
        <v>65</v>
      </c>
      <c r="AB116" s="2" t="s">
        <v>65</v>
      </c>
      <c r="AC116" s="2">
        <v>0</v>
      </c>
      <c r="AD116" s="2" t="str">
        <f>IFERROR(INDEX(University_Exit!$D:$D,MATCH($B116,University_Exit!$B:$B,0)),"")</f>
        <v>University Of Birmingham</v>
      </c>
      <c r="AE116" s="2" t="str">
        <f>IFERROR(INDEX(University_Exit!$F:$F,MATCH($B116,University_Exit!$B:$B,0)),"")</f>
        <v>Electrical &amp; ُElectronic Engineering</v>
      </c>
      <c r="AF116" s="2" t="str">
        <f>IFERROR(INDEX(University_Exit!$L:$L,MATCH($B116,University_Exit!$B:$B,0)),"")</f>
        <v>Yes</v>
      </c>
      <c r="AG116" s="2">
        <f>IFERROR(INDEX(University_Exit!$H:$H,MATCH($B116,University_Exit!$B:$B,0)),"")</f>
        <v>89.5</v>
      </c>
      <c r="AH116" s="6">
        <f>IFERROR(INDEX(University_Exit!$K:$K,MATCH($B116,University_Exit!$B:$B,0)),"")</f>
        <v>980</v>
      </c>
      <c r="AI116" s="2" t="str">
        <f>IFERROR(INDEX(University_Exit!$G:$G,MATCH($B116,University_Exit!$B:$B,0)),"")</f>
        <v>Qatar Energy</v>
      </c>
      <c r="AJ116">
        <f>IFERROR(INDEX(Baseline_Entry!$N:$N,MATCH($B116,Baseline_Entry!$B:$B,0)),"")</f>
        <v>103</v>
      </c>
      <c r="AK116">
        <f>IFERROR(INDEX(Cognitive_Profile!$E:$E,MATCH($B116,Cognitive_Profile!$B:$B,0)),"")</f>
        <v>103</v>
      </c>
      <c r="AL116">
        <f t="shared" si="4"/>
        <v>0</v>
      </c>
      <c r="AM116">
        <f>IFERROR(INDEX(Participation_By_Student!$D:$D,MATCH($B116,Participation_By_Student!$B:$B,0)),"")</f>
        <v>4</v>
      </c>
      <c r="AN116">
        <f>IFERROR(INDEX(Participation_By_Student!$E:$E,MATCH($B116,Participation_By_Student!$B:$B,0)),"")</f>
        <v>7</v>
      </c>
      <c r="AO116">
        <f>IFERROR(INDEX(Participation_By_Student!$F:$F,MATCH($B116,Participation_By_Student!$B:$B,0)),"")</f>
        <v>4</v>
      </c>
      <c r="AP116">
        <f>IFERROR(INDEX(Participation_By_Student!$G:$G,MATCH($B116,Participation_By_Student!$B:$B,0)),"")</f>
        <v>7</v>
      </c>
    </row>
    <row r="117" spans="1:42" x14ac:dyDescent="0.3">
      <c r="A117" s="2" t="s">
        <v>298</v>
      </c>
      <c r="B117" s="2" t="s">
        <v>303</v>
      </c>
      <c r="C117" s="2" t="s">
        <v>304</v>
      </c>
      <c r="D117" s="2" t="s">
        <v>301</v>
      </c>
      <c r="E117" s="2" t="s">
        <v>302</v>
      </c>
      <c r="F117" s="5">
        <f>IFERROR(INDEX(Baseline_Entry!$P:$P,MATCH($B117,Baseline_Entry!$B:$B,0)),"")</f>
        <v>55.372769953051638</v>
      </c>
      <c r="G117" s="5" t="str">
        <f t="shared" si="3"/>
        <v>Yes</v>
      </c>
      <c r="H117" s="5">
        <v>88.603999999999999</v>
      </c>
      <c r="I117" s="5">
        <v>89.451999999999998</v>
      </c>
      <c r="J117" s="5">
        <v>0.84799999999999898</v>
      </c>
      <c r="K117" s="5">
        <v>88.26</v>
      </c>
      <c r="L117" s="5">
        <v>84.38</v>
      </c>
      <c r="M117" s="5">
        <v>-3.8800000000000101</v>
      </c>
      <c r="N117" s="5">
        <v>90.26</v>
      </c>
      <c r="O117" s="5">
        <v>90.38</v>
      </c>
      <c r="P117" s="5">
        <v>0.11999999999999029</v>
      </c>
      <c r="Q117" s="5">
        <v>83.5</v>
      </c>
      <c r="R117" s="5">
        <v>92</v>
      </c>
      <c r="S117" s="5">
        <v>8.5</v>
      </c>
      <c r="T117" s="5">
        <v>94.5</v>
      </c>
      <c r="U117" s="5">
        <v>90.5</v>
      </c>
      <c r="V117" s="5">
        <v>-4</v>
      </c>
      <c r="W117" s="5">
        <v>86.5</v>
      </c>
      <c r="X117" s="5">
        <v>90</v>
      </c>
      <c r="Y117" s="5">
        <v>3.5</v>
      </c>
      <c r="Z117" s="2" t="str">
        <f t="shared" si="5"/>
        <v>Middle starter</v>
      </c>
      <c r="AA117" s="2" t="s">
        <v>65</v>
      </c>
      <c r="AB117" s="2" t="s">
        <v>65</v>
      </c>
      <c r="AC117" s="2">
        <v>0</v>
      </c>
      <c r="AD117" s="2" t="str">
        <f>IFERROR(INDEX(University_Exit!$D:$D,MATCH($B117,University_Exit!$B:$B,0)),"")</f>
        <v>University of Nottingham</v>
      </c>
      <c r="AE117" s="2" t="str">
        <f>IFERROR(INDEX(University_Exit!$F:$F,MATCH($B117,University_Exit!$B:$B,0)),"")</f>
        <v>Electrical &amp; ُElectronic Engineering</v>
      </c>
      <c r="AF117" s="2" t="str">
        <f>IFERROR(INDEX(University_Exit!$L:$L,MATCH($B117,University_Exit!$B:$B,0)),"")</f>
        <v>Yes</v>
      </c>
      <c r="AG117" s="2">
        <f>IFERROR(INDEX(University_Exit!$H:$H,MATCH($B117,University_Exit!$B:$B,0)),"")</f>
        <v>90.38</v>
      </c>
      <c r="AH117" s="6">
        <f>IFERROR(INDEX(University_Exit!$K:$K,MATCH($B117,University_Exit!$B:$B,0)),"")</f>
        <v>930</v>
      </c>
      <c r="AI117" s="2" t="str">
        <f>IFERROR(INDEX(University_Exit!$G:$G,MATCH($B117,University_Exit!$B:$B,0)),"")</f>
        <v>Qatar Energy</v>
      </c>
      <c r="AJ117">
        <f>IFERROR(INDEX(Baseline_Entry!$N:$N,MATCH($B117,Baseline_Entry!$B:$B,0)),"")</f>
        <v>99</v>
      </c>
      <c r="AK117">
        <f>IFERROR(INDEX(Cognitive_Profile!$E:$E,MATCH($B117,Cognitive_Profile!$B:$B,0)),"")</f>
        <v>99</v>
      </c>
      <c r="AL117">
        <f t="shared" si="4"/>
        <v>0</v>
      </c>
      <c r="AM117">
        <f>IFERROR(INDEX(Participation_By_Student!$D:$D,MATCH($B117,Participation_By_Student!$B:$B,0)),"")</f>
        <v>1</v>
      </c>
      <c r="AN117">
        <f>IFERROR(INDEX(Participation_By_Student!$E:$E,MATCH($B117,Participation_By_Student!$B:$B,0)),"")</f>
        <v>1</v>
      </c>
      <c r="AO117">
        <f>IFERROR(INDEX(Participation_By_Student!$F:$F,MATCH($B117,Participation_By_Student!$B:$B,0)),"")</f>
        <v>0</v>
      </c>
      <c r="AP117">
        <f>IFERROR(INDEX(Participation_By_Student!$G:$G,MATCH($B117,Participation_By_Student!$B:$B,0)),"")</f>
        <v>1</v>
      </c>
    </row>
    <row r="118" spans="1:42" x14ac:dyDescent="0.3">
      <c r="A118" s="2" t="s">
        <v>298</v>
      </c>
      <c r="B118" s="2" t="s">
        <v>305</v>
      </c>
      <c r="C118" s="2" t="s">
        <v>306</v>
      </c>
      <c r="D118" s="2" t="s">
        <v>301</v>
      </c>
      <c r="E118" s="2" t="s">
        <v>302</v>
      </c>
      <c r="F118" s="5">
        <f>IFERROR(INDEX(Baseline_Entry!$P:$P,MATCH($B118,Baseline_Entry!$B:$B,0)),"")</f>
        <v>64.279812206572771</v>
      </c>
      <c r="G118" s="5" t="str">
        <f t="shared" si="3"/>
        <v>Yes</v>
      </c>
      <c r="H118" s="5">
        <v>89.436000000000007</v>
      </c>
      <c r="I118" s="5">
        <v>96.724000000000004</v>
      </c>
      <c r="J118" s="5">
        <v>7.2879999999999967</v>
      </c>
      <c r="K118" s="5">
        <v>86.69</v>
      </c>
      <c r="L118" s="5">
        <v>91.06</v>
      </c>
      <c r="M118" s="5">
        <v>4.3700000000000054</v>
      </c>
      <c r="N118" s="5">
        <v>90.69</v>
      </c>
      <c r="O118" s="5">
        <v>96.06</v>
      </c>
      <c r="P118" s="5">
        <v>5.3700000000000054</v>
      </c>
      <c r="Q118" s="5">
        <v>95</v>
      </c>
      <c r="R118" s="5">
        <v>98.5</v>
      </c>
      <c r="S118" s="5">
        <v>3.5</v>
      </c>
      <c r="T118" s="5">
        <v>87.5</v>
      </c>
      <c r="U118" s="5">
        <v>98.5</v>
      </c>
      <c r="V118" s="5">
        <v>11</v>
      </c>
      <c r="W118" s="5">
        <v>87.3</v>
      </c>
      <c r="X118" s="5">
        <v>99.5</v>
      </c>
      <c r="Y118" s="5">
        <v>12.2</v>
      </c>
      <c r="Z118" s="2" t="str">
        <f t="shared" si="5"/>
        <v>Middle starter</v>
      </c>
      <c r="AA118" s="2" t="s">
        <v>65</v>
      </c>
      <c r="AB118" s="2" t="s">
        <v>66</v>
      </c>
      <c r="AC118" s="2">
        <v>1</v>
      </c>
      <c r="AD118" s="2" t="str">
        <f>IFERROR(INDEX(University_Exit!$D:$D,MATCH($B118,University_Exit!$B:$B,0)),"")</f>
        <v>Virginia Tech</v>
      </c>
      <c r="AE118" s="2" t="str">
        <f>IFERROR(INDEX(University_Exit!$F:$F,MATCH($B118,University_Exit!$B:$B,0)),"")</f>
        <v>Chemical Engineering</v>
      </c>
      <c r="AF118" s="2" t="str">
        <f>IFERROR(INDEX(University_Exit!$L:$L,MATCH($B118,University_Exit!$B:$B,0)),"")</f>
        <v>Yes</v>
      </c>
      <c r="AG118" s="2">
        <f>IFERROR(INDEX(University_Exit!$H:$H,MATCH($B118,University_Exit!$B:$B,0)),"")</f>
        <v>96</v>
      </c>
      <c r="AH118" s="6">
        <f>IFERROR(INDEX(University_Exit!$K:$K,MATCH($B118,University_Exit!$B:$B,0)),"")</f>
        <v>1390</v>
      </c>
      <c r="AI118" s="2" t="str">
        <f>IFERROR(INDEX(University_Exit!$G:$G,MATCH($B118,University_Exit!$B:$B,0)),"")</f>
        <v>Qatar Energy</v>
      </c>
      <c r="AJ118">
        <f>IFERROR(INDEX(Baseline_Entry!$N:$N,MATCH($B118,Baseline_Entry!$B:$B,0)),"")</f>
        <v>104</v>
      </c>
      <c r="AK118">
        <f>IFERROR(INDEX(Cognitive_Profile!$E:$E,MATCH($B118,Cognitive_Profile!$B:$B,0)),"")</f>
        <v>104</v>
      </c>
      <c r="AL118">
        <f t="shared" si="4"/>
        <v>0</v>
      </c>
      <c r="AM118">
        <f>IFERROR(INDEX(Participation_By_Student!$D:$D,MATCH($B118,Participation_By_Student!$B:$B,0)),"")</f>
        <v>4</v>
      </c>
      <c r="AN118">
        <f>IFERROR(INDEX(Participation_By_Student!$E:$E,MATCH($B118,Participation_By_Student!$B:$B,0)),"")</f>
        <v>9</v>
      </c>
      <c r="AO118">
        <f>IFERROR(INDEX(Participation_By_Student!$F:$F,MATCH($B118,Participation_By_Student!$B:$B,0)),"")</f>
        <v>3</v>
      </c>
      <c r="AP118">
        <f>IFERROR(INDEX(Participation_By_Student!$G:$G,MATCH($B118,Participation_By_Student!$B:$B,0)),"")</f>
        <v>9</v>
      </c>
    </row>
    <row r="119" spans="1:42" x14ac:dyDescent="0.3">
      <c r="A119" s="2" t="s">
        <v>298</v>
      </c>
      <c r="B119" s="2" t="s">
        <v>307</v>
      </c>
      <c r="C119" s="2" t="s">
        <v>308</v>
      </c>
      <c r="D119" s="2" t="s">
        <v>301</v>
      </c>
      <c r="E119" s="2" t="s">
        <v>302</v>
      </c>
      <c r="F119" s="5">
        <f>IFERROR(INDEX(Baseline_Entry!$P:$P,MATCH($B119,Baseline_Entry!$B:$B,0)),"")</f>
        <v>52.503286384976526</v>
      </c>
      <c r="G119" s="5" t="str">
        <f t="shared" si="3"/>
        <v>Yes</v>
      </c>
      <c r="H119" s="5">
        <v>80.040000000000006</v>
      </c>
      <c r="I119" s="5">
        <v>86.575999999999993</v>
      </c>
      <c r="J119" s="5">
        <v>6.5359999999999872</v>
      </c>
      <c r="K119" s="5">
        <v>80.650000000000006</v>
      </c>
      <c r="L119" s="5">
        <v>83.44</v>
      </c>
      <c r="M119" s="5">
        <v>2.789999999999992</v>
      </c>
      <c r="N119" s="5">
        <v>85.65</v>
      </c>
      <c r="O119" s="5">
        <v>89.44</v>
      </c>
      <c r="P119" s="5">
        <v>3.789999999999992</v>
      </c>
      <c r="Q119" s="5">
        <v>69.5</v>
      </c>
      <c r="R119" s="5">
        <v>83.5</v>
      </c>
      <c r="S119" s="5">
        <v>14</v>
      </c>
      <c r="T119" s="5">
        <v>84.5</v>
      </c>
      <c r="U119" s="5">
        <v>90.5</v>
      </c>
      <c r="V119" s="5">
        <v>6</v>
      </c>
      <c r="W119" s="5">
        <v>79.900000000000006</v>
      </c>
      <c r="X119" s="5">
        <v>86</v>
      </c>
      <c r="Y119" s="5">
        <v>6.0999999999999943</v>
      </c>
      <c r="Z119" s="2" t="str">
        <f t="shared" si="5"/>
        <v>Middle starter</v>
      </c>
      <c r="AA119" s="2" t="s">
        <v>65</v>
      </c>
      <c r="AB119" s="2" t="s">
        <v>65</v>
      </c>
      <c r="AC119" s="2">
        <v>0</v>
      </c>
      <c r="AD119" s="2" t="str">
        <f>IFERROR(INDEX(University_Exit!$D:$D,MATCH($B119,University_Exit!$B:$B,0)),"")</f>
        <v>Qatar University</v>
      </c>
      <c r="AE119" s="2" t="str">
        <f>IFERROR(INDEX(University_Exit!$F:$F,MATCH($B119,University_Exit!$B:$B,0)),"")</f>
        <v>Electrical Engineering</v>
      </c>
      <c r="AF119" s="2" t="str">
        <f>IFERROR(INDEX(University_Exit!$L:$L,MATCH($B119,University_Exit!$B:$B,0)),"")</f>
        <v>Yes</v>
      </c>
      <c r="AG119" s="2">
        <f>IFERROR(INDEX(University_Exit!$H:$H,MATCH($B119,University_Exit!$B:$B,0)),"")</f>
        <v>95</v>
      </c>
      <c r="AH119" s="6">
        <f>IFERROR(INDEX(University_Exit!$K:$K,MATCH($B119,University_Exit!$B:$B,0)),"")</f>
        <v>910</v>
      </c>
      <c r="AI119" s="2" t="str">
        <f>IFERROR(INDEX(University_Exit!$G:$G,MATCH($B119,University_Exit!$B:$B,0)),"")</f>
        <v>Qatar Energy</v>
      </c>
      <c r="AJ119">
        <f>IFERROR(INDEX(Baseline_Entry!$N:$N,MATCH($B119,Baseline_Entry!$B:$B,0)),"")</f>
        <v>97</v>
      </c>
      <c r="AK119">
        <f>IFERROR(INDEX(Cognitive_Profile!$E:$E,MATCH($B119,Cognitive_Profile!$B:$B,0)),"")</f>
        <v>97</v>
      </c>
      <c r="AL119">
        <f t="shared" si="4"/>
        <v>0</v>
      </c>
      <c r="AM119">
        <f>IFERROR(INDEX(Participation_By_Student!$D:$D,MATCH($B119,Participation_By_Student!$B:$B,0)),"")</f>
        <v>1</v>
      </c>
      <c r="AN119">
        <f>IFERROR(INDEX(Participation_By_Student!$E:$E,MATCH($B119,Participation_By_Student!$B:$B,0)),"")</f>
        <v>3</v>
      </c>
      <c r="AO119">
        <f>IFERROR(INDEX(Participation_By_Student!$F:$F,MATCH($B119,Participation_By_Student!$B:$B,0)),"")</f>
        <v>1</v>
      </c>
      <c r="AP119">
        <f>IFERROR(INDEX(Participation_By_Student!$G:$G,MATCH($B119,Participation_By_Student!$B:$B,0)),"")</f>
        <v>3</v>
      </c>
    </row>
    <row r="120" spans="1:42" x14ac:dyDescent="0.3">
      <c r="A120" s="2" t="s">
        <v>298</v>
      </c>
      <c r="B120" s="2" t="s">
        <v>309</v>
      </c>
      <c r="C120" s="2" t="s">
        <v>310</v>
      </c>
      <c r="D120" s="2" t="s">
        <v>301</v>
      </c>
      <c r="E120" s="2" t="s">
        <v>302</v>
      </c>
      <c r="F120" s="5">
        <f>IFERROR(INDEX(Baseline_Entry!$P:$P,MATCH($B120,Baseline_Entry!$B:$B,0)),"")</f>
        <v>62.274178403755876</v>
      </c>
      <c r="G120" s="5" t="str">
        <f t="shared" si="3"/>
        <v>Yes</v>
      </c>
      <c r="H120" s="5">
        <v>93.703999999999994</v>
      </c>
      <c r="I120" s="5">
        <v>95.924000000000007</v>
      </c>
      <c r="J120" s="5">
        <v>2.2200000000000131</v>
      </c>
      <c r="K120" s="5">
        <v>91.96</v>
      </c>
      <c r="L120" s="5">
        <v>91.06</v>
      </c>
      <c r="M120" s="5">
        <v>-0.89999999999999147</v>
      </c>
      <c r="N120" s="5">
        <v>94.96</v>
      </c>
      <c r="O120" s="5">
        <v>95.06</v>
      </c>
      <c r="P120" s="5">
        <v>0.1000000000000085</v>
      </c>
      <c r="Q120" s="5">
        <v>89</v>
      </c>
      <c r="R120" s="5">
        <v>99</v>
      </c>
      <c r="S120" s="5">
        <v>10</v>
      </c>
      <c r="T120" s="5">
        <v>99.5</v>
      </c>
      <c r="U120" s="5">
        <v>96</v>
      </c>
      <c r="V120" s="5">
        <v>-3.5</v>
      </c>
      <c r="W120" s="5">
        <v>93.1</v>
      </c>
      <c r="X120" s="5">
        <v>98.5</v>
      </c>
      <c r="Y120" s="5">
        <v>5.4000000000000057</v>
      </c>
      <c r="Z120" s="2" t="str">
        <f t="shared" si="5"/>
        <v>Middle starter</v>
      </c>
      <c r="AA120" s="2" t="s">
        <v>66</v>
      </c>
      <c r="AB120" s="2" t="s">
        <v>66</v>
      </c>
      <c r="AC120" s="2">
        <v>0</v>
      </c>
      <c r="AD120" s="2" t="str">
        <f>IFERROR(INDEX(University_Exit!$D:$D,MATCH($B120,University_Exit!$B:$B,0)),"")</f>
        <v>University of Birmingham</v>
      </c>
      <c r="AE120" s="2" t="str">
        <f>IFERROR(INDEX(University_Exit!$F:$F,MATCH($B120,University_Exit!$B:$B,0)),"")</f>
        <v>Chemical Engineering</v>
      </c>
      <c r="AF120" s="2" t="str">
        <f>IFERROR(INDEX(University_Exit!$L:$L,MATCH($B120,University_Exit!$B:$B,0)),"")</f>
        <v>Yes</v>
      </c>
      <c r="AG120" s="2">
        <f>IFERROR(INDEX(University_Exit!$H:$H,MATCH($B120,University_Exit!$B:$B,0)),"")</f>
        <v>95</v>
      </c>
      <c r="AH120" s="6">
        <f>IFERROR(INDEX(University_Exit!$K:$K,MATCH($B120,University_Exit!$B:$B,0)),"")</f>
        <v>1230</v>
      </c>
      <c r="AI120" s="2" t="str">
        <f>IFERROR(INDEX(University_Exit!$G:$G,MATCH($B120,University_Exit!$B:$B,0)),"")</f>
        <v>Qatar Energy</v>
      </c>
      <c r="AJ120">
        <f>IFERROR(INDEX(Baseline_Entry!$N:$N,MATCH($B120,Baseline_Entry!$B:$B,0)),"")</f>
        <v>100</v>
      </c>
      <c r="AK120">
        <f>IFERROR(INDEX(Cognitive_Profile!$E:$E,MATCH($B120,Cognitive_Profile!$B:$B,0)),"")</f>
        <v>100</v>
      </c>
      <c r="AL120">
        <f t="shared" si="4"/>
        <v>0</v>
      </c>
      <c r="AM120">
        <f>IFERROR(INDEX(Participation_By_Student!$D:$D,MATCH($B120,Participation_By_Student!$B:$B,0)),"")</f>
        <v>6</v>
      </c>
      <c r="AN120">
        <f>IFERROR(INDEX(Participation_By_Student!$E:$E,MATCH($B120,Participation_By_Student!$B:$B,0)),"")</f>
        <v>10</v>
      </c>
      <c r="AO120">
        <f>IFERROR(INDEX(Participation_By_Student!$F:$F,MATCH($B120,Participation_By_Student!$B:$B,0)),"")</f>
        <v>4</v>
      </c>
      <c r="AP120">
        <f>IFERROR(INDEX(Participation_By_Student!$G:$G,MATCH($B120,Participation_By_Student!$B:$B,0)),"")</f>
        <v>10</v>
      </c>
    </row>
    <row r="121" spans="1:42" x14ac:dyDescent="0.3">
      <c r="A121" s="2" t="s">
        <v>298</v>
      </c>
      <c r="B121" s="2" t="s">
        <v>311</v>
      </c>
      <c r="C121" s="2" t="s">
        <v>312</v>
      </c>
      <c r="D121" s="2" t="s">
        <v>301</v>
      </c>
      <c r="E121" s="2" t="s">
        <v>302</v>
      </c>
      <c r="F121" s="5">
        <f>IFERROR(INDEX(Baseline_Entry!$P:$P,MATCH($B121,Baseline_Entry!$B:$B,0)),"")</f>
        <v>54.338028169014081</v>
      </c>
      <c r="G121" s="5" t="str">
        <f t="shared" si="3"/>
        <v>Yes</v>
      </c>
      <c r="H121" s="5">
        <v>84.775999999999996</v>
      </c>
      <c r="I121" s="5">
        <v>91.551999999999992</v>
      </c>
      <c r="J121" s="5">
        <v>6.7759999999999962</v>
      </c>
      <c r="K121" s="5">
        <v>84.69</v>
      </c>
      <c r="L121" s="5">
        <v>89.13</v>
      </c>
      <c r="M121" s="5">
        <v>4.4399999999999977</v>
      </c>
      <c r="N121" s="5">
        <v>87.69</v>
      </c>
      <c r="O121" s="5">
        <v>93.13</v>
      </c>
      <c r="P121" s="5">
        <v>5.4399999999999977</v>
      </c>
      <c r="Q121" s="5">
        <v>88.5</v>
      </c>
      <c r="R121" s="5">
        <v>90.5</v>
      </c>
      <c r="S121" s="5">
        <v>2</v>
      </c>
      <c r="T121" s="5">
        <v>81.5</v>
      </c>
      <c r="U121" s="5">
        <v>93</v>
      </c>
      <c r="V121" s="5">
        <v>11.5</v>
      </c>
      <c r="W121" s="5">
        <v>81.5</v>
      </c>
      <c r="X121" s="5">
        <v>92</v>
      </c>
      <c r="Y121" s="5">
        <v>10.5</v>
      </c>
      <c r="Z121" s="2" t="str">
        <f t="shared" si="5"/>
        <v>High starter</v>
      </c>
      <c r="AA121" s="2" t="s">
        <v>65</v>
      </c>
      <c r="AB121" s="2" t="s">
        <v>66</v>
      </c>
      <c r="AC121" s="2">
        <v>1</v>
      </c>
      <c r="AD121" s="2" t="str">
        <f>IFERROR(INDEX(University_Exit!$D:$D,MATCH($B121,University_Exit!$B:$B,0)),"")</f>
        <v>University of Nottingham</v>
      </c>
      <c r="AE121" s="2" t="str">
        <f>IFERROR(INDEX(University_Exit!$F:$F,MATCH($B121,University_Exit!$B:$B,0)),"")</f>
        <v>Mechanical Engineering</v>
      </c>
      <c r="AF121" s="2" t="str">
        <f>IFERROR(INDEX(University_Exit!$L:$L,MATCH($B121,University_Exit!$B:$B,0)),"")</f>
        <v>Yes</v>
      </c>
      <c r="AG121" s="2">
        <f>IFERROR(INDEX(University_Exit!$H:$H,MATCH($B121,University_Exit!$B:$B,0)),"")</f>
        <v>93.13</v>
      </c>
      <c r="AH121" s="6">
        <f>IFERROR(INDEX(University_Exit!$K:$K,MATCH($B121,University_Exit!$B:$B,0)),"")</f>
        <v>880</v>
      </c>
      <c r="AI121" s="2" t="str">
        <f>IFERROR(INDEX(University_Exit!$G:$G,MATCH($B121,University_Exit!$B:$B,0)),"")</f>
        <v>Qatar Energy</v>
      </c>
      <c r="AJ121">
        <f>IFERROR(INDEX(Baseline_Entry!$N:$N,MATCH($B121,Baseline_Entry!$B:$B,0)),"")</f>
        <v>98</v>
      </c>
      <c r="AK121">
        <f>IFERROR(INDEX(Cognitive_Profile!$E:$E,MATCH($B121,Cognitive_Profile!$B:$B,0)),"")</f>
        <v>98</v>
      </c>
      <c r="AL121">
        <f t="shared" si="4"/>
        <v>0</v>
      </c>
      <c r="AM121">
        <f>IFERROR(INDEX(Participation_By_Student!$D:$D,MATCH($B121,Participation_By_Student!$B:$B,0)),"")</f>
        <v>3</v>
      </c>
      <c r="AN121">
        <f>IFERROR(INDEX(Participation_By_Student!$E:$E,MATCH($B121,Participation_By_Student!$B:$B,0)),"")</f>
        <v>5</v>
      </c>
      <c r="AO121">
        <f>IFERROR(INDEX(Participation_By_Student!$F:$F,MATCH($B121,Participation_By_Student!$B:$B,0)),"")</f>
        <v>2</v>
      </c>
      <c r="AP121">
        <f>IFERROR(INDEX(Participation_By_Student!$G:$G,MATCH($B121,Participation_By_Student!$B:$B,0)),"")</f>
        <v>5</v>
      </c>
    </row>
    <row r="122" spans="1:42" x14ac:dyDescent="0.3">
      <c r="A122" s="2" t="s">
        <v>298</v>
      </c>
      <c r="B122" s="2" t="s">
        <v>313</v>
      </c>
      <c r="C122" s="2" t="s">
        <v>314</v>
      </c>
      <c r="D122" s="2" t="s">
        <v>301</v>
      </c>
      <c r="E122" s="2" t="s">
        <v>302</v>
      </c>
      <c r="F122" s="5">
        <f>IFERROR(INDEX(Baseline_Entry!$P:$P,MATCH($B122,Baseline_Entry!$B:$B,0)),"")</f>
        <v>52.929577464788736</v>
      </c>
      <c r="G122" s="5" t="str">
        <f t="shared" si="3"/>
        <v>Yes</v>
      </c>
      <c r="H122" s="5">
        <v>80.323999999999998</v>
      </c>
      <c r="I122" s="5">
        <v>89.051999999999992</v>
      </c>
      <c r="J122" s="5">
        <v>8.7279999999999944</v>
      </c>
      <c r="K122" s="5">
        <v>78.260000000000005</v>
      </c>
      <c r="L122" s="5">
        <v>87.88</v>
      </c>
      <c r="M122" s="5">
        <v>9.6199999999999903</v>
      </c>
      <c r="N122" s="5">
        <v>83.26</v>
      </c>
      <c r="O122" s="5">
        <v>88.88</v>
      </c>
      <c r="P122" s="5">
        <v>5.6199999999999903</v>
      </c>
      <c r="Q122" s="5">
        <v>77.5</v>
      </c>
      <c r="R122" s="5">
        <v>86</v>
      </c>
      <c r="S122" s="5">
        <v>8.5</v>
      </c>
      <c r="T122" s="5">
        <v>90.5</v>
      </c>
      <c r="U122" s="5">
        <v>93</v>
      </c>
      <c r="V122" s="5">
        <v>2.5</v>
      </c>
      <c r="W122" s="5">
        <v>72.099999999999994</v>
      </c>
      <c r="X122" s="5">
        <v>89.5</v>
      </c>
      <c r="Y122" s="5">
        <v>17.400000000000009</v>
      </c>
      <c r="Z122" s="2" t="str">
        <f t="shared" si="5"/>
        <v>Low starter</v>
      </c>
      <c r="AA122" s="2" t="s">
        <v>65</v>
      </c>
      <c r="AB122" s="2" t="s">
        <v>65</v>
      </c>
      <c r="AC122" s="2">
        <v>0</v>
      </c>
      <c r="AD122" s="2" t="str">
        <f>IFERROR(INDEX(University_Exit!$D:$D,MATCH($B122,University_Exit!$B:$B,0)),"")</f>
        <v>University of Nottingham</v>
      </c>
      <c r="AE122" s="2" t="str">
        <f>IFERROR(INDEX(University_Exit!$F:$F,MATCH($B122,University_Exit!$B:$B,0)),"")</f>
        <v>Electrical Engineering</v>
      </c>
      <c r="AF122" s="2" t="str">
        <f>IFERROR(INDEX(University_Exit!$L:$L,MATCH($B122,University_Exit!$B:$B,0)),"")</f>
        <v>Yes</v>
      </c>
      <c r="AG122" s="2">
        <f>IFERROR(INDEX(University_Exit!$H:$H,MATCH($B122,University_Exit!$B:$B,0)),"")</f>
        <v>88.88</v>
      </c>
      <c r="AH122" s="6">
        <f>IFERROR(INDEX(University_Exit!$K:$K,MATCH($B122,University_Exit!$B:$B,0)),"")</f>
        <v>990</v>
      </c>
      <c r="AI122" s="2" t="str">
        <f>IFERROR(INDEX(University_Exit!$G:$G,MATCH($B122,University_Exit!$B:$B,0)),"")</f>
        <v>Qatar Energy</v>
      </c>
      <c r="AJ122">
        <f>IFERROR(INDEX(Baseline_Entry!$N:$N,MATCH($B122,Baseline_Entry!$B:$B,0)),"")</f>
        <v>92</v>
      </c>
      <c r="AK122">
        <f>IFERROR(INDEX(Cognitive_Profile!$E:$E,MATCH($B122,Cognitive_Profile!$B:$B,0)),"")</f>
        <v>92</v>
      </c>
      <c r="AL122">
        <f t="shared" si="4"/>
        <v>0</v>
      </c>
      <c r="AM122">
        <f>IFERROR(INDEX(Participation_By_Student!$D:$D,MATCH($B122,Participation_By_Student!$B:$B,0)),"")</f>
        <v>2</v>
      </c>
      <c r="AN122">
        <f>IFERROR(INDEX(Participation_By_Student!$E:$E,MATCH($B122,Participation_By_Student!$B:$B,0)),"")</f>
        <v>4</v>
      </c>
      <c r="AO122">
        <f>IFERROR(INDEX(Participation_By_Student!$F:$F,MATCH($B122,Participation_By_Student!$B:$B,0)),"")</f>
        <v>0</v>
      </c>
      <c r="AP122">
        <f>IFERROR(INDEX(Participation_By_Student!$G:$G,MATCH($B122,Participation_By_Student!$B:$B,0)),"")</f>
        <v>4</v>
      </c>
    </row>
    <row r="123" spans="1:42" x14ac:dyDescent="0.3">
      <c r="A123" s="2" t="s">
        <v>298</v>
      </c>
      <c r="B123" s="2" t="s">
        <v>315</v>
      </c>
      <c r="C123" s="2" t="s">
        <v>316</v>
      </c>
      <c r="D123" s="2" t="s">
        <v>301</v>
      </c>
      <c r="E123" s="2" t="s">
        <v>302</v>
      </c>
      <c r="F123" s="5">
        <f>IFERROR(INDEX(Baseline_Entry!$P:$P,MATCH($B123,Baseline_Entry!$B:$B,0)),"")</f>
        <v>54.801877934272305</v>
      </c>
      <c r="G123" s="5" t="str">
        <f t="shared" si="3"/>
        <v>Yes</v>
      </c>
      <c r="H123" s="5">
        <v>69.308000000000007</v>
      </c>
      <c r="I123" s="5">
        <v>81.975999999999999</v>
      </c>
      <c r="J123" s="5">
        <v>12.66799999999999</v>
      </c>
      <c r="K123" s="5">
        <v>71.92</v>
      </c>
      <c r="L123" s="5">
        <v>77.44</v>
      </c>
      <c r="M123" s="5">
        <v>5.519999999999996</v>
      </c>
      <c r="N123" s="5">
        <v>73.92</v>
      </c>
      <c r="O123" s="5">
        <v>83.44</v>
      </c>
      <c r="P123" s="5">
        <v>9.519999999999996</v>
      </c>
      <c r="Q123" s="5">
        <v>78</v>
      </c>
      <c r="R123" s="5">
        <v>82</v>
      </c>
      <c r="S123" s="5">
        <v>4</v>
      </c>
      <c r="T123" s="5">
        <v>61</v>
      </c>
      <c r="U123" s="5">
        <v>88</v>
      </c>
      <c r="V123" s="5">
        <v>27</v>
      </c>
      <c r="W123" s="5">
        <v>61.7</v>
      </c>
      <c r="X123" s="5">
        <v>79</v>
      </c>
      <c r="Y123" s="5">
        <v>17.3</v>
      </c>
      <c r="Z123" s="2" t="str">
        <f t="shared" si="5"/>
        <v>High starter</v>
      </c>
      <c r="AA123" s="2" t="s">
        <v>120</v>
      </c>
      <c r="AB123" s="2" t="s">
        <v>65</v>
      </c>
      <c r="AC123" s="2">
        <v>2</v>
      </c>
      <c r="AD123" s="2" t="str">
        <f>IFERROR(INDEX(University_Exit!$D:$D,MATCH($B123,University_Exit!$B:$B,0)),"")</f>
        <v>الكلية العسكرية</v>
      </c>
      <c r="AE123" s="2" t="str">
        <f>IFERROR(INDEX(University_Exit!$F:$F,MATCH($B123,University_Exit!$B:$B,0)),"")</f>
        <v>مرشح ظابط</v>
      </c>
      <c r="AF123" s="2" t="str">
        <f>IFERROR(INDEX(University_Exit!$L:$L,MATCH($B123,University_Exit!$B:$B,0)),"")</f>
        <v>No</v>
      </c>
      <c r="AG123" s="2">
        <f>IFERROR(INDEX(University_Exit!$H:$H,MATCH($B123,University_Exit!$B:$B,0)),"")</f>
        <v>83.44</v>
      </c>
      <c r="AH123" s="6">
        <f>IFERROR(INDEX(University_Exit!$K:$K,MATCH($B123,University_Exit!$B:$B,0)),"")</f>
        <v>810</v>
      </c>
      <c r="AI123" s="2" t="str">
        <f>IFERROR(INDEX(University_Exit!$G:$G,MATCH($B123,University_Exit!$B:$B,0)),"")</f>
        <v>وزارة الدفاع</v>
      </c>
      <c r="AJ123">
        <f>IFERROR(INDEX(Baseline_Entry!$N:$N,MATCH($B123,Baseline_Entry!$B:$B,0)),"")</f>
        <v>96</v>
      </c>
      <c r="AK123">
        <f>IFERROR(INDEX(Cognitive_Profile!$E:$E,MATCH($B123,Cognitive_Profile!$B:$B,0)),"")</f>
        <v>96</v>
      </c>
      <c r="AL123">
        <f t="shared" si="4"/>
        <v>0</v>
      </c>
      <c r="AM123">
        <f>IFERROR(INDEX(Participation_By_Student!$D:$D,MATCH($B123,Participation_By_Student!$B:$B,0)),"")</f>
        <v>3</v>
      </c>
      <c r="AN123">
        <f>IFERROR(INDEX(Participation_By_Student!$E:$E,MATCH($B123,Participation_By_Student!$B:$B,0)),"")</f>
        <v>4</v>
      </c>
      <c r="AO123">
        <f>IFERROR(INDEX(Participation_By_Student!$F:$F,MATCH($B123,Participation_By_Student!$B:$B,0)),"")</f>
        <v>2</v>
      </c>
      <c r="AP123">
        <f>IFERROR(INDEX(Participation_By_Student!$G:$G,MATCH($B123,Participation_By_Student!$B:$B,0)),"")</f>
        <v>4</v>
      </c>
    </row>
    <row r="124" spans="1:42" x14ac:dyDescent="0.3">
      <c r="A124" s="2" t="s">
        <v>298</v>
      </c>
      <c r="B124" s="2" t="s">
        <v>317</v>
      </c>
      <c r="C124" s="2" t="s">
        <v>318</v>
      </c>
      <c r="D124" s="2" t="s">
        <v>301</v>
      </c>
      <c r="E124" s="2" t="s">
        <v>302</v>
      </c>
      <c r="F124" s="5">
        <f>IFERROR(INDEX(Baseline_Entry!$P:$P,MATCH($B124,Baseline_Entry!$B:$B,0)),"")</f>
        <v>57.943661971830984</v>
      </c>
      <c r="G124" s="5" t="str">
        <f t="shared" si="3"/>
        <v>Yes</v>
      </c>
      <c r="H124" s="5">
        <v>86.744</v>
      </c>
      <c r="I124" s="5">
        <v>93.951999999999998</v>
      </c>
      <c r="J124" s="5">
        <v>7.2079999999999984</v>
      </c>
      <c r="K124" s="5">
        <v>84.26</v>
      </c>
      <c r="L124" s="5">
        <v>91.38</v>
      </c>
      <c r="M124" s="5">
        <v>7.1199999999999903</v>
      </c>
      <c r="N124" s="5">
        <v>89.26</v>
      </c>
      <c r="O124" s="5">
        <v>94.38</v>
      </c>
      <c r="P124" s="5">
        <v>5.1199999999999903</v>
      </c>
      <c r="Q124" s="5">
        <v>86</v>
      </c>
      <c r="R124" s="5">
        <v>95.5</v>
      </c>
      <c r="S124" s="5">
        <v>9.5</v>
      </c>
      <c r="T124" s="5">
        <v>89.5</v>
      </c>
      <c r="U124" s="5">
        <v>95</v>
      </c>
      <c r="V124" s="5">
        <v>5.5</v>
      </c>
      <c r="W124" s="5">
        <v>84.7</v>
      </c>
      <c r="X124" s="5">
        <v>93.5</v>
      </c>
      <c r="Y124" s="5">
        <v>8.7999999999999972</v>
      </c>
      <c r="Z124" s="2" t="str">
        <f t="shared" si="5"/>
        <v>High starter</v>
      </c>
      <c r="AA124" s="2" t="s">
        <v>65</v>
      </c>
      <c r="AB124" s="2" t="s">
        <v>66</v>
      </c>
      <c r="AC124" s="2">
        <v>1</v>
      </c>
      <c r="AD124" s="2" t="str">
        <f>IFERROR(INDEX(University_Exit!$D:$D,MATCH($B124,University_Exit!$B:$B,0)),"")</f>
        <v>Qatar University</v>
      </c>
      <c r="AE124" s="2" t="str">
        <f>IFERROR(INDEX(University_Exit!$F:$F,MATCH($B124,University_Exit!$B:$B,0)),"")</f>
        <v>Mechanical Engineering</v>
      </c>
      <c r="AF124" s="2" t="str">
        <f>IFERROR(INDEX(University_Exit!$L:$L,MATCH($B124,University_Exit!$B:$B,0)),"")</f>
        <v>Yes</v>
      </c>
      <c r="AG124" s="2">
        <f>IFERROR(INDEX(University_Exit!$H:$H,MATCH($B124,University_Exit!$B:$B,0)),"")</f>
        <v>94.38</v>
      </c>
      <c r="AH124" s="6">
        <f>IFERROR(INDEX(University_Exit!$K:$K,MATCH($B124,University_Exit!$B:$B,0)),"")</f>
        <v>960</v>
      </c>
      <c r="AI124" s="2" t="str">
        <f>IFERROR(INDEX(University_Exit!$G:$G,MATCH($B124,University_Exit!$B:$B,0)),"")</f>
        <v>Qatar Energy</v>
      </c>
      <c r="AJ124">
        <f>IFERROR(INDEX(Baseline_Entry!$N:$N,MATCH($B124,Baseline_Entry!$B:$B,0)),"")</f>
        <v>102</v>
      </c>
      <c r="AK124">
        <f>IFERROR(INDEX(Cognitive_Profile!$E:$E,MATCH($B124,Cognitive_Profile!$B:$B,0)),"")</f>
        <v>102</v>
      </c>
      <c r="AL124">
        <f t="shared" si="4"/>
        <v>0</v>
      </c>
      <c r="AM124">
        <f>IFERROR(INDEX(Participation_By_Student!$D:$D,MATCH($B124,Participation_By_Student!$B:$B,0)),"")</f>
        <v>4</v>
      </c>
      <c r="AN124">
        <f>IFERROR(INDEX(Participation_By_Student!$E:$E,MATCH($B124,Participation_By_Student!$B:$B,0)),"")</f>
        <v>10</v>
      </c>
      <c r="AO124">
        <f>IFERROR(INDEX(Participation_By_Student!$F:$F,MATCH($B124,Participation_By_Student!$B:$B,0)),"")</f>
        <v>3</v>
      </c>
      <c r="AP124">
        <f>IFERROR(INDEX(Participation_By_Student!$G:$G,MATCH($B124,Participation_By_Student!$B:$B,0)),"")</f>
        <v>10</v>
      </c>
    </row>
    <row r="125" spans="1:42" x14ac:dyDescent="0.3">
      <c r="A125" s="2" t="s">
        <v>298</v>
      </c>
      <c r="B125" s="2" t="s">
        <v>319</v>
      </c>
      <c r="C125" s="2" t="s">
        <v>320</v>
      </c>
      <c r="D125" s="2" t="s">
        <v>301</v>
      </c>
      <c r="E125" s="2" t="s">
        <v>302</v>
      </c>
      <c r="F125" s="5">
        <f>IFERROR(INDEX(Baseline_Entry!$P:$P,MATCH($B125,Baseline_Entry!$B:$B,0)),"")</f>
        <v>65.074178403755866</v>
      </c>
      <c r="G125" s="5" t="str">
        <f t="shared" si="3"/>
        <v>Yes</v>
      </c>
      <c r="H125" s="5">
        <v>83.792000000000002</v>
      </c>
      <c r="I125" s="5">
        <v>89.775999999999996</v>
      </c>
      <c r="J125" s="5">
        <v>5.9839999999999947</v>
      </c>
      <c r="K125" s="5">
        <v>83.03</v>
      </c>
      <c r="L125" s="5">
        <v>87.69</v>
      </c>
      <c r="M125" s="5">
        <v>4.6599999999999966</v>
      </c>
      <c r="N125" s="5">
        <v>86.03</v>
      </c>
      <c r="O125" s="5">
        <v>89.69</v>
      </c>
      <c r="P125" s="5">
        <v>3.659999999999997</v>
      </c>
      <c r="Q125" s="5">
        <v>93.5</v>
      </c>
      <c r="R125" s="5">
        <v>94</v>
      </c>
      <c r="S125" s="5">
        <v>0.5</v>
      </c>
      <c r="T125" s="5">
        <v>80.5</v>
      </c>
      <c r="U125" s="5">
        <v>89</v>
      </c>
      <c r="V125" s="5">
        <v>8.5</v>
      </c>
      <c r="W125" s="5">
        <v>75.900000000000006</v>
      </c>
      <c r="X125" s="5">
        <v>88.5</v>
      </c>
      <c r="Y125" s="5">
        <v>12.599999999999991</v>
      </c>
      <c r="Z125" s="2" t="str">
        <f t="shared" ref="Z125:Z156" si="6">IF(IF(F66="",H66,F66)&lt;70,"Low starter",IF(IF(F66="",H66,F66)&lt;85,"Middle starter","High starter"))</f>
        <v>High starter</v>
      </c>
      <c r="AA125" s="2" t="s">
        <v>65</v>
      </c>
      <c r="AB125" s="2" t="s">
        <v>65</v>
      </c>
      <c r="AC125" s="2">
        <v>0</v>
      </c>
      <c r="AD125" s="2" t="str">
        <f>IFERROR(INDEX(University_Exit!$D:$D,MATCH($B125,University_Exit!$B:$B,0)),"")</f>
        <v>Doha University for Science &amp; Technology</v>
      </c>
      <c r="AE125" s="2" t="str">
        <f>IFERROR(INDEX(University_Exit!$F:$F,MATCH($B125,University_Exit!$B:$B,0)),"")</f>
        <v>Electrical Engineering</v>
      </c>
      <c r="AF125" s="2" t="str">
        <f>IFERROR(INDEX(University_Exit!$L:$L,MATCH($B125,University_Exit!$B:$B,0)),"")</f>
        <v>Yes</v>
      </c>
      <c r="AG125" s="2">
        <f>IFERROR(INDEX(University_Exit!$H:$H,MATCH($B125,University_Exit!$B:$B,0)),"")</f>
        <v>89.96</v>
      </c>
      <c r="AH125" s="6">
        <f>IFERROR(INDEX(University_Exit!$K:$K,MATCH($B125,University_Exit!$B:$B,0)),"")</f>
        <v>1020</v>
      </c>
      <c r="AI125" s="2" t="str">
        <f>IFERROR(INDEX(University_Exit!$G:$G,MATCH($B125,University_Exit!$B:$B,0)),"")</f>
        <v>وزارة الدفاع</v>
      </c>
      <c r="AJ125">
        <f>IFERROR(INDEX(Baseline_Entry!$N:$N,MATCH($B125,Baseline_Entry!$B:$B,0)),"")</f>
        <v>100</v>
      </c>
      <c r="AK125">
        <f>IFERROR(INDEX(Cognitive_Profile!$E:$E,MATCH($B125,Cognitive_Profile!$B:$B,0)),"")</f>
        <v>100</v>
      </c>
      <c r="AL125">
        <f t="shared" si="4"/>
        <v>0</v>
      </c>
      <c r="AM125">
        <f>IFERROR(INDEX(Participation_By_Student!$D:$D,MATCH($B125,Participation_By_Student!$B:$B,0)),"")</f>
        <v>6</v>
      </c>
      <c r="AN125">
        <f>IFERROR(INDEX(Participation_By_Student!$E:$E,MATCH($B125,Participation_By_Student!$B:$B,0)),"")</f>
        <v>13</v>
      </c>
      <c r="AO125">
        <f>IFERROR(INDEX(Participation_By_Student!$F:$F,MATCH($B125,Participation_By_Student!$B:$B,0)),"")</f>
        <v>6</v>
      </c>
      <c r="AP125">
        <f>IFERROR(INDEX(Participation_By_Student!$G:$G,MATCH($B125,Participation_By_Student!$B:$B,0)),"")</f>
        <v>14</v>
      </c>
    </row>
    <row r="126" spans="1:42" x14ac:dyDescent="0.3">
      <c r="A126" s="2" t="s">
        <v>298</v>
      </c>
      <c r="B126" s="2" t="s">
        <v>321</v>
      </c>
      <c r="C126" s="2" t="s">
        <v>322</v>
      </c>
      <c r="D126" s="2" t="s">
        <v>301</v>
      </c>
      <c r="E126" s="2" t="s">
        <v>302</v>
      </c>
      <c r="F126" s="5">
        <f>IFERROR(INDEX(Baseline_Entry!$P:$P,MATCH($B126,Baseline_Entry!$B:$B,0)),"")</f>
        <v>64.354929577464787</v>
      </c>
      <c r="G126" s="5" t="str">
        <f t="shared" si="3"/>
        <v>Yes</v>
      </c>
      <c r="H126" s="5">
        <v>89.02000000000001</v>
      </c>
      <c r="I126" s="5">
        <v>94.724000000000004</v>
      </c>
      <c r="J126" s="5">
        <v>5.7039999999999944</v>
      </c>
      <c r="K126" s="5">
        <v>86.65</v>
      </c>
      <c r="L126" s="5">
        <v>90.56</v>
      </c>
      <c r="M126" s="5">
        <v>3.909999999999997</v>
      </c>
      <c r="N126" s="5">
        <v>90.65</v>
      </c>
      <c r="O126" s="5">
        <v>96.56</v>
      </c>
      <c r="P126" s="5">
        <v>5.9099999999999966</v>
      </c>
      <c r="Q126" s="5">
        <v>89.5</v>
      </c>
      <c r="R126" s="5">
        <v>96</v>
      </c>
      <c r="S126" s="5">
        <v>6.5</v>
      </c>
      <c r="T126" s="5">
        <v>92</v>
      </c>
      <c r="U126" s="5">
        <v>96.5</v>
      </c>
      <c r="V126" s="5">
        <v>4.5</v>
      </c>
      <c r="W126" s="5">
        <v>86.3</v>
      </c>
      <c r="X126" s="5">
        <v>94</v>
      </c>
      <c r="Y126" s="5">
        <v>7.7000000000000028</v>
      </c>
      <c r="Z126" s="2" t="str">
        <f t="shared" si="6"/>
        <v>Low starter</v>
      </c>
      <c r="AA126" s="2" t="s">
        <v>65</v>
      </c>
      <c r="AB126" s="2" t="s">
        <v>66</v>
      </c>
      <c r="AC126" s="2">
        <v>1</v>
      </c>
      <c r="AD126" s="2" t="str">
        <f>IFERROR(INDEX(University_Exit!$D:$D,MATCH($B126,University_Exit!$B:$B,0)),"")</f>
        <v>Qatar University</v>
      </c>
      <c r="AE126" s="2" t="str">
        <f>IFERROR(INDEX(University_Exit!$F:$F,MATCH($B126,University_Exit!$B:$B,0)),"")</f>
        <v>Mechanical Engineering</v>
      </c>
      <c r="AF126" s="2" t="str">
        <f>IFERROR(INDEX(University_Exit!$L:$L,MATCH($B126,University_Exit!$B:$B,0)),"")</f>
        <v>Yes</v>
      </c>
      <c r="AG126" s="2">
        <f>IFERROR(INDEX(University_Exit!$H:$H,MATCH($B126,University_Exit!$B:$B,0)),"")</f>
        <v>96.56</v>
      </c>
      <c r="AH126" s="6">
        <f>IFERROR(INDEX(University_Exit!$K:$K,MATCH($B126,University_Exit!$B:$B,0)),"")</f>
        <v>1200</v>
      </c>
      <c r="AI126" s="2" t="str">
        <f>IFERROR(INDEX(University_Exit!$G:$G,MATCH($B126,University_Exit!$B:$B,0)),"")</f>
        <v>Qatar Energy</v>
      </c>
      <c r="AJ126">
        <f>IFERROR(INDEX(Baseline_Entry!$N:$N,MATCH($B126,Baseline_Entry!$B:$B,0)),"")</f>
        <v>110</v>
      </c>
      <c r="AK126">
        <f>IFERROR(INDEX(Cognitive_Profile!$E:$E,MATCH($B126,Cognitive_Profile!$B:$B,0)),"")</f>
        <v>110</v>
      </c>
      <c r="AL126">
        <f t="shared" si="4"/>
        <v>0</v>
      </c>
      <c r="AM126">
        <f>IFERROR(INDEX(Participation_By_Student!$D:$D,MATCH($B126,Participation_By_Student!$B:$B,0)),"")</f>
        <v>2</v>
      </c>
      <c r="AN126">
        <f>IFERROR(INDEX(Participation_By_Student!$E:$E,MATCH($B126,Participation_By_Student!$B:$B,0)),"")</f>
        <v>4</v>
      </c>
      <c r="AO126">
        <f>IFERROR(INDEX(Participation_By_Student!$F:$F,MATCH($B126,Participation_By_Student!$B:$B,0)),"")</f>
        <v>2</v>
      </c>
      <c r="AP126">
        <f>IFERROR(INDEX(Participation_By_Student!$G:$G,MATCH($B126,Participation_By_Student!$B:$B,0)),"")</f>
        <v>4</v>
      </c>
    </row>
    <row r="127" spans="1:42" x14ac:dyDescent="0.3">
      <c r="A127" s="2" t="s">
        <v>298</v>
      </c>
      <c r="B127" s="2" t="s">
        <v>323</v>
      </c>
      <c r="C127" s="2" t="s">
        <v>324</v>
      </c>
      <c r="D127" s="2" t="s">
        <v>301</v>
      </c>
      <c r="E127" s="2" t="s">
        <v>302</v>
      </c>
      <c r="F127" s="5">
        <f>IFERROR(INDEX(Baseline_Entry!$P:$P,MATCH($B127,Baseline_Entry!$B:$B,0)),"")</f>
        <v>51.894835680751179</v>
      </c>
      <c r="G127" s="5" t="str">
        <f t="shared" si="3"/>
        <v>Yes</v>
      </c>
      <c r="H127" s="5">
        <v>74.608000000000004</v>
      </c>
      <c r="I127" s="5">
        <v>83.975999999999999</v>
      </c>
      <c r="J127" s="5">
        <v>9.367999999999995</v>
      </c>
      <c r="K127" s="5">
        <v>77.42</v>
      </c>
      <c r="L127" s="5">
        <v>82.69</v>
      </c>
      <c r="M127" s="5">
        <v>5.269999999999996</v>
      </c>
      <c r="N127" s="5">
        <v>79.42</v>
      </c>
      <c r="O127" s="5">
        <v>83.69</v>
      </c>
      <c r="P127" s="5">
        <v>4.269999999999996</v>
      </c>
      <c r="Q127" s="5">
        <v>82.5</v>
      </c>
      <c r="R127" s="5">
        <v>86</v>
      </c>
      <c r="S127" s="5">
        <v>3.5</v>
      </c>
      <c r="T127" s="5">
        <v>65.5</v>
      </c>
      <c r="U127" s="5">
        <v>81</v>
      </c>
      <c r="V127" s="5">
        <v>15.5</v>
      </c>
      <c r="W127" s="5">
        <v>68.2</v>
      </c>
      <c r="X127" s="5">
        <v>86.5</v>
      </c>
      <c r="Y127" s="5">
        <v>18.3</v>
      </c>
      <c r="Z127" s="2" t="str">
        <f t="shared" si="6"/>
        <v>Middle starter</v>
      </c>
      <c r="AA127" s="2" t="s">
        <v>99</v>
      </c>
      <c r="AB127" s="2" t="s">
        <v>65</v>
      </c>
      <c r="AC127" s="2">
        <v>1</v>
      </c>
      <c r="AD127" s="2" t="str">
        <f>IFERROR(INDEX(University_Exit!$D:$D,MATCH($B127,University_Exit!$B:$B,0)),"")</f>
        <v>الكلية العسكرية</v>
      </c>
      <c r="AE127" s="2" t="str">
        <f>IFERROR(INDEX(University_Exit!$F:$F,MATCH($B127,University_Exit!$B:$B,0)),"")</f>
        <v>مرشح ظابط</v>
      </c>
      <c r="AF127" s="2" t="str">
        <f>IFERROR(INDEX(University_Exit!$L:$L,MATCH($B127,University_Exit!$B:$B,0)),"")</f>
        <v>No</v>
      </c>
      <c r="AG127" s="2">
        <f>IFERROR(INDEX(University_Exit!$H:$H,MATCH($B127,University_Exit!$B:$B,0)),"")</f>
        <v>83.69</v>
      </c>
      <c r="AH127" s="6">
        <f>IFERROR(INDEX(University_Exit!$K:$K,MATCH($B127,University_Exit!$B:$B,0)),"")</f>
        <v>840</v>
      </c>
      <c r="AI127" s="2" t="str">
        <f>IFERROR(INDEX(University_Exit!$G:$G,MATCH($B127,University_Exit!$B:$B,0)),"")</f>
        <v>وزارة الدفاع</v>
      </c>
      <c r="AJ127">
        <f>IFERROR(INDEX(Baseline_Entry!$N:$N,MATCH($B127,Baseline_Entry!$B:$B,0)),"")</f>
        <v>91</v>
      </c>
      <c r="AK127">
        <f>IFERROR(INDEX(Cognitive_Profile!$E:$E,MATCH($B127,Cognitive_Profile!$B:$B,0)),"")</f>
        <v>91</v>
      </c>
      <c r="AL127">
        <f t="shared" si="4"/>
        <v>0</v>
      </c>
      <c r="AM127">
        <f>IFERROR(INDEX(Participation_By_Student!$D:$D,MATCH($B127,Participation_By_Student!$B:$B,0)),"")</f>
        <v>1</v>
      </c>
      <c r="AN127">
        <f>IFERROR(INDEX(Participation_By_Student!$E:$E,MATCH($B127,Participation_By_Student!$B:$B,0)),"")</f>
        <v>1</v>
      </c>
      <c r="AO127">
        <f>IFERROR(INDEX(Participation_By_Student!$F:$F,MATCH($B127,Participation_By_Student!$B:$B,0)),"")</f>
        <v>0</v>
      </c>
      <c r="AP127">
        <f>IFERROR(INDEX(Participation_By_Student!$G:$G,MATCH($B127,Participation_By_Student!$B:$B,0)),"")</f>
        <v>1</v>
      </c>
    </row>
    <row r="128" spans="1:42" x14ac:dyDescent="0.3">
      <c r="A128" s="2" t="s">
        <v>298</v>
      </c>
      <c r="B128" s="2" t="s">
        <v>325</v>
      </c>
      <c r="C128" s="2" t="s">
        <v>326</v>
      </c>
      <c r="D128" s="2" t="s">
        <v>301</v>
      </c>
      <c r="E128" s="2" t="s">
        <v>302</v>
      </c>
      <c r="F128" s="5">
        <f>IFERROR(INDEX(Baseline_Entry!$P:$P,MATCH($B128,Baseline_Entry!$B:$B,0)),"")</f>
        <v>62.375586854460096</v>
      </c>
      <c r="G128" s="5" t="str">
        <f t="shared" si="3"/>
        <v>Yes</v>
      </c>
      <c r="H128" s="5">
        <v>84.1</v>
      </c>
      <c r="I128" s="5">
        <v>91.352000000000004</v>
      </c>
      <c r="J128" s="5">
        <v>7.2520000000000104</v>
      </c>
      <c r="K128" s="5">
        <v>82.8</v>
      </c>
      <c r="L128" s="5">
        <v>88.88</v>
      </c>
      <c r="M128" s="5">
        <v>6.0799999999999983</v>
      </c>
      <c r="N128" s="5">
        <v>84.8</v>
      </c>
      <c r="O128" s="5">
        <v>91.88</v>
      </c>
      <c r="P128" s="5">
        <v>7.0799999999999983</v>
      </c>
      <c r="Q128" s="5">
        <v>89</v>
      </c>
      <c r="R128" s="5">
        <v>92</v>
      </c>
      <c r="S128" s="5">
        <v>3</v>
      </c>
      <c r="T128" s="5">
        <v>88</v>
      </c>
      <c r="U128" s="5">
        <v>92</v>
      </c>
      <c r="V128" s="5">
        <v>4</v>
      </c>
      <c r="W128" s="5">
        <v>75.900000000000006</v>
      </c>
      <c r="X128" s="5">
        <v>92</v>
      </c>
      <c r="Y128" s="5">
        <v>16.099999999999991</v>
      </c>
      <c r="Z128" s="2" t="str">
        <f t="shared" si="6"/>
        <v>Middle starter</v>
      </c>
      <c r="AA128" s="2" t="s">
        <v>65</v>
      </c>
      <c r="AB128" s="2" t="s">
        <v>66</v>
      </c>
      <c r="AC128" s="2">
        <v>1</v>
      </c>
      <c r="AD128" s="2" t="str">
        <f>IFERROR(INDEX(University_Exit!$D:$D,MATCH($B128,University_Exit!$B:$B,0)),"")</f>
        <v>الكلية العسكرية</v>
      </c>
      <c r="AE128" s="2" t="str">
        <f>IFERROR(INDEX(University_Exit!$F:$F,MATCH($B128,University_Exit!$B:$B,0)),"")</f>
        <v>مرشح ظابط</v>
      </c>
      <c r="AF128" s="2" t="str">
        <f>IFERROR(INDEX(University_Exit!$L:$L,MATCH($B128,University_Exit!$B:$B,0)),"")</f>
        <v>No</v>
      </c>
      <c r="AG128" s="2">
        <f>IFERROR(INDEX(University_Exit!$H:$H,MATCH($B128,University_Exit!$B:$B,0)),"")</f>
        <v>91.88</v>
      </c>
      <c r="AH128" s="6">
        <f>IFERROR(INDEX(University_Exit!$K:$K,MATCH($B128,University_Exit!$B:$B,0)),"")</f>
        <v>1030</v>
      </c>
      <c r="AI128" s="2" t="str">
        <f>IFERROR(INDEX(University_Exit!$G:$G,MATCH($B128,University_Exit!$B:$B,0)),"")</f>
        <v>وزارة الدفاع</v>
      </c>
      <c r="AJ128">
        <f>IFERROR(INDEX(Baseline_Entry!$N:$N,MATCH($B128,Baseline_Entry!$B:$B,0)),"")</f>
        <v>101</v>
      </c>
      <c r="AK128">
        <f>IFERROR(INDEX(Cognitive_Profile!$E:$E,MATCH($B128,Cognitive_Profile!$B:$B,0)),"")</f>
        <v>101</v>
      </c>
      <c r="AL128">
        <f t="shared" si="4"/>
        <v>0</v>
      </c>
      <c r="AM128">
        <f>IFERROR(INDEX(Participation_By_Student!$D:$D,MATCH($B128,Participation_By_Student!$B:$B,0)),"")</f>
        <v>3</v>
      </c>
      <c r="AN128">
        <f>IFERROR(INDEX(Participation_By_Student!$E:$E,MATCH($B128,Participation_By_Student!$B:$B,0)),"")</f>
        <v>9</v>
      </c>
      <c r="AO128">
        <f>IFERROR(INDEX(Participation_By_Student!$F:$F,MATCH($B128,Participation_By_Student!$B:$B,0)),"")</f>
        <v>3</v>
      </c>
      <c r="AP128">
        <f>IFERROR(INDEX(Participation_By_Student!$G:$G,MATCH($B128,Participation_By_Student!$B:$B,0)),"")</f>
        <v>9</v>
      </c>
    </row>
    <row r="129" spans="1:42" x14ac:dyDescent="0.3">
      <c r="A129" s="2" t="s">
        <v>298</v>
      </c>
      <c r="B129" s="2" t="s">
        <v>327</v>
      </c>
      <c r="C129" s="2" t="s">
        <v>328</v>
      </c>
      <c r="D129" s="2" t="s">
        <v>301</v>
      </c>
      <c r="E129" s="2" t="s">
        <v>302</v>
      </c>
      <c r="F129" s="5">
        <f>IFERROR(INDEX(Baseline_Entry!$P:$P,MATCH($B129,Baseline_Entry!$B:$B,0)),"")</f>
        <v>55.671361502347416</v>
      </c>
      <c r="G129" s="5" t="str">
        <f t="shared" si="3"/>
        <v>Yes</v>
      </c>
      <c r="H129" s="5">
        <v>85.152000000000001</v>
      </c>
      <c r="I129" s="5">
        <v>87.475999999999999</v>
      </c>
      <c r="J129" s="5">
        <v>2.3239999999999981</v>
      </c>
      <c r="K129" s="5">
        <v>87.38</v>
      </c>
      <c r="L129" s="5">
        <v>82.94</v>
      </c>
      <c r="M129" s="5">
        <v>-4.4399999999999977</v>
      </c>
      <c r="N129" s="5">
        <v>87.38</v>
      </c>
      <c r="O129" s="5">
        <v>88.94</v>
      </c>
      <c r="P129" s="5">
        <v>1.5600000000000021</v>
      </c>
      <c r="Q129" s="5">
        <v>83</v>
      </c>
      <c r="R129" s="5">
        <v>91</v>
      </c>
      <c r="S129" s="5">
        <v>8</v>
      </c>
      <c r="T129" s="5">
        <v>86.5</v>
      </c>
      <c r="U129" s="5">
        <v>86</v>
      </c>
      <c r="V129" s="5">
        <v>-0.5</v>
      </c>
      <c r="W129" s="5">
        <v>81.5</v>
      </c>
      <c r="X129" s="5">
        <v>88.5</v>
      </c>
      <c r="Y129" s="5">
        <v>7</v>
      </c>
      <c r="Z129" s="2" t="str">
        <f t="shared" si="6"/>
        <v>High starter</v>
      </c>
      <c r="AA129" s="2" t="s">
        <v>65</v>
      </c>
      <c r="AB129" s="2" t="s">
        <v>65</v>
      </c>
      <c r="AC129" s="2">
        <v>0</v>
      </c>
      <c r="AD129" s="2" t="str">
        <f>IFERROR(INDEX(University_Exit!$D:$D,MATCH($B129,University_Exit!$B:$B,0)),"")</f>
        <v>Doha University for Science &amp; Technology</v>
      </c>
      <c r="AE129" s="2" t="str">
        <f>IFERROR(INDEX(University_Exit!$F:$F,MATCH($B129,University_Exit!$B:$B,0)),"")</f>
        <v>Electrical Engineering</v>
      </c>
      <c r="AF129" s="2" t="str">
        <f>IFERROR(INDEX(University_Exit!$L:$L,MATCH($B129,University_Exit!$B:$B,0)),"")</f>
        <v>Yes</v>
      </c>
      <c r="AG129" s="2">
        <f>IFERROR(INDEX(University_Exit!$H:$H,MATCH($B129,University_Exit!$B:$B,0)),"")</f>
        <v>88.94</v>
      </c>
      <c r="AH129" s="6">
        <f>IFERROR(INDEX(University_Exit!$K:$K,MATCH($B129,University_Exit!$B:$B,0)),"")</f>
        <v>1090</v>
      </c>
      <c r="AI129" s="2" t="str">
        <f>IFERROR(INDEX(University_Exit!$G:$G,MATCH($B129,University_Exit!$B:$B,0)),"")</f>
        <v>Qatar Energy</v>
      </c>
      <c r="AJ129">
        <f>IFERROR(INDEX(Baseline_Entry!$N:$N,MATCH($B129,Baseline_Entry!$B:$B,0)),"")</f>
        <v>98</v>
      </c>
      <c r="AK129">
        <f>IFERROR(INDEX(Cognitive_Profile!$E:$E,MATCH($B129,Cognitive_Profile!$B:$B,0)),"")</f>
        <v>98</v>
      </c>
      <c r="AL129">
        <f t="shared" si="4"/>
        <v>0</v>
      </c>
      <c r="AM129">
        <f>IFERROR(INDEX(Participation_By_Student!$D:$D,MATCH($B129,Participation_By_Student!$B:$B,0)),"")</f>
        <v>2</v>
      </c>
      <c r="AN129">
        <f>IFERROR(INDEX(Participation_By_Student!$E:$E,MATCH($B129,Participation_By_Student!$B:$B,0)),"")</f>
        <v>5</v>
      </c>
      <c r="AO129">
        <f>IFERROR(INDEX(Participation_By_Student!$F:$F,MATCH($B129,Participation_By_Student!$B:$B,0)),"")</f>
        <v>1</v>
      </c>
      <c r="AP129">
        <f>IFERROR(INDEX(Participation_By_Student!$G:$G,MATCH($B129,Participation_By_Student!$B:$B,0)),"")</f>
        <v>5</v>
      </c>
    </row>
    <row r="130" spans="1:42" x14ac:dyDescent="0.3">
      <c r="A130" s="2" t="s">
        <v>298</v>
      </c>
      <c r="B130" s="2" t="s">
        <v>329</v>
      </c>
      <c r="C130" s="2" t="s">
        <v>330</v>
      </c>
      <c r="D130" s="2" t="s">
        <v>301</v>
      </c>
      <c r="E130" s="2" t="s">
        <v>302</v>
      </c>
      <c r="F130" s="5">
        <f>IFERROR(INDEX(Baseline_Entry!$P:$P,MATCH($B130,Baseline_Entry!$B:$B,0)),"")</f>
        <v>53.40469483568075</v>
      </c>
      <c r="G130" s="5" t="str">
        <f t="shared" ref="G130:G193" si="7">IF(F130="","No","Yes")</f>
        <v>Yes</v>
      </c>
      <c r="H130" s="5">
        <v>80.116</v>
      </c>
      <c r="I130" s="5">
        <v>80.7</v>
      </c>
      <c r="J130" s="5">
        <v>0.58400000000000318</v>
      </c>
      <c r="K130" s="5">
        <v>78.69</v>
      </c>
      <c r="L130" s="5">
        <v>75</v>
      </c>
      <c r="M130" s="5">
        <v>-3.6899999999999982</v>
      </c>
      <c r="N130" s="5">
        <v>81.69</v>
      </c>
      <c r="O130" s="5">
        <v>81</v>
      </c>
      <c r="P130" s="5">
        <v>-0.68999999999999773</v>
      </c>
      <c r="Q130" s="5">
        <v>81.5</v>
      </c>
      <c r="R130" s="5">
        <v>90</v>
      </c>
      <c r="S130" s="5">
        <v>8.5</v>
      </c>
      <c r="T130" s="5">
        <v>88</v>
      </c>
      <c r="U130" s="5">
        <v>78.5</v>
      </c>
      <c r="V130" s="5">
        <v>-9.5</v>
      </c>
      <c r="W130" s="5">
        <v>70.7</v>
      </c>
      <c r="X130" s="5">
        <v>79</v>
      </c>
      <c r="Y130" s="5">
        <v>8.2999999999999972</v>
      </c>
      <c r="Z130" s="2" t="str">
        <f t="shared" si="6"/>
        <v>Middle starter</v>
      </c>
      <c r="AA130" s="2" t="s">
        <v>65</v>
      </c>
      <c r="AB130" s="2" t="s">
        <v>65</v>
      </c>
      <c r="AC130" s="2">
        <v>0</v>
      </c>
      <c r="AD130" s="2" t="str">
        <f>IFERROR(INDEX(University_Exit!$D:$D,MATCH($B130,University_Exit!$B:$B,0)),"")</f>
        <v>Qatar University</v>
      </c>
      <c r="AE130" s="2" t="str">
        <f>IFERROR(INDEX(University_Exit!$F:$F,MATCH($B130,University_Exit!$B:$B,0)),"")</f>
        <v>Civil Engineering</v>
      </c>
      <c r="AF130" s="2" t="str">
        <f>IFERROR(INDEX(University_Exit!$L:$L,MATCH($B130,University_Exit!$B:$B,0)),"")</f>
        <v>Yes</v>
      </c>
      <c r="AG130" s="2">
        <f>IFERROR(INDEX(University_Exit!$H:$H,MATCH($B130,University_Exit!$B:$B,0)),"")</f>
        <v>81</v>
      </c>
      <c r="AH130" s="6">
        <f>IFERROR(INDEX(University_Exit!$K:$K,MATCH($B130,University_Exit!$B:$B,0)),"")</f>
        <v>930</v>
      </c>
      <c r="AI130" s="2" t="str">
        <f>IFERROR(INDEX(University_Exit!$G:$G,MATCH($B130,University_Exit!$B:$B,0)),"")</f>
        <v>Qatar arm forces</v>
      </c>
      <c r="AJ130">
        <f>IFERROR(INDEX(Baseline_Entry!$N:$N,MATCH($B130,Baseline_Entry!$B:$B,0)),"")</f>
        <v>98</v>
      </c>
      <c r="AK130">
        <f>IFERROR(INDEX(Cognitive_Profile!$E:$E,MATCH($B130,Cognitive_Profile!$B:$B,0)),"")</f>
        <v>98</v>
      </c>
      <c r="AL130">
        <f t="shared" ref="AL130:AL193" si="8">IF(OR(AJ130="",AK130=""),"",AK130-AJ130)</f>
        <v>0</v>
      </c>
      <c r="AM130">
        <f>IFERROR(INDEX(Participation_By_Student!$D:$D,MATCH($B130,Participation_By_Student!$B:$B,0)),"")</f>
        <v>1</v>
      </c>
      <c r="AN130">
        <f>IFERROR(INDEX(Participation_By_Student!$E:$E,MATCH($B130,Participation_By_Student!$B:$B,0)),"")</f>
        <v>3</v>
      </c>
      <c r="AO130">
        <f>IFERROR(INDEX(Participation_By_Student!$F:$F,MATCH($B130,Participation_By_Student!$B:$B,0)),"")</f>
        <v>1</v>
      </c>
      <c r="AP130">
        <f>IFERROR(INDEX(Participation_By_Student!$G:$G,MATCH($B130,Participation_By_Student!$B:$B,0)),"")</f>
        <v>3</v>
      </c>
    </row>
    <row r="131" spans="1:42" x14ac:dyDescent="0.3">
      <c r="A131" s="2" t="s">
        <v>298</v>
      </c>
      <c r="B131" s="2" t="s">
        <v>331</v>
      </c>
      <c r="C131" s="2" t="s">
        <v>332</v>
      </c>
      <c r="D131" s="2" t="s">
        <v>301</v>
      </c>
      <c r="E131" s="2" t="s">
        <v>302</v>
      </c>
      <c r="F131" s="5">
        <f>IFERROR(INDEX(Baseline_Entry!$P:$P,MATCH($B131,Baseline_Entry!$B:$B,0)),"")</f>
        <v>49.126760563380287</v>
      </c>
      <c r="G131" s="5" t="str">
        <f t="shared" si="7"/>
        <v>Yes</v>
      </c>
      <c r="H131" s="5">
        <v>76.828000000000003</v>
      </c>
      <c r="I131" s="5">
        <v>80.3</v>
      </c>
      <c r="J131" s="5">
        <v>3.4719999999999942</v>
      </c>
      <c r="K131" s="5">
        <v>76.42</v>
      </c>
      <c r="L131" s="5">
        <v>77.5</v>
      </c>
      <c r="M131" s="5">
        <v>1.0799999999999981</v>
      </c>
      <c r="N131" s="5">
        <v>79.42</v>
      </c>
      <c r="O131" s="5">
        <v>81.5</v>
      </c>
      <c r="P131" s="5">
        <v>2.0799999999999979</v>
      </c>
      <c r="Q131" s="5">
        <v>75.5</v>
      </c>
      <c r="R131" s="5">
        <v>76</v>
      </c>
      <c r="S131" s="5">
        <v>0.5</v>
      </c>
      <c r="T131" s="5">
        <v>81</v>
      </c>
      <c r="U131" s="5">
        <v>82</v>
      </c>
      <c r="V131" s="5">
        <v>1</v>
      </c>
      <c r="W131" s="5">
        <v>71.8</v>
      </c>
      <c r="X131" s="5">
        <v>84.5</v>
      </c>
      <c r="Y131" s="5">
        <v>12.7</v>
      </c>
      <c r="Z131" s="2" t="str">
        <f t="shared" si="6"/>
        <v>High starter</v>
      </c>
      <c r="AA131" s="2" t="s">
        <v>99</v>
      </c>
      <c r="AB131" s="2" t="s">
        <v>65</v>
      </c>
      <c r="AC131" s="2">
        <v>1</v>
      </c>
      <c r="AD131" s="2" t="str">
        <f>IFERROR(INDEX(University_Exit!$D:$D,MATCH($B131,University_Exit!$B:$B,0)),"")</f>
        <v>الكلية العسكرية</v>
      </c>
      <c r="AE131" s="2" t="str">
        <f>IFERROR(INDEX(University_Exit!$F:$F,MATCH($B131,University_Exit!$B:$B,0)),"")</f>
        <v>مرشح ظابط</v>
      </c>
      <c r="AF131" s="2" t="str">
        <f>IFERROR(INDEX(University_Exit!$L:$L,MATCH($B131,University_Exit!$B:$B,0)),"")</f>
        <v>No</v>
      </c>
      <c r="AG131" s="2">
        <f>IFERROR(INDEX(University_Exit!$H:$H,MATCH($B131,University_Exit!$B:$B,0)),"")</f>
        <v>81.5</v>
      </c>
      <c r="AH131" s="6">
        <f>IFERROR(INDEX(University_Exit!$K:$K,MATCH($B131,University_Exit!$B:$B,0)),"")</f>
        <v>820</v>
      </c>
      <c r="AI131" s="2" t="str">
        <f>IFERROR(INDEX(University_Exit!$G:$G,MATCH($B131,University_Exit!$B:$B,0)),"")</f>
        <v>وزارة الدفاع</v>
      </c>
      <c r="AJ131">
        <f>IFERROR(INDEX(Baseline_Entry!$N:$N,MATCH($B131,Baseline_Entry!$B:$B,0)),"")</f>
        <v>90</v>
      </c>
      <c r="AK131">
        <f>IFERROR(INDEX(Cognitive_Profile!$E:$E,MATCH($B131,Cognitive_Profile!$B:$B,0)),"")</f>
        <v>90</v>
      </c>
      <c r="AL131">
        <f t="shared" si="8"/>
        <v>0</v>
      </c>
      <c r="AM131">
        <f>IFERROR(INDEX(Participation_By_Student!$D:$D,MATCH($B131,Participation_By_Student!$B:$B,0)),"")</f>
        <v>2</v>
      </c>
      <c r="AN131">
        <f>IFERROR(INDEX(Participation_By_Student!$E:$E,MATCH($B131,Participation_By_Student!$B:$B,0)),"")</f>
        <v>2</v>
      </c>
      <c r="AO131">
        <f>IFERROR(INDEX(Participation_By_Student!$F:$F,MATCH($B131,Participation_By_Student!$B:$B,0)),"")</f>
        <v>1</v>
      </c>
      <c r="AP131">
        <f>IFERROR(INDEX(Participation_By_Student!$G:$G,MATCH($B131,Participation_By_Student!$B:$B,0)),"")</f>
        <v>2</v>
      </c>
    </row>
    <row r="132" spans="1:42" x14ac:dyDescent="0.3">
      <c r="A132" s="2" t="s">
        <v>298</v>
      </c>
      <c r="B132" s="2" t="s">
        <v>333</v>
      </c>
      <c r="C132" s="2" t="s">
        <v>334</v>
      </c>
      <c r="D132" s="2" t="s">
        <v>301</v>
      </c>
      <c r="E132" s="2" t="s">
        <v>302</v>
      </c>
      <c r="F132" s="5">
        <f>IFERROR(INDEX(Baseline_Entry!$P:$P,MATCH($B132,Baseline_Entry!$B:$B,0)),"")</f>
        <v>55.271361502347418</v>
      </c>
      <c r="G132" s="5" t="str">
        <f t="shared" si="7"/>
        <v>Yes</v>
      </c>
      <c r="H132" s="5">
        <v>81.468000000000004</v>
      </c>
      <c r="I132" s="5">
        <v>84</v>
      </c>
      <c r="J132" s="5">
        <v>2.531999999999996</v>
      </c>
      <c r="K132" s="5">
        <v>77.92</v>
      </c>
      <c r="L132" s="5">
        <v>82</v>
      </c>
      <c r="M132" s="5">
        <v>4.0799999999999983</v>
      </c>
      <c r="N132" s="5">
        <v>83.92</v>
      </c>
      <c r="O132" s="5">
        <v>84</v>
      </c>
      <c r="P132" s="5">
        <v>7.9999999999998295E-2</v>
      </c>
      <c r="Q132" s="5">
        <v>84</v>
      </c>
      <c r="R132" s="5">
        <v>84.5</v>
      </c>
      <c r="S132" s="5">
        <v>0.5</v>
      </c>
      <c r="T132" s="5">
        <v>88.5</v>
      </c>
      <c r="U132" s="5">
        <v>84.5</v>
      </c>
      <c r="V132" s="5">
        <v>-4</v>
      </c>
      <c r="W132" s="5">
        <v>73</v>
      </c>
      <c r="X132" s="5">
        <v>85</v>
      </c>
      <c r="Y132" s="5">
        <v>12</v>
      </c>
      <c r="Z132" s="2" t="str">
        <f t="shared" si="6"/>
        <v>Low starter</v>
      </c>
      <c r="AA132" s="2" t="s">
        <v>65</v>
      </c>
      <c r="AB132" s="2" t="s">
        <v>65</v>
      </c>
      <c r="AC132" s="2">
        <v>0</v>
      </c>
      <c r="AD132" s="2" t="str">
        <f>IFERROR(INDEX(University_Exit!$D:$D,MATCH($B132,University_Exit!$B:$B,0)),"")</f>
        <v>Qatar University</v>
      </c>
      <c r="AE132" s="2" t="str">
        <f>IFERROR(INDEX(University_Exit!$F:$F,MATCH($B132,University_Exit!$B:$B,0)),"")</f>
        <v>Civil Engineering</v>
      </c>
      <c r="AF132" s="2" t="str">
        <f>IFERROR(INDEX(University_Exit!$L:$L,MATCH($B132,University_Exit!$B:$B,0)),"")</f>
        <v>Yes</v>
      </c>
      <c r="AG132" s="2">
        <f>IFERROR(INDEX(University_Exit!$H:$H,MATCH($B132,University_Exit!$B:$B,0)),"")</f>
        <v>84</v>
      </c>
      <c r="AH132" s="6">
        <f>IFERROR(INDEX(University_Exit!$K:$K,MATCH($B132,University_Exit!$B:$B,0)),"")</f>
        <v>720</v>
      </c>
      <c r="AI132" s="2" t="str">
        <f>IFERROR(INDEX(University_Exit!$G:$G,MATCH($B132,University_Exit!$B:$B,0)),"")</f>
        <v>Ministry Of Education</v>
      </c>
      <c r="AJ132">
        <f>IFERROR(INDEX(Baseline_Entry!$N:$N,MATCH($B132,Baseline_Entry!$B:$B,0)),"")</f>
        <v>98</v>
      </c>
      <c r="AK132">
        <f>IFERROR(INDEX(Cognitive_Profile!$E:$E,MATCH($B132,Cognitive_Profile!$B:$B,0)),"")</f>
        <v>98</v>
      </c>
      <c r="AL132">
        <f t="shared" si="8"/>
        <v>0</v>
      </c>
      <c r="AM132">
        <f>IFERROR(INDEX(Participation_By_Student!$D:$D,MATCH($B132,Participation_By_Student!$B:$B,0)),"")</f>
        <v>2</v>
      </c>
      <c r="AN132">
        <f>IFERROR(INDEX(Participation_By_Student!$E:$E,MATCH($B132,Participation_By_Student!$B:$B,0)),"")</f>
        <v>3</v>
      </c>
      <c r="AO132">
        <f>IFERROR(INDEX(Participation_By_Student!$F:$F,MATCH($B132,Participation_By_Student!$B:$B,0)),"")</f>
        <v>0</v>
      </c>
      <c r="AP132">
        <f>IFERROR(INDEX(Participation_By_Student!$G:$G,MATCH($B132,Participation_By_Student!$B:$B,0)),"")</f>
        <v>3</v>
      </c>
    </row>
    <row r="133" spans="1:42" x14ac:dyDescent="0.3">
      <c r="A133" s="2" t="s">
        <v>298</v>
      </c>
      <c r="B133" s="2" t="s">
        <v>335</v>
      </c>
      <c r="C133" s="2" t="s">
        <v>336</v>
      </c>
      <c r="D133" s="2" t="s">
        <v>301</v>
      </c>
      <c r="E133" s="2" t="s">
        <v>302</v>
      </c>
      <c r="F133" s="5">
        <f>IFERROR(INDEX(Baseline_Entry!$P:$P,MATCH($B133,Baseline_Entry!$B:$B,0)),"")</f>
        <v>56.396244131455397</v>
      </c>
      <c r="G133" s="5" t="str">
        <f t="shared" si="7"/>
        <v>Yes</v>
      </c>
      <c r="H133" s="5">
        <v>75.135999999999996</v>
      </c>
      <c r="I133" s="5">
        <v>80.099999999999994</v>
      </c>
      <c r="J133" s="5">
        <v>4.9639999999999986</v>
      </c>
      <c r="K133" s="5">
        <v>75.69</v>
      </c>
      <c r="L133" s="5">
        <v>77.25</v>
      </c>
      <c r="M133" s="5">
        <v>1.5600000000000021</v>
      </c>
      <c r="N133" s="5">
        <v>77.69</v>
      </c>
      <c r="O133" s="5">
        <v>82.25</v>
      </c>
      <c r="P133" s="5">
        <v>4.5600000000000023</v>
      </c>
      <c r="Q133" s="5">
        <v>83</v>
      </c>
      <c r="R133" s="5">
        <v>82.5</v>
      </c>
      <c r="S133" s="5">
        <v>-0.5</v>
      </c>
      <c r="T133" s="5">
        <v>74.5</v>
      </c>
      <c r="U133" s="5">
        <v>79.5</v>
      </c>
      <c r="V133" s="5">
        <v>5</v>
      </c>
      <c r="W133" s="5">
        <v>64.8</v>
      </c>
      <c r="X133" s="5">
        <v>79</v>
      </c>
      <c r="Y133" s="5">
        <v>14.2</v>
      </c>
      <c r="Z133" s="2" t="str">
        <f t="shared" si="6"/>
        <v>High starter</v>
      </c>
      <c r="AA133" s="2" t="s">
        <v>99</v>
      </c>
      <c r="AB133" s="2" t="s">
        <v>65</v>
      </c>
      <c r="AC133" s="2">
        <v>1</v>
      </c>
      <c r="AD133" s="2" t="str">
        <f>IFERROR(INDEX(University_Exit!$D:$D,MATCH($B133,University_Exit!$B:$B,0)),"")</f>
        <v>Qatar University</v>
      </c>
      <c r="AE133" s="2" t="str">
        <f>IFERROR(INDEX(University_Exit!$F:$F,MATCH($B133,University_Exit!$B:$B,0)),"")</f>
        <v>Mechanical Engineering</v>
      </c>
      <c r="AF133" s="2" t="str">
        <f>IFERROR(INDEX(University_Exit!$L:$L,MATCH($B133,University_Exit!$B:$B,0)),"")</f>
        <v>Yes</v>
      </c>
      <c r="AG133" s="2">
        <f>IFERROR(INDEX(University_Exit!$H:$H,MATCH($B133,University_Exit!$B:$B,0)),"")</f>
        <v>82.25</v>
      </c>
      <c r="AH133" s="6">
        <f>IFERROR(INDEX(University_Exit!$K:$K,MATCH($B133,University_Exit!$B:$B,0)),"")</f>
        <v>1080</v>
      </c>
      <c r="AI133" s="2" t="str">
        <f>IFERROR(INDEX(University_Exit!$G:$G,MATCH($B133,University_Exit!$B:$B,0)),"")</f>
        <v>لا يوجد</v>
      </c>
      <c r="AJ133">
        <f>IFERROR(INDEX(Baseline_Entry!$N:$N,MATCH($B133,Baseline_Entry!$B:$B,0)),"")</f>
        <v>92</v>
      </c>
      <c r="AK133">
        <f>IFERROR(INDEX(Cognitive_Profile!$E:$E,MATCH($B133,Cognitive_Profile!$B:$B,0)),"")</f>
        <v>92</v>
      </c>
      <c r="AL133">
        <f t="shared" si="8"/>
        <v>0</v>
      </c>
      <c r="AM133">
        <f>IFERROR(INDEX(Participation_By_Student!$D:$D,MATCH($B133,Participation_By_Student!$B:$B,0)),"")</f>
        <v>1</v>
      </c>
      <c r="AN133">
        <f>IFERROR(INDEX(Participation_By_Student!$E:$E,MATCH($B133,Participation_By_Student!$B:$B,0)),"")</f>
        <v>1</v>
      </c>
      <c r="AO133">
        <f>IFERROR(INDEX(Participation_By_Student!$F:$F,MATCH($B133,Participation_By_Student!$B:$B,0)),"")</f>
        <v>0</v>
      </c>
      <c r="AP133">
        <f>IFERROR(INDEX(Participation_By_Student!$G:$G,MATCH($B133,Participation_By_Student!$B:$B,0)),"")</f>
        <v>1</v>
      </c>
    </row>
    <row r="134" spans="1:42" x14ac:dyDescent="0.3">
      <c r="A134" s="2" t="s">
        <v>298</v>
      </c>
      <c r="B134" s="2" t="s">
        <v>337</v>
      </c>
      <c r="C134" s="2" t="s">
        <v>338</v>
      </c>
      <c r="D134" s="2" t="s">
        <v>301</v>
      </c>
      <c r="E134" s="2" t="s">
        <v>302</v>
      </c>
      <c r="F134" s="5">
        <f>IFERROR(INDEX(Baseline_Entry!$P:$P,MATCH($B134,Baseline_Entry!$B:$B,0)),"")</f>
        <v>51.329577464788734</v>
      </c>
      <c r="G134" s="5" t="str">
        <f t="shared" si="7"/>
        <v>Yes</v>
      </c>
      <c r="H134" s="5">
        <v>71.984000000000009</v>
      </c>
      <c r="I134" s="5">
        <v>68.823999999999998</v>
      </c>
      <c r="J134" s="5">
        <v>-3.1600000000000108</v>
      </c>
      <c r="K134" s="5">
        <v>75.61</v>
      </c>
      <c r="L134" s="5">
        <v>66.06</v>
      </c>
      <c r="M134" s="5">
        <v>-9.5499999999999972</v>
      </c>
      <c r="N134" s="5">
        <v>76.61</v>
      </c>
      <c r="O134" s="5">
        <v>71.06</v>
      </c>
      <c r="P134" s="5">
        <v>-5.5499999999999972</v>
      </c>
      <c r="Q134" s="5">
        <v>70</v>
      </c>
      <c r="R134" s="5">
        <v>74.5</v>
      </c>
      <c r="S134" s="5">
        <v>4.5</v>
      </c>
      <c r="T134" s="5">
        <v>74</v>
      </c>
      <c r="U134" s="5">
        <v>58</v>
      </c>
      <c r="V134" s="5">
        <v>-16</v>
      </c>
      <c r="W134" s="5">
        <v>63.7</v>
      </c>
      <c r="X134" s="5">
        <v>74.5</v>
      </c>
      <c r="Y134" s="5">
        <v>10.8</v>
      </c>
      <c r="Z134" s="2" t="str">
        <f t="shared" si="6"/>
        <v>Middle starter</v>
      </c>
      <c r="AA134" s="2" t="s">
        <v>99</v>
      </c>
      <c r="AB134" s="2" t="s">
        <v>120</v>
      </c>
      <c r="AC134" s="2">
        <v>-1</v>
      </c>
      <c r="AD134" s="2" t="str">
        <f>IFERROR(INDEX(University_Exit!$D:$D,MATCH($B134,University_Exit!$B:$B,0)),"")</f>
        <v>خدمة وطنية</v>
      </c>
      <c r="AE134" s="2">
        <f>IFERROR(INDEX(University_Exit!$F:$F,MATCH($B134,University_Exit!$B:$B,0)),"")</f>
        <v>0</v>
      </c>
      <c r="AF134" s="2" t="str">
        <f>IFERROR(INDEX(University_Exit!$L:$L,MATCH($B134,University_Exit!$B:$B,0)),"")</f>
        <v/>
      </c>
      <c r="AG134" s="2">
        <f>IFERROR(INDEX(University_Exit!$H:$H,MATCH($B134,University_Exit!$B:$B,0)),"")</f>
        <v>71</v>
      </c>
      <c r="AH134" s="6">
        <f>IFERROR(INDEX(University_Exit!$K:$K,MATCH($B134,University_Exit!$B:$B,0)),"")</f>
        <v>800</v>
      </c>
      <c r="AI134" s="2">
        <f>IFERROR(INDEX(University_Exit!$G:$G,MATCH($B134,University_Exit!$B:$B,0)),"")</f>
        <v>0</v>
      </c>
      <c r="AJ134">
        <f>IFERROR(INDEX(Baseline_Entry!$N:$N,MATCH($B134,Baseline_Entry!$B:$B,0)),"")</f>
        <v>92</v>
      </c>
      <c r="AK134">
        <f>IFERROR(INDEX(Cognitive_Profile!$E:$E,MATCH($B134,Cognitive_Profile!$B:$B,0)),"")</f>
        <v>92</v>
      </c>
      <c r="AL134">
        <f t="shared" si="8"/>
        <v>0</v>
      </c>
      <c r="AM134">
        <f>IFERROR(INDEX(Participation_By_Student!$D:$D,MATCH($B134,Participation_By_Student!$B:$B,0)),"")</f>
        <v>1</v>
      </c>
      <c r="AN134">
        <f>IFERROR(INDEX(Participation_By_Student!$E:$E,MATCH($B134,Participation_By_Student!$B:$B,0)),"")</f>
        <v>1</v>
      </c>
      <c r="AO134">
        <f>IFERROR(INDEX(Participation_By_Student!$F:$F,MATCH($B134,Participation_By_Student!$B:$B,0)),"")</f>
        <v>0</v>
      </c>
      <c r="AP134">
        <f>IFERROR(INDEX(Participation_By_Student!$G:$G,MATCH($B134,Participation_By_Student!$B:$B,0)),"")</f>
        <v>1</v>
      </c>
    </row>
    <row r="135" spans="1:42" x14ac:dyDescent="0.3">
      <c r="A135" s="2" t="s">
        <v>298</v>
      </c>
      <c r="B135" s="2" t="s">
        <v>339</v>
      </c>
      <c r="C135" s="2" t="s">
        <v>340</v>
      </c>
      <c r="D135" s="2" t="s">
        <v>301</v>
      </c>
      <c r="E135" s="2" t="s">
        <v>302</v>
      </c>
      <c r="F135" s="5">
        <f>IFERROR(INDEX(Baseline_Entry!$P:$P,MATCH($B135,Baseline_Entry!$B:$B,0)),"")</f>
        <v>60.908920187793427</v>
      </c>
      <c r="G135" s="5" t="str">
        <f t="shared" si="7"/>
        <v>Yes</v>
      </c>
      <c r="H135" s="5">
        <v>82.703999999999994</v>
      </c>
      <c r="I135" s="5">
        <v>86.2</v>
      </c>
      <c r="J135" s="5">
        <v>3.4960000000000089</v>
      </c>
      <c r="K135" s="5">
        <v>81.260000000000005</v>
      </c>
      <c r="L135" s="5">
        <v>85.75</v>
      </c>
      <c r="M135" s="5">
        <v>4.4899999999999949</v>
      </c>
      <c r="N135" s="5">
        <v>86.26</v>
      </c>
      <c r="O135" s="5">
        <v>87.75</v>
      </c>
      <c r="P135" s="5">
        <v>1.4899999999999951</v>
      </c>
      <c r="Q135" s="5">
        <v>84</v>
      </c>
      <c r="R135" s="5">
        <v>95</v>
      </c>
      <c r="S135" s="5">
        <v>11</v>
      </c>
      <c r="T135" s="5">
        <v>83</v>
      </c>
      <c r="U135" s="5">
        <v>77</v>
      </c>
      <c r="V135" s="5">
        <v>-6</v>
      </c>
      <c r="W135" s="5">
        <v>79</v>
      </c>
      <c r="X135" s="5">
        <v>85.5</v>
      </c>
      <c r="Y135" s="5">
        <v>6.5</v>
      </c>
      <c r="Z135" s="2" t="str">
        <f t="shared" si="6"/>
        <v>High starter</v>
      </c>
      <c r="AA135" s="2" t="s">
        <v>65</v>
      </c>
      <c r="AB135" s="2" t="s">
        <v>65</v>
      </c>
      <c r="AC135" s="2">
        <v>0</v>
      </c>
      <c r="AD135" s="2" t="str">
        <f>IFERROR(INDEX(University_Exit!$D:$D,MATCH($B135,University_Exit!$B:$B,0)),"")</f>
        <v>WEILL CORNELL MEDICINE</v>
      </c>
      <c r="AE135" s="2" t="str">
        <f>IFERROR(INDEX(University_Exit!$F:$F,MATCH($B135,University_Exit!$B:$B,0)),"")</f>
        <v>Medicine</v>
      </c>
      <c r="AF135" s="2" t="str">
        <f>IFERROR(INDEX(University_Exit!$L:$L,MATCH($B135,University_Exit!$B:$B,0)),"")</f>
        <v>Yes</v>
      </c>
      <c r="AG135" s="2">
        <f>IFERROR(INDEX(University_Exit!$H:$H,MATCH($B135,University_Exit!$B:$B,0)),"")</f>
        <v>87.75</v>
      </c>
      <c r="AH135" s="6">
        <f>IFERROR(INDEX(University_Exit!$K:$K,MATCH($B135,University_Exit!$B:$B,0)),"")</f>
        <v>1190</v>
      </c>
      <c r="AI135" s="2" t="str">
        <f>IFERROR(INDEX(University_Exit!$G:$G,MATCH($B135,University_Exit!$B:$B,0)),"")</f>
        <v>Ministry Of Education</v>
      </c>
      <c r="AJ135">
        <f>IFERROR(INDEX(Baseline_Entry!$N:$N,MATCH($B135,Baseline_Entry!$B:$B,0)),"")</f>
        <v>101</v>
      </c>
      <c r="AK135">
        <f>IFERROR(INDEX(Cognitive_Profile!$E:$E,MATCH($B135,Cognitive_Profile!$B:$B,0)),"")</f>
        <v>101</v>
      </c>
      <c r="AL135">
        <f t="shared" si="8"/>
        <v>0</v>
      </c>
      <c r="AM135">
        <f>IFERROR(INDEX(Participation_By_Student!$D:$D,MATCH($B135,Participation_By_Student!$B:$B,0)),"")</f>
        <v>2</v>
      </c>
      <c r="AN135">
        <f>IFERROR(INDEX(Participation_By_Student!$E:$E,MATCH($B135,Participation_By_Student!$B:$B,0)),"")</f>
        <v>3</v>
      </c>
      <c r="AO135">
        <f>IFERROR(INDEX(Participation_By_Student!$F:$F,MATCH($B135,Participation_By_Student!$B:$B,0)),"")</f>
        <v>1</v>
      </c>
      <c r="AP135">
        <f>IFERROR(INDEX(Participation_By_Student!$G:$G,MATCH($B135,Participation_By_Student!$B:$B,0)),"")</f>
        <v>3</v>
      </c>
    </row>
    <row r="136" spans="1:42" x14ac:dyDescent="0.3">
      <c r="A136" s="2" t="s">
        <v>298</v>
      </c>
      <c r="B136" s="2" t="s">
        <v>341</v>
      </c>
      <c r="C136" s="2" t="s">
        <v>342</v>
      </c>
      <c r="D136" s="2" t="s">
        <v>301</v>
      </c>
      <c r="E136" s="2" t="s">
        <v>302</v>
      </c>
      <c r="F136" s="5">
        <f>IFERROR(INDEX(Baseline_Entry!$P:$P,MATCH($B136,Baseline_Entry!$B:$B,0)),"")</f>
        <v>49.926760563380277</v>
      </c>
      <c r="G136" s="5" t="str">
        <f t="shared" si="7"/>
        <v>Yes</v>
      </c>
      <c r="H136" s="5">
        <v>87.688000000000002</v>
      </c>
      <c r="I136" s="5">
        <v>94.2</v>
      </c>
      <c r="J136" s="5">
        <v>6.5119999999999996</v>
      </c>
      <c r="K136" s="5">
        <v>88.07</v>
      </c>
      <c r="L136" s="5">
        <v>91.75</v>
      </c>
      <c r="M136" s="5">
        <v>3.6800000000000068</v>
      </c>
      <c r="N136" s="5">
        <v>88.07</v>
      </c>
      <c r="O136" s="5">
        <v>93.75</v>
      </c>
      <c r="P136" s="5">
        <v>5.6800000000000068</v>
      </c>
      <c r="Q136" s="5">
        <v>92</v>
      </c>
      <c r="R136" s="5">
        <v>98</v>
      </c>
      <c r="S136" s="5">
        <v>6</v>
      </c>
      <c r="T136" s="5">
        <v>90</v>
      </c>
      <c r="U136" s="5">
        <v>93</v>
      </c>
      <c r="V136" s="5">
        <v>3</v>
      </c>
      <c r="W136" s="5">
        <v>80.3</v>
      </c>
      <c r="X136" s="5">
        <v>94.5</v>
      </c>
      <c r="Y136" s="5">
        <v>14.2</v>
      </c>
      <c r="Z136" s="2" t="str">
        <f t="shared" si="6"/>
        <v>High starter</v>
      </c>
      <c r="AA136" s="2" t="s">
        <v>65</v>
      </c>
      <c r="AB136" s="2" t="s">
        <v>66</v>
      </c>
      <c r="AC136" s="2">
        <v>1</v>
      </c>
      <c r="AD136" s="2" t="str">
        <f>IFERROR(INDEX(University_Exit!$D:$D,MATCH($B136,University_Exit!$B:$B,0)),"")</f>
        <v>Carnegie Mellon University</v>
      </c>
      <c r="AE136" s="2" t="str">
        <f>IFERROR(INDEX(University_Exit!$F:$F,MATCH($B136,University_Exit!$B:$B,0)),"")</f>
        <v>Computer Science</v>
      </c>
      <c r="AF136" s="2" t="str">
        <f>IFERROR(INDEX(University_Exit!$L:$L,MATCH($B136,University_Exit!$B:$B,0)),"")</f>
        <v>Yes</v>
      </c>
      <c r="AG136" s="2">
        <f>IFERROR(INDEX(University_Exit!$H:$H,MATCH($B136,University_Exit!$B:$B,0)),"")</f>
        <v>93.75</v>
      </c>
      <c r="AH136" s="6">
        <f>IFERROR(INDEX(University_Exit!$K:$K,MATCH($B136,University_Exit!$B:$B,0)),"")</f>
        <v>1090</v>
      </c>
      <c r="AI136" s="2" t="str">
        <f>IFERROR(INDEX(University_Exit!$G:$G,MATCH($B136,University_Exit!$B:$B,0)),"")</f>
        <v>Ministry Of Education</v>
      </c>
      <c r="AJ136">
        <f>IFERROR(INDEX(Baseline_Entry!$N:$N,MATCH($B136,Baseline_Entry!$B:$B,0)),"")</f>
        <v>90</v>
      </c>
      <c r="AK136">
        <f>IFERROR(INDEX(Cognitive_Profile!$E:$E,MATCH($B136,Cognitive_Profile!$B:$B,0)),"")</f>
        <v>90</v>
      </c>
      <c r="AL136">
        <f t="shared" si="8"/>
        <v>0</v>
      </c>
      <c r="AM136">
        <f>IFERROR(INDEX(Participation_By_Student!$D:$D,MATCH($B136,Participation_By_Student!$B:$B,0)),"")</f>
        <v>2</v>
      </c>
      <c r="AN136">
        <f>IFERROR(INDEX(Participation_By_Student!$E:$E,MATCH($B136,Participation_By_Student!$B:$B,0)),"")</f>
        <v>5</v>
      </c>
      <c r="AO136">
        <f>IFERROR(INDEX(Participation_By_Student!$F:$F,MATCH($B136,Participation_By_Student!$B:$B,0)),"")</f>
        <v>2</v>
      </c>
      <c r="AP136">
        <f>IFERROR(INDEX(Participation_By_Student!$G:$G,MATCH($B136,Participation_By_Student!$B:$B,0)),"")</f>
        <v>5</v>
      </c>
    </row>
    <row r="137" spans="1:42" x14ac:dyDescent="0.3">
      <c r="A137" s="2" t="s">
        <v>298</v>
      </c>
      <c r="B137" s="2" t="s">
        <v>343</v>
      </c>
      <c r="C137" s="2" t="s">
        <v>344</v>
      </c>
      <c r="D137" s="2" t="s">
        <v>301</v>
      </c>
      <c r="E137" s="2" t="s">
        <v>302</v>
      </c>
      <c r="F137" s="5">
        <f>IFERROR(INDEX(Baseline_Entry!$P:$P,MATCH($B137,Baseline_Entry!$B:$B,0)),"")</f>
        <v>63.453521126760563</v>
      </c>
      <c r="G137" s="5" t="str">
        <f t="shared" si="7"/>
        <v>Yes</v>
      </c>
      <c r="H137" s="5">
        <v>92.975999999999999</v>
      </c>
      <c r="I137" s="5">
        <v>93.575999999999993</v>
      </c>
      <c r="J137" s="5">
        <v>0.59999999999999432</v>
      </c>
      <c r="K137" s="5">
        <v>93.34</v>
      </c>
      <c r="L137" s="5">
        <v>90.19</v>
      </c>
      <c r="M137" s="5">
        <v>-3.1500000000000061</v>
      </c>
      <c r="N137" s="5">
        <v>93.34</v>
      </c>
      <c r="O137" s="5">
        <v>93.19</v>
      </c>
      <c r="P137" s="5">
        <v>-0.15000000000000571</v>
      </c>
      <c r="Q137" s="5">
        <v>92</v>
      </c>
      <c r="R137" s="5">
        <v>94.5</v>
      </c>
      <c r="S137" s="5">
        <v>2.5</v>
      </c>
      <c r="T137" s="5">
        <v>96</v>
      </c>
      <c r="U137" s="5">
        <v>92.5</v>
      </c>
      <c r="V137" s="5">
        <v>-3.5</v>
      </c>
      <c r="W137" s="5">
        <v>90.2</v>
      </c>
      <c r="X137" s="5">
        <v>97.5</v>
      </c>
      <c r="Y137" s="5">
        <v>7.2999999999999972</v>
      </c>
      <c r="Z137" s="2" t="str">
        <f t="shared" si="6"/>
        <v>Middle starter</v>
      </c>
      <c r="AA137" s="2" t="s">
        <v>66</v>
      </c>
      <c r="AB137" s="2" t="s">
        <v>66</v>
      </c>
      <c r="AC137" s="2">
        <v>0</v>
      </c>
      <c r="AD137" s="2" t="str">
        <f>IFERROR(INDEX(University_Exit!$D:$D,MATCH($B137,University_Exit!$B:$B,0)),"")</f>
        <v>University of Manchester</v>
      </c>
      <c r="AE137" s="2" t="str">
        <f>IFERROR(INDEX(University_Exit!$F:$F,MATCH($B137,University_Exit!$B:$B,0)),"")</f>
        <v>Mechanical Engineering</v>
      </c>
      <c r="AF137" s="2" t="str">
        <f>IFERROR(INDEX(University_Exit!$L:$L,MATCH($B137,University_Exit!$B:$B,0)),"")</f>
        <v>Yes</v>
      </c>
      <c r="AG137" s="2">
        <f>IFERROR(INDEX(University_Exit!$H:$H,MATCH($B137,University_Exit!$B:$B,0)),"")</f>
        <v>93.19</v>
      </c>
      <c r="AH137" s="6">
        <f>IFERROR(INDEX(University_Exit!$K:$K,MATCH($B137,University_Exit!$B:$B,0)),"")</f>
        <v>1250</v>
      </c>
      <c r="AI137" s="2" t="str">
        <f>IFERROR(INDEX(University_Exit!$G:$G,MATCH($B137,University_Exit!$B:$B,0)),"")</f>
        <v>Ministry Of Education</v>
      </c>
      <c r="AJ137">
        <f>IFERROR(INDEX(Baseline_Entry!$N:$N,MATCH($B137,Baseline_Entry!$B:$B,0)),"")</f>
        <v>109</v>
      </c>
      <c r="AK137">
        <f>IFERROR(INDEX(Cognitive_Profile!$E:$E,MATCH($B137,Cognitive_Profile!$B:$B,0)),"")</f>
        <v>109</v>
      </c>
      <c r="AL137">
        <f t="shared" si="8"/>
        <v>0</v>
      </c>
      <c r="AM137">
        <f>IFERROR(INDEX(Participation_By_Student!$D:$D,MATCH($B137,Participation_By_Student!$B:$B,0)),"")</f>
        <v>3</v>
      </c>
      <c r="AN137">
        <f>IFERROR(INDEX(Participation_By_Student!$E:$E,MATCH($B137,Participation_By_Student!$B:$B,0)),"")</f>
        <v>7</v>
      </c>
      <c r="AO137">
        <f>IFERROR(INDEX(Participation_By_Student!$F:$F,MATCH($B137,Participation_By_Student!$B:$B,0)),"")</f>
        <v>2</v>
      </c>
      <c r="AP137">
        <f>IFERROR(INDEX(Participation_By_Student!$G:$G,MATCH($B137,Participation_By_Student!$B:$B,0)),"")</f>
        <v>7</v>
      </c>
    </row>
    <row r="138" spans="1:42" x14ac:dyDescent="0.3">
      <c r="A138" s="2" t="s">
        <v>298</v>
      </c>
      <c r="B138" s="2" t="s">
        <v>345</v>
      </c>
      <c r="C138" s="2" t="s">
        <v>346</v>
      </c>
      <c r="D138" s="2" t="s">
        <v>301</v>
      </c>
      <c r="E138" s="2" t="s">
        <v>302</v>
      </c>
      <c r="F138" s="5">
        <f>IFERROR(INDEX(Baseline_Entry!$P:$P,MATCH($B138,Baseline_Entry!$B:$B,0)),"")</f>
        <v>57.37840375586854</v>
      </c>
      <c r="G138" s="5" t="str">
        <f t="shared" si="7"/>
        <v>Yes</v>
      </c>
      <c r="H138" s="5">
        <v>74.808000000000007</v>
      </c>
      <c r="I138" s="5">
        <v>92.323999999999998</v>
      </c>
      <c r="J138" s="5">
        <v>17.515999999999991</v>
      </c>
      <c r="K138" s="5">
        <v>74.42</v>
      </c>
      <c r="L138" s="5">
        <v>91.81</v>
      </c>
      <c r="M138" s="5">
        <v>17.39</v>
      </c>
      <c r="N138" s="5">
        <v>80.42</v>
      </c>
      <c r="O138" s="5">
        <v>93.81</v>
      </c>
      <c r="P138" s="5">
        <v>13.39</v>
      </c>
      <c r="Q138" s="5">
        <v>71.5</v>
      </c>
      <c r="R138" s="5">
        <v>93.5</v>
      </c>
      <c r="S138" s="5">
        <v>22</v>
      </c>
      <c r="T138" s="5">
        <v>77.5</v>
      </c>
      <c r="U138" s="5">
        <v>90</v>
      </c>
      <c r="V138" s="5">
        <v>12.5</v>
      </c>
      <c r="W138" s="5">
        <v>70.2</v>
      </c>
      <c r="X138" s="5">
        <v>92.5</v>
      </c>
      <c r="Y138" s="5">
        <v>22.3</v>
      </c>
      <c r="Z138" s="2" t="str">
        <f t="shared" si="6"/>
        <v>Middle starter</v>
      </c>
      <c r="AA138" s="2" t="s">
        <v>99</v>
      </c>
      <c r="AB138" s="2" t="s">
        <v>66</v>
      </c>
      <c r="AC138" s="2">
        <v>2</v>
      </c>
      <c r="AD138" s="2" t="str">
        <f>IFERROR(INDEX(University_Exit!$D:$D,MATCH($B138,University_Exit!$B:$B,0)),"")</f>
        <v>Qatar University</v>
      </c>
      <c r="AE138" s="2" t="str">
        <f>IFERROR(INDEX(University_Exit!$F:$F,MATCH($B138,University_Exit!$B:$B,0)),"")</f>
        <v>Mechanical Engineering</v>
      </c>
      <c r="AF138" s="2" t="str">
        <f>IFERROR(INDEX(University_Exit!$L:$L,MATCH($B138,University_Exit!$B:$B,0)),"")</f>
        <v>Yes</v>
      </c>
      <c r="AG138" s="2">
        <f>IFERROR(INDEX(University_Exit!$H:$H,MATCH($B138,University_Exit!$B:$B,0)),"")</f>
        <v>93.81</v>
      </c>
      <c r="AH138" s="6">
        <f>IFERROR(INDEX(University_Exit!$K:$K,MATCH($B138,University_Exit!$B:$B,0)),"")</f>
        <v>1110</v>
      </c>
      <c r="AI138" s="2" t="str">
        <f>IFERROR(INDEX(University_Exit!$G:$G,MATCH($B138,University_Exit!$B:$B,0)),"")</f>
        <v>Ministry Of Education</v>
      </c>
      <c r="AJ138">
        <f>IFERROR(INDEX(Baseline_Entry!$N:$N,MATCH($B138,Baseline_Entry!$B:$B,0)),"")</f>
        <v>103</v>
      </c>
      <c r="AK138">
        <f>IFERROR(INDEX(Cognitive_Profile!$E:$E,MATCH($B138,Cognitive_Profile!$B:$B,0)),"")</f>
        <v>103</v>
      </c>
      <c r="AL138">
        <f t="shared" si="8"/>
        <v>0</v>
      </c>
      <c r="AM138">
        <f>IFERROR(INDEX(Participation_By_Student!$D:$D,MATCH($B138,Participation_By_Student!$B:$B,0)),"")</f>
        <v>6</v>
      </c>
      <c r="AN138">
        <f>IFERROR(INDEX(Participation_By_Student!$E:$E,MATCH($B138,Participation_By_Student!$B:$B,0)),"")</f>
        <v>20</v>
      </c>
      <c r="AO138">
        <f>IFERROR(INDEX(Participation_By_Student!$F:$F,MATCH($B138,Participation_By_Student!$B:$B,0)),"")</f>
        <v>11</v>
      </c>
      <c r="AP138">
        <f>IFERROR(INDEX(Participation_By_Student!$G:$G,MATCH($B138,Participation_By_Student!$B:$B,0)),"")</f>
        <v>21</v>
      </c>
    </row>
    <row r="139" spans="1:42" x14ac:dyDescent="0.3">
      <c r="A139" s="2" t="s">
        <v>298</v>
      </c>
      <c r="B139" s="2" t="s">
        <v>347</v>
      </c>
      <c r="C139" s="2" t="s">
        <v>348</v>
      </c>
      <c r="D139" s="2" t="s">
        <v>301</v>
      </c>
      <c r="E139" s="2" t="s">
        <v>302</v>
      </c>
      <c r="F139" s="5">
        <f>IFERROR(INDEX(Baseline_Entry!$P:$P,MATCH($B139,Baseline_Entry!$B:$B,0)),"")</f>
        <v>59.068544600938964</v>
      </c>
      <c r="G139" s="5" t="str">
        <f t="shared" si="7"/>
        <v>Yes</v>
      </c>
      <c r="H139" s="5">
        <v>93.012</v>
      </c>
      <c r="I139" s="5">
        <v>95.924000000000007</v>
      </c>
      <c r="J139" s="5">
        <v>2.9120000000000061</v>
      </c>
      <c r="K139" s="5">
        <v>92.73</v>
      </c>
      <c r="L139" s="5">
        <v>94.81</v>
      </c>
      <c r="M139" s="5">
        <v>2.0799999999999979</v>
      </c>
      <c r="N139" s="5">
        <v>92.73</v>
      </c>
      <c r="O139" s="5">
        <v>96.81</v>
      </c>
      <c r="P139" s="5">
        <v>4.0799999999999983</v>
      </c>
      <c r="Q139" s="5">
        <v>93.5</v>
      </c>
      <c r="R139" s="5">
        <v>97.5</v>
      </c>
      <c r="S139" s="5">
        <v>4</v>
      </c>
      <c r="T139" s="5">
        <v>97</v>
      </c>
      <c r="U139" s="5">
        <v>96.5</v>
      </c>
      <c r="V139" s="5">
        <v>-0.5</v>
      </c>
      <c r="W139" s="5">
        <v>89.1</v>
      </c>
      <c r="X139" s="5">
        <v>94</v>
      </c>
      <c r="Y139" s="5">
        <v>4.9000000000000057</v>
      </c>
      <c r="Z139" s="2" t="str">
        <f t="shared" si="6"/>
        <v>Low starter</v>
      </c>
      <c r="AA139" s="2" t="s">
        <v>66</v>
      </c>
      <c r="AB139" s="2" t="s">
        <v>66</v>
      </c>
      <c r="AC139" s="2">
        <v>0</v>
      </c>
      <c r="AD139" s="2" t="str">
        <f>IFERROR(INDEX(University_Exit!$D:$D,MATCH($B139,University_Exit!$B:$B,0)),"")</f>
        <v>University of Nottingham</v>
      </c>
      <c r="AE139" s="2" t="str">
        <f>IFERROR(INDEX(University_Exit!$F:$F,MATCH($B139,University_Exit!$B:$B,0)),"")</f>
        <v>Mechanical Engineering</v>
      </c>
      <c r="AF139" s="2" t="str">
        <f>IFERROR(INDEX(University_Exit!$L:$L,MATCH($B139,University_Exit!$B:$B,0)),"")</f>
        <v>Yes</v>
      </c>
      <c r="AG139" s="2">
        <f>IFERROR(INDEX(University_Exit!$H:$H,MATCH($B139,University_Exit!$B:$B,0)),"")</f>
        <v>96.81</v>
      </c>
      <c r="AH139" s="6">
        <f>IFERROR(INDEX(University_Exit!$K:$K,MATCH($B139,University_Exit!$B:$B,0)),"")</f>
        <v>1090</v>
      </c>
      <c r="AI139" s="2" t="str">
        <f>IFERROR(INDEX(University_Exit!$G:$G,MATCH($B139,University_Exit!$B:$B,0)),"")</f>
        <v>Qatar Energy</v>
      </c>
      <c r="AJ139">
        <f>IFERROR(INDEX(Baseline_Entry!$N:$N,MATCH($B139,Baseline_Entry!$B:$B,0)),"")</f>
        <v>96</v>
      </c>
      <c r="AK139">
        <f>IFERROR(INDEX(Cognitive_Profile!$E:$E,MATCH($B139,Cognitive_Profile!$B:$B,0)),"")</f>
        <v>96</v>
      </c>
      <c r="AL139">
        <f t="shared" si="8"/>
        <v>0</v>
      </c>
      <c r="AM139">
        <f>IFERROR(INDEX(Participation_By_Student!$D:$D,MATCH($B139,Participation_By_Student!$B:$B,0)),"")</f>
        <v>3</v>
      </c>
      <c r="AN139">
        <f>IFERROR(INDEX(Participation_By_Student!$E:$E,MATCH($B139,Participation_By_Student!$B:$B,0)),"")</f>
        <v>10</v>
      </c>
      <c r="AO139">
        <f>IFERROR(INDEX(Participation_By_Student!$F:$F,MATCH($B139,Participation_By_Student!$B:$B,0)),"")</f>
        <v>6</v>
      </c>
      <c r="AP139">
        <f>IFERROR(INDEX(Participation_By_Student!$G:$G,MATCH($B139,Participation_By_Student!$B:$B,0)),"")</f>
        <v>10</v>
      </c>
    </row>
    <row r="140" spans="1:42" x14ac:dyDescent="0.3">
      <c r="A140" s="2" t="s">
        <v>298</v>
      </c>
      <c r="B140" s="2" t="s">
        <v>349</v>
      </c>
      <c r="C140" s="2" t="s">
        <v>350</v>
      </c>
      <c r="D140" s="2" t="s">
        <v>301</v>
      </c>
      <c r="E140" s="2" t="s">
        <v>302</v>
      </c>
      <c r="F140" s="5">
        <f>IFERROR(INDEX(Baseline_Entry!$P:$P,MATCH($B140,Baseline_Entry!$B:$B,0)),"")</f>
        <v>53.613145539906107</v>
      </c>
      <c r="G140" s="5" t="str">
        <f t="shared" si="7"/>
        <v>Yes</v>
      </c>
      <c r="H140" s="5">
        <v>79.268000000000001</v>
      </c>
      <c r="I140" s="5">
        <v>86.123999999999995</v>
      </c>
      <c r="J140" s="5">
        <v>6.8559999999999954</v>
      </c>
      <c r="K140" s="5">
        <v>76.569999999999993</v>
      </c>
      <c r="L140" s="5">
        <v>85.06</v>
      </c>
      <c r="M140" s="5">
        <v>8.4900000000000091</v>
      </c>
      <c r="N140" s="5">
        <v>81.569999999999993</v>
      </c>
      <c r="O140" s="5">
        <v>88.06</v>
      </c>
      <c r="P140" s="5">
        <v>6.4900000000000091</v>
      </c>
      <c r="Q140" s="5">
        <v>87</v>
      </c>
      <c r="R140" s="5">
        <v>92</v>
      </c>
      <c r="S140" s="5">
        <v>5</v>
      </c>
      <c r="T140" s="5">
        <v>78.5</v>
      </c>
      <c r="U140" s="5">
        <v>80.5</v>
      </c>
      <c r="V140" s="5">
        <v>2</v>
      </c>
      <c r="W140" s="5">
        <v>72.7</v>
      </c>
      <c r="X140" s="5">
        <v>85</v>
      </c>
      <c r="Y140" s="5">
        <v>12.3</v>
      </c>
      <c r="Z140" s="2" t="str">
        <f t="shared" si="6"/>
        <v>Low starter</v>
      </c>
      <c r="AA140" s="2" t="s">
        <v>99</v>
      </c>
      <c r="AB140" s="2" t="s">
        <v>65</v>
      </c>
      <c r="AC140" s="2">
        <v>1</v>
      </c>
      <c r="AD140" s="2" t="str">
        <f>IFERROR(INDEX(University_Exit!$D:$D,MATCH($B140,University_Exit!$B:$B,0)),"")</f>
        <v>Royal College of Surgeons in Ireland</v>
      </c>
      <c r="AE140" s="2" t="str">
        <f>IFERROR(INDEX(University_Exit!$F:$F,MATCH($B140,University_Exit!$B:$B,0)),"")</f>
        <v>Medicine</v>
      </c>
      <c r="AF140" s="2" t="str">
        <f>IFERROR(INDEX(University_Exit!$L:$L,MATCH($B140,University_Exit!$B:$B,0)),"")</f>
        <v>Yes</v>
      </c>
      <c r="AG140" s="2">
        <f>IFERROR(INDEX(University_Exit!$H:$H,MATCH($B140,University_Exit!$B:$B,0)),"")</f>
        <v>88</v>
      </c>
      <c r="AH140" s="6">
        <f>IFERROR(INDEX(University_Exit!$K:$K,MATCH($B140,University_Exit!$B:$B,0)),"")</f>
        <v>960</v>
      </c>
      <c r="AI140" s="2" t="str">
        <f>IFERROR(INDEX(University_Exit!$G:$G,MATCH($B140,University_Exit!$B:$B,0)),"")</f>
        <v>Ministry Of Education</v>
      </c>
      <c r="AJ140">
        <f>IFERROR(INDEX(Baseline_Entry!$N:$N,MATCH($B140,Baseline_Entry!$B:$B,0)),"")</f>
        <v>104</v>
      </c>
      <c r="AK140">
        <f>IFERROR(INDEX(Cognitive_Profile!$E:$E,MATCH($B140,Cognitive_Profile!$B:$B,0)),"")</f>
        <v>104</v>
      </c>
      <c r="AL140">
        <f t="shared" si="8"/>
        <v>0</v>
      </c>
      <c r="AM140">
        <f>IFERROR(INDEX(Participation_By_Student!$D:$D,MATCH($B140,Participation_By_Student!$B:$B,0)),"")</f>
        <v>1</v>
      </c>
      <c r="AN140">
        <f>IFERROR(INDEX(Participation_By_Student!$E:$E,MATCH($B140,Participation_By_Student!$B:$B,0)),"")</f>
        <v>1</v>
      </c>
      <c r="AO140">
        <f>IFERROR(INDEX(Participation_By_Student!$F:$F,MATCH($B140,Participation_By_Student!$B:$B,0)),"")</f>
        <v>0</v>
      </c>
      <c r="AP140">
        <f>IFERROR(INDEX(Participation_By_Student!$G:$G,MATCH($B140,Participation_By_Student!$B:$B,0)),"")</f>
        <v>1</v>
      </c>
    </row>
    <row r="141" spans="1:42" x14ac:dyDescent="0.3">
      <c r="A141" s="2" t="s">
        <v>298</v>
      </c>
      <c r="B141" s="2" t="s">
        <v>351</v>
      </c>
      <c r="C141" s="2" t="s">
        <v>352</v>
      </c>
      <c r="D141" s="2" t="s">
        <v>301</v>
      </c>
      <c r="E141" s="2" t="s">
        <v>302</v>
      </c>
      <c r="F141" s="5">
        <f>IFERROR(INDEX(Baseline_Entry!$P:$P,MATCH($B141,Baseline_Entry!$B:$B,0)),"")</f>
        <v>55.036619718309858</v>
      </c>
      <c r="G141" s="5" t="str">
        <f t="shared" si="7"/>
        <v>Yes</v>
      </c>
      <c r="H141" s="5">
        <v>89.024000000000001</v>
      </c>
      <c r="I141" s="5">
        <v>91.823999999999998</v>
      </c>
      <c r="J141" s="5">
        <v>2.7999999999999972</v>
      </c>
      <c r="K141" s="5">
        <v>90.61</v>
      </c>
      <c r="L141" s="5">
        <v>91.31</v>
      </c>
      <c r="M141" s="5">
        <v>0.70000000000000284</v>
      </c>
      <c r="N141" s="5">
        <v>90.61</v>
      </c>
      <c r="O141" s="5">
        <v>92.31</v>
      </c>
      <c r="P141" s="5">
        <v>1.7000000000000031</v>
      </c>
      <c r="Q141" s="5">
        <v>87.5</v>
      </c>
      <c r="R141" s="5">
        <v>87.5</v>
      </c>
      <c r="S141" s="5">
        <v>0</v>
      </c>
      <c r="T141" s="5">
        <v>91</v>
      </c>
      <c r="U141" s="5">
        <v>91.5</v>
      </c>
      <c r="V141" s="5">
        <v>0.5</v>
      </c>
      <c r="W141" s="5">
        <v>85.4</v>
      </c>
      <c r="X141" s="5">
        <v>96.5</v>
      </c>
      <c r="Y141" s="5">
        <v>11.099999999999991</v>
      </c>
      <c r="Z141" s="2" t="str">
        <f t="shared" si="6"/>
        <v>Middle starter</v>
      </c>
      <c r="AA141" s="2" t="s">
        <v>65</v>
      </c>
      <c r="AB141" s="2" t="s">
        <v>66</v>
      </c>
      <c r="AC141" s="2">
        <v>1</v>
      </c>
      <c r="AD141" s="2" t="str">
        <f>IFERROR(INDEX(University_Exit!$D:$D,MATCH($B141,University_Exit!$B:$B,0)),"")</f>
        <v>University of Nottingham</v>
      </c>
      <c r="AE141" s="2" t="str">
        <f>IFERROR(INDEX(University_Exit!$F:$F,MATCH($B141,University_Exit!$B:$B,0)),"")</f>
        <v>Mechanical Engineering</v>
      </c>
      <c r="AF141" s="2" t="str">
        <f>IFERROR(INDEX(University_Exit!$L:$L,MATCH($B141,University_Exit!$B:$B,0)),"")</f>
        <v>Yes</v>
      </c>
      <c r="AG141" s="2">
        <f>IFERROR(INDEX(University_Exit!$H:$H,MATCH($B141,University_Exit!$B:$B,0)),"")</f>
        <v>92.31</v>
      </c>
      <c r="AH141" s="6">
        <f>IFERROR(INDEX(University_Exit!$K:$K,MATCH($B141,University_Exit!$B:$B,0)),"")</f>
        <v>1000</v>
      </c>
      <c r="AI141" s="2" t="str">
        <f>IFERROR(INDEX(University_Exit!$G:$G,MATCH($B141,University_Exit!$B:$B,0)),"")</f>
        <v>Qatar Energy</v>
      </c>
      <c r="AJ141">
        <f>IFERROR(INDEX(Baseline_Entry!$N:$N,MATCH($B141,Baseline_Entry!$B:$B,0)),"")</f>
        <v>97</v>
      </c>
      <c r="AK141">
        <f>IFERROR(INDEX(Cognitive_Profile!$E:$E,MATCH($B141,Cognitive_Profile!$B:$B,0)),"")</f>
        <v>97</v>
      </c>
      <c r="AL141">
        <f t="shared" si="8"/>
        <v>0</v>
      </c>
      <c r="AM141">
        <f>IFERROR(INDEX(Participation_By_Student!$D:$D,MATCH($B141,Participation_By_Student!$B:$B,0)),"")</f>
        <v>1</v>
      </c>
      <c r="AN141">
        <f>IFERROR(INDEX(Participation_By_Student!$E:$E,MATCH($B141,Participation_By_Student!$B:$B,0)),"")</f>
        <v>1</v>
      </c>
      <c r="AO141">
        <f>IFERROR(INDEX(Participation_By_Student!$F:$F,MATCH($B141,Participation_By_Student!$B:$B,0)),"")</f>
        <v>0</v>
      </c>
      <c r="AP141">
        <f>IFERROR(INDEX(Participation_By_Student!$G:$G,MATCH($B141,Participation_By_Student!$B:$B,0)),"")</f>
        <v>1</v>
      </c>
    </row>
    <row r="142" spans="1:42" x14ac:dyDescent="0.3">
      <c r="A142" s="2" t="s">
        <v>298</v>
      </c>
      <c r="B142" s="2" t="s">
        <v>353</v>
      </c>
      <c r="C142" s="2" t="s">
        <v>354</v>
      </c>
      <c r="D142" s="2" t="s">
        <v>301</v>
      </c>
      <c r="E142" s="2" t="s">
        <v>302</v>
      </c>
      <c r="F142" s="5">
        <f>IFERROR(INDEX(Baseline_Entry!$P:$P,MATCH($B142,Baseline_Entry!$B:$B,0)),"")</f>
        <v>55.521126760563384</v>
      </c>
      <c r="G142" s="5" t="str">
        <f t="shared" si="7"/>
        <v>Yes</v>
      </c>
      <c r="H142" s="5">
        <v>74.311999999999998</v>
      </c>
      <c r="I142" s="5">
        <v>69.251999999999995</v>
      </c>
      <c r="J142" s="5">
        <v>-5.0600000000000023</v>
      </c>
      <c r="K142" s="5">
        <v>75.88</v>
      </c>
      <c r="L142" s="5">
        <v>64.88</v>
      </c>
      <c r="M142" s="5">
        <v>-11</v>
      </c>
      <c r="N142" s="5">
        <v>77.88</v>
      </c>
      <c r="O142" s="5">
        <v>67.88</v>
      </c>
      <c r="P142" s="5">
        <v>-10</v>
      </c>
      <c r="Q142" s="5">
        <v>87.5</v>
      </c>
      <c r="R142" s="5">
        <v>83.5</v>
      </c>
      <c r="S142" s="5">
        <v>-4</v>
      </c>
      <c r="T142" s="5">
        <v>66</v>
      </c>
      <c r="U142" s="5">
        <v>62.5</v>
      </c>
      <c r="V142" s="5">
        <v>-3.5</v>
      </c>
      <c r="W142" s="5">
        <v>64.3</v>
      </c>
      <c r="X142" s="5">
        <v>67.5</v>
      </c>
      <c r="Y142" s="5">
        <v>3.2000000000000028</v>
      </c>
      <c r="Z142" s="2" t="str">
        <f t="shared" si="6"/>
        <v>Middle starter</v>
      </c>
      <c r="AA142" s="2" t="s">
        <v>99</v>
      </c>
      <c r="AB142" s="2" t="s">
        <v>120</v>
      </c>
      <c r="AC142" s="2">
        <v>-1</v>
      </c>
      <c r="AD142" s="2" t="str">
        <f>IFERROR(INDEX(University_Exit!$D:$D,MATCH($B142,University_Exit!$B:$B,0)),"")</f>
        <v>Doha University for Science &amp; Technology</v>
      </c>
      <c r="AE142" s="2" t="str">
        <f>IFERROR(INDEX(University_Exit!$F:$F,MATCH($B142,University_Exit!$B:$B,0)),"")</f>
        <v>Mechanical Engineering</v>
      </c>
      <c r="AF142" s="2" t="str">
        <f>IFERROR(INDEX(University_Exit!$L:$L,MATCH($B142,University_Exit!$B:$B,0)),"")</f>
        <v>Yes</v>
      </c>
      <c r="AG142" s="2">
        <f>IFERROR(INDEX(University_Exit!$H:$H,MATCH($B142,University_Exit!$B:$B,0)),"")</f>
        <v>67.88</v>
      </c>
      <c r="AH142" s="6">
        <f>IFERROR(INDEX(University_Exit!$K:$K,MATCH($B142,University_Exit!$B:$B,0)),"")</f>
        <v>880</v>
      </c>
      <c r="AI142" s="2" t="str">
        <f>IFERROR(INDEX(University_Exit!$G:$G,MATCH($B142,University_Exit!$B:$B,0)),"")</f>
        <v>لا يوجد</v>
      </c>
      <c r="AJ142">
        <f>IFERROR(INDEX(Baseline_Entry!$N:$N,MATCH($B142,Baseline_Entry!$B:$B,0)),"")</f>
        <v>86</v>
      </c>
      <c r="AK142">
        <f>IFERROR(INDEX(Cognitive_Profile!$E:$E,MATCH($B142,Cognitive_Profile!$B:$B,0)),"")</f>
        <v>86</v>
      </c>
      <c r="AL142">
        <f t="shared" si="8"/>
        <v>0</v>
      </c>
      <c r="AM142">
        <f>IFERROR(INDEX(Participation_By_Student!$D:$D,MATCH($B142,Participation_By_Student!$B:$B,0)),"")</f>
        <v>3</v>
      </c>
      <c r="AN142">
        <f>IFERROR(INDEX(Participation_By_Student!$E:$E,MATCH($B142,Participation_By_Student!$B:$B,0)),"")</f>
        <v>6</v>
      </c>
      <c r="AO142">
        <f>IFERROR(INDEX(Participation_By_Student!$F:$F,MATCH($B142,Participation_By_Student!$B:$B,0)),"")</f>
        <v>2</v>
      </c>
      <c r="AP142">
        <f>IFERROR(INDEX(Participation_By_Student!$G:$G,MATCH($B142,Participation_By_Student!$B:$B,0)),"")</f>
        <v>6</v>
      </c>
    </row>
    <row r="143" spans="1:42" x14ac:dyDescent="0.3">
      <c r="A143" s="2" t="s">
        <v>298</v>
      </c>
      <c r="B143" s="2" t="s">
        <v>355</v>
      </c>
      <c r="C143" s="2" t="s">
        <v>356</v>
      </c>
      <c r="D143" s="2" t="s">
        <v>301</v>
      </c>
      <c r="E143" s="2" t="s">
        <v>302</v>
      </c>
      <c r="F143" s="5">
        <f>IFERROR(INDEX(Baseline_Entry!$P:$P,MATCH($B143,Baseline_Entry!$B:$B,0)),"")</f>
        <v>50.535211267605632</v>
      </c>
      <c r="G143" s="5" t="str">
        <f t="shared" si="7"/>
        <v>Yes</v>
      </c>
      <c r="H143" s="5">
        <v>78.664000000000016</v>
      </c>
      <c r="I143" s="5">
        <v>92.376000000000005</v>
      </c>
      <c r="J143" s="5">
        <v>13.711999999999991</v>
      </c>
      <c r="K143" s="5">
        <v>77.61</v>
      </c>
      <c r="L143" s="5">
        <v>90.19</v>
      </c>
      <c r="M143" s="5">
        <v>12.58</v>
      </c>
      <c r="N143" s="5">
        <v>81.61</v>
      </c>
      <c r="O143" s="5">
        <v>94.19</v>
      </c>
      <c r="P143" s="5">
        <v>12.58</v>
      </c>
      <c r="Q143" s="5">
        <v>82</v>
      </c>
      <c r="R143" s="5">
        <v>96</v>
      </c>
      <c r="S143" s="5">
        <v>14</v>
      </c>
      <c r="T143" s="5">
        <v>81</v>
      </c>
      <c r="U143" s="5">
        <v>93</v>
      </c>
      <c r="V143" s="5">
        <v>12</v>
      </c>
      <c r="W143" s="5">
        <v>71.099999999999994</v>
      </c>
      <c r="X143" s="5">
        <v>88.5</v>
      </c>
      <c r="Y143" s="5">
        <v>17.400000000000009</v>
      </c>
      <c r="Z143" s="2" t="str">
        <f t="shared" si="6"/>
        <v>Middle starter</v>
      </c>
      <c r="AA143" s="2" t="s">
        <v>99</v>
      </c>
      <c r="AB143" s="2" t="s">
        <v>66</v>
      </c>
      <c r="AC143" s="2">
        <v>2</v>
      </c>
      <c r="AD143" s="2" t="str">
        <f>IFERROR(INDEX(University_Exit!$D:$D,MATCH($B143,University_Exit!$B:$B,0)),"")</f>
        <v>Qatar University</v>
      </c>
      <c r="AE143" s="2" t="str">
        <f>IFERROR(INDEX(University_Exit!$F:$F,MATCH($B143,University_Exit!$B:$B,0)),"")</f>
        <v>Computer Science</v>
      </c>
      <c r="AF143" s="2" t="str">
        <f>IFERROR(INDEX(University_Exit!$L:$L,MATCH($B143,University_Exit!$B:$B,0)),"")</f>
        <v>Yes</v>
      </c>
      <c r="AG143" s="2">
        <f>IFERROR(INDEX(University_Exit!$H:$H,MATCH($B143,University_Exit!$B:$B,0)),"")</f>
        <v>94.19</v>
      </c>
      <c r="AH143" s="6">
        <f>IFERROR(INDEX(University_Exit!$K:$K,MATCH($B143,University_Exit!$B:$B,0)),"")</f>
        <v>930</v>
      </c>
      <c r="AI143" s="2" t="str">
        <f>IFERROR(INDEX(University_Exit!$G:$G,MATCH($B143,University_Exit!$B:$B,0)),"")</f>
        <v>Ministry Of Education</v>
      </c>
      <c r="AJ143">
        <f>IFERROR(INDEX(Baseline_Entry!$N:$N,MATCH($B143,Baseline_Entry!$B:$B,0)),"")</f>
        <v>96</v>
      </c>
      <c r="AK143">
        <f>IFERROR(INDEX(Cognitive_Profile!$E:$E,MATCH($B143,Cognitive_Profile!$B:$B,0)),"")</f>
        <v>96</v>
      </c>
      <c r="AL143">
        <f t="shared" si="8"/>
        <v>0</v>
      </c>
      <c r="AM143">
        <f>IFERROR(INDEX(Participation_By_Student!$D:$D,MATCH($B143,Participation_By_Student!$B:$B,0)),"")</f>
        <v>2</v>
      </c>
      <c r="AN143">
        <f>IFERROR(INDEX(Participation_By_Student!$E:$E,MATCH($B143,Participation_By_Student!$B:$B,0)),"")</f>
        <v>3</v>
      </c>
      <c r="AO143">
        <f>IFERROR(INDEX(Participation_By_Student!$F:$F,MATCH($B143,Participation_By_Student!$B:$B,0)),"")</f>
        <v>0</v>
      </c>
      <c r="AP143">
        <f>IFERROR(INDEX(Participation_By_Student!$G:$G,MATCH($B143,Participation_By_Student!$B:$B,0)),"")</f>
        <v>3</v>
      </c>
    </row>
    <row r="144" spans="1:42" x14ac:dyDescent="0.3">
      <c r="A144" s="2" t="s">
        <v>298</v>
      </c>
      <c r="B144" s="2" t="s">
        <v>357</v>
      </c>
      <c r="C144" s="2" t="s">
        <v>358</v>
      </c>
      <c r="D144" s="2" t="s">
        <v>301</v>
      </c>
      <c r="E144" s="2" t="s">
        <v>302</v>
      </c>
      <c r="F144" s="5">
        <f>IFERROR(INDEX(Baseline_Entry!$P:$P,MATCH($B144,Baseline_Entry!$B:$B,0)),"")</f>
        <v>48.097652582159633</v>
      </c>
      <c r="G144" s="5" t="str">
        <f t="shared" si="7"/>
        <v>Yes</v>
      </c>
      <c r="H144" s="5">
        <v>85.715999999999994</v>
      </c>
      <c r="I144" s="5">
        <v>94.275999999999996</v>
      </c>
      <c r="J144" s="5">
        <v>8.5600000000000023</v>
      </c>
      <c r="K144" s="5">
        <v>82.19</v>
      </c>
      <c r="L144" s="5">
        <v>89.94</v>
      </c>
      <c r="M144" s="5">
        <v>7.75</v>
      </c>
      <c r="N144" s="5">
        <v>87.19</v>
      </c>
      <c r="O144" s="5">
        <v>94.94</v>
      </c>
      <c r="P144" s="5">
        <v>7.75</v>
      </c>
      <c r="Q144" s="5">
        <v>88.5</v>
      </c>
      <c r="R144" s="5">
        <v>93</v>
      </c>
      <c r="S144" s="5">
        <v>4.5</v>
      </c>
      <c r="T144" s="5">
        <v>91</v>
      </c>
      <c r="U144" s="5">
        <v>97.5</v>
      </c>
      <c r="V144" s="5">
        <v>6.5</v>
      </c>
      <c r="W144" s="5">
        <v>79.7</v>
      </c>
      <c r="X144" s="5">
        <v>96</v>
      </c>
      <c r="Y144" s="5">
        <v>16.3</v>
      </c>
      <c r="Z144" s="2" t="str">
        <f t="shared" si="6"/>
        <v>Low starter</v>
      </c>
      <c r="AA144" s="2" t="s">
        <v>65</v>
      </c>
      <c r="AB144" s="2" t="s">
        <v>66</v>
      </c>
      <c r="AC144" s="2">
        <v>1</v>
      </c>
      <c r="AD144" s="2" t="str">
        <f>IFERROR(INDEX(University_Exit!$D:$D,MATCH($B144,University_Exit!$B:$B,0)),"")</f>
        <v>Queen Mary University of London</v>
      </c>
      <c r="AE144" s="2" t="str">
        <f>IFERROR(INDEX(University_Exit!$F:$F,MATCH($B144,University_Exit!$B:$B,0)),"")</f>
        <v>Mechanical Engineering</v>
      </c>
      <c r="AF144" s="2" t="str">
        <f>IFERROR(INDEX(University_Exit!$L:$L,MATCH($B144,University_Exit!$B:$B,0)),"")</f>
        <v>Yes</v>
      </c>
      <c r="AG144" s="2">
        <f>IFERROR(INDEX(University_Exit!$H:$H,MATCH($B144,University_Exit!$B:$B,0)),"")</f>
        <v>94.94</v>
      </c>
      <c r="AH144" s="6">
        <f>IFERROR(INDEX(University_Exit!$K:$K,MATCH($B144,University_Exit!$B:$B,0)),"")</f>
        <v>980</v>
      </c>
      <c r="AI144" s="2" t="str">
        <f>IFERROR(INDEX(University_Exit!$G:$G,MATCH($B144,University_Exit!$B:$B,0)),"")</f>
        <v>Oryx GTL Limited</v>
      </c>
      <c r="AJ144">
        <f>IFERROR(INDEX(Baseline_Entry!$N:$N,MATCH($B144,Baseline_Entry!$B:$B,0)),"")</f>
        <v>93</v>
      </c>
      <c r="AK144">
        <f>IFERROR(INDEX(Cognitive_Profile!$E:$E,MATCH($B144,Cognitive_Profile!$B:$B,0)),"")</f>
        <v>93</v>
      </c>
      <c r="AL144">
        <f t="shared" si="8"/>
        <v>0</v>
      </c>
      <c r="AM144">
        <f>IFERROR(INDEX(Participation_By_Student!$D:$D,MATCH($B144,Participation_By_Student!$B:$B,0)),"")</f>
        <v>3</v>
      </c>
      <c r="AN144">
        <f>IFERROR(INDEX(Participation_By_Student!$E:$E,MATCH($B144,Participation_By_Student!$B:$B,0)),"")</f>
        <v>4</v>
      </c>
      <c r="AO144">
        <f>IFERROR(INDEX(Participation_By_Student!$F:$F,MATCH($B144,Participation_By_Student!$B:$B,0)),"")</f>
        <v>1</v>
      </c>
      <c r="AP144">
        <f>IFERROR(INDEX(Participation_By_Student!$G:$G,MATCH($B144,Participation_By_Student!$B:$B,0)),"")</f>
        <v>4</v>
      </c>
    </row>
    <row r="145" spans="1:42" x14ac:dyDescent="0.3">
      <c r="A145" s="2" t="s">
        <v>298</v>
      </c>
      <c r="B145" s="2" t="s">
        <v>359</v>
      </c>
      <c r="C145" s="2" t="s">
        <v>360</v>
      </c>
      <c r="D145" s="2" t="s">
        <v>301</v>
      </c>
      <c r="E145" s="2" t="s">
        <v>302</v>
      </c>
      <c r="F145" s="5">
        <f>IFERROR(INDEX(Baseline_Entry!$P:$P,MATCH($B145,Baseline_Entry!$B:$B,0)),"")</f>
        <v>55.72957746478874</v>
      </c>
      <c r="G145" s="5" t="str">
        <f t="shared" si="7"/>
        <v>Yes</v>
      </c>
      <c r="H145" s="5">
        <v>71.912000000000006</v>
      </c>
      <c r="I145" s="5">
        <v>75.623999999999995</v>
      </c>
      <c r="J145" s="5">
        <v>3.7119999999999891</v>
      </c>
      <c r="K145" s="5">
        <v>68.88</v>
      </c>
      <c r="L145" s="5">
        <v>71.31</v>
      </c>
      <c r="M145" s="5">
        <v>2.4300000000000068</v>
      </c>
      <c r="N145" s="5">
        <v>74.88</v>
      </c>
      <c r="O145" s="5">
        <v>75.31</v>
      </c>
      <c r="P145" s="5">
        <v>0.43000000000000682</v>
      </c>
      <c r="Q145" s="5">
        <v>81</v>
      </c>
      <c r="R145" s="5">
        <v>84.5</v>
      </c>
      <c r="S145" s="5">
        <v>3.5</v>
      </c>
      <c r="T145" s="5">
        <v>66</v>
      </c>
      <c r="U145" s="5">
        <v>71.5</v>
      </c>
      <c r="V145" s="5">
        <v>5.5</v>
      </c>
      <c r="W145" s="5">
        <v>68.8</v>
      </c>
      <c r="X145" s="5">
        <v>75.5</v>
      </c>
      <c r="Y145" s="5">
        <v>6.7000000000000028</v>
      </c>
      <c r="Z145" s="2" t="str">
        <f t="shared" si="6"/>
        <v>Low starter</v>
      </c>
      <c r="AA145" s="2" t="s">
        <v>99</v>
      </c>
      <c r="AB145" s="2" t="s">
        <v>99</v>
      </c>
      <c r="AC145" s="2">
        <v>0</v>
      </c>
      <c r="AD145" s="2" t="str">
        <f>IFERROR(INDEX(University_Exit!$D:$D,MATCH($B145,University_Exit!$B:$B,0)),"")</f>
        <v>Qatar University</v>
      </c>
      <c r="AE145" s="2" t="str">
        <f>IFERROR(INDEX(University_Exit!$F:$F,MATCH($B145,University_Exit!$B:$B,0)),"")</f>
        <v>Electrical Engineering</v>
      </c>
      <c r="AF145" s="2" t="str">
        <f>IFERROR(INDEX(University_Exit!$L:$L,MATCH($B145,University_Exit!$B:$B,0)),"")</f>
        <v>Yes</v>
      </c>
      <c r="AG145" s="2">
        <f>IFERROR(INDEX(University_Exit!$H:$H,MATCH($B145,University_Exit!$B:$B,0)),"")</f>
        <v>75.31</v>
      </c>
      <c r="AH145" s="6">
        <f>IFERROR(INDEX(University_Exit!$K:$K,MATCH($B145,University_Exit!$B:$B,0)),"")</f>
        <v>960</v>
      </c>
      <c r="AI145" s="2" t="str">
        <f>IFERROR(INDEX(University_Exit!$G:$G,MATCH($B145,University_Exit!$B:$B,0)),"")</f>
        <v>Self-sponsored</v>
      </c>
      <c r="AJ145">
        <f>IFERROR(INDEX(Baseline_Entry!$N:$N,MATCH($B145,Baseline_Entry!$B:$B,0)),"")</f>
        <v>92</v>
      </c>
      <c r="AK145">
        <f>IFERROR(INDEX(Cognitive_Profile!$E:$E,MATCH($B145,Cognitive_Profile!$B:$B,0)),"")</f>
        <v>92</v>
      </c>
      <c r="AL145">
        <f t="shared" si="8"/>
        <v>0</v>
      </c>
      <c r="AM145">
        <f>IFERROR(INDEX(Participation_By_Student!$D:$D,MATCH($B145,Participation_By_Student!$B:$B,0)),"")</f>
        <v>1</v>
      </c>
      <c r="AN145">
        <f>IFERROR(INDEX(Participation_By_Student!$E:$E,MATCH($B145,Participation_By_Student!$B:$B,0)),"")</f>
        <v>2</v>
      </c>
      <c r="AO145">
        <f>IFERROR(INDEX(Participation_By_Student!$F:$F,MATCH($B145,Participation_By_Student!$B:$B,0)),"")</f>
        <v>1</v>
      </c>
      <c r="AP145">
        <f>IFERROR(INDEX(Participation_By_Student!$G:$G,MATCH($B145,Participation_By_Student!$B:$B,0)),"")</f>
        <v>2</v>
      </c>
    </row>
    <row r="146" spans="1:42" x14ac:dyDescent="0.3">
      <c r="A146" s="2" t="s">
        <v>298</v>
      </c>
      <c r="B146" s="2" t="s">
        <v>361</v>
      </c>
      <c r="C146" s="2" t="s">
        <v>362</v>
      </c>
      <c r="D146" s="2" t="s">
        <v>301</v>
      </c>
      <c r="E146" s="2" t="s">
        <v>302</v>
      </c>
      <c r="F146" s="5">
        <f>IFERROR(INDEX(Baseline_Entry!$P:$P,MATCH($B146,Baseline_Entry!$B:$B,0)),"")</f>
        <v>47.692018779342732</v>
      </c>
      <c r="G146" s="5" t="str">
        <f t="shared" si="7"/>
        <v>Yes</v>
      </c>
      <c r="H146" s="5">
        <v>79.131999999999991</v>
      </c>
      <c r="I146" s="5">
        <v>84.623999999999995</v>
      </c>
      <c r="J146" s="5">
        <v>5.4920000000000044</v>
      </c>
      <c r="K146" s="5">
        <v>78.88</v>
      </c>
      <c r="L146" s="5">
        <v>83.06</v>
      </c>
      <c r="M146" s="5">
        <v>4.1800000000000068</v>
      </c>
      <c r="N146" s="5">
        <v>83.88</v>
      </c>
      <c r="O146" s="5">
        <v>86.06</v>
      </c>
      <c r="P146" s="5">
        <v>2.1800000000000068</v>
      </c>
      <c r="Q146" s="5">
        <v>81.5</v>
      </c>
      <c r="R146" s="5">
        <v>87</v>
      </c>
      <c r="S146" s="5">
        <v>5.5</v>
      </c>
      <c r="T146" s="5">
        <v>76</v>
      </c>
      <c r="U146" s="5">
        <v>79</v>
      </c>
      <c r="V146" s="5">
        <v>3</v>
      </c>
      <c r="W146" s="5">
        <v>75.400000000000006</v>
      </c>
      <c r="X146" s="5">
        <v>88</v>
      </c>
      <c r="Y146" s="5">
        <v>12.599999999999991</v>
      </c>
      <c r="Z146" s="2" t="str">
        <f t="shared" si="6"/>
        <v>High starter</v>
      </c>
      <c r="AA146" s="2" t="s">
        <v>99</v>
      </c>
      <c r="AB146" s="2" t="s">
        <v>65</v>
      </c>
      <c r="AC146" s="2">
        <v>1</v>
      </c>
      <c r="AD146" s="2" t="str">
        <f>IFERROR(INDEX(University_Exit!$D:$D,MATCH($B146,University_Exit!$B:$B,0)),"")</f>
        <v>Qatar University</v>
      </c>
      <c r="AE146" s="2" t="str">
        <f>IFERROR(INDEX(University_Exit!$F:$F,MATCH($B146,University_Exit!$B:$B,0)),"")</f>
        <v>Electrical Engineering</v>
      </c>
      <c r="AF146" s="2" t="str">
        <f>IFERROR(INDEX(University_Exit!$L:$L,MATCH($B146,University_Exit!$B:$B,0)),"")</f>
        <v>Yes</v>
      </c>
      <c r="AG146" s="2">
        <f>IFERROR(INDEX(University_Exit!$H:$H,MATCH($B146,University_Exit!$B:$B,0)),"")</f>
        <v>86</v>
      </c>
      <c r="AH146" s="6">
        <f>IFERROR(INDEX(University_Exit!$K:$K,MATCH($B146,University_Exit!$B:$B,0)),"")</f>
        <v>900</v>
      </c>
      <c r="AI146" s="2" t="str">
        <f>IFERROR(INDEX(University_Exit!$G:$G,MATCH($B146,University_Exit!$B:$B,0)),"")</f>
        <v>Qatar Energy</v>
      </c>
      <c r="AJ146">
        <f>IFERROR(INDEX(Baseline_Entry!$N:$N,MATCH($B146,Baseline_Entry!$B:$B,0)),"")</f>
        <v>89</v>
      </c>
      <c r="AK146">
        <f>IFERROR(INDEX(Cognitive_Profile!$E:$E,MATCH($B146,Cognitive_Profile!$B:$B,0)),"")</f>
        <v>89</v>
      </c>
      <c r="AL146">
        <f t="shared" si="8"/>
        <v>0</v>
      </c>
      <c r="AM146">
        <f>IFERROR(INDEX(Participation_By_Student!$D:$D,MATCH($B146,Participation_By_Student!$B:$B,0)),"")</f>
        <v>2</v>
      </c>
      <c r="AN146">
        <f>IFERROR(INDEX(Participation_By_Student!$E:$E,MATCH($B146,Participation_By_Student!$B:$B,0)),"")</f>
        <v>4</v>
      </c>
      <c r="AO146">
        <f>IFERROR(INDEX(Participation_By_Student!$F:$F,MATCH($B146,Participation_By_Student!$B:$B,0)),"")</f>
        <v>0</v>
      </c>
      <c r="AP146">
        <f>IFERROR(INDEX(Participation_By_Student!$G:$G,MATCH($B146,Participation_By_Student!$B:$B,0)),"")</f>
        <v>4</v>
      </c>
    </row>
    <row r="147" spans="1:42" x14ac:dyDescent="0.3">
      <c r="A147" s="2" t="s">
        <v>298</v>
      </c>
      <c r="B147" s="2" t="s">
        <v>363</v>
      </c>
      <c r="C147" s="2" t="s">
        <v>364</v>
      </c>
      <c r="D147" s="2" t="s">
        <v>301</v>
      </c>
      <c r="E147" s="2" t="s">
        <v>302</v>
      </c>
      <c r="F147" s="5">
        <f>IFERROR(INDEX(Baseline_Entry!$P:$P,MATCH($B147,Baseline_Entry!$B:$B,0)),"")</f>
        <v>53.569953051643189</v>
      </c>
      <c r="G147" s="5" t="str">
        <f t="shared" si="7"/>
        <v>Yes</v>
      </c>
      <c r="H147" s="5">
        <v>79.855999999999995</v>
      </c>
      <c r="I147" s="5">
        <v>98.575999999999993</v>
      </c>
      <c r="J147" s="5">
        <v>18.72</v>
      </c>
      <c r="K147" s="5">
        <v>81.34</v>
      </c>
      <c r="L147" s="5">
        <v>95.94</v>
      </c>
      <c r="M147" s="5">
        <v>14.599999999999991</v>
      </c>
      <c r="N147" s="5">
        <v>82.34</v>
      </c>
      <c r="O147" s="5">
        <v>98.94</v>
      </c>
      <c r="P147" s="5">
        <v>16.599999999999991</v>
      </c>
      <c r="Q147" s="5">
        <v>81</v>
      </c>
      <c r="R147" s="5">
        <v>99</v>
      </c>
      <c r="S147" s="5">
        <v>18</v>
      </c>
      <c r="T147" s="5">
        <v>85.5</v>
      </c>
      <c r="U147" s="5">
        <v>99.5</v>
      </c>
      <c r="V147" s="5">
        <v>14</v>
      </c>
      <c r="W147" s="5">
        <v>69.099999999999994</v>
      </c>
      <c r="X147" s="5">
        <v>99.5</v>
      </c>
      <c r="Y147" s="5">
        <v>30.400000000000009</v>
      </c>
      <c r="Z147" s="2" t="str">
        <f t="shared" si="6"/>
        <v>High starter</v>
      </c>
      <c r="AA147" s="2" t="s">
        <v>99</v>
      </c>
      <c r="AB147" s="2" t="s">
        <v>66</v>
      </c>
      <c r="AC147" s="2">
        <v>2</v>
      </c>
      <c r="AD147" s="2" t="str">
        <f>IFERROR(INDEX(University_Exit!$D:$D,MATCH($B147,University_Exit!$B:$B,0)),"")</f>
        <v>Carnegie Mellon University</v>
      </c>
      <c r="AE147" s="2" t="str">
        <f>IFERROR(INDEX(University_Exit!$F:$F,MATCH($B147,University_Exit!$B:$B,0)),"")</f>
        <v>Computer Science</v>
      </c>
      <c r="AF147" s="2" t="str">
        <f>IFERROR(INDEX(University_Exit!$L:$L,MATCH($B147,University_Exit!$B:$B,0)),"")</f>
        <v>Yes</v>
      </c>
      <c r="AG147" s="2">
        <f>IFERROR(INDEX(University_Exit!$H:$H,MATCH($B147,University_Exit!$B:$B,0)),"")</f>
        <v>98.94</v>
      </c>
      <c r="AH147" s="6">
        <f>IFERROR(INDEX(University_Exit!$K:$K,MATCH($B147,University_Exit!$B:$B,0)),"")</f>
        <v>1400</v>
      </c>
      <c r="AI147" s="2" t="str">
        <f>IFERROR(INDEX(University_Exit!$G:$G,MATCH($B147,University_Exit!$B:$B,0)),"")</f>
        <v>Ministry Of Education</v>
      </c>
      <c r="AJ147">
        <f>IFERROR(INDEX(Baseline_Entry!$N:$N,MATCH($B147,Baseline_Entry!$B:$B,0)),"")</f>
        <v>97</v>
      </c>
      <c r="AK147">
        <f>IFERROR(INDEX(Cognitive_Profile!$E:$E,MATCH($B147,Cognitive_Profile!$B:$B,0)),"")</f>
        <v>97</v>
      </c>
      <c r="AL147">
        <f t="shared" si="8"/>
        <v>0</v>
      </c>
      <c r="AM147">
        <f>IFERROR(INDEX(Participation_By_Student!$D:$D,MATCH($B147,Participation_By_Student!$B:$B,0)),"")</f>
        <v>2</v>
      </c>
      <c r="AN147">
        <f>IFERROR(INDEX(Participation_By_Student!$E:$E,MATCH($B147,Participation_By_Student!$B:$B,0)),"")</f>
        <v>5</v>
      </c>
      <c r="AO147">
        <f>IFERROR(INDEX(Participation_By_Student!$F:$F,MATCH($B147,Participation_By_Student!$B:$B,0)),"")</f>
        <v>0</v>
      </c>
      <c r="AP147">
        <f>IFERROR(INDEX(Participation_By_Student!$G:$G,MATCH($B147,Participation_By_Student!$B:$B,0)),"")</f>
        <v>5</v>
      </c>
    </row>
    <row r="148" spans="1:42" x14ac:dyDescent="0.3">
      <c r="A148" s="2" t="s">
        <v>298</v>
      </c>
      <c r="B148" s="2" t="s">
        <v>365</v>
      </c>
      <c r="C148" s="2" t="s">
        <v>366</v>
      </c>
      <c r="D148" s="2" t="s">
        <v>301</v>
      </c>
      <c r="E148" s="2" t="s">
        <v>302</v>
      </c>
      <c r="F148" s="5">
        <f>IFERROR(INDEX(Baseline_Entry!$P:$P,MATCH($B148,Baseline_Entry!$B:$B,0)),"")</f>
        <v>60.471361502347428</v>
      </c>
      <c r="G148" s="5" t="str">
        <f t="shared" si="7"/>
        <v>Yes</v>
      </c>
      <c r="H148" s="5">
        <v>84.484000000000009</v>
      </c>
      <c r="I148" s="5">
        <v>87.852000000000004</v>
      </c>
      <c r="J148" s="5">
        <v>3.367999999999995</v>
      </c>
      <c r="K148" s="5">
        <v>85.61</v>
      </c>
      <c r="L148" s="5">
        <v>83.38</v>
      </c>
      <c r="M148" s="5">
        <v>-2.230000000000004</v>
      </c>
      <c r="N148" s="5">
        <v>87.61</v>
      </c>
      <c r="O148" s="5">
        <v>88.38</v>
      </c>
      <c r="P148" s="5">
        <v>0.76999999999999602</v>
      </c>
      <c r="Q148" s="5">
        <v>86</v>
      </c>
      <c r="R148" s="5">
        <v>94.5</v>
      </c>
      <c r="S148" s="5">
        <v>8.5</v>
      </c>
      <c r="T148" s="5">
        <v>80</v>
      </c>
      <c r="U148" s="5">
        <v>86</v>
      </c>
      <c r="V148" s="5">
        <v>6</v>
      </c>
      <c r="W148" s="5">
        <v>83.2</v>
      </c>
      <c r="X148" s="5">
        <v>87</v>
      </c>
      <c r="Y148" s="5">
        <v>3.7999999999999972</v>
      </c>
      <c r="Z148" s="2" t="str">
        <f t="shared" si="6"/>
        <v>High starter</v>
      </c>
      <c r="AA148" s="2" t="s">
        <v>65</v>
      </c>
      <c r="AB148" s="2" t="s">
        <v>65</v>
      </c>
      <c r="AC148" s="2">
        <v>0</v>
      </c>
      <c r="AD148" s="2" t="str">
        <f>IFERROR(INDEX(University_Exit!$D:$D,MATCH($B148,University_Exit!$B:$B,0)),"")</f>
        <v>Lusail University</v>
      </c>
      <c r="AE148" s="2" t="str">
        <f>IFERROR(INDEX(University_Exit!$F:$F,MATCH($B148,University_Exit!$B:$B,0)),"")</f>
        <v>Law</v>
      </c>
      <c r="AF148" s="2" t="str">
        <f>IFERROR(INDEX(University_Exit!$L:$L,MATCH($B148,University_Exit!$B:$B,0)),"")</f>
        <v>No</v>
      </c>
      <c r="AG148" s="2">
        <f>IFERROR(INDEX(University_Exit!$H:$H,MATCH($B148,University_Exit!$B:$B,0)),"")</f>
        <v>88.38</v>
      </c>
      <c r="AH148" s="6">
        <f>IFERROR(INDEX(University_Exit!$K:$K,MATCH($B148,University_Exit!$B:$B,0)),"")</f>
        <v>1030</v>
      </c>
      <c r="AI148" s="2" t="str">
        <f>IFERROR(INDEX(University_Exit!$G:$G,MATCH($B148,University_Exit!$B:$B,0)),"")</f>
        <v>Self-sponsored</v>
      </c>
      <c r="AJ148">
        <f>IFERROR(INDEX(Baseline_Entry!$N:$N,MATCH($B148,Baseline_Entry!$B:$B,0)),"")</f>
        <v>98</v>
      </c>
      <c r="AK148">
        <f>IFERROR(INDEX(Cognitive_Profile!$E:$E,MATCH($B148,Cognitive_Profile!$B:$B,0)),"")</f>
        <v>98</v>
      </c>
      <c r="AL148">
        <f t="shared" si="8"/>
        <v>0</v>
      </c>
      <c r="AM148">
        <f>IFERROR(INDEX(Participation_By_Student!$D:$D,MATCH($B148,Participation_By_Student!$B:$B,0)),"")</f>
        <v>5</v>
      </c>
      <c r="AN148">
        <f>IFERROR(INDEX(Participation_By_Student!$E:$E,MATCH($B148,Participation_By_Student!$B:$B,0)),"")</f>
        <v>11</v>
      </c>
      <c r="AO148">
        <f>IFERROR(INDEX(Participation_By_Student!$F:$F,MATCH($B148,Participation_By_Student!$B:$B,0)),"")</f>
        <v>5</v>
      </c>
      <c r="AP148">
        <f>IFERROR(INDEX(Participation_By_Student!$G:$G,MATCH($B148,Participation_By_Student!$B:$B,0)),"")</f>
        <v>12</v>
      </c>
    </row>
    <row r="149" spans="1:42" x14ac:dyDescent="0.3">
      <c r="A149" s="2" t="s">
        <v>298</v>
      </c>
      <c r="B149" s="2" t="s">
        <v>367</v>
      </c>
      <c r="C149" s="2" t="s">
        <v>368</v>
      </c>
      <c r="D149" s="2" t="s">
        <v>301</v>
      </c>
      <c r="E149" s="2" t="s">
        <v>302</v>
      </c>
      <c r="F149" s="5">
        <f>IFERROR(INDEX(Baseline_Entry!$P:$P,MATCH($B149,Baseline_Entry!$B:$B,0)),"")</f>
        <v>59.149295774647896</v>
      </c>
      <c r="G149" s="5" t="str">
        <f t="shared" si="7"/>
        <v>Yes</v>
      </c>
      <c r="H149" s="5">
        <v>91.188000000000002</v>
      </c>
      <c r="I149" s="5">
        <v>97.176000000000002</v>
      </c>
      <c r="J149" s="5">
        <v>5.9880000000000004</v>
      </c>
      <c r="K149" s="5">
        <v>85.57</v>
      </c>
      <c r="L149" s="5">
        <v>92.19</v>
      </c>
      <c r="M149" s="5">
        <v>6.6200000000000054</v>
      </c>
      <c r="N149" s="5">
        <v>91.57</v>
      </c>
      <c r="O149" s="5">
        <v>97.19</v>
      </c>
      <c r="P149" s="5">
        <v>5.6200000000000054</v>
      </c>
      <c r="Q149" s="5">
        <v>94</v>
      </c>
      <c r="R149" s="5">
        <v>100</v>
      </c>
      <c r="S149" s="5">
        <v>6</v>
      </c>
      <c r="T149" s="5">
        <v>98</v>
      </c>
      <c r="U149" s="5">
        <v>98</v>
      </c>
      <c r="V149" s="5">
        <v>0</v>
      </c>
      <c r="W149" s="5">
        <v>86.8</v>
      </c>
      <c r="X149" s="5">
        <v>98.5</v>
      </c>
      <c r="Y149" s="5">
        <v>11.7</v>
      </c>
      <c r="Z149" s="2" t="str">
        <f t="shared" si="6"/>
        <v>Low starter</v>
      </c>
      <c r="AA149" s="2" t="s">
        <v>66</v>
      </c>
      <c r="AB149" s="2" t="s">
        <v>66</v>
      </c>
      <c r="AC149" s="2">
        <v>0</v>
      </c>
      <c r="AD149" s="2" t="str">
        <f>IFERROR(INDEX(University_Exit!$D:$D,MATCH($B149,University_Exit!$B:$B,0)),"")</f>
        <v>Carnegie Mellon University</v>
      </c>
      <c r="AE149" s="2" t="str">
        <f>IFERROR(INDEX(University_Exit!$F:$F,MATCH($B149,University_Exit!$B:$B,0)),"")</f>
        <v>Computer Science</v>
      </c>
      <c r="AF149" s="2" t="str">
        <f>IFERROR(INDEX(University_Exit!$L:$L,MATCH($B149,University_Exit!$B:$B,0)),"")</f>
        <v>Yes</v>
      </c>
      <c r="AG149" s="2">
        <f>IFERROR(INDEX(University_Exit!$H:$H,MATCH($B149,University_Exit!$B:$B,0)),"")</f>
        <v>97.19</v>
      </c>
      <c r="AH149" s="6">
        <f>IFERROR(INDEX(University_Exit!$K:$K,MATCH($B149,University_Exit!$B:$B,0)),"")</f>
        <v>1310</v>
      </c>
      <c r="AI149" s="2" t="str">
        <f>IFERROR(INDEX(University_Exit!$G:$G,MATCH($B149,University_Exit!$B:$B,0)),"")</f>
        <v>Ministry Of Education</v>
      </c>
      <c r="AJ149">
        <f>IFERROR(INDEX(Baseline_Entry!$N:$N,MATCH($B149,Baseline_Entry!$B:$B,0)),"")</f>
        <v>106</v>
      </c>
      <c r="AK149">
        <f>IFERROR(INDEX(Cognitive_Profile!$E:$E,MATCH($B149,Cognitive_Profile!$B:$B,0)),"")</f>
        <v>106</v>
      </c>
      <c r="AL149">
        <f t="shared" si="8"/>
        <v>0</v>
      </c>
      <c r="AM149">
        <f>IFERROR(INDEX(Participation_By_Student!$D:$D,MATCH($B149,Participation_By_Student!$B:$B,0)),"")</f>
        <v>2</v>
      </c>
      <c r="AN149">
        <f>IFERROR(INDEX(Participation_By_Student!$E:$E,MATCH($B149,Participation_By_Student!$B:$B,0)),"")</f>
        <v>6</v>
      </c>
      <c r="AO149">
        <f>IFERROR(INDEX(Participation_By_Student!$F:$F,MATCH($B149,Participation_By_Student!$B:$B,0)),"")</f>
        <v>1</v>
      </c>
      <c r="AP149">
        <f>IFERROR(INDEX(Participation_By_Student!$G:$G,MATCH($B149,Participation_By_Student!$B:$B,0)),"")</f>
        <v>6</v>
      </c>
    </row>
    <row r="150" spans="1:42" x14ac:dyDescent="0.3">
      <c r="A150" s="2" t="s">
        <v>298</v>
      </c>
      <c r="B150" s="2" t="s">
        <v>369</v>
      </c>
      <c r="C150" s="2" t="s">
        <v>370</v>
      </c>
      <c r="D150" s="2" t="s">
        <v>301</v>
      </c>
      <c r="E150" s="2" t="s">
        <v>302</v>
      </c>
      <c r="F150" s="5">
        <f>IFERROR(INDEX(Baseline_Entry!$P:$P,MATCH($B150,Baseline_Entry!$B:$B,0)),"")</f>
        <v>63.891079812206577</v>
      </c>
      <c r="G150" s="5" t="str">
        <f t="shared" si="7"/>
        <v>Yes</v>
      </c>
      <c r="H150" s="5">
        <v>82.111999999999995</v>
      </c>
      <c r="I150" s="5">
        <v>86.676000000000002</v>
      </c>
      <c r="J150" s="5">
        <v>4.5640000000000072</v>
      </c>
      <c r="K150" s="5">
        <v>79.23</v>
      </c>
      <c r="L150" s="5">
        <v>86.44</v>
      </c>
      <c r="M150" s="5">
        <v>7.2099999999999937</v>
      </c>
      <c r="N150" s="5">
        <v>84.23</v>
      </c>
      <c r="O150" s="5">
        <v>87.44</v>
      </c>
      <c r="P150" s="5">
        <v>3.2099999999999942</v>
      </c>
      <c r="Q150" s="5">
        <v>82.5</v>
      </c>
      <c r="R150" s="5">
        <v>88</v>
      </c>
      <c r="S150" s="5">
        <v>5.5</v>
      </c>
      <c r="T150" s="5">
        <v>88.5</v>
      </c>
      <c r="U150" s="5">
        <v>85.5</v>
      </c>
      <c r="V150" s="5">
        <v>-3</v>
      </c>
      <c r="W150" s="5">
        <v>76.099999999999994</v>
      </c>
      <c r="X150" s="5">
        <v>86</v>
      </c>
      <c r="Y150" s="5">
        <v>9.9000000000000057</v>
      </c>
      <c r="Z150" s="2" t="str">
        <f t="shared" si="6"/>
        <v>High starter</v>
      </c>
      <c r="AA150" s="2" t="s">
        <v>65</v>
      </c>
      <c r="AB150" s="2" t="s">
        <v>65</v>
      </c>
      <c r="AC150" s="2">
        <v>0</v>
      </c>
      <c r="AD150" s="2" t="str">
        <f>IFERROR(INDEX(University_Exit!$D:$D,MATCH($B150,University_Exit!$B:$B,0)),"")</f>
        <v>Qatar University</v>
      </c>
      <c r="AE150" s="2" t="str">
        <f>IFERROR(INDEX(University_Exit!$F:$F,MATCH($B150,University_Exit!$B:$B,0)),"")</f>
        <v>Mechanical Engineering</v>
      </c>
      <c r="AF150" s="2" t="str">
        <f>IFERROR(INDEX(University_Exit!$L:$L,MATCH($B150,University_Exit!$B:$B,0)),"")</f>
        <v>Yes</v>
      </c>
      <c r="AG150" s="2">
        <f>IFERROR(INDEX(University_Exit!$H:$H,MATCH($B150,University_Exit!$B:$B,0)),"")</f>
        <v>87.44</v>
      </c>
      <c r="AH150" s="6">
        <f>IFERROR(INDEX(University_Exit!$K:$K,MATCH($B150,University_Exit!$B:$B,0)),"")</f>
        <v>1060</v>
      </c>
      <c r="AI150" s="2" t="str">
        <f>IFERROR(INDEX(University_Exit!$G:$G,MATCH($B150,University_Exit!$B:$B,0)),"")</f>
        <v>Qatar Energy</v>
      </c>
      <c r="AJ150">
        <f>IFERROR(INDEX(Baseline_Entry!$N:$N,MATCH($B150,Baseline_Entry!$B:$B,0)),"")</f>
        <v>112</v>
      </c>
      <c r="AK150">
        <f>IFERROR(INDEX(Cognitive_Profile!$E:$E,MATCH($B150,Cognitive_Profile!$B:$B,0)),"")</f>
        <v>112</v>
      </c>
      <c r="AL150">
        <f t="shared" si="8"/>
        <v>0</v>
      </c>
      <c r="AM150">
        <f>IFERROR(INDEX(Participation_By_Student!$D:$D,MATCH($B150,Participation_By_Student!$B:$B,0)),"")</f>
        <v>3</v>
      </c>
      <c r="AN150">
        <f>IFERROR(INDEX(Participation_By_Student!$E:$E,MATCH($B150,Participation_By_Student!$B:$B,0)),"")</f>
        <v>3</v>
      </c>
      <c r="AO150">
        <f>IFERROR(INDEX(Participation_By_Student!$F:$F,MATCH($B150,Participation_By_Student!$B:$B,0)),"")</f>
        <v>1</v>
      </c>
      <c r="AP150">
        <f>IFERROR(INDEX(Participation_By_Student!$G:$G,MATCH($B150,Participation_By_Student!$B:$B,0)),"")</f>
        <v>3</v>
      </c>
    </row>
    <row r="151" spans="1:42" x14ac:dyDescent="0.3">
      <c r="A151" s="2" t="s">
        <v>298</v>
      </c>
      <c r="B151" s="2" t="s">
        <v>371</v>
      </c>
      <c r="C151" s="2" t="s">
        <v>372</v>
      </c>
      <c r="D151" s="2" t="s">
        <v>301</v>
      </c>
      <c r="E151" s="2" t="s">
        <v>302</v>
      </c>
      <c r="F151" s="5">
        <f>IFERROR(INDEX(Baseline_Entry!$P:$P,MATCH($B151,Baseline_Entry!$B:$B,0)),"")</f>
        <v>57.804694835680756</v>
      </c>
      <c r="G151" s="5" t="str">
        <f t="shared" si="7"/>
        <v>Yes</v>
      </c>
      <c r="H151" s="5">
        <v>86.224000000000004</v>
      </c>
      <c r="I151" s="5">
        <v>92.623999999999995</v>
      </c>
      <c r="J151" s="5">
        <v>6.3999999999999906</v>
      </c>
      <c r="K151" s="5">
        <v>86.26</v>
      </c>
      <c r="L151" s="5">
        <v>91.06</v>
      </c>
      <c r="M151" s="5">
        <v>4.7999999999999972</v>
      </c>
      <c r="N151" s="5">
        <v>87.26</v>
      </c>
      <c r="O151" s="5">
        <v>94.06</v>
      </c>
      <c r="P151" s="5">
        <v>6.7999999999999972</v>
      </c>
      <c r="Q151" s="5">
        <v>85</v>
      </c>
      <c r="R151" s="5">
        <v>93</v>
      </c>
      <c r="S151" s="5">
        <v>8</v>
      </c>
      <c r="T151" s="5">
        <v>95</v>
      </c>
      <c r="U151" s="5">
        <v>90.5</v>
      </c>
      <c r="V151" s="5">
        <v>-4.5</v>
      </c>
      <c r="W151" s="5">
        <v>77.599999999999994</v>
      </c>
      <c r="X151" s="5">
        <v>94.5</v>
      </c>
      <c r="Y151" s="5">
        <v>16.900000000000009</v>
      </c>
      <c r="Z151" s="2" t="str">
        <f t="shared" si="6"/>
        <v>Middle starter</v>
      </c>
      <c r="AA151" s="2" t="s">
        <v>65</v>
      </c>
      <c r="AB151" s="2" t="s">
        <v>66</v>
      </c>
      <c r="AC151" s="2">
        <v>1</v>
      </c>
      <c r="AD151" s="2" t="str">
        <f>IFERROR(INDEX(University_Exit!$D:$D,MATCH($B151,University_Exit!$B:$B,0)),"")</f>
        <v>Carnegie Mellon University</v>
      </c>
      <c r="AE151" s="2" t="str">
        <f>IFERROR(INDEX(University_Exit!$F:$F,MATCH($B151,University_Exit!$B:$B,0)),"")</f>
        <v>Information Technology System</v>
      </c>
      <c r="AF151" s="2" t="str">
        <f>IFERROR(INDEX(University_Exit!$L:$L,MATCH($B151,University_Exit!$B:$B,0)),"")</f>
        <v>Yes</v>
      </c>
      <c r="AG151" s="2">
        <f>IFERROR(INDEX(University_Exit!$H:$H,MATCH($B151,University_Exit!$B:$B,0)),"")</f>
        <v>94</v>
      </c>
      <c r="AH151" s="6">
        <f>IFERROR(INDEX(University_Exit!$K:$K,MATCH($B151,University_Exit!$B:$B,0)),"")</f>
        <v>1080</v>
      </c>
      <c r="AI151" s="2" t="str">
        <f>IFERROR(INDEX(University_Exit!$G:$G,MATCH($B151,University_Exit!$B:$B,0)),"")</f>
        <v>Ministry Of Education</v>
      </c>
      <c r="AJ151">
        <f>IFERROR(INDEX(Baseline_Entry!$N:$N,MATCH($B151,Baseline_Entry!$B:$B,0)),"")</f>
        <v>98</v>
      </c>
      <c r="AK151">
        <f>IFERROR(INDEX(Cognitive_Profile!$E:$E,MATCH($B151,Cognitive_Profile!$B:$B,0)),"")</f>
        <v>98</v>
      </c>
      <c r="AL151">
        <f t="shared" si="8"/>
        <v>0</v>
      </c>
      <c r="AM151">
        <f>IFERROR(INDEX(Participation_By_Student!$D:$D,MATCH($B151,Participation_By_Student!$B:$B,0)),"")</f>
        <v>1</v>
      </c>
      <c r="AN151">
        <f>IFERROR(INDEX(Participation_By_Student!$E:$E,MATCH($B151,Participation_By_Student!$B:$B,0)),"")</f>
        <v>4</v>
      </c>
      <c r="AO151">
        <f>IFERROR(INDEX(Participation_By_Student!$F:$F,MATCH($B151,Participation_By_Student!$B:$B,0)),"")</f>
        <v>1</v>
      </c>
      <c r="AP151">
        <f>IFERROR(INDEX(Participation_By_Student!$G:$G,MATCH($B151,Participation_By_Student!$B:$B,0)),"")</f>
        <v>4</v>
      </c>
    </row>
    <row r="152" spans="1:42" x14ac:dyDescent="0.3">
      <c r="A152" s="2" t="s">
        <v>298</v>
      </c>
      <c r="B152" s="2" t="s">
        <v>373</v>
      </c>
      <c r="C152" s="2" t="s">
        <v>374</v>
      </c>
      <c r="D152" s="2" t="s">
        <v>301</v>
      </c>
      <c r="E152" s="2" t="s">
        <v>302</v>
      </c>
      <c r="F152" s="5">
        <f>IFERROR(INDEX(Baseline_Entry!$P:$P,MATCH($B152,Baseline_Entry!$B:$B,0)),"")</f>
        <v>57.047887323943655</v>
      </c>
      <c r="G152" s="5" t="str">
        <f t="shared" si="7"/>
        <v>Yes</v>
      </c>
      <c r="H152" s="5">
        <v>80.34</v>
      </c>
      <c r="I152" s="5">
        <v>78.652000000000001</v>
      </c>
      <c r="J152" s="5">
        <v>-1.6880000000000019</v>
      </c>
      <c r="K152" s="5">
        <v>81.8</v>
      </c>
      <c r="L152" s="5">
        <v>77.88</v>
      </c>
      <c r="M152" s="5">
        <v>-3.9200000000000021</v>
      </c>
      <c r="N152" s="5">
        <v>82.8</v>
      </c>
      <c r="O152" s="5">
        <v>81.88</v>
      </c>
      <c r="P152" s="5">
        <v>-0.92000000000000171</v>
      </c>
      <c r="Q152" s="5">
        <v>86</v>
      </c>
      <c r="R152" s="5">
        <v>85.5</v>
      </c>
      <c r="S152" s="5">
        <v>-0.5</v>
      </c>
      <c r="T152" s="5">
        <v>79</v>
      </c>
      <c r="U152" s="5">
        <v>67</v>
      </c>
      <c r="V152" s="5">
        <v>-12</v>
      </c>
      <c r="W152" s="5">
        <v>72.099999999999994</v>
      </c>
      <c r="X152" s="5">
        <v>81</v>
      </c>
      <c r="Y152" s="5">
        <v>8.9000000000000057</v>
      </c>
      <c r="Z152" s="2" t="str">
        <f t="shared" si="6"/>
        <v>Middle starter</v>
      </c>
      <c r="AA152" s="2" t="s">
        <v>65</v>
      </c>
      <c r="AB152" s="2" t="s">
        <v>99</v>
      </c>
      <c r="AC152" s="2">
        <v>-1</v>
      </c>
      <c r="AD152" s="2" t="str">
        <f>IFERROR(INDEX(University_Exit!$D:$D,MATCH($B152,University_Exit!$B:$B,0)),"")</f>
        <v>Qatar University</v>
      </c>
      <c r="AE152" s="2" t="str">
        <f>IFERROR(INDEX(University_Exit!$F:$F,MATCH($B152,University_Exit!$B:$B,0)),"")</f>
        <v>Computer Science</v>
      </c>
      <c r="AF152" s="2" t="str">
        <f>IFERROR(INDEX(University_Exit!$L:$L,MATCH($B152,University_Exit!$B:$B,0)),"")</f>
        <v>Yes</v>
      </c>
      <c r="AG152" s="2">
        <f>IFERROR(INDEX(University_Exit!$H:$H,MATCH($B152,University_Exit!$B:$B,0)),"")</f>
        <v>81.88</v>
      </c>
      <c r="AH152" s="6">
        <f>IFERROR(INDEX(University_Exit!$K:$K,MATCH($B152,University_Exit!$B:$B,0)),"")</f>
        <v>980</v>
      </c>
      <c r="AI152" s="2" t="str">
        <f>IFERROR(INDEX(University_Exit!$G:$G,MATCH($B152,University_Exit!$B:$B,0)),"")</f>
        <v>Ministry Of Education</v>
      </c>
      <c r="AJ152">
        <f>IFERROR(INDEX(Baseline_Entry!$N:$N,MATCH($B152,Baseline_Entry!$B:$B,0)),"")</f>
        <v>105</v>
      </c>
      <c r="AK152">
        <f>IFERROR(INDEX(Cognitive_Profile!$E:$E,MATCH($B152,Cognitive_Profile!$B:$B,0)),"")</f>
        <v>105</v>
      </c>
      <c r="AL152">
        <f t="shared" si="8"/>
        <v>0</v>
      </c>
      <c r="AM152">
        <f>IFERROR(INDEX(Participation_By_Student!$D:$D,MATCH($B152,Participation_By_Student!$B:$B,0)),"")</f>
        <v>2</v>
      </c>
      <c r="AN152">
        <f>IFERROR(INDEX(Participation_By_Student!$E:$E,MATCH($B152,Participation_By_Student!$B:$B,0)),"")</f>
        <v>3</v>
      </c>
      <c r="AO152">
        <f>IFERROR(INDEX(Participation_By_Student!$F:$F,MATCH($B152,Participation_By_Student!$B:$B,0)),"")</f>
        <v>0</v>
      </c>
      <c r="AP152">
        <f>IFERROR(INDEX(Participation_By_Student!$G:$G,MATCH($B152,Participation_By_Student!$B:$B,0)),"")</f>
        <v>3</v>
      </c>
    </row>
    <row r="153" spans="1:42" x14ac:dyDescent="0.3">
      <c r="A153" s="2" t="s">
        <v>298</v>
      </c>
      <c r="B153" s="2" t="s">
        <v>375</v>
      </c>
      <c r="C153" s="2" t="s">
        <v>376</v>
      </c>
      <c r="D153" s="2" t="s">
        <v>301</v>
      </c>
      <c r="E153" s="2" t="s">
        <v>302</v>
      </c>
      <c r="F153" s="5">
        <f>IFERROR(INDEX(Baseline_Entry!$P:$P,MATCH($B153,Baseline_Entry!$B:$B,0)),"")</f>
        <v>50.871361502347419</v>
      </c>
      <c r="G153" s="5" t="str">
        <f t="shared" si="7"/>
        <v>Yes</v>
      </c>
      <c r="H153" s="5">
        <v>73.16</v>
      </c>
      <c r="I153" s="5">
        <v>70</v>
      </c>
      <c r="J153" s="5">
        <v>-3.159999999999997</v>
      </c>
      <c r="K153" s="5">
        <v>71.5</v>
      </c>
      <c r="L153" s="5">
        <v>62.75</v>
      </c>
      <c r="M153" s="5">
        <v>-8.75</v>
      </c>
      <c r="N153" s="5">
        <v>74.5</v>
      </c>
      <c r="O153" s="5">
        <v>67.75</v>
      </c>
      <c r="P153" s="5">
        <v>-6.75</v>
      </c>
      <c r="Q153" s="5">
        <v>80</v>
      </c>
      <c r="R153" s="5">
        <v>83.5</v>
      </c>
      <c r="S153" s="5">
        <v>3.5</v>
      </c>
      <c r="T153" s="5">
        <v>73.5</v>
      </c>
      <c r="U153" s="5">
        <v>62</v>
      </c>
      <c r="V153" s="5">
        <v>-11.5</v>
      </c>
      <c r="W153" s="5">
        <v>66.3</v>
      </c>
      <c r="X153" s="5">
        <v>74</v>
      </c>
      <c r="Y153" s="5">
        <v>7.7000000000000028</v>
      </c>
      <c r="Z153" s="2" t="str">
        <f t="shared" si="6"/>
        <v>Low starter</v>
      </c>
      <c r="AA153" s="2" t="s">
        <v>99</v>
      </c>
      <c r="AB153" s="2" t="s">
        <v>99</v>
      </c>
      <c r="AC153" s="2">
        <v>0</v>
      </c>
      <c r="AD153" s="2" t="str">
        <f>IFERROR(INDEX(University_Exit!$D:$D,MATCH($B153,University_Exit!$B:$B,0)),"")</f>
        <v>خدمة وطنية</v>
      </c>
      <c r="AE153" s="2" t="str">
        <f>IFERROR(INDEX(University_Exit!$F:$F,MATCH($B153,University_Exit!$B:$B,0)),"")</f>
        <v>0</v>
      </c>
      <c r="AF153" s="2" t="str">
        <f>IFERROR(INDEX(University_Exit!$L:$L,MATCH($B153,University_Exit!$B:$B,0)),"")</f>
        <v>No</v>
      </c>
      <c r="AG153" s="2">
        <f>IFERROR(INDEX(University_Exit!$H:$H,MATCH($B153,University_Exit!$B:$B,0)),"")</f>
        <v>67.75</v>
      </c>
      <c r="AH153" s="6">
        <f>IFERROR(INDEX(University_Exit!$K:$K,MATCH($B153,University_Exit!$B:$B,0)),"")</f>
        <v>750</v>
      </c>
      <c r="AI153" s="2" t="str">
        <f>IFERROR(INDEX(University_Exit!$G:$G,MATCH($B153,University_Exit!$B:$B,0)),"")</f>
        <v>0</v>
      </c>
      <c r="AJ153">
        <f>IFERROR(INDEX(Baseline_Entry!$N:$N,MATCH($B153,Baseline_Entry!$B:$B,0)),"")</f>
        <v>98</v>
      </c>
      <c r="AK153">
        <f>IFERROR(INDEX(Cognitive_Profile!$E:$E,MATCH($B153,Cognitive_Profile!$B:$B,0)),"")</f>
        <v>98</v>
      </c>
      <c r="AL153">
        <f t="shared" si="8"/>
        <v>0</v>
      </c>
      <c r="AM153">
        <f>IFERROR(INDEX(Participation_By_Student!$D:$D,MATCH($B153,Participation_By_Student!$B:$B,0)),"")</f>
        <v>3</v>
      </c>
      <c r="AN153">
        <f>IFERROR(INDEX(Participation_By_Student!$E:$E,MATCH($B153,Participation_By_Student!$B:$B,0)),"")</f>
        <v>8</v>
      </c>
      <c r="AO153">
        <f>IFERROR(INDEX(Participation_By_Student!$F:$F,MATCH($B153,Participation_By_Student!$B:$B,0)),"")</f>
        <v>4</v>
      </c>
      <c r="AP153">
        <f>IFERROR(INDEX(Participation_By_Student!$G:$G,MATCH($B153,Participation_By_Student!$B:$B,0)),"")</f>
        <v>8</v>
      </c>
    </row>
    <row r="154" spans="1:42" x14ac:dyDescent="0.3">
      <c r="A154" s="2" t="s">
        <v>298</v>
      </c>
      <c r="B154" s="2" t="s">
        <v>377</v>
      </c>
      <c r="C154" s="2" t="s">
        <v>378</v>
      </c>
      <c r="D154" s="2" t="s">
        <v>301</v>
      </c>
      <c r="E154" s="2" t="s">
        <v>302</v>
      </c>
      <c r="F154" s="5">
        <f>IFERROR(INDEX(Baseline_Entry!$P:$P,MATCH($B154,Baseline_Entry!$B:$B,0)),"")</f>
        <v>59.37840375586854</v>
      </c>
      <c r="G154" s="5" t="str">
        <f t="shared" si="7"/>
        <v>Yes</v>
      </c>
      <c r="H154" s="5">
        <v>75</v>
      </c>
      <c r="I154" s="5">
        <v>81.024000000000001</v>
      </c>
      <c r="J154" s="5">
        <v>6.0240000000000009</v>
      </c>
      <c r="K154" s="5">
        <v>74.650000000000006</v>
      </c>
      <c r="L154" s="5">
        <v>79.06</v>
      </c>
      <c r="M154" s="5">
        <v>4.4099999999999966</v>
      </c>
      <c r="N154" s="5">
        <v>78.650000000000006</v>
      </c>
      <c r="O154" s="5">
        <v>82.06</v>
      </c>
      <c r="P154" s="5">
        <v>3.409999999999997</v>
      </c>
      <c r="Q154" s="5">
        <v>85.5</v>
      </c>
      <c r="R154" s="5">
        <v>89.5</v>
      </c>
      <c r="S154" s="5">
        <v>4</v>
      </c>
      <c r="T154" s="5">
        <v>70</v>
      </c>
      <c r="U154" s="5">
        <v>74.5</v>
      </c>
      <c r="V154" s="5">
        <v>4.5</v>
      </c>
      <c r="W154" s="5">
        <v>66.2</v>
      </c>
      <c r="X154" s="5">
        <v>80</v>
      </c>
      <c r="Y154" s="5">
        <v>13.8</v>
      </c>
      <c r="Z154" s="2" t="str">
        <f t="shared" si="6"/>
        <v>Middle starter</v>
      </c>
      <c r="AA154" s="2" t="s">
        <v>99</v>
      </c>
      <c r="AB154" s="2" t="s">
        <v>65</v>
      </c>
      <c r="AC154" s="2">
        <v>1</v>
      </c>
      <c r="AD154" s="2" t="str">
        <f>IFERROR(INDEX(University_Exit!$D:$D,MATCH($B154,University_Exit!$B:$B,0)),"")</f>
        <v>Qatar University</v>
      </c>
      <c r="AE154" s="2" t="str">
        <f>IFERROR(INDEX(University_Exit!$F:$F,MATCH($B154,University_Exit!$B:$B,0)),"")</f>
        <v>Electrical Engineering</v>
      </c>
      <c r="AF154" s="2" t="str">
        <f>IFERROR(INDEX(University_Exit!$L:$L,MATCH($B154,University_Exit!$B:$B,0)),"")</f>
        <v>Yes</v>
      </c>
      <c r="AG154" s="2">
        <f>IFERROR(INDEX(University_Exit!$H:$H,MATCH($B154,University_Exit!$B:$B,0)),"")</f>
        <v>82.06</v>
      </c>
      <c r="AH154" s="6">
        <f>IFERROR(INDEX(University_Exit!$K:$K,MATCH($B154,University_Exit!$B:$B,0)),"")</f>
        <v>1030</v>
      </c>
      <c r="AI154" s="2" t="str">
        <f>IFERROR(INDEX(University_Exit!$G:$G,MATCH($B154,University_Exit!$B:$B,0)),"")</f>
        <v>وزارة الدفاع</v>
      </c>
      <c r="AJ154">
        <f>IFERROR(INDEX(Baseline_Entry!$N:$N,MATCH($B154,Baseline_Entry!$B:$B,0)),"")</f>
        <v>103</v>
      </c>
      <c r="AK154">
        <f>IFERROR(INDEX(Cognitive_Profile!$E:$E,MATCH($B154,Cognitive_Profile!$B:$B,0)),"")</f>
        <v>103</v>
      </c>
      <c r="AL154">
        <f t="shared" si="8"/>
        <v>0</v>
      </c>
      <c r="AM154">
        <f>IFERROR(INDEX(Participation_By_Student!$D:$D,MATCH($B154,Participation_By_Student!$B:$B,0)),"")</f>
        <v>2</v>
      </c>
      <c r="AN154">
        <f>IFERROR(INDEX(Participation_By_Student!$E:$E,MATCH($B154,Participation_By_Student!$B:$B,0)),"")</f>
        <v>6</v>
      </c>
      <c r="AO154">
        <f>IFERROR(INDEX(Participation_By_Student!$F:$F,MATCH($B154,Participation_By_Student!$B:$B,0)),"")</f>
        <v>0</v>
      </c>
      <c r="AP154">
        <f>IFERROR(INDEX(Participation_By_Student!$G:$G,MATCH($B154,Participation_By_Student!$B:$B,0)),"")</f>
        <v>6</v>
      </c>
    </row>
    <row r="155" spans="1:42" x14ac:dyDescent="0.3">
      <c r="A155" s="2" t="s">
        <v>298</v>
      </c>
      <c r="B155" s="2" t="s">
        <v>379</v>
      </c>
      <c r="C155" s="2" t="s">
        <v>380</v>
      </c>
      <c r="D155" s="2" t="s">
        <v>301</v>
      </c>
      <c r="E155" s="2" t="s">
        <v>302</v>
      </c>
      <c r="F155" s="5">
        <f>IFERROR(INDEX(Baseline_Entry!$P:$P,MATCH($B155,Baseline_Entry!$B:$B,0)),"")</f>
        <v>60.274178403755876</v>
      </c>
      <c r="G155" s="5" t="str">
        <f t="shared" si="7"/>
        <v>Yes</v>
      </c>
      <c r="H155" s="5">
        <v>76.831999999999994</v>
      </c>
      <c r="I155" s="5">
        <v>81.724000000000004</v>
      </c>
      <c r="J155" s="5">
        <v>4.8920000000000101</v>
      </c>
      <c r="K155" s="5">
        <v>76.03</v>
      </c>
      <c r="L155" s="5">
        <v>76.56</v>
      </c>
      <c r="M155" s="5">
        <v>0.53000000000000114</v>
      </c>
      <c r="N155" s="5">
        <v>79.03</v>
      </c>
      <c r="O155" s="5">
        <v>82.56</v>
      </c>
      <c r="P155" s="5">
        <v>3.5300000000000011</v>
      </c>
      <c r="Q155" s="5">
        <v>91</v>
      </c>
      <c r="R155" s="5">
        <v>91.5</v>
      </c>
      <c r="S155" s="5">
        <v>0.5</v>
      </c>
      <c r="T155" s="5">
        <v>70.5</v>
      </c>
      <c r="U155" s="5">
        <v>73</v>
      </c>
      <c r="V155" s="5">
        <v>2.5</v>
      </c>
      <c r="W155" s="5">
        <v>67.599999999999994</v>
      </c>
      <c r="X155" s="5">
        <v>85</v>
      </c>
      <c r="Y155" s="5">
        <v>17.400000000000009</v>
      </c>
      <c r="Z155" s="2" t="str">
        <f t="shared" si="6"/>
        <v>Low starter</v>
      </c>
      <c r="AA155" s="2" t="s">
        <v>99</v>
      </c>
      <c r="AB155" s="2" t="s">
        <v>65</v>
      </c>
      <c r="AC155" s="2">
        <v>1</v>
      </c>
      <c r="AD155" s="2" t="str">
        <f>IFERROR(INDEX(University_Exit!$D:$D,MATCH($B155,University_Exit!$B:$B,0)),"")</f>
        <v>University of Tulsa</v>
      </c>
      <c r="AE155" s="2" t="str">
        <f>IFERROR(INDEX(University_Exit!$F:$F,MATCH($B155,University_Exit!$B:$B,0)),"")</f>
        <v>Petroleum Engineering</v>
      </c>
      <c r="AF155" s="2" t="str">
        <f>IFERROR(INDEX(University_Exit!$L:$L,MATCH($B155,University_Exit!$B:$B,0)),"")</f>
        <v>Yes</v>
      </c>
      <c r="AG155" s="2">
        <f>IFERROR(INDEX(University_Exit!$H:$H,MATCH($B155,University_Exit!$B:$B,0)),"")</f>
        <v>82.56</v>
      </c>
      <c r="AH155" s="6">
        <f>IFERROR(INDEX(University_Exit!$K:$K,MATCH($B155,University_Exit!$B:$B,0)),"")</f>
        <v>990</v>
      </c>
      <c r="AI155" s="2" t="str">
        <f>IFERROR(INDEX(University_Exit!$G:$G,MATCH($B155,University_Exit!$B:$B,0)),"")</f>
        <v>Qatar Energy</v>
      </c>
      <c r="AJ155">
        <f>IFERROR(INDEX(Baseline_Entry!$N:$N,MATCH($B155,Baseline_Entry!$B:$B,0)),"")</f>
        <v>100</v>
      </c>
      <c r="AK155">
        <f>IFERROR(INDEX(Cognitive_Profile!$E:$E,MATCH($B155,Cognitive_Profile!$B:$B,0)),"")</f>
        <v>100</v>
      </c>
      <c r="AL155">
        <f t="shared" si="8"/>
        <v>0</v>
      </c>
      <c r="AM155">
        <f>IFERROR(INDEX(Participation_By_Student!$D:$D,MATCH($B155,Participation_By_Student!$B:$B,0)),"")</f>
        <v>2</v>
      </c>
      <c r="AN155">
        <f>IFERROR(INDEX(Participation_By_Student!$E:$E,MATCH($B155,Participation_By_Student!$B:$B,0)),"")</f>
        <v>2</v>
      </c>
      <c r="AO155">
        <f>IFERROR(INDEX(Participation_By_Student!$F:$F,MATCH($B155,Participation_By_Student!$B:$B,0)),"")</f>
        <v>1</v>
      </c>
      <c r="AP155">
        <f>IFERROR(INDEX(Participation_By_Student!$G:$G,MATCH($B155,Participation_By_Student!$B:$B,0)),"")</f>
        <v>2</v>
      </c>
    </row>
    <row r="156" spans="1:42" x14ac:dyDescent="0.3">
      <c r="A156" s="2" t="s">
        <v>298</v>
      </c>
      <c r="B156" s="2" t="s">
        <v>381</v>
      </c>
      <c r="C156" s="2" t="s">
        <v>382</v>
      </c>
      <c r="D156" s="2" t="s">
        <v>301</v>
      </c>
      <c r="E156" s="2" t="s">
        <v>302</v>
      </c>
      <c r="F156" s="5">
        <f>IFERROR(INDEX(Baseline_Entry!$P:$P,MATCH($B156,Baseline_Entry!$B:$B,0)),"")</f>
        <v>69.091079812206573</v>
      </c>
      <c r="G156" s="5" t="str">
        <f t="shared" si="7"/>
        <v>Yes</v>
      </c>
      <c r="H156" s="5">
        <v>91.647999999999996</v>
      </c>
      <c r="I156" s="5">
        <v>97.475999999999999</v>
      </c>
      <c r="J156" s="5">
        <v>5.828000000000003</v>
      </c>
      <c r="K156" s="5">
        <v>88.57</v>
      </c>
      <c r="L156" s="5">
        <v>95.69</v>
      </c>
      <c r="M156" s="5">
        <v>7.1200000000000054</v>
      </c>
      <c r="N156" s="5">
        <v>92.57</v>
      </c>
      <c r="O156" s="5">
        <v>96.69</v>
      </c>
      <c r="P156" s="5">
        <v>4.1200000000000054</v>
      </c>
      <c r="Q156" s="5">
        <v>92</v>
      </c>
      <c r="R156" s="5">
        <v>98.5</v>
      </c>
      <c r="S156" s="5">
        <v>6.5</v>
      </c>
      <c r="T156" s="5">
        <v>94.5</v>
      </c>
      <c r="U156" s="5">
        <v>98.5</v>
      </c>
      <c r="V156" s="5">
        <v>4</v>
      </c>
      <c r="W156" s="5">
        <v>90.6</v>
      </c>
      <c r="X156" s="5">
        <v>98</v>
      </c>
      <c r="Y156" s="5">
        <v>7.4000000000000057</v>
      </c>
      <c r="Z156" s="2" t="str">
        <f t="shared" si="6"/>
        <v>Middle starter</v>
      </c>
      <c r="AA156" s="2" t="s">
        <v>66</v>
      </c>
      <c r="AB156" s="2" t="s">
        <v>66</v>
      </c>
      <c r="AC156" s="2">
        <v>0</v>
      </c>
      <c r="AD156" s="2" t="str">
        <f>IFERROR(INDEX(University_Exit!$D:$D,MATCH($B156,University_Exit!$B:$B,0)),"")</f>
        <v>Carnegie Mellon University</v>
      </c>
      <c r="AE156" s="2" t="str">
        <f>IFERROR(INDEX(University_Exit!$F:$F,MATCH($B156,University_Exit!$B:$B,0)),"")</f>
        <v>Computer Science</v>
      </c>
      <c r="AF156" s="2" t="str">
        <f>IFERROR(INDEX(University_Exit!$L:$L,MATCH($B156,University_Exit!$B:$B,0)),"")</f>
        <v>Yes</v>
      </c>
      <c r="AG156" s="2">
        <f>IFERROR(INDEX(University_Exit!$H:$H,MATCH($B156,University_Exit!$B:$B,0)),"")</f>
        <v>96.69</v>
      </c>
      <c r="AH156" s="6">
        <f>IFERROR(INDEX(University_Exit!$K:$K,MATCH($B156,University_Exit!$B:$B,0)),"")</f>
        <v>1200</v>
      </c>
      <c r="AI156" s="2" t="str">
        <f>IFERROR(INDEX(University_Exit!$G:$G,MATCH($B156,University_Exit!$B:$B,0)),"")</f>
        <v>Ministry Of Education</v>
      </c>
      <c r="AJ156">
        <f>IFERROR(INDEX(Baseline_Entry!$N:$N,MATCH($B156,Baseline_Entry!$B:$B,0)),"")</f>
        <v>112</v>
      </c>
      <c r="AK156">
        <f>IFERROR(INDEX(Cognitive_Profile!$E:$E,MATCH($B156,Cognitive_Profile!$B:$B,0)),"")</f>
        <v>121</v>
      </c>
      <c r="AL156">
        <f t="shared" si="8"/>
        <v>9</v>
      </c>
      <c r="AM156">
        <f>IFERROR(INDEX(Participation_By_Student!$D:$D,MATCH($B156,Participation_By_Student!$B:$B,0)),"")</f>
        <v>5</v>
      </c>
      <c r="AN156">
        <f>IFERROR(INDEX(Participation_By_Student!$E:$E,MATCH($B156,Participation_By_Student!$B:$B,0)),"")</f>
        <v>6</v>
      </c>
      <c r="AO156">
        <f>IFERROR(INDEX(Participation_By_Student!$F:$F,MATCH($B156,Participation_By_Student!$B:$B,0)),"")</f>
        <v>2</v>
      </c>
      <c r="AP156">
        <f>IFERROR(INDEX(Participation_By_Student!$G:$G,MATCH($B156,Participation_By_Student!$B:$B,0)),"")</f>
        <v>7</v>
      </c>
    </row>
    <row r="157" spans="1:42" x14ac:dyDescent="0.3">
      <c r="A157" s="2" t="s">
        <v>298</v>
      </c>
      <c r="B157" s="2" t="s">
        <v>383</v>
      </c>
      <c r="C157" s="2" t="s">
        <v>384</v>
      </c>
      <c r="D157" s="2" t="s">
        <v>301</v>
      </c>
      <c r="E157" s="2" t="s">
        <v>302</v>
      </c>
      <c r="F157" s="5">
        <f>IFERROR(INDEX(Baseline_Entry!$P:$P,MATCH($B157,Baseline_Entry!$B:$B,0)),"")</f>
        <v>57.352112676056343</v>
      </c>
      <c r="G157" s="5" t="str">
        <f t="shared" si="7"/>
        <v>Yes</v>
      </c>
      <c r="H157" s="5">
        <v>85.49199999999999</v>
      </c>
      <c r="I157" s="5">
        <v>93.724000000000004</v>
      </c>
      <c r="J157" s="5">
        <v>8.2320000000000135</v>
      </c>
      <c r="K157" s="5">
        <v>85.38</v>
      </c>
      <c r="L157" s="5">
        <v>91.81</v>
      </c>
      <c r="M157" s="5">
        <v>6.4300000000000068</v>
      </c>
      <c r="N157" s="5">
        <v>88.38</v>
      </c>
      <c r="O157" s="5">
        <v>93.81</v>
      </c>
      <c r="P157" s="5">
        <v>5.4300000000000068</v>
      </c>
      <c r="Q157" s="5">
        <v>82.5</v>
      </c>
      <c r="R157" s="5">
        <v>93.5</v>
      </c>
      <c r="S157" s="5">
        <v>11</v>
      </c>
      <c r="T157" s="5">
        <v>88</v>
      </c>
      <c r="U157" s="5">
        <v>95.5</v>
      </c>
      <c r="V157" s="5">
        <v>7.5</v>
      </c>
      <c r="W157" s="5">
        <v>83.2</v>
      </c>
      <c r="X157" s="5">
        <v>94</v>
      </c>
      <c r="Y157" s="5">
        <v>10.8</v>
      </c>
      <c r="Z157" s="2" t="str">
        <f t="shared" ref="Z157:Z188" si="9">IF(IF(F98="",H98,F98)&lt;70,"Low starter",IF(IF(F98="",H98,F98)&lt;85,"Middle starter","High starter"))</f>
        <v>Middle starter</v>
      </c>
      <c r="AA157" s="2" t="s">
        <v>65</v>
      </c>
      <c r="AB157" s="2" t="s">
        <v>66</v>
      </c>
      <c r="AC157" s="2">
        <v>1</v>
      </c>
      <c r="AD157" s="2" t="str">
        <f>IFERROR(INDEX(University_Exit!$D:$D,MATCH($B157,University_Exit!$B:$B,0)),"")</f>
        <v>Qatar University</v>
      </c>
      <c r="AE157" s="2" t="str">
        <f>IFERROR(INDEX(University_Exit!$F:$F,MATCH($B157,University_Exit!$B:$B,0)),"")</f>
        <v>Computer Science</v>
      </c>
      <c r="AF157" s="2" t="str">
        <f>IFERROR(INDEX(University_Exit!$L:$L,MATCH($B157,University_Exit!$B:$B,0)),"")</f>
        <v>Yes</v>
      </c>
      <c r="AG157" s="2">
        <f>IFERROR(INDEX(University_Exit!$H:$H,MATCH($B157,University_Exit!$B:$B,0)),"")</f>
        <v>93.81</v>
      </c>
      <c r="AH157" s="6">
        <f>IFERROR(INDEX(University_Exit!$K:$K,MATCH($B157,University_Exit!$B:$B,0)),"")</f>
        <v>1000</v>
      </c>
      <c r="AI157" s="2" t="str">
        <f>IFERROR(INDEX(University_Exit!$G:$G,MATCH($B157,University_Exit!$B:$B,0)),"")</f>
        <v>Ministry Of Education</v>
      </c>
      <c r="AJ157">
        <f>IFERROR(INDEX(Baseline_Entry!$N:$N,MATCH($B157,Baseline_Entry!$B:$B,0)),"")</f>
        <v>108</v>
      </c>
      <c r="AK157">
        <f>IFERROR(INDEX(Cognitive_Profile!$E:$E,MATCH($B157,Cognitive_Profile!$B:$B,0)),"")</f>
        <v>108</v>
      </c>
      <c r="AL157">
        <f t="shared" si="8"/>
        <v>0</v>
      </c>
      <c r="AM157">
        <f>IFERROR(INDEX(Participation_By_Student!$D:$D,MATCH($B157,Participation_By_Student!$B:$B,0)),"")</f>
        <v>2</v>
      </c>
      <c r="AN157">
        <f>IFERROR(INDEX(Participation_By_Student!$E:$E,MATCH($B157,Participation_By_Student!$B:$B,0)),"")</f>
        <v>4</v>
      </c>
      <c r="AO157">
        <f>IFERROR(INDEX(Participation_By_Student!$F:$F,MATCH($B157,Participation_By_Student!$B:$B,0)),"")</f>
        <v>0</v>
      </c>
      <c r="AP157">
        <f>IFERROR(INDEX(Participation_By_Student!$G:$G,MATCH($B157,Participation_By_Student!$B:$B,0)),"")</f>
        <v>4</v>
      </c>
    </row>
    <row r="158" spans="1:42" x14ac:dyDescent="0.3">
      <c r="A158" s="2" t="s">
        <v>298</v>
      </c>
      <c r="B158" s="2" t="s">
        <v>385</v>
      </c>
      <c r="C158" s="2" t="s">
        <v>386</v>
      </c>
      <c r="D158" s="2" t="s">
        <v>301</v>
      </c>
      <c r="E158" s="2" t="s">
        <v>302</v>
      </c>
      <c r="F158" s="5">
        <f>IFERROR(INDEX(Baseline_Entry!$P:$P,MATCH($B158,Baseline_Entry!$B:$B,0)),"")</f>
        <v>61.149295774647889</v>
      </c>
      <c r="G158" s="5" t="str">
        <f t="shared" si="7"/>
        <v>Yes</v>
      </c>
      <c r="H158" s="5">
        <v>85.128000000000014</v>
      </c>
      <c r="I158" s="5">
        <v>83.652000000000001</v>
      </c>
      <c r="J158" s="5">
        <v>-1.4760000000000131</v>
      </c>
      <c r="K158" s="5">
        <v>85.42</v>
      </c>
      <c r="L158" s="5">
        <v>80.38</v>
      </c>
      <c r="M158" s="5">
        <v>-5.0400000000000063</v>
      </c>
      <c r="N158" s="5">
        <v>86.42</v>
      </c>
      <c r="O158" s="5">
        <v>85.38</v>
      </c>
      <c r="P158" s="5">
        <v>-1.040000000000006</v>
      </c>
      <c r="Q158" s="5">
        <v>89</v>
      </c>
      <c r="R158" s="5">
        <v>93.5</v>
      </c>
      <c r="S158" s="5">
        <v>4.5</v>
      </c>
      <c r="T158" s="5">
        <v>87.5</v>
      </c>
      <c r="U158" s="5">
        <v>77.5</v>
      </c>
      <c r="V158" s="5">
        <v>-10</v>
      </c>
      <c r="W158" s="5">
        <v>77.3</v>
      </c>
      <c r="X158" s="5">
        <v>81.5</v>
      </c>
      <c r="Y158" s="5">
        <v>4.2000000000000028</v>
      </c>
      <c r="Z158" s="2" t="str">
        <f t="shared" si="9"/>
        <v>Low starter</v>
      </c>
      <c r="AA158" s="2" t="s">
        <v>65</v>
      </c>
      <c r="AB158" s="2" t="s">
        <v>65</v>
      </c>
      <c r="AC158" s="2">
        <v>0</v>
      </c>
      <c r="AD158" s="2" t="str">
        <f>IFERROR(INDEX(University_Exit!$D:$D,MATCH($B158,University_Exit!$B:$B,0)),"")</f>
        <v>Qatar University</v>
      </c>
      <c r="AE158" s="2" t="str">
        <f>IFERROR(INDEX(University_Exit!$F:$F,MATCH($B158,University_Exit!$B:$B,0)),"")</f>
        <v>Computer Engineering</v>
      </c>
      <c r="AF158" s="2" t="str">
        <f>IFERROR(INDEX(University_Exit!$L:$L,MATCH($B158,University_Exit!$B:$B,0)),"")</f>
        <v>Yes</v>
      </c>
      <c r="AG158" s="2">
        <f>IFERROR(INDEX(University_Exit!$H:$H,MATCH($B158,University_Exit!$B:$B,0)),"")</f>
        <v>85.38</v>
      </c>
      <c r="AH158" s="6">
        <f>IFERROR(INDEX(University_Exit!$K:$K,MATCH($B158,University_Exit!$B:$B,0)),"")</f>
        <v>1140</v>
      </c>
      <c r="AI158" s="2" t="str">
        <f>IFERROR(INDEX(University_Exit!$G:$G,MATCH($B158,University_Exit!$B:$B,0)),"")</f>
        <v>Self-sponsored</v>
      </c>
      <c r="AJ158">
        <f>IFERROR(INDEX(Baseline_Entry!$N:$N,MATCH($B158,Baseline_Entry!$B:$B,0)),"")</f>
        <v>106</v>
      </c>
      <c r="AK158">
        <f>IFERROR(INDEX(Cognitive_Profile!$E:$E,MATCH($B158,Cognitive_Profile!$B:$B,0)),"")</f>
        <v>106</v>
      </c>
      <c r="AL158">
        <f t="shared" si="8"/>
        <v>0</v>
      </c>
      <c r="AM158">
        <f>IFERROR(INDEX(Participation_By_Student!$D:$D,MATCH($B158,Participation_By_Student!$B:$B,0)),"")</f>
        <v>2</v>
      </c>
      <c r="AN158">
        <f>IFERROR(INDEX(Participation_By_Student!$E:$E,MATCH($B158,Participation_By_Student!$B:$B,0)),"")</f>
        <v>4</v>
      </c>
      <c r="AO158">
        <f>IFERROR(INDEX(Participation_By_Student!$F:$F,MATCH($B158,Participation_By_Student!$B:$B,0)),"")</f>
        <v>2</v>
      </c>
      <c r="AP158">
        <f>IFERROR(INDEX(Participation_By_Student!$G:$G,MATCH($B158,Participation_By_Student!$B:$B,0)),"")</f>
        <v>4</v>
      </c>
    </row>
    <row r="159" spans="1:42" x14ac:dyDescent="0.3">
      <c r="A159" s="2" t="s">
        <v>298</v>
      </c>
      <c r="B159" s="2" t="s">
        <v>387</v>
      </c>
      <c r="C159" s="2" t="s">
        <v>388</v>
      </c>
      <c r="D159" s="2" t="s">
        <v>301</v>
      </c>
      <c r="E159" s="2" t="s">
        <v>302</v>
      </c>
      <c r="F159" s="5">
        <f>IFERROR(INDEX(Baseline_Entry!$P:$P,MATCH($B159,Baseline_Entry!$B:$B,0)),"")</f>
        <v>52.364319248826291</v>
      </c>
      <c r="G159" s="5" t="str">
        <f t="shared" si="7"/>
        <v>Yes</v>
      </c>
      <c r="H159" s="5">
        <v>86.695999999999998</v>
      </c>
      <c r="I159" s="5">
        <v>90.024000000000001</v>
      </c>
      <c r="J159" s="5">
        <v>3.328000000000003</v>
      </c>
      <c r="K159" s="5">
        <v>88.34</v>
      </c>
      <c r="L159" s="5">
        <v>89.81</v>
      </c>
      <c r="M159" s="5">
        <v>1.4699999999999991</v>
      </c>
      <c r="N159" s="5">
        <v>89.34</v>
      </c>
      <c r="O159" s="5">
        <v>89.81</v>
      </c>
      <c r="P159" s="5">
        <v>0.46999999999999892</v>
      </c>
      <c r="Q159" s="5">
        <v>84</v>
      </c>
      <c r="R159" s="5">
        <v>88.5</v>
      </c>
      <c r="S159" s="5">
        <v>4.5</v>
      </c>
      <c r="T159" s="5">
        <v>88.5</v>
      </c>
      <c r="U159" s="5">
        <v>93</v>
      </c>
      <c r="V159" s="5">
        <v>4.5</v>
      </c>
      <c r="W159" s="5">
        <v>83.3</v>
      </c>
      <c r="X159" s="5">
        <v>89</v>
      </c>
      <c r="Y159" s="5">
        <v>5.7000000000000028</v>
      </c>
      <c r="Z159" s="2" t="str">
        <f t="shared" si="9"/>
        <v>Middle starter</v>
      </c>
      <c r="AA159" s="2" t="s">
        <v>65</v>
      </c>
      <c r="AB159" s="2" t="s">
        <v>66</v>
      </c>
      <c r="AC159" s="2">
        <v>1</v>
      </c>
      <c r="AD159" s="2" t="str">
        <f>IFERROR(INDEX(University_Exit!$D:$D,MATCH($B159,University_Exit!$B:$B,0)),"")</f>
        <v>Qatar University</v>
      </c>
      <c r="AE159" s="2" t="str">
        <f>IFERROR(INDEX(University_Exit!$F:$F,MATCH($B159,University_Exit!$B:$B,0)),"")</f>
        <v>Chemical Engineering</v>
      </c>
      <c r="AF159" s="2" t="str">
        <f>IFERROR(INDEX(University_Exit!$L:$L,MATCH($B159,University_Exit!$B:$B,0)),"")</f>
        <v>Yes</v>
      </c>
      <c r="AG159" s="2">
        <f>IFERROR(INDEX(University_Exit!$H:$H,MATCH($B159,University_Exit!$B:$B,0)),"")</f>
        <v>89.81</v>
      </c>
      <c r="AH159" s="6">
        <f>IFERROR(INDEX(University_Exit!$K:$K,MATCH($B159,University_Exit!$B:$B,0)),"")</f>
        <v>950</v>
      </c>
      <c r="AI159" s="2" t="str">
        <f>IFERROR(INDEX(University_Exit!$G:$G,MATCH($B159,University_Exit!$B:$B,0)),"")</f>
        <v>وزارة الدفاع</v>
      </c>
      <c r="AJ159">
        <f>IFERROR(INDEX(Baseline_Entry!$N:$N,MATCH($B159,Baseline_Entry!$B:$B,0)),"")</f>
        <v>93</v>
      </c>
      <c r="AK159">
        <f>IFERROR(INDEX(Cognitive_Profile!$E:$E,MATCH($B159,Cognitive_Profile!$B:$B,0)),"")</f>
        <v>90</v>
      </c>
      <c r="AL159">
        <f t="shared" si="8"/>
        <v>-3</v>
      </c>
      <c r="AM159">
        <f>IFERROR(INDEX(Participation_By_Student!$D:$D,MATCH($B159,Participation_By_Student!$B:$B,0)),"")</f>
        <v>2</v>
      </c>
      <c r="AN159">
        <f>IFERROR(INDEX(Participation_By_Student!$E:$E,MATCH($B159,Participation_By_Student!$B:$B,0)),"")</f>
        <v>5</v>
      </c>
      <c r="AO159">
        <f>IFERROR(INDEX(Participation_By_Student!$F:$F,MATCH($B159,Participation_By_Student!$B:$B,0)),"")</f>
        <v>0</v>
      </c>
      <c r="AP159">
        <f>IFERROR(INDEX(Participation_By_Student!$G:$G,MATCH($B159,Participation_By_Student!$B:$B,0)),"")</f>
        <v>5</v>
      </c>
    </row>
    <row r="160" spans="1:42" x14ac:dyDescent="0.3">
      <c r="A160" s="2" t="s">
        <v>298</v>
      </c>
      <c r="B160" s="2" t="s">
        <v>389</v>
      </c>
      <c r="C160" s="2" t="s">
        <v>390</v>
      </c>
      <c r="D160" s="2" t="s">
        <v>301</v>
      </c>
      <c r="E160" s="2" t="s">
        <v>302</v>
      </c>
      <c r="F160" s="5">
        <f>IFERROR(INDEX(Baseline_Entry!$P:$P,MATCH($B160,Baseline_Entry!$B:$B,0)),"")</f>
        <v>53.39342723004696</v>
      </c>
      <c r="G160" s="5" t="str">
        <f t="shared" si="7"/>
        <v>Yes</v>
      </c>
      <c r="H160" s="5">
        <v>75.635999999999996</v>
      </c>
      <c r="I160" s="5">
        <v>93.376000000000005</v>
      </c>
      <c r="J160" s="5">
        <v>17.740000000000009</v>
      </c>
      <c r="K160" s="5">
        <v>74.69</v>
      </c>
      <c r="L160" s="5">
        <v>90.69</v>
      </c>
      <c r="M160" s="5">
        <v>16</v>
      </c>
      <c r="N160" s="5">
        <v>79.69</v>
      </c>
      <c r="O160" s="5">
        <v>93.69</v>
      </c>
      <c r="P160" s="5">
        <v>14</v>
      </c>
      <c r="Q160" s="5">
        <v>81.5</v>
      </c>
      <c r="R160" s="5">
        <v>95</v>
      </c>
      <c r="S160" s="5">
        <v>13.5</v>
      </c>
      <c r="T160" s="5">
        <v>77</v>
      </c>
      <c r="U160" s="5">
        <v>95.5</v>
      </c>
      <c r="V160" s="5">
        <v>18.5</v>
      </c>
      <c r="W160" s="5">
        <v>65.3</v>
      </c>
      <c r="X160" s="5">
        <v>92</v>
      </c>
      <c r="Y160" s="5">
        <v>26.7</v>
      </c>
      <c r="Z160" s="2" t="str">
        <f t="shared" si="9"/>
        <v>Middle starter</v>
      </c>
      <c r="AA160" s="2" t="s">
        <v>99</v>
      </c>
      <c r="AB160" s="2" t="s">
        <v>66</v>
      </c>
      <c r="AC160" s="2">
        <v>2</v>
      </c>
      <c r="AD160" s="2" t="str">
        <f>IFERROR(INDEX(University_Exit!$D:$D,MATCH($B160,University_Exit!$B:$B,0)),"")</f>
        <v>Qatar University</v>
      </c>
      <c r="AE160" s="2" t="str">
        <f>IFERROR(INDEX(University_Exit!$F:$F,MATCH($B160,University_Exit!$B:$B,0)),"")</f>
        <v>Medicine</v>
      </c>
      <c r="AF160" s="2" t="str">
        <f>IFERROR(INDEX(University_Exit!$L:$L,MATCH($B160,University_Exit!$B:$B,0)),"")</f>
        <v>Yes</v>
      </c>
      <c r="AG160" s="2">
        <f>IFERROR(INDEX(University_Exit!$H:$H,MATCH($B160,University_Exit!$B:$B,0)),"")</f>
        <v>93.69</v>
      </c>
      <c r="AH160" s="6">
        <f>IFERROR(INDEX(University_Exit!$K:$K,MATCH($B160,University_Exit!$B:$B,0)),"")</f>
        <v>1070</v>
      </c>
      <c r="AI160" s="2" t="str">
        <f>IFERROR(INDEX(University_Exit!$G:$G,MATCH($B160,University_Exit!$B:$B,0)),"")</f>
        <v>Ministry Of Education</v>
      </c>
      <c r="AJ160">
        <f>IFERROR(INDEX(Baseline_Entry!$N:$N,MATCH($B160,Baseline_Entry!$B:$B,0)),"")</f>
        <v>90</v>
      </c>
      <c r="AK160">
        <f>IFERROR(INDEX(Cognitive_Profile!$E:$E,MATCH($B160,Cognitive_Profile!$B:$B,0)),"")</f>
        <v>90</v>
      </c>
      <c r="AL160">
        <f t="shared" si="8"/>
        <v>0</v>
      </c>
      <c r="AM160">
        <f>IFERROR(INDEX(Participation_By_Student!$D:$D,MATCH($B160,Participation_By_Student!$B:$B,0)),"")</f>
        <v>2</v>
      </c>
      <c r="AN160">
        <f>IFERROR(INDEX(Participation_By_Student!$E:$E,MATCH($B160,Participation_By_Student!$B:$B,0)),"")</f>
        <v>3</v>
      </c>
      <c r="AO160">
        <f>IFERROR(INDEX(Participation_By_Student!$F:$F,MATCH($B160,Participation_By_Student!$B:$B,0)),"")</f>
        <v>1</v>
      </c>
      <c r="AP160">
        <f>IFERROR(INDEX(Participation_By_Student!$G:$G,MATCH($B160,Participation_By_Student!$B:$B,0)),"")</f>
        <v>3</v>
      </c>
    </row>
    <row r="161" spans="1:42" x14ac:dyDescent="0.3">
      <c r="A161" s="2" t="s">
        <v>298</v>
      </c>
      <c r="B161" s="2" t="s">
        <v>391</v>
      </c>
      <c r="C161" s="2" t="s">
        <v>392</v>
      </c>
      <c r="D161" s="2" t="s">
        <v>301</v>
      </c>
      <c r="E161" s="2" t="s">
        <v>302</v>
      </c>
      <c r="F161" s="5">
        <f>IFERROR(INDEX(Baseline_Entry!$P:$P,MATCH($B161,Baseline_Entry!$B:$B,0)),"")</f>
        <v>59.196244131455408</v>
      </c>
      <c r="G161" s="5" t="str">
        <f t="shared" si="7"/>
        <v>Yes</v>
      </c>
      <c r="H161" s="5">
        <v>91.631999999999991</v>
      </c>
      <c r="I161" s="5">
        <v>93.5</v>
      </c>
      <c r="J161" s="5">
        <v>1.868000000000009</v>
      </c>
      <c r="K161" s="5">
        <v>89.88</v>
      </c>
      <c r="L161" s="5">
        <v>88.25</v>
      </c>
      <c r="M161" s="5">
        <v>-1.629999999999995</v>
      </c>
      <c r="N161" s="5">
        <v>92.88</v>
      </c>
      <c r="O161" s="5">
        <v>94.25</v>
      </c>
      <c r="P161" s="5">
        <v>1.370000000000005</v>
      </c>
      <c r="Q161" s="5">
        <v>93</v>
      </c>
      <c r="R161" s="5">
        <v>96</v>
      </c>
      <c r="S161" s="5">
        <v>3</v>
      </c>
      <c r="T161" s="5">
        <v>95.5</v>
      </c>
      <c r="U161" s="5">
        <v>96.5</v>
      </c>
      <c r="V161" s="5">
        <v>1</v>
      </c>
      <c r="W161" s="5">
        <v>86.9</v>
      </c>
      <c r="X161" s="5">
        <v>92.5</v>
      </c>
      <c r="Y161" s="5">
        <v>5.5999999999999943</v>
      </c>
      <c r="Z161" s="2" t="str">
        <f t="shared" si="9"/>
        <v>Middle starter</v>
      </c>
      <c r="AA161" s="2" t="s">
        <v>66</v>
      </c>
      <c r="AB161" s="2" t="s">
        <v>66</v>
      </c>
      <c r="AC161" s="2">
        <v>0</v>
      </c>
      <c r="AD161" s="2" t="str">
        <f>IFERROR(INDEX(University_Exit!$D:$D,MATCH($B161,University_Exit!$B:$B,0)),"")</f>
        <v>Qatar University</v>
      </c>
      <c r="AE161" s="2" t="str">
        <f>IFERROR(INDEX(University_Exit!$F:$F,MATCH($B161,University_Exit!$B:$B,0)),"")</f>
        <v>Medicine</v>
      </c>
      <c r="AF161" s="2" t="str">
        <f>IFERROR(INDEX(University_Exit!$L:$L,MATCH($B161,University_Exit!$B:$B,0)),"")</f>
        <v>Yes</v>
      </c>
      <c r="AG161" s="2">
        <f>IFERROR(INDEX(University_Exit!$H:$H,MATCH($B161,University_Exit!$B:$B,0)),"")</f>
        <v>94.25</v>
      </c>
      <c r="AH161" s="6">
        <f>IFERROR(INDEX(University_Exit!$K:$K,MATCH($B161,University_Exit!$B:$B,0)),"")</f>
        <v>1180</v>
      </c>
      <c r="AI161" s="2" t="str">
        <f>IFERROR(INDEX(University_Exit!$G:$G,MATCH($B161,University_Exit!$B:$B,0)),"")</f>
        <v>Ministry Of Education</v>
      </c>
      <c r="AJ161">
        <f>IFERROR(INDEX(Baseline_Entry!$N:$N,MATCH($B161,Baseline_Entry!$B:$B,0)),"")</f>
        <v>92</v>
      </c>
      <c r="AK161">
        <f>IFERROR(INDEX(Cognitive_Profile!$E:$E,MATCH($B161,Cognitive_Profile!$B:$B,0)),"")</f>
        <v>92</v>
      </c>
      <c r="AL161">
        <f t="shared" si="8"/>
        <v>0</v>
      </c>
      <c r="AM161">
        <f>IFERROR(INDEX(Participation_By_Student!$D:$D,MATCH($B161,Participation_By_Student!$B:$B,0)),"")</f>
        <v>6</v>
      </c>
      <c r="AN161">
        <f>IFERROR(INDEX(Participation_By_Student!$E:$E,MATCH($B161,Participation_By_Student!$B:$B,0)),"")</f>
        <v>10</v>
      </c>
      <c r="AO161">
        <f>IFERROR(INDEX(Participation_By_Student!$F:$F,MATCH($B161,Participation_By_Student!$B:$B,0)),"")</f>
        <v>1</v>
      </c>
      <c r="AP161">
        <f>IFERROR(INDEX(Participation_By_Student!$G:$G,MATCH($B161,Participation_By_Student!$B:$B,0)),"")</f>
        <v>10</v>
      </c>
    </row>
    <row r="162" spans="1:42" x14ac:dyDescent="0.3">
      <c r="A162" s="2" t="s">
        <v>298</v>
      </c>
      <c r="B162" s="2" t="s">
        <v>393</v>
      </c>
      <c r="C162" s="2" t="s">
        <v>394</v>
      </c>
      <c r="D162" s="2" t="s">
        <v>301</v>
      </c>
      <c r="E162" s="2" t="s">
        <v>302</v>
      </c>
      <c r="F162" s="5">
        <f>IFERROR(INDEX(Baseline_Entry!$P:$P,MATCH($B162,Baseline_Entry!$B:$B,0)),"")</f>
        <v>52.178403755868544</v>
      </c>
      <c r="G162" s="5" t="str">
        <f t="shared" si="7"/>
        <v>Yes</v>
      </c>
      <c r="H162" s="5">
        <v>84.16</v>
      </c>
      <c r="I162" s="5">
        <v>93.251999999999995</v>
      </c>
      <c r="J162" s="5">
        <v>9.0919999999999987</v>
      </c>
      <c r="K162" s="5">
        <v>86.8</v>
      </c>
      <c r="L162" s="5">
        <v>87.38</v>
      </c>
      <c r="M162" s="5">
        <v>0.57999999999999829</v>
      </c>
      <c r="N162" s="5">
        <v>86.8</v>
      </c>
      <c r="O162" s="5">
        <v>92.38</v>
      </c>
      <c r="P162" s="5">
        <v>5.5799999999999983</v>
      </c>
      <c r="Q162" s="5">
        <v>86</v>
      </c>
      <c r="R162" s="5">
        <v>97</v>
      </c>
      <c r="S162" s="5">
        <v>11</v>
      </c>
      <c r="T162" s="5">
        <v>81</v>
      </c>
      <c r="U162" s="5">
        <v>94.5</v>
      </c>
      <c r="V162" s="5">
        <v>13.5</v>
      </c>
      <c r="W162" s="5">
        <v>80.2</v>
      </c>
      <c r="X162" s="5">
        <v>95</v>
      </c>
      <c r="Y162" s="5">
        <v>14.8</v>
      </c>
      <c r="Z162" s="2" t="str">
        <f t="shared" si="9"/>
        <v>High starter</v>
      </c>
      <c r="AA162" s="2" t="s">
        <v>65</v>
      </c>
      <c r="AB162" s="2" t="s">
        <v>66</v>
      </c>
      <c r="AC162" s="2">
        <v>1</v>
      </c>
      <c r="AD162" s="2" t="str">
        <f>IFERROR(INDEX(University_Exit!$D:$D,MATCH($B162,University_Exit!$B:$B,0)),"")</f>
        <v>Qatar University</v>
      </c>
      <c r="AE162" s="2" t="str">
        <f>IFERROR(INDEX(University_Exit!$F:$F,MATCH($B162,University_Exit!$B:$B,0)),"")</f>
        <v>Medicine</v>
      </c>
      <c r="AF162" s="2" t="str">
        <f>IFERROR(INDEX(University_Exit!$L:$L,MATCH($B162,University_Exit!$B:$B,0)),"")</f>
        <v>Yes</v>
      </c>
      <c r="AG162" s="2">
        <f>IFERROR(INDEX(University_Exit!$H:$H,MATCH($B162,University_Exit!$B:$B,0)),"")</f>
        <v>92.38</v>
      </c>
      <c r="AH162" s="6">
        <f>IFERROR(INDEX(University_Exit!$K:$K,MATCH($B162,University_Exit!$B:$B,0)),"")</f>
        <v>1140</v>
      </c>
      <c r="AI162" s="2" t="str">
        <f>IFERROR(INDEX(University_Exit!$G:$G,MATCH($B162,University_Exit!$B:$B,0)),"")</f>
        <v>Ministry Of Education</v>
      </c>
      <c r="AJ162">
        <f>IFERROR(INDEX(Baseline_Entry!$N:$N,MATCH($B162,Baseline_Entry!$B:$B,0)),"")</f>
        <v>103</v>
      </c>
      <c r="AK162">
        <f>IFERROR(INDEX(Cognitive_Profile!$E:$E,MATCH($B162,Cognitive_Profile!$B:$B,0)),"")</f>
        <v>103</v>
      </c>
      <c r="AL162">
        <f t="shared" si="8"/>
        <v>0</v>
      </c>
      <c r="AM162">
        <f>IFERROR(INDEX(Participation_By_Student!$D:$D,MATCH($B162,Participation_By_Student!$B:$B,0)),"")</f>
        <v>4</v>
      </c>
      <c r="AN162">
        <f>IFERROR(INDEX(Participation_By_Student!$E:$E,MATCH($B162,Participation_By_Student!$B:$B,0)),"")</f>
        <v>10</v>
      </c>
      <c r="AO162">
        <f>IFERROR(INDEX(Participation_By_Student!$F:$F,MATCH($B162,Participation_By_Student!$B:$B,0)),"")</f>
        <v>6</v>
      </c>
      <c r="AP162">
        <f>IFERROR(INDEX(Participation_By_Student!$G:$G,MATCH($B162,Participation_By_Student!$B:$B,0)),"")</f>
        <v>10</v>
      </c>
    </row>
    <row r="163" spans="1:42" x14ac:dyDescent="0.3">
      <c r="A163" s="2" t="s">
        <v>298</v>
      </c>
      <c r="B163" s="2" t="s">
        <v>395</v>
      </c>
      <c r="C163" s="2" t="s">
        <v>396</v>
      </c>
      <c r="D163" s="2" t="s">
        <v>301</v>
      </c>
      <c r="E163" s="2" t="s">
        <v>302</v>
      </c>
      <c r="F163" s="5">
        <f>IFERROR(INDEX(Baseline_Entry!$P:$P,MATCH($B163,Baseline_Entry!$B:$B,0)),"")</f>
        <v>54.796244131455403</v>
      </c>
      <c r="G163" s="5" t="str">
        <f t="shared" si="7"/>
        <v>Yes</v>
      </c>
      <c r="H163" s="5">
        <v>91.427999999999997</v>
      </c>
      <c r="I163" s="5">
        <v>94.623999999999995</v>
      </c>
      <c r="J163" s="5">
        <v>3.195999999999998</v>
      </c>
      <c r="K163" s="5">
        <v>90.42</v>
      </c>
      <c r="L163" s="5">
        <v>92.06</v>
      </c>
      <c r="M163" s="5">
        <v>1.640000000000001</v>
      </c>
      <c r="N163" s="5">
        <v>92.42</v>
      </c>
      <c r="O163" s="5">
        <v>94.06</v>
      </c>
      <c r="P163" s="5">
        <v>1.640000000000001</v>
      </c>
      <c r="Q163" s="5">
        <v>89.5</v>
      </c>
      <c r="R163" s="5">
        <v>94.5</v>
      </c>
      <c r="S163" s="5">
        <v>5</v>
      </c>
      <c r="T163" s="5">
        <v>96.5</v>
      </c>
      <c r="U163" s="5">
        <v>99.5</v>
      </c>
      <c r="V163" s="5">
        <v>3</v>
      </c>
      <c r="W163" s="5">
        <v>88.3</v>
      </c>
      <c r="X163" s="5">
        <v>93</v>
      </c>
      <c r="Y163" s="5">
        <v>4.7000000000000028</v>
      </c>
      <c r="Z163" s="2" t="str">
        <f t="shared" si="9"/>
        <v>Middle starter</v>
      </c>
      <c r="AA163" s="2" t="s">
        <v>66</v>
      </c>
      <c r="AB163" s="2" t="s">
        <v>66</v>
      </c>
      <c r="AC163" s="2">
        <v>0</v>
      </c>
      <c r="AD163" s="2" t="str">
        <f>IFERROR(INDEX(University_Exit!$D:$D,MATCH($B163,University_Exit!$B:$B,0)),"")</f>
        <v>Lusail University</v>
      </c>
      <c r="AE163" s="2" t="str">
        <f>IFERROR(INDEX(University_Exit!$F:$F,MATCH($B163,University_Exit!$B:$B,0)),"")</f>
        <v>الذكاء الاصطناعي</v>
      </c>
      <c r="AF163" s="2" t="str">
        <f>IFERROR(INDEX(University_Exit!$L:$L,MATCH($B163,University_Exit!$B:$B,0)),"")</f>
        <v>No</v>
      </c>
      <c r="AG163" s="2">
        <f>IFERROR(INDEX(University_Exit!$H:$H,MATCH($B163,University_Exit!$B:$B,0)),"")</f>
        <v>94</v>
      </c>
      <c r="AH163" s="6">
        <f>IFERROR(INDEX(University_Exit!$K:$K,MATCH($B163,University_Exit!$B:$B,0)),"")</f>
        <v>110</v>
      </c>
      <c r="AI163" s="2" t="str">
        <f>IFERROR(INDEX(University_Exit!$G:$G,MATCH($B163,University_Exit!$B:$B,0)),"")</f>
        <v>Self-sponsored</v>
      </c>
      <c r="AJ163">
        <f>IFERROR(INDEX(Baseline_Entry!$N:$N,MATCH($B163,Baseline_Entry!$B:$B,0)),"")</f>
        <v>92</v>
      </c>
      <c r="AK163">
        <f>IFERROR(INDEX(Cognitive_Profile!$E:$E,MATCH($B163,Cognitive_Profile!$B:$B,0)),"")</f>
        <v>92</v>
      </c>
      <c r="AL163">
        <f t="shared" si="8"/>
        <v>0</v>
      </c>
      <c r="AM163">
        <f>IFERROR(INDEX(Participation_By_Student!$D:$D,MATCH($B163,Participation_By_Student!$B:$B,0)),"")</f>
        <v>2</v>
      </c>
      <c r="AN163">
        <f>IFERROR(INDEX(Participation_By_Student!$E:$E,MATCH($B163,Participation_By_Student!$B:$B,0)),"")</f>
        <v>7</v>
      </c>
      <c r="AO163">
        <f>IFERROR(INDEX(Participation_By_Student!$F:$F,MATCH($B163,Participation_By_Student!$B:$B,0)),"")</f>
        <v>2</v>
      </c>
      <c r="AP163">
        <f>IFERROR(INDEX(Participation_By_Student!$G:$G,MATCH($B163,Participation_By_Student!$B:$B,0)),"")</f>
        <v>7</v>
      </c>
    </row>
    <row r="164" spans="1:42" x14ac:dyDescent="0.3">
      <c r="A164" s="2" t="s">
        <v>298</v>
      </c>
      <c r="B164" s="2" t="s">
        <v>397</v>
      </c>
      <c r="C164" s="2" t="s">
        <v>398</v>
      </c>
      <c r="D164" s="2" t="s">
        <v>301</v>
      </c>
      <c r="E164" s="2" t="s">
        <v>302</v>
      </c>
      <c r="F164" s="5">
        <f>IFERROR(INDEX(Baseline_Entry!$P:$P,MATCH($B164,Baseline_Entry!$B:$B,0)),"")</f>
        <v>60.946478873239442</v>
      </c>
      <c r="G164" s="5" t="str">
        <f t="shared" si="7"/>
        <v>Yes</v>
      </c>
      <c r="H164" s="5">
        <v>79.671999999999997</v>
      </c>
      <c r="I164" s="5">
        <v>93.551999999999992</v>
      </c>
      <c r="J164" s="5">
        <v>13.88</v>
      </c>
      <c r="K164" s="5">
        <v>78.03</v>
      </c>
      <c r="L164" s="5">
        <v>89.63</v>
      </c>
      <c r="M164" s="5">
        <v>11.599999999999991</v>
      </c>
      <c r="N164" s="5">
        <v>83.03</v>
      </c>
      <c r="O164" s="5">
        <v>93.63</v>
      </c>
      <c r="P164" s="5">
        <v>10.599999999999991</v>
      </c>
      <c r="Q164" s="5">
        <v>74</v>
      </c>
      <c r="R164" s="5">
        <v>94.5</v>
      </c>
      <c r="S164" s="5">
        <v>20.5</v>
      </c>
      <c r="T164" s="5">
        <v>89</v>
      </c>
      <c r="U164" s="5">
        <v>95</v>
      </c>
      <c r="V164" s="5">
        <v>6</v>
      </c>
      <c r="W164" s="5">
        <v>74.3</v>
      </c>
      <c r="X164" s="5">
        <v>95</v>
      </c>
      <c r="Y164" s="5">
        <v>20.7</v>
      </c>
      <c r="Z164" s="2" t="str">
        <f t="shared" si="9"/>
        <v>Low starter</v>
      </c>
      <c r="AA164" s="2" t="s">
        <v>99</v>
      </c>
      <c r="AB164" s="2" t="s">
        <v>66</v>
      </c>
      <c r="AC164" s="2">
        <v>2</v>
      </c>
      <c r="AD164" s="2" t="str">
        <f>IFERROR(INDEX(University_Exit!$D:$D,MATCH($B164,University_Exit!$B:$B,0)),"")</f>
        <v>الكلية العسكرية</v>
      </c>
      <c r="AE164" s="2" t="str">
        <f>IFERROR(INDEX(University_Exit!$F:$F,MATCH($B164,University_Exit!$B:$B,0)),"")</f>
        <v>الجيش</v>
      </c>
      <c r="AF164" s="2" t="str">
        <f>IFERROR(INDEX(University_Exit!$L:$L,MATCH($B164,University_Exit!$B:$B,0)),"")</f>
        <v>No</v>
      </c>
      <c r="AG164" s="2">
        <f>IFERROR(INDEX(University_Exit!$H:$H,MATCH($B164,University_Exit!$B:$B,0)),"")</f>
        <v>93.63</v>
      </c>
      <c r="AH164" s="6">
        <f>IFERROR(INDEX(University_Exit!$K:$K,MATCH($B164,University_Exit!$B:$B,0)),"")</f>
        <v>1040</v>
      </c>
      <c r="AI164" s="2" t="str">
        <f>IFERROR(INDEX(University_Exit!$G:$G,MATCH($B164,University_Exit!$B:$B,0)),"")</f>
        <v>وزارة الرفاع</v>
      </c>
      <c r="AJ164">
        <f>IFERROR(INDEX(Baseline_Entry!$N:$N,MATCH($B164,Baseline_Entry!$B:$B,0)),"")</f>
        <v>104</v>
      </c>
      <c r="AK164">
        <f>IFERROR(INDEX(Cognitive_Profile!$E:$E,MATCH($B164,Cognitive_Profile!$B:$B,0)),"")</f>
        <v>104</v>
      </c>
      <c r="AL164">
        <f t="shared" si="8"/>
        <v>0</v>
      </c>
      <c r="AM164">
        <f>IFERROR(INDEX(Participation_By_Student!$D:$D,MATCH($B164,Participation_By_Student!$B:$B,0)),"")</f>
        <v>2</v>
      </c>
      <c r="AN164">
        <f>IFERROR(INDEX(Participation_By_Student!$E:$E,MATCH($B164,Participation_By_Student!$B:$B,0)),"")</f>
        <v>4</v>
      </c>
      <c r="AO164">
        <f>IFERROR(INDEX(Participation_By_Student!$F:$F,MATCH($B164,Participation_By_Student!$B:$B,0)),"")</f>
        <v>2</v>
      </c>
      <c r="AP164">
        <f>IFERROR(INDEX(Participation_By_Student!$G:$G,MATCH($B164,Participation_By_Student!$B:$B,0)),"")</f>
        <v>4</v>
      </c>
    </row>
    <row r="165" spans="1:42" x14ac:dyDescent="0.3">
      <c r="A165" s="2" t="s">
        <v>298</v>
      </c>
      <c r="B165" s="2" t="s">
        <v>399</v>
      </c>
      <c r="C165" s="2" t="s">
        <v>400</v>
      </c>
      <c r="D165" s="2" t="s">
        <v>301</v>
      </c>
      <c r="E165" s="2" t="s">
        <v>302</v>
      </c>
      <c r="F165" s="5">
        <f>IFERROR(INDEX(Baseline_Entry!$P:$P,MATCH($B165,Baseline_Entry!$B:$B,0)),"")</f>
        <v>56.311737089201877</v>
      </c>
      <c r="G165" s="5" t="str">
        <f t="shared" si="7"/>
        <v>Yes</v>
      </c>
      <c r="H165" s="5">
        <v>91.568000000000012</v>
      </c>
      <c r="I165" s="5">
        <v>96.676000000000002</v>
      </c>
      <c r="J165" s="5">
        <v>5.1079999999999899</v>
      </c>
      <c r="K165" s="5">
        <v>87.42</v>
      </c>
      <c r="L165" s="5">
        <v>91.44</v>
      </c>
      <c r="M165" s="5">
        <v>4.019999999999996</v>
      </c>
      <c r="N165" s="5">
        <v>93.42</v>
      </c>
      <c r="O165" s="5">
        <v>97.44</v>
      </c>
      <c r="P165" s="5">
        <v>4.019999999999996</v>
      </c>
      <c r="Q165" s="5">
        <v>92</v>
      </c>
      <c r="R165" s="5">
        <v>98</v>
      </c>
      <c r="S165" s="5">
        <v>6</v>
      </c>
      <c r="T165" s="5">
        <v>94.5</v>
      </c>
      <c r="U165" s="5">
        <v>98</v>
      </c>
      <c r="V165" s="5">
        <v>3.5</v>
      </c>
      <c r="W165" s="5">
        <v>90.5</v>
      </c>
      <c r="X165" s="5">
        <v>98.5</v>
      </c>
      <c r="Y165" s="5">
        <v>8</v>
      </c>
      <c r="Z165" s="2" t="str">
        <f t="shared" si="9"/>
        <v>High starter</v>
      </c>
      <c r="AA165" s="2" t="s">
        <v>66</v>
      </c>
      <c r="AB165" s="2" t="s">
        <v>66</v>
      </c>
      <c r="AC165" s="2">
        <v>0</v>
      </c>
      <c r="AD165" s="2" t="str">
        <f>IFERROR(INDEX(University_Exit!$D:$D,MATCH($B165,University_Exit!$B:$B,0)),"")</f>
        <v>WEILL CORNELL MEDICINE</v>
      </c>
      <c r="AE165" s="2" t="str">
        <f>IFERROR(INDEX(University_Exit!$F:$F,MATCH($B165,University_Exit!$B:$B,0)),"")</f>
        <v>Medicine</v>
      </c>
      <c r="AF165" s="2" t="str">
        <f>IFERROR(INDEX(University_Exit!$L:$L,MATCH($B165,University_Exit!$B:$B,0)),"")</f>
        <v>Yes</v>
      </c>
      <c r="AG165" s="2">
        <f>IFERROR(INDEX(University_Exit!$H:$H,MATCH($B165,University_Exit!$B:$B,0)),"")</f>
        <v>97.44</v>
      </c>
      <c r="AH165" s="6">
        <f>IFERROR(INDEX(University_Exit!$K:$K,MATCH($B165,University_Exit!$B:$B,0)),"")</f>
        <v>1250</v>
      </c>
      <c r="AI165" s="2" t="str">
        <f>IFERROR(INDEX(University_Exit!$G:$G,MATCH($B165,University_Exit!$B:$B,0)),"")</f>
        <v>Ministry Of Education</v>
      </c>
      <c r="AJ165">
        <f>IFERROR(INDEX(Baseline_Entry!$N:$N,MATCH($B165,Baseline_Entry!$B:$B,0)),"")</f>
        <v>103</v>
      </c>
      <c r="AK165">
        <f>IFERROR(INDEX(Cognitive_Profile!$E:$E,MATCH($B165,Cognitive_Profile!$B:$B,0)),"")</f>
        <v>103</v>
      </c>
      <c r="AL165">
        <f t="shared" si="8"/>
        <v>0</v>
      </c>
      <c r="AM165">
        <f>IFERROR(INDEX(Participation_By_Student!$D:$D,MATCH($B165,Participation_By_Student!$B:$B,0)),"")</f>
        <v>3</v>
      </c>
      <c r="AN165">
        <f>IFERROR(INDEX(Participation_By_Student!$E:$E,MATCH($B165,Participation_By_Student!$B:$B,0)),"")</f>
        <v>8</v>
      </c>
      <c r="AO165">
        <f>IFERROR(INDEX(Participation_By_Student!$F:$F,MATCH($B165,Participation_By_Student!$B:$B,0)),"")</f>
        <v>4</v>
      </c>
      <c r="AP165">
        <f>IFERROR(INDEX(Participation_By_Student!$G:$G,MATCH($B165,Participation_By_Student!$B:$B,0)),"")</f>
        <v>8</v>
      </c>
    </row>
    <row r="166" spans="1:42" x14ac:dyDescent="0.3">
      <c r="A166" s="2" t="s">
        <v>298</v>
      </c>
      <c r="B166" s="2" t="s">
        <v>401</v>
      </c>
      <c r="C166" s="2" t="s">
        <v>402</v>
      </c>
      <c r="D166" s="2" t="s">
        <v>301</v>
      </c>
      <c r="E166" s="2" t="s">
        <v>302</v>
      </c>
      <c r="F166" s="5">
        <f>IFERROR(INDEX(Baseline_Entry!$P:$P,MATCH($B166,Baseline_Entry!$B:$B,0)),"")</f>
        <v>53.755868544600936</v>
      </c>
      <c r="G166" s="5" t="str">
        <f t="shared" si="7"/>
        <v>Yes</v>
      </c>
      <c r="H166" s="5">
        <v>94.823999999999998</v>
      </c>
      <c r="I166" s="5">
        <v>99.1</v>
      </c>
      <c r="J166" s="5">
        <v>4.2759999999999962</v>
      </c>
      <c r="K166" s="5">
        <v>90.11</v>
      </c>
      <c r="L166" s="5">
        <v>99</v>
      </c>
      <c r="M166" s="5">
        <v>8.89</v>
      </c>
      <c r="N166" s="5">
        <v>95.11</v>
      </c>
      <c r="O166" s="5">
        <v>99</v>
      </c>
      <c r="P166" s="5">
        <v>3.890000000000001</v>
      </c>
      <c r="Q166" s="5">
        <v>98</v>
      </c>
      <c r="R166" s="5">
        <v>98.5</v>
      </c>
      <c r="S166" s="5">
        <v>0.5</v>
      </c>
      <c r="T166" s="5">
        <v>99.5</v>
      </c>
      <c r="U166" s="5">
        <v>100</v>
      </c>
      <c r="V166" s="5">
        <v>0.5</v>
      </c>
      <c r="W166" s="5">
        <v>91.4</v>
      </c>
      <c r="X166" s="5">
        <v>99</v>
      </c>
      <c r="Y166" s="5">
        <v>7.5999999999999943</v>
      </c>
      <c r="Z166" s="2" t="str">
        <f t="shared" si="9"/>
        <v>Middle starter</v>
      </c>
      <c r="AA166" s="2" t="s">
        <v>66</v>
      </c>
      <c r="AB166" s="2" t="s">
        <v>66</v>
      </c>
      <c r="AC166" s="2">
        <v>0</v>
      </c>
      <c r="AD166" s="2" t="str">
        <f>IFERROR(INDEX(University_Exit!$D:$D,MATCH($B166,University_Exit!$B:$B,0)),"")</f>
        <v>WEILL CORNELL MEDICINE</v>
      </c>
      <c r="AE166" s="2" t="str">
        <f>IFERROR(INDEX(University_Exit!$F:$F,MATCH($B166,University_Exit!$B:$B,0)),"")</f>
        <v>Medicine</v>
      </c>
      <c r="AF166" s="2" t="str">
        <f>IFERROR(INDEX(University_Exit!$L:$L,MATCH($B166,University_Exit!$B:$B,0)),"")</f>
        <v>Yes</v>
      </c>
      <c r="AG166" s="2">
        <f>IFERROR(INDEX(University_Exit!$H:$H,MATCH($B166,University_Exit!$B:$B,0)),"")</f>
        <v>99</v>
      </c>
      <c r="AH166" s="6">
        <f>IFERROR(INDEX(University_Exit!$K:$K,MATCH($B166,University_Exit!$B:$B,0)),"")</f>
        <v>1360</v>
      </c>
      <c r="AI166" s="2" t="str">
        <f>IFERROR(INDEX(University_Exit!$G:$G,MATCH($B166,University_Exit!$B:$B,0)),"")</f>
        <v>وزارة الدفاع</v>
      </c>
      <c r="AJ166">
        <f>IFERROR(INDEX(Baseline_Entry!$N:$N,MATCH($B166,Baseline_Entry!$B:$B,0)),"")</f>
        <v>87</v>
      </c>
      <c r="AK166">
        <f>IFERROR(INDEX(Cognitive_Profile!$E:$E,MATCH($B166,Cognitive_Profile!$B:$B,0)),"")</f>
        <v>87</v>
      </c>
      <c r="AL166">
        <f t="shared" si="8"/>
        <v>0</v>
      </c>
      <c r="AM166">
        <f>IFERROR(INDEX(Participation_By_Student!$D:$D,MATCH($B166,Participation_By_Student!$B:$B,0)),"")</f>
        <v>2</v>
      </c>
      <c r="AN166">
        <f>IFERROR(INDEX(Participation_By_Student!$E:$E,MATCH($B166,Participation_By_Student!$B:$B,0)),"")</f>
        <v>3</v>
      </c>
      <c r="AO166">
        <f>IFERROR(INDEX(Participation_By_Student!$F:$F,MATCH($B166,Participation_By_Student!$B:$B,0)),"")</f>
        <v>0</v>
      </c>
      <c r="AP166">
        <f>IFERROR(INDEX(Participation_By_Student!$G:$G,MATCH($B166,Participation_By_Student!$B:$B,0)),"")</f>
        <v>3</v>
      </c>
    </row>
    <row r="167" spans="1:42" x14ac:dyDescent="0.3">
      <c r="A167" s="2" t="s">
        <v>298</v>
      </c>
      <c r="B167" s="2" t="s">
        <v>403</v>
      </c>
      <c r="C167" s="2" t="s">
        <v>404</v>
      </c>
      <c r="D167" s="2" t="s">
        <v>301</v>
      </c>
      <c r="E167" s="2" t="s">
        <v>302</v>
      </c>
      <c r="F167" s="5">
        <f>IFERROR(INDEX(Baseline_Entry!$P:$P,MATCH($B167,Baseline_Entry!$B:$B,0)),"")</f>
        <v>53.575586854460092</v>
      </c>
      <c r="G167" s="5" t="str">
        <f t="shared" si="7"/>
        <v>Yes</v>
      </c>
      <c r="H167" s="5">
        <v>92.44</v>
      </c>
      <c r="I167" s="5">
        <v>91.152000000000001</v>
      </c>
      <c r="J167" s="5">
        <v>-1.2879999999999969</v>
      </c>
      <c r="K167" s="5">
        <v>89.5</v>
      </c>
      <c r="L167" s="5">
        <v>90.13</v>
      </c>
      <c r="M167" s="5">
        <v>0.62999999999999545</v>
      </c>
      <c r="N167" s="5">
        <v>94.5</v>
      </c>
      <c r="O167" s="5">
        <v>91.13</v>
      </c>
      <c r="P167" s="5">
        <v>-3.370000000000005</v>
      </c>
      <c r="Q167" s="5">
        <v>89.5</v>
      </c>
      <c r="R167" s="5">
        <v>93</v>
      </c>
      <c r="S167" s="5">
        <v>3.5</v>
      </c>
      <c r="T167" s="5">
        <v>97.5</v>
      </c>
      <c r="U167" s="5">
        <v>91</v>
      </c>
      <c r="V167" s="5">
        <v>-6.5</v>
      </c>
      <c r="W167" s="5">
        <v>91.2</v>
      </c>
      <c r="X167" s="5">
        <v>90.5</v>
      </c>
      <c r="Y167" s="5">
        <v>-0.70000000000000284</v>
      </c>
      <c r="Z167" s="2" t="str">
        <f t="shared" si="9"/>
        <v>Middle starter</v>
      </c>
      <c r="AA167" s="2" t="s">
        <v>66</v>
      </c>
      <c r="AB167" s="2" t="s">
        <v>66</v>
      </c>
      <c r="AC167" s="2">
        <v>0</v>
      </c>
      <c r="AD167" s="2" t="str">
        <f>IFERROR(INDEX(University_Exit!$D:$D,MATCH($B167,University_Exit!$B:$B,0)),"")</f>
        <v>Royal College of Surgeons in Ireland</v>
      </c>
      <c r="AE167" s="2" t="str">
        <f>IFERROR(INDEX(University_Exit!$F:$F,MATCH($B167,University_Exit!$B:$B,0)),"")</f>
        <v>Medicine</v>
      </c>
      <c r="AF167" s="2" t="str">
        <f>IFERROR(INDEX(University_Exit!$L:$L,MATCH($B167,University_Exit!$B:$B,0)),"")</f>
        <v>Yes</v>
      </c>
      <c r="AG167" s="2">
        <f>IFERROR(INDEX(University_Exit!$H:$H,MATCH($B167,University_Exit!$B:$B,0)),"")</f>
        <v>91.13</v>
      </c>
      <c r="AH167" s="6">
        <f>IFERROR(INDEX(University_Exit!$K:$K,MATCH($B167,University_Exit!$B:$B,0)),"")</f>
        <v>970</v>
      </c>
      <c r="AI167" s="2" t="str">
        <f>IFERROR(INDEX(University_Exit!$G:$G,MATCH($B167,University_Exit!$B:$B,0)),"")</f>
        <v>وزارة الدفاع</v>
      </c>
      <c r="AJ167">
        <f>IFERROR(INDEX(Baseline_Entry!$N:$N,MATCH($B167,Baseline_Entry!$B:$B,0)),"")</f>
        <v>101</v>
      </c>
      <c r="AK167">
        <f>IFERROR(INDEX(Cognitive_Profile!$E:$E,MATCH($B167,Cognitive_Profile!$B:$B,0)),"")</f>
        <v>101</v>
      </c>
      <c r="AL167">
        <f t="shared" si="8"/>
        <v>0</v>
      </c>
      <c r="AM167">
        <f>IFERROR(INDEX(Participation_By_Student!$D:$D,MATCH($B167,Participation_By_Student!$B:$B,0)),"")</f>
        <v>2</v>
      </c>
      <c r="AN167">
        <f>IFERROR(INDEX(Participation_By_Student!$E:$E,MATCH($B167,Participation_By_Student!$B:$B,0)),"")</f>
        <v>2</v>
      </c>
      <c r="AO167">
        <f>IFERROR(INDEX(Participation_By_Student!$F:$F,MATCH($B167,Participation_By_Student!$B:$B,0)),"")</f>
        <v>1</v>
      </c>
      <c r="AP167">
        <f>IFERROR(INDEX(Participation_By_Student!$G:$G,MATCH($B167,Participation_By_Student!$B:$B,0)),"")</f>
        <v>3</v>
      </c>
    </row>
    <row r="168" spans="1:42" x14ac:dyDescent="0.3">
      <c r="A168" s="2" t="s">
        <v>298</v>
      </c>
      <c r="B168" s="2" t="s">
        <v>405</v>
      </c>
      <c r="C168" s="2" t="s">
        <v>406</v>
      </c>
      <c r="D168" s="2" t="s">
        <v>301</v>
      </c>
      <c r="E168" s="2" t="s">
        <v>302</v>
      </c>
      <c r="F168" s="5">
        <f>IFERROR(INDEX(Baseline_Entry!$P:$P,MATCH($B168,Baseline_Entry!$B:$B,0)),"")</f>
        <v>70.798122065727696</v>
      </c>
      <c r="G168" s="5" t="str">
        <f t="shared" si="7"/>
        <v>Yes</v>
      </c>
      <c r="H168" s="5">
        <v>87.551999999999992</v>
      </c>
      <c r="I168" s="5">
        <v>99.224000000000004</v>
      </c>
      <c r="J168" s="5">
        <v>11.672000000000009</v>
      </c>
      <c r="K168" s="5">
        <v>87.53</v>
      </c>
      <c r="L168" s="5">
        <v>96.56</v>
      </c>
      <c r="M168" s="5">
        <v>9.0300000000000011</v>
      </c>
      <c r="N168" s="5">
        <v>87.53</v>
      </c>
      <c r="O168" s="5">
        <v>99.56</v>
      </c>
      <c r="P168" s="5">
        <v>12.03</v>
      </c>
      <c r="Q168" s="5">
        <v>94</v>
      </c>
      <c r="R168" s="5">
        <v>100</v>
      </c>
      <c r="S168" s="5">
        <v>6</v>
      </c>
      <c r="T168" s="5">
        <v>87.5</v>
      </c>
      <c r="U168" s="5">
        <v>100</v>
      </c>
      <c r="V168" s="5">
        <v>12.5</v>
      </c>
      <c r="W168" s="5">
        <v>81.2</v>
      </c>
      <c r="X168" s="5">
        <v>100</v>
      </c>
      <c r="Y168" s="5">
        <v>18.8</v>
      </c>
      <c r="Z168" s="2" t="str">
        <f t="shared" si="9"/>
        <v>Middle starter</v>
      </c>
      <c r="AA168" s="2" t="s">
        <v>65</v>
      </c>
      <c r="AB168" s="2" t="s">
        <v>66</v>
      </c>
      <c r="AC168" s="2">
        <v>1</v>
      </c>
      <c r="AD168" s="2" t="str">
        <f>IFERROR(INDEX(University_Exit!$D:$D,MATCH($B168,University_Exit!$B:$B,0)),"")</f>
        <v>WEILL CORNELL MEDICINE</v>
      </c>
      <c r="AE168" s="2" t="str">
        <f>IFERROR(INDEX(University_Exit!$F:$F,MATCH($B168,University_Exit!$B:$B,0)),"")</f>
        <v>Medicine</v>
      </c>
      <c r="AF168" s="2" t="str">
        <f>IFERROR(INDEX(University_Exit!$L:$L,MATCH($B168,University_Exit!$B:$B,0)),"")</f>
        <v>Yes</v>
      </c>
      <c r="AG168" s="2">
        <f>IFERROR(INDEX(University_Exit!$H:$H,MATCH($B168,University_Exit!$B:$B,0)),"")</f>
        <v>99.56</v>
      </c>
      <c r="AH168" s="6">
        <f>IFERROR(INDEX(University_Exit!$K:$K,MATCH($B168,University_Exit!$B:$B,0)),"")</f>
        <v>1450</v>
      </c>
      <c r="AI168" s="2" t="str">
        <f>IFERROR(INDEX(University_Exit!$G:$G,MATCH($B168,University_Exit!$B:$B,0)),"")</f>
        <v>Ministry Of Education</v>
      </c>
      <c r="AJ168">
        <f>IFERROR(INDEX(Baseline_Entry!$N:$N,MATCH($B168,Baseline_Entry!$B:$B,0)),"")</f>
        <v>117</v>
      </c>
      <c r="AK168">
        <f>IFERROR(INDEX(Cognitive_Profile!$E:$E,MATCH($B168,Cognitive_Profile!$B:$B,0)),"")</f>
        <v>117</v>
      </c>
      <c r="AL168">
        <f t="shared" si="8"/>
        <v>0</v>
      </c>
      <c r="AM168">
        <f>IFERROR(INDEX(Participation_By_Student!$D:$D,MATCH($B168,Participation_By_Student!$B:$B,0)),"")</f>
        <v>4</v>
      </c>
      <c r="AN168">
        <f>IFERROR(INDEX(Participation_By_Student!$E:$E,MATCH($B168,Participation_By_Student!$B:$B,0)),"")</f>
        <v>8</v>
      </c>
      <c r="AO168">
        <f>IFERROR(INDEX(Participation_By_Student!$F:$F,MATCH($B168,Participation_By_Student!$B:$B,0)),"")</f>
        <v>3</v>
      </c>
      <c r="AP168">
        <f>IFERROR(INDEX(Participation_By_Student!$G:$G,MATCH($B168,Participation_By_Student!$B:$B,0)),"")</f>
        <v>8</v>
      </c>
    </row>
    <row r="169" spans="1:42" x14ac:dyDescent="0.3">
      <c r="A169" s="2" t="s">
        <v>298</v>
      </c>
      <c r="B169" s="2" t="s">
        <v>407</v>
      </c>
      <c r="C169" s="2" t="s">
        <v>408</v>
      </c>
      <c r="D169" s="2" t="s">
        <v>301</v>
      </c>
      <c r="E169" s="2" t="s">
        <v>302</v>
      </c>
      <c r="F169" s="5">
        <f>IFERROR(INDEX(Baseline_Entry!$P:$P,MATCH($B169,Baseline_Entry!$B:$B,0)),"")</f>
        <v>59.169953051643198</v>
      </c>
      <c r="G169" s="5" t="str">
        <f t="shared" si="7"/>
        <v>Yes</v>
      </c>
      <c r="H169" s="5">
        <v>83.823999999999998</v>
      </c>
      <c r="I169" s="5">
        <v>92.852000000000004</v>
      </c>
      <c r="J169" s="5">
        <v>9.0280000000000058</v>
      </c>
      <c r="K169" s="5">
        <v>81.760000000000005</v>
      </c>
      <c r="L169" s="5">
        <v>88.88</v>
      </c>
      <c r="M169" s="5">
        <v>7.1199999999999903</v>
      </c>
      <c r="N169" s="5">
        <v>85.76</v>
      </c>
      <c r="O169" s="5">
        <v>92.88</v>
      </c>
      <c r="P169" s="5">
        <v>7.1199999999999903</v>
      </c>
      <c r="Q169" s="5">
        <v>87</v>
      </c>
      <c r="R169" s="5">
        <v>97.5</v>
      </c>
      <c r="S169" s="5">
        <v>10.5</v>
      </c>
      <c r="T169" s="5">
        <v>87.5</v>
      </c>
      <c r="U169" s="5">
        <v>93.5</v>
      </c>
      <c r="V169" s="5">
        <v>6</v>
      </c>
      <c r="W169" s="5">
        <v>77.099999999999994</v>
      </c>
      <c r="X169" s="5">
        <v>91.5</v>
      </c>
      <c r="Y169" s="5">
        <v>14.400000000000009</v>
      </c>
      <c r="Z169" s="2" t="str">
        <f t="shared" si="9"/>
        <v>Low starter</v>
      </c>
      <c r="AA169" s="2" t="s">
        <v>65</v>
      </c>
      <c r="AB169" s="2" t="s">
        <v>66</v>
      </c>
      <c r="AC169" s="2">
        <v>1</v>
      </c>
      <c r="AD169" s="2" t="str">
        <f>IFERROR(INDEX(University_Exit!$D:$D,MATCH($B169,University_Exit!$B:$B,0)),"")</f>
        <v>Virginia Commonwealth University</v>
      </c>
      <c r="AE169" s="2" t="str">
        <f>IFERROR(INDEX(University_Exit!$F:$F,MATCH($B169,University_Exit!$B:$B,0)),"")</f>
        <v>Dentistry</v>
      </c>
      <c r="AF169" s="2" t="str">
        <f>IFERROR(INDEX(University_Exit!$L:$L,MATCH($B169,University_Exit!$B:$B,0)),"")</f>
        <v>No</v>
      </c>
      <c r="AG169" s="2">
        <f>IFERROR(INDEX(University_Exit!$H:$H,MATCH($B169,University_Exit!$B:$B,0)),"")</f>
        <v>92.88</v>
      </c>
      <c r="AH169" s="6">
        <f>IFERROR(INDEX(University_Exit!$K:$K,MATCH($B169,University_Exit!$B:$B,0)),"")</f>
        <v>1120</v>
      </c>
      <c r="AI169" s="2" t="str">
        <f>IFERROR(INDEX(University_Exit!$G:$G,MATCH($B169,University_Exit!$B:$B,0)),"")</f>
        <v>Ministry Of Education</v>
      </c>
      <c r="AJ169">
        <f>IFERROR(INDEX(Baseline_Entry!$N:$N,MATCH($B169,Baseline_Entry!$B:$B,0)),"")</f>
        <v>97</v>
      </c>
      <c r="AK169">
        <f>IFERROR(INDEX(Cognitive_Profile!$E:$E,MATCH($B169,Cognitive_Profile!$B:$B,0)),"")</f>
        <v>97</v>
      </c>
      <c r="AL169">
        <f t="shared" si="8"/>
        <v>0</v>
      </c>
      <c r="AM169">
        <f>IFERROR(INDEX(Participation_By_Student!$D:$D,MATCH($B169,Participation_By_Student!$B:$B,0)),"")</f>
        <v>2</v>
      </c>
      <c r="AN169">
        <f>IFERROR(INDEX(Participation_By_Student!$E:$E,MATCH($B169,Participation_By_Student!$B:$B,0)),"")</f>
        <v>4</v>
      </c>
      <c r="AO169">
        <f>IFERROR(INDEX(Participation_By_Student!$F:$F,MATCH($B169,Participation_By_Student!$B:$B,0)),"")</f>
        <v>1</v>
      </c>
      <c r="AP169">
        <f>IFERROR(INDEX(Participation_By_Student!$G:$G,MATCH($B169,Participation_By_Student!$B:$B,0)),"")</f>
        <v>4</v>
      </c>
    </row>
    <row r="170" spans="1:42" x14ac:dyDescent="0.3">
      <c r="A170" s="2" t="s">
        <v>298</v>
      </c>
      <c r="B170" s="2" t="s">
        <v>409</v>
      </c>
      <c r="C170" s="2" t="s">
        <v>410</v>
      </c>
      <c r="D170" s="2" t="s">
        <v>301</v>
      </c>
      <c r="E170" s="2" t="s">
        <v>302</v>
      </c>
      <c r="F170" s="5">
        <f>IFERROR(INDEX(Baseline_Entry!$P:$P,MATCH($B170,Baseline_Entry!$B:$B,0)),"")</f>
        <v>54.013145539906105</v>
      </c>
      <c r="G170" s="5" t="str">
        <f t="shared" si="7"/>
        <v>Yes</v>
      </c>
      <c r="H170" s="5">
        <v>84.912000000000006</v>
      </c>
      <c r="I170" s="5">
        <v>91.1</v>
      </c>
      <c r="J170" s="5">
        <v>6.1879999999999882</v>
      </c>
      <c r="K170" s="5">
        <v>84.03</v>
      </c>
      <c r="L170" s="5">
        <v>86</v>
      </c>
      <c r="M170" s="5">
        <v>1.9699999999999991</v>
      </c>
      <c r="N170" s="5">
        <v>87.03</v>
      </c>
      <c r="O170" s="5">
        <v>92</v>
      </c>
      <c r="P170" s="5">
        <v>4.9699999999999989</v>
      </c>
      <c r="Q170" s="5">
        <v>81.5</v>
      </c>
      <c r="R170" s="5">
        <v>93</v>
      </c>
      <c r="S170" s="5">
        <v>11.5</v>
      </c>
      <c r="T170" s="5">
        <v>94</v>
      </c>
      <c r="U170" s="5">
        <v>91.5</v>
      </c>
      <c r="V170" s="5">
        <v>-2.5</v>
      </c>
      <c r="W170" s="5">
        <v>78</v>
      </c>
      <c r="X170" s="5">
        <v>93</v>
      </c>
      <c r="Y170" s="5">
        <v>15</v>
      </c>
      <c r="Z170" s="2" t="str">
        <f t="shared" si="9"/>
        <v>Middle starter</v>
      </c>
      <c r="AA170" s="2" t="s">
        <v>65</v>
      </c>
      <c r="AB170" s="2" t="s">
        <v>66</v>
      </c>
      <c r="AC170" s="2">
        <v>1</v>
      </c>
      <c r="AD170" s="2" t="str">
        <f>IFERROR(INDEX(University_Exit!$D:$D,MATCH($B170,University_Exit!$B:$B,0)),"")</f>
        <v>Qatar University</v>
      </c>
      <c r="AE170" s="2" t="str">
        <f>IFERROR(INDEX(University_Exit!$F:$F,MATCH($B170,University_Exit!$B:$B,0)),"")</f>
        <v>Medicine</v>
      </c>
      <c r="AF170" s="2" t="str">
        <f>IFERROR(INDEX(University_Exit!$L:$L,MATCH($B170,University_Exit!$B:$B,0)),"")</f>
        <v>Yes</v>
      </c>
      <c r="AG170" s="2">
        <f>IFERROR(INDEX(University_Exit!$H:$H,MATCH($B170,University_Exit!$B:$B,0)),"")</f>
        <v>92</v>
      </c>
      <c r="AH170" s="6">
        <f>IFERROR(INDEX(University_Exit!$K:$K,MATCH($B170,University_Exit!$B:$B,0)),"")</f>
        <v>1040</v>
      </c>
      <c r="AI170" s="2" t="str">
        <f>IFERROR(INDEX(University_Exit!$G:$G,MATCH($B170,University_Exit!$B:$B,0)),"")</f>
        <v>Ministry Of Education</v>
      </c>
      <c r="AJ170">
        <f>IFERROR(INDEX(Baseline_Entry!$N:$N,MATCH($B170,Baseline_Entry!$B:$B,0)),"")</f>
        <v>104</v>
      </c>
      <c r="AK170">
        <f>IFERROR(INDEX(Cognitive_Profile!$E:$E,MATCH($B170,Cognitive_Profile!$B:$B,0)),"")</f>
        <v>104</v>
      </c>
      <c r="AL170">
        <f t="shared" si="8"/>
        <v>0</v>
      </c>
      <c r="AM170">
        <f>IFERROR(INDEX(Participation_By_Student!$D:$D,MATCH($B170,Participation_By_Student!$B:$B,0)),"")</f>
        <v>2</v>
      </c>
      <c r="AN170">
        <f>IFERROR(INDEX(Participation_By_Student!$E:$E,MATCH($B170,Participation_By_Student!$B:$B,0)),"")</f>
        <v>2</v>
      </c>
      <c r="AO170">
        <f>IFERROR(INDEX(Participation_By_Student!$F:$F,MATCH($B170,Participation_By_Student!$B:$B,0)),"")</f>
        <v>1</v>
      </c>
      <c r="AP170">
        <f>IFERROR(INDEX(Participation_By_Student!$G:$G,MATCH($B170,Participation_By_Student!$B:$B,0)),"")</f>
        <v>2</v>
      </c>
    </row>
    <row r="171" spans="1:42" x14ac:dyDescent="0.3">
      <c r="A171" s="2" t="s">
        <v>298</v>
      </c>
      <c r="B171" s="2" t="s">
        <v>411</v>
      </c>
      <c r="C171" s="2" t="s">
        <v>412</v>
      </c>
      <c r="D171" s="2" t="s">
        <v>301</v>
      </c>
      <c r="E171" s="2" t="s">
        <v>302</v>
      </c>
      <c r="F171" s="5">
        <f>IFERROR(INDEX(Baseline_Entry!$P:$P,MATCH($B171,Baseline_Entry!$B:$B,0)),"")</f>
        <v>56.465727699530511</v>
      </c>
      <c r="G171" s="5" t="str">
        <f t="shared" si="7"/>
        <v>Yes</v>
      </c>
      <c r="H171" s="5">
        <v>85.155999999999992</v>
      </c>
      <c r="I171" s="5">
        <v>88.376000000000005</v>
      </c>
      <c r="J171" s="5">
        <v>3.2200000000000131</v>
      </c>
      <c r="K171" s="5">
        <v>80.34</v>
      </c>
      <c r="L171" s="5">
        <v>85.44</v>
      </c>
      <c r="M171" s="5">
        <v>5.0999999999999943</v>
      </c>
      <c r="N171" s="5">
        <v>86.34</v>
      </c>
      <c r="O171" s="5">
        <v>89.44</v>
      </c>
      <c r="P171" s="5">
        <v>3.0999999999999939</v>
      </c>
      <c r="Q171" s="5">
        <v>90.5</v>
      </c>
      <c r="R171" s="5">
        <v>93.5</v>
      </c>
      <c r="S171" s="5">
        <v>3</v>
      </c>
      <c r="T171" s="5">
        <v>88.5</v>
      </c>
      <c r="U171" s="5">
        <v>85.5</v>
      </c>
      <c r="V171" s="5">
        <v>-3</v>
      </c>
      <c r="W171" s="5">
        <v>80.099999999999994</v>
      </c>
      <c r="X171" s="5">
        <v>88</v>
      </c>
      <c r="Y171" s="5">
        <v>7.9000000000000057</v>
      </c>
      <c r="Z171" s="2" t="str">
        <f t="shared" si="9"/>
        <v>High starter</v>
      </c>
      <c r="AA171" s="2" t="s">
        <v>65</v>
      </c>
      <c r="AB171" s="2" t="s">
        <v>65</v>
      </c>
      <c r="AC171" s="2">
        <v>0</v>
      </c>
      <c r="AD171" s="2" t="str">
        <f>IFERROR(INDEX(University_Exit!$D:$D,MATCH($B171,University_Exit!$B:$B,0)),"")</f>
        <v>PennState University</v>
      </c>
      <c r="AE171" s="2" t="str">
        <f>IFERROR(INDEX(University_Exit!$F:$F,MATCH($B171,University_Exit!$B:$B,0)),"")</f>
        <v>Electrical Engineering</v>
      </c>
      <c r="AF171" s="2" t="str">
        <f>IFERROR(INDEX(University_Exit!$L:$L,MATCH($B171,University_Exit!$B:$B,0)),"")</f>
        <v>Yes</v>
      </c>
      <c r="AG171" s="2">
        <f>IFERROR(INDEX(University_Exit!$H:$H,MATCH($B171,University_Exit!$B:$B,0)),"")</f>
        <v>89.44</v>
      </c>
      <c r="AH171" s="6">
        <f>IFERROR(INDEX(University_Exit!$K:$K,MATCH($B171,University_Exit!$B:$B,0)),"")</f>
        <v>1130</v>
      </c>
      <c r="AI171" s="2" t="str">
        <f>IFERROR(INDEX(University_Exit!$G:$G,MATCH($B171,University_Exit!$B:$B,0)),"")</f>
        <v>Qatar Energy</v>
      </c>
      <c r="AJ171">
        <f>IFERROR(INDEX(Baseline_Entry!$N:$N,MATCH($B171,Baseline_Entry!$B:$B,0)),"")</f>
        <v>94</v>
      </c>
      <c r="AK171">
        <f>IFERROR(INDEX(Cognitive_Profile!$E:$E,MATCH($B171,Cognitive_Profile!$B:$B,0)),"")</f>
        <v>94</v>
      </c>
      <c r="AL171">
        <f t="shared" si="8"/>
        <v>0</v>
      </c>
      <c r="AM171">
        <f>IFERROR(INDEX(Participation_By_Student!$D:$D,MATCH($B171,Participation_By_Student!$B:$B,0)),"")</f>
        <v>3</v>
      </c>
      <c r="AN171">
        <f>IFERROR(INDEX(Participation_By_Student!$E:$E,MATCH($B171,Participation_By_Student!$B:$B,0)),"")</f>
        <v>7</v>
      </c>
      <c r="AO171">
        <f>IFERROR(INDEX(Participation_By_Student!$F:$F,MATCH($B171,Participation_By_Student!$B:$B,0)),"")</f>
        <v>4</v>
      </c>
      <c r="AP171">
        <f>IFERROR(INDEX(Participation_By_Student!$G:$G,MATCH($B171,Participation_By_Student!$B:$B,0)),"")</f>
        <v>7</v>
      </c>
    </row>
    <row r="172" spans="1:42" x14ac:dyDescent="0.3">
      <c r="A172" s="2" t="s">
        <v>298</v>
      </c>
      <c r="B172" s="2" t="s">
        <v>413</v>
      </c>
      <c r="C172" s="2" t="s">
        <v>414</v>
      </c>
      <c r="D172" s="2" t="s">
        <v>301</v>
      </c>
      <c r="E172" s="2" t="s">
        <v>302</v>
      </c>
      <c r="F172" s="5">
        <f>IFERROR(INDEX(Baseline_Entry!$P:$P,MATCH($B172,Baseline_Entry!$B:$B,0)),"")</f>
        <v>50.999061032863857</v>
      </c>
      <c r="G172" s="5" t="str">
        <f t="shared" si="7"/>
        <v>Yes</v>
      </c>
      <c r="H172" s="5">
        <v>82.56</v>
      </c>
      <c r="I172" s="5">
        <v>95.6</v>
      </c>
      <c r="J172" s="5">
        <v>13.03999999999999</v>
      </c>
      <c r="K172" s="5">
        <v>80.150000000000006</v>
      </c>
      <c r="L172" s="5">
        <v>93.5</v>
      </c>
      <c r="M172" s="5">
        <v>13.349999999999991</v>
      </c>
      <c r="N172" s="5">
        <v>86.15</v>
      </c>
      <c r="O172" s="5">
        <v>95.5</v>
      </c>
      <c r="P172" s="5">
        <v>9.3499999999999943</v>
      </c>
      <c r="Q172" s="5">
        <v>83.5</v>
      </c>
      <c r="R172" s="5">
        <v>93.5</v>
      </c>
      <c r="S172" s="5">
        <v>10</v>
      </c>
      <c r="T172" s="5">
        <v>85.5</v>
      </c>
      <c r="U172" s="5">
        <v>99</v>
      </c>
      <c r="V172" s="5">
        <v>13.5</v>
      </c>
      <c r="W172" s="5">
        <v>77.5</v>
      </c>
      <c r="X172" s="5">
        <v>96.5</v>
      </c>
      <c r="Y172" s="5">
        <v>19</v>
      </c>
      <c r="Z172" s="2" t="str">
        <f t="shared" si="9"/>
        <v>Middle starter</v>
      </c>
      <c r="AA172" s="2" t="s">
        <v>65</v>
      </c>
      <c r="AB172" s="2" t="s">
        <v>66</v>
      </c>
      <c r="AC172" s="2">
        <v>1</v>
      </c>
      <c r="AD172" s="2" t="str">
        <f>IFERROR(INDEX(University_Exit!$D:$D,MATCH($B172,University_Exit!$B:$B,0)),"")</f>
        <v>Qatar Univeristy</v>
      </c>
      <c r="AE172" s="2" t="str">
        <f>IFERROR(INDEX(University_Exit!$F:$F,MATCH($B172,University_Exit!$B:$B,0)),"")</f>
        <v>Medicine</v>
      </c>
      <c r="AF172" s="2" t="str">
        <f>IFERROR(INDEX(University_Exit!$L:$L,MATCH($B172,University_Exit!$B:$B,0)),"")</f>
        <v>Yes</v>
      </c>
      <c r="AG172" s="2">
        <f>IFERROR(INDEX(University_Exit!$H:$H,MATCH($B172,University_Exit!$B:$B,0)),"")</f>
        <v>95.5</v>
      </c>
      <c r="AH172" s="6">
        <f>IFERROR(INDEX(University_Exit!$K:$K,MATCH($B172,University_Exit!$B:$B,0)),"")</f>
        <v>950</v>
      </c>
      <c r="AI172" s="2" t="str">
        <f>IFERROR(INDEX(University_Exit!$G:$G,MATCH($B172,University_Exit!$B:$B,0)),"")</f>
        <v>Ministry Of Education</v>
      </c>
      <c r="AJ172">
        <f>IFERROR(INDEX(Baseline_Entry!$N:$N,MATCH($B172,Baseline_Entry!$B:$B,0)),"")</f>
        <v>94</v>
      </c>
      <c r="AK172">
        <f>IFERROR(INDEX(Cognitive_Profile!$E:$E,MATCH($B172,Cognitive_Profile!$B:$B,0)),"")</f>
        <v>94</v>
      </c>
      <c r="AL172">
        <f t="shared" si="8"/>
        <v>0</v>
      </c>
      <c r="AM172">
        <f>IFERROR(INDEX(Participation_By_Student!$D:$D,MATCH($B172,Participation_By_Student!$B:$B,0)),"")</f>
        <v>2</v>
      </c>
      <c r="AN172">
        <f>IFERROR(INDEX(Participation_By_Student!$E:$E,MATCH($B172,Participation_By_Student!$B:$B,0)),"")</f>
        <v>3</v>
      </c>
      <c r="AO172">
        <f>IFERROR(INDEX(Participation_By_Student!$F:$F,MATCH($B172,Participation_By_Student!$B:$B,0)),"")</f>
        <v>0</v>
      </c>
      <c r="AP172">
        <f>IFERROR(INDEX(Participation_By_Student!$G:$G,MATCH($B172,Participation_By_Student!$B:$B,0)),"")</f>
        <v>3</v>
      </c>
    </row>
    <row r="173" spans="1:42" x14ac:dyDescent="0.3">
      <c r="A173" s="2" t="s">
        <v>298</v>
      </c>
      <c r="B173" s="2" t="s">
        <v>415</v>
      </c>
      <c r="C173" s="2" t="s">
        <v>416</v>
      </c>
      <c r="D173" s="2" t="s">
        <v>301</v>
      </c>
      <c r="E173" s="2" t="s">
        <v>302</v>
      </c>
      <c r="F173" s="5">
        <f>IFERROR(INDEX(Baseline_Entry!$P:$P,MATCH($B173,Baseline_Entry!$B:$B,0)),"")</f>
        <v>64.210328638497643</v>
      </c>
      <c r="G173" s="5" t="str">
        <f t="shared" si="7"/>
        <v>Yes</v>
      </c>
      <c r="H173" s="5">
        <v>91.647999999999996</v>
      </c>
      <c r="I173" s="5">
        <v>97.024000000000001</v>
      </c>
      <c r="J173" s="5">
        <v>5.3760000000000048</v>
      </c>
      <c r="K173" s="5">
        <v>89.07</v>
      </c>
      <c r="L173" s="5">
        <v>94.06</v>
      </c>
      <c r="M173" s="5">
        <v>4.9900000000000091</v>
      </c>
      <c r="N173" s="5">
        <v>93.07</v>
      </c>
      <c r="O173" s="5">
        <v>97.06</v>
      </c>
      <c r="P173" s="5">
        <v>3.9900000000000091</v>
      </c>
      <c r="Q173" s="5">
        <v>90.5</v>
      </c>
      <c r="R173" s="5">
        <v>99</v>
      </c>
      <c r="S173" s="5">
        <v>8.5</v>
      </c>
      <c r="T173" s="5">
        <v>98</v>
      </c>
      <c r="U173" s="5">
        <v>97.5</v>
      </c>
      <c r="V173" s="5">
        <v>-0.5</v>
      </c>
      <c r="W173" s="5">
        <v>87.6</v>
      </c>
      <c r="X173" s="5">
        <v>97.5</v>
      </c>
      <c r="Y173" s="5">
        <v>9.9000000000000057</v>
      </c>
      <c r="Z173" s="2" t="str">
        <f t="shared" si="9"/>
        <v>High starter</v>
      </c>
      <c r="AA173" s="2" t="s">
        <v>66</v>
      </c>
      <c r="AB173" s="2" t="s">
        <v>66</v>
      </c>
      <c r="AC173" s="2">
        <v>0</v>
      </c>
      <c r="AD173" s="2" t="str">
        <f>IFERROR(INDEX(University_Exit!$D:$D,MATCH($B173,University_Exit!$B:$B,0)),"")</f>
        <v>WEILL CORNELL MEDICINE</v>
      </c>
      <c r="AE173" s="2" t="str">
        <f>IFERROR(INDEX(University_Exit!$F:$F,MATCH($B173,University_Exit!$B:$B,0)),"")</f>
        <v>Medicine</v>
      </c>
      <c r="AF173" s="2" t="str">
        <f>IFERROR(INDEX(University_Exit!$L:$L,MATCH($B173,University_Exit!$B:$B,0)),"")</f>
        <v>Yes</v>
      </c>
      <c r="AG173" s="2">
        <f>IFERROR(INDEX(University_Exit!$H:$H,MATCH($B173,University_Exit!$B:$B,0)),"")</f>
        <v>97</v>
      </c>
      <c r="AH173" s="6">
        <f>IFERROR(INDEX(University_Exit!$K:$K,MATCH($B173,University_Exit!$B:$B,0)),"")</f>
        <v>1160</v>
      </c>
      <c r="AI173" s="2" t="str">
        <f>IFERROR(INDEX(University_Exit!$G:$G,MATCH($B173,University_Exit!$B:$B,0)),"")</f>
        <v>Ministry Of Education</v>
      </c>
      <c r="AJ173">
        <f>IFERROR(INDEX(Baseline_Entry!$N:$N,MATCH($B173,Baseline_Entry!$B:$B,0)),"")</f>
        <v>102</v>
      </c>
      <c r="AK173">
        <f>IFERROR(INDEX(Cognitive_Profile!$E:$E,MATCH($B173,Cognitive_Profile!$B:$B,0)),"")</f>
        <v>102</v>
      </c>
      <c r="AL173">
        <f t="shared" si="8"/>
        <v>0</v>
      </c>
      <c r="AM173">
        <f>IFERROR(INDEX(Participation_By_Student!$D:$D,MATCH($B173,Participation_By_Student!$B:$B,0)),"")</f>
        <v>4</v>
      </c>
      <c r="AN173">
        <f>IFERROR(INDEX(Participation_By_Student!$E:$E,MATCH($B173,Participation_By_Student!$B:$B,0)),"")</f>
        <v>5</v>
      </c>
      <c r="AO173">
        <f>IFERROR(INDEX(Participation_By_Student!$F:$F,MATCH($B173,Participation_By_Student!$B:$B,0)),"")</f>
        <v>1</v>
      </c>
      <c r="AP173">
        <f>IFERROR(INDEX(Participation_By_Student!$G:$G,MATCH($B173,Participation_By_Student!$B:$B,0)),"")</f>
        <v>6</v>
      </c>
    </row>
    <row r="174" spans="1:42" x14ac:dyDescent="0.3">
      <c r="A174" s="2" t="s">
        <v>298</v>
      </c>
      <c r="B174" s="2" t="s">
        <v>417</v>
      </c>
      <c r="C174" s="2" t="s">
        <v>418</v>
      </c>
      <c r="D174" s="2" t="s">
        <v>301</v>
      </c>
      <c r="E174" s="2" t="s">
        <v>302</v>
      </c>
      <c r="F174" s="5">
        <f>IFERROR(INDEX(Baseline_Entry!$P:$P,MATCH($B174,Baseline_Entry!$B:$B,0)),"")</f>
        <v>60.013145539906105</v>
      </c>
      <c r="G174" s="5" t="str">
        <f t="shared" si="7"/>
        <v>Yes</v>
      </c>
      <c r="H174" s="5">
        <v>83.572000000000003</v>
      </c>
      <c r="I174" s="5">
        <v>90.323999999999998</v>
      </c>
      <c r="J174" s="5">
        <v>6.7519999999999953</v>
      </c>
      <c r="K174" s="5">
        <v>83.38</v>
      </c>
      <c r="L174" s="5">
        <v>83.06</v>
      </c>
      <c r="M174" s="5">
        <v>-0.31999999999999318</v>
      </c>
      <c r="N174" s="5">
        <v>83.38</v>
      </c>
      <c r="O174" s="5">
        <v>89.06</v>
      </c>
      <c r="P174" s="5">
        <v>5.6800000000000068</v>
      </c>
      <c r="Q174" s="5">
        <v>86.5</v>
      </c>
      <c r="R174" s="5">
        <v>93.5</v>
      </c>
      <c r="S174" s="5">
        <v>7</v>
      </c>
      <c r="T174" s="5">
        <v>85.5</v>
      </c>
      <c r="U174" s="5">
        <v>91.5</v>
      </c>
      <c r="V174" s="5">
        <v>6</v>
      </c>
      <c r="W174" s="5">
        <v>79.099999999999994</v>
      </c>
      <c r="X174" s="5">
        <v>94.5</v>
      </c>
      <c r="Y174" s="5">
        <v>15.400000000000009</v>
      </c>
      <c r="Z174" s="2" t="str">
        <f t="shared" si="9"/>
        <v>Middle starter</v>
      </c>
      <c r="AA174" s="2" t="s">
        <v>65</v>
      </c>
      <c r="AB174" s="2" t="s">
        <v>66</v>
      </c>
      <c r="AC174" s="2">
        <v>1</v>
      </c>
      <c r="AD174" s="2" t="str">
        <f>IFERROR(INDEX(University_Exit!$D:$D,MATCH($B174,University_Exit!$B:$B,0)),"")</f>
        <v>Royal College of Surgeons in Ireland</v>
      </c>
      <c r="AE174" s="2" t="str">
        <f>IFERROR(INDEX(University_Exit!$F:$F,MATCH($B174,University_Exit!$B:$B,0)),"")</f>
        <v>Medicine</v>
      </c>
      <c r="AF174" s="2" t="str">
        <f>IFERROR(INDEX(University_Exit!$L:$L,MATCH($B174,University_Exit!$B:$B,0)),"")</f>
        <v>Yes</v>
      </c>
      <c r="AG174" s="2">
        <f>IFERROR(INDEX(University_Exit!$H:$H,MATCH($B174,University_Exit!$B:$B,0)),"")</f>
        <v>89</v>
      </c>
      <c r="AH174" s="6">
        <f>IFERROR(INDEX(University_Exit!$K:$K,MATCH($B174,University_Exit!$B:$B,0)),"")</f>
        <v>1110</v>
      </c>
      <c r="AI174" s="2" t="str">
        <f>IFERROR(INDEX(University_Exit!$G:$G,MATCH($B174,University_Exit!$B:$B,0)),"")</f>
        <v>وزارة الدفاع</v>
      </c>
      <c r="AJ174">
        <f>IFERROR(INDEX(Baseline_Entry!$N:$N,MATCH($B174,Baseline_Entry!$B:$B,0)),"")</f>
        <v>104</v>
      </c>
      <c r="AK174">
        <f>IFERROR(INDEX(Cognitive_Profile!$E:$E,MATCH($B174,Cognitive_Profile!$B:$B,0)),"")</f>
        <v>104</v>
      </c>
      <c r="AL174">
        <f t="shared" si="8"/>
        <v>0</v>
      </c>
      <c r="AM174">
        <f>IFERROR(INDEX(Participation_By_Student!$D:$D,MATCH($B174,Participation_By_Student!$B:$B,0)),"")</f>
        <v>2</v>
      </c>
      <c r="AN174">
        <f>IFERROR(INDEX(Participation_By_Student!$E:$E,MATCH($B174,Participation_By_Student!$B:$B,0)),"")</f>
        <v>2</v>
      </c>
      <c r="AO174">
        <f>IFERROR(INDEX(Participation_By_Student!$F:$F,MATCH($B174,Participation_By_Student!$B:$B,0)),"")</f>
        <v>1</v>
      </c>
      <c r="AP174">
        <f>IFERROR(INDEX(Participation_By_Student!$G:$G,MATCH($B174,Participation_By_Student!$B:$B,0)),"")</f>
        <v>2</v>
      </c>
    </row>
    <row r="175" spans="1:42" x14ac:dyDescent="0.3">
      <c r="A175" s="2" t="s">
        <v>419</v>
      </c>
      <c r="B175" s="2" t="s">
        <v>420</v>
      </c>
      <c r="C175" s="2" t="s">
        <v>421</v>
      </c>
      <c r="D175" s="2" t="s">
        <v>64</v>
      </c>
      <c r="E175" s="2" t="s">
        <v>422</v>
      </c>
      <c r="F175" s="5">
        <f>IFERROR(INDEX(Baseline_Entry!$P:$P,MATCH($B175,Baseline_Entry!$B:$B,0)),"")</f>
        <v>55.633802816901408</v>
      </c>
      <c r="G175" s="5" t="str">
        <f t="shared" si="7"/>
        <v>Yes</v>
      </c>
      <c r="H175" s="5">
        <v>84.4</v>
      </c>
      <c r="I175" s="5">
        <v>89.6</v>
      </c>
      <c r="J175" s="5">
        <v>5.1999999999999886</v>
      </c>
      <c r="K175" s="5">
        <v>84.5</v>
      </c>
      <c r="L175" s="5">
        <v>87.75</v>
      </c>
      <c r="M175" s="5">
        <v>3.25</v>
      </c>
      <c r="N175" s="5">
        <v>85.5</v>
      </c>
      <c r="O175" s="5">
        <v>89.75</v>
      </c>
      <c r="P175" s="5">
        <v>4.25</v>
      </c>
      <c r="Q175" s="5">
        <v>88.5</v>
      </c>
      <c r="R175" s="5">
        <v>90.5</v>
      </c>
      <c r="S175" s="5">
        <v>2</v>
      </c>
      <c r="T175" s="5">
        <v>85</v>
      </c>
      <c r="U175" s="5">
        <v>91.5</v>
      </c>
      <c r="V175" s="5">
        <v>6.5</v>
      </c>
      <c r="W175" s="5">
        <v>78.5</v>
      </c>
      <c r="X175" s="5">
        <v>88.5</v>
      </c>
      <c r="Y175" s="5">
        <v>10</v>
      </c>
      <c r="Z175" s="2" t="str">
        <f t="shared" si="9"/>
        <v>Low starter</v>
      </c>
      <c r="AA175" s="2" t="s">
        <v>65</v>
      </c>
      <c r="AB175" s="2" t="s">
        <v>65</v>
      </c>
      <c r="AC175" s="2">
        <v>0</v>
      </c>
      <c r="AD175" s="2" t="str">
        <f>IFERROR(INDEX(University_Exit!$D:$D,MATCH($B175,University_Exit!$B:$B,0)),"")</f>
        <v>University of Nottingham</v>
      </c>
      <c r="AE175" s="2" t="str">
        <f>IFERROR(INDEX(University_Exit!$F:$F,MATCH($B175,University_Exit!$B:$B,0)),"")</f>
        <v>Electrical Engineering</v>
      </c>
      <c r="AF175" s="2" t="str">
        <f>IFERROR(INDEX(University_Exit!$L:$L,MATCH($B175,University_Exit!$B:$B,0)),"")</f>
        <v>Yes</v>
      </c>
      <c r="AG175" s="2">
        <f>IFERROR(INDEX(University_Exit!$H:$H,MATCH($B175,University_Exit!$B:$B,0)),"")</f>
        <v>89.75</v>
      </c>
      <c r="AH175" s="6">
        <f>IFERROR(INDEX(University_Exit!$K:$K,MATCH($B175,University_Exit!$B:$B,0)),"")</f>
        <v>0</v>
      </c>
      <c r="AI175" s="2">
        <f>IFERROR(INDEX(University_Exit!$G:$G,MATCH($B175,University_Exit!$B:$B,0)),"")</f>
        <v>0</v>
      </c>
      <c r="AJ175">
        <f>IFERROR(INDEX(Baseline_Entry!$N:$N,MATCH($B175,Baseline_Entry!$B:$B,0)),"")</f>
        <v>95</v>
      </c>
      <c r="AK175">
        <f>IFERROR(INDEX(Cognitive_Profile!$E:$E,MATCH($B175,Cognitive_Profile!$B:$B,0)),"")</f>
        <v>95</v>
      </c>
      <c r="AL175">
        <f t="shared" si="8"/>
        <v>0</v>
      </c>
      <c r="AM175">
        <f>IFERROR(INDEX(Participation_By_Student!$D:$D,MATCH($B175,Participation_By_Student!$B:$B,0)),"")</f>
        <v>2</v>
      </c>
      <c r="AN175">
        <f>IFERROR(INDEX(Participation_By_Student!$E:$E,MATCH($B175,Participation_By_Student!$B:$B,0)),"")</f>
        <v>2</v>
      </c>
      <c r="AO175">
        <f>IFERROR(INDEX(Participation_By_Student!$F:$F,MATCH($B175,Participation_By_Student!$B:$B,0)),"")</f>
        <v>1</v>
      </c>
      <c r="AP175">
        <f>IFERROR(INDEX(Participation_By_Student!$G:$G,MATCH($B175,Participation_By_Student!$B:$B,0)),"")</f>
        <v>2</v>
      </c>
    </row>
    <row r="176" spans="1:42" x14ac:dyDescent="0.3">
      <c r="A176" s="2" t="s">
        <v>419</v>
      </c>
      <c r="B176" s="2" t="s">
        <v>423</v>
      </c>
      <c r="C176" s="2" t="s">
        <v>424</v>
      </c>
      <c r="D176" s="2" t="s">
        <v>64</v>
      </c>
      <c r="E176" s="2" t="s">
        <v>422</v>
      </c>
      <c r="F176" s="5">
        <f>IFERROR(INDEX(Baseline_Entry!$P:$P,MATCH($B176,Baseline_Entry!$B:$B,0)),"")</f>
        <v>60.876995305164314</v>
      </c>
      <c r="G176" s="5" t="str">
        <f t="shared" si="7"/>
        <v>Yes</v>
      </c>
      <c r="H176" s="5">
        <v>76.323999999999998</v>
      </c>
      <c r="I176" s="5">
        <v>80.676000000000002</v>
      </c>
      <c r="J176" s="5">
        <v>4.3520000000000039</v>
      </c>
      <c r="K176" s="5">
        <v>78.61</v>
      </c>
      <c r="L176" s="5">
        <v>78.19</v>
      </c>
      <c r="M176" s="5">
        <v>-0.42000000000000171</v>
      </c>
      <c r="N176" s="5">
        <v>79.61</v>
      </c>
      <c r="O176" s="5">
        <v>82.19</v>
      </c>
      <c r="P176" s="5">
        <v>2.5799999999999979</v>
      </c>
      <c r="Q176" s="5">
        <v>81.5</v>
      </c>
      <c r="R176" s="5">
        <v>84.5</v>
      </c>
      <c r="S176" s="5">
        <v>3</v>
      </c>
      <c r="T176" s="5">
        <v>71.5</v>
      </c>
      <c r="U176" s="5">
        <v>78</v>
      </c>
      <c r="V176" s="5">
        <v>6.5</v>
      </c>
      <c r="W176" s="5">
        <v>70.400000000000006</v>
      </c>
      <c r="X176" s="5">
        <v>80.5</v>
      </c>
      <c r="Y176" s="5">
        <v>10.099999999999991</v>
      </c>
      <c r="Z176" s="2" t="str">
        <f t="shared" si="9"/>
        <v>Low starter</v>
      </c>
      <c r="AA176" s="2" t="s">
        <v>99</v>
      </c>
      <c r="AB176" s="2" t="s">
        <v>65</v>
      </c>
      <c r="AC176" s="2">
        <v>1</v>
      </c>
      <c r="AD176" s="2" t="str">
        <f>IFERROR(INDEX(University_Exit!$D:$D,MATCH($B176,University_Exit!$B:$B,0)),"")</f>
        <v>الكلية العسكرية</v>
      </c>
      <c r="AE176" s="2" t="str">
        <f>IFERROR(INDEX(University_Exit!$F:$F,MATCH($B176,University_Exit!$B:$B,0)),"")</f>
        <v>مرشح ظابط</v>
      </c>
      <c r="AF176" s="2" t="str">
        <f>IFERROR(INDEX(University_Exit!$L:$L,MATCH($B176,University_Exit!$B:$B,0)),"")</f>
        <v>No</v>
      </c>
      <c r="AG176" s="2">
        <f>IFERROR(INDEX(University_Exit!$H:$H,MATCH($B176,University_Exit!$B:$B,0)),"")</f>
        <v>82.19</v>
      </c>
      <c r="AH176" s="6">
        <f>IFERROR(INDEX(University_Exit!$K:$K,MATCH($B176,University_Exit!$B:$B,0)),"")</f>
        <v>800</v>
      </c>
      <c r="AI176" s="2">
        <f>IFERROR(INDEX(University_Exit!$G:$G,MATCH($B176,University_Exit!$B:$B,0)),"")</f>
        <v>0</v>
      </c>
      <c r="AJ176">
        <f>IFERROR(INDEX(Baseline_Entry!$N:$N,MATCH($B176,Baseline_Entry!$B:$B,0)),"")</f>
        <v>102</v>
      </c>
      <c r="AK176">
        <f>IFERROR(INDEX(Cognitive_Profile!$E:$E,MATCH($B176,Cognitive_Profile!$B:$B,0)),"")</f>
        <v>102</v>
      </c>
      <c r="AL176">
        <f t="shared" si="8"/>
        <v>0</v>
      </c>
      <c r="AM176">
        <f>IFERROR(INDEX(Participation_By_Student!$D:$D,MATCH($B176,Participation_By_Student!$B:$B,0)),"")</f>
        <v>4</v>
      </c>
      <c r="AN176">
        <f>IFERROR(INDEX(Participation_By_Student!$E:$E,MATCH($B176,Participation_By_Student!$B:$B,0)),"")</f>
        <v>5</v>
      </c>
      <c r="AO176">
        <f>IFERROR(INDEX(Participation_By_Student!$F:$F,MATCH($B176,Participation_By_Student!$B:$B,0)),"")</f>
        <v>0</v>
      </c>
      <c r="AP176">
        <f>IFERROR(INDEX(Participation_By_Student!$G:$G,MATCH($B176,Participation_By_Student!$B:$B,0)),"")</f>
        <v>5</v>
      </c>
    </row>
    <row r="177" spans="1:42" x14ac:dyDescent="0.3">
      <c r="A177" s="2" t="s">
        <v>419</v>
      </c>
      <c r="B177" s="2" t="s">
        <v>425</v>
      </c>
      <c r="C177" s="2" t="s">
        <v>426</v>
      </c>
      <c r="D177" s="2" t="s">
        <v>64</v>
      </c>
      <c r="E177" s="2" t="s">
        <v>422</v>
      </c>
      <c r="F177" s="5">
        <f>IFERROR(INDEX(Baseline_Entry!$P:$P,MATCH($B177,Baseline_Entry!$B:$B,0)),"")</f>
        <v>66.061971830985911</v>
      </c>
      <c r="G177" s="5" t="str">
        <f t="shared" si="7"/>
        <v>Yes</v>
      </c>
      <c r="H177" s="5">
        <v>90.711999999999989</v>
      </c>
      <c r="I177" s="5">
        <v>95.575999999999993</v>
      </c>
      <c r="J177" s="5">
        <v>4.8640000000000043</v>
      </c>
      <c r="K177" s="5">
        <v>91.08</v>
      </c>
      <c r="L177" s="5">
        <v>93.94</v>
      </c>
      <c r="M177" s="5">
        <v>2.859999999999999</v>
      </c>
      <c r="N177" s="5">
        <v>92.08</v>
      </c>
      <c r="O177" s="5">
        <v>95.94</v>
      </c>
      <c r="P177" s="5">
        <v>3.859999999999999</v>
      </c>
      <c r="Q177" s="5">
        <v>86</v>
      </c>
      <c r="R177" s="5">
        <v>94</v>
      </c>
      <c r="S177" s="5">
        <v>8</v>
      </c>
      <c r="T177" s="5">
        <v>94.5</v>
      </c>
      <c r="U177" s="5">
        <v>98.5</v>
      </c>
      <c r="V177" s="5">
        <v>4</v>
      </c>
      <c r="W177" s="5">
        <v>89.9</v>
      </c>
      <c r="X177" s="5">
        <v>95.5</v>
      </c>
      <c r="Y177" s="5">
        <v>5.5999999999999943</v>
      </c>
      <c r="Z177" s="2" t="str">
        <f t="shared" si="9"/>
        <v>Low starter</v>
      </c>
      <c r="AA177" s="2" t="s">
        <v>66</v>
      </c>
      <c r="AB177" s="2" t="s">
        <v>66</v>
      </c>
      <c r="AC177" s="2">
        <v>0</v>
      </c>
      <c r="AD177" s="2" t="str">
        <f>IFERROR(INDEX(University_Exit!$D:$D,MATCH($B177,University_Exit!$B:$B,0)),"")</f>
        <v>Qatar University</v>
      </c>
      <c r="AE177" s="2" t="str">
        <f>IFERROR(INDEX(University_Exit!$F:$F,MATCH($B177,University_Exit!$B:$B,0)),"")</f>
        <v>Mechanical Engineering</v>
      </c>
      <c r="AF177" s="2" t="str">
        <f>IFERROR(INDEX(University_Exit!$L:$L,MATCH($B177,University_Exit!$B:$B,0)),"")</f>
        <v>Yes</v>
      </c>
      <c r="AG177" s="2">
        <f>IFERROR(INDEX(University_Exit!$H:$H,MATCH($B177,University_Exit!$B:$B,0)),"")</f>
        <v>95.94</v>
      </c>
      <c r="AH177" s="6">
        <f>IFERROR(INDEX(University_Exit!$K:$K,MATCH($B177,University_Exit!$B:$B,0)),"")</f>
        <v>1040</v>
      </c>
      <c r="AI177" s="2">
        <f>IFERROR(INDEX(University_Exit!$G:$G,MATCH($B177,University_Exit!$B:$B,0)),"")</f>
        <v>0</v>
      </c>
      <c r="AJ177">
        <f>IFERROR(INDEX(Baseline_Entry!$N:$N,MATCH($B177,Baseline_Entry!$B:$B,0)),"")</f>
        <v>115</v>
      </c>
      <c r="AK177">
        <f>IFERROR(INDEX(Cognitive_Profile!$E:$E,MATCH($B177,Cognitive_Profile!$B:$B,0)),"")</f>
        <v>115</v>
      </c>
      <c r="AL177">
        <f t="shared" si="8"/>
        <v>0</v>
      </c>
      <c r="AM177">
        <f>IFERROR(INDEX(Participation_By_Student!$D:$D,MATCH($B177,Participation_By_Student!$B:$B,0)),"")</f>
        <v>3</v>
      </c>
      <c r="AN177">
        <f>IFERROR(INDEX(Participation_By_Student!$E:$E,MATCH($B177,Participation_By_Student!$B:$B,0)),"")</f>
        <v>10</v>
      </c>
      <c r="AO177">
        <f>IFERROR(INDEX(Participation_By_Student!$F:$F,MATCH($B177,Participation_By_Student!$B:$B,0)),"")</f>
        <v>3</v>
      </c>
      <c r="AP177">
        <f>IFERROR(INDEX(Participation_By_Student!$G:$G,MATCH($B177,Participation_By_Student!$B:$B,0)),"")</f>
        <v>10</v>
      </c>
    </row>
    <row r="178" spans="1:42" x14ac:dyDescent="0.3">
      <c r="A178" s="2" t="s">
        <v>419</v>
      </c>
      <c r="B178" s="2" t="s">
        <v>427</v>
      </c>
      <c r="C178" s="2" t="s">
        <v>428</v>
      </c>
      <c r="D178" s="2" t="s">
        <v>64</v>
      </c>
      <c r="E178" s="2" t="s">
        <v>422</v>
      </c>
      <c r="F178" s="5">
        <f>IFERROR(INDEX(Baseline_Entry!$P:$P,MATCH($B178,Baseline_Entry!$B:$B,0)),"")</f>
        <v>56.769953051643192</v>
      </c>
      <c r="G178" s="5" t="str">
        <f t="shared" si="7"/>
        <v>Yes</v>
      </c>
      <c r="H178" s="5">
        <v>92.76</v>
      </c>
      <c r="I178" s="5">
        <v>97.852000000000004</v>
      </c>
      <c r="J178" s="5">
        <v>5.0919999999999987</v>
      </c>
      <c r="K178" s="5">
        <v>93.15</v>
      </c>
      <c r="L178" s="5">
        <v>97.88</v>
      </c>
      <c r="M178" s="5">
        <v>4.7299999999999898</v>
      </c>
      <c r="N178" s="5">
        <v>94.15</v>
      </c>
      <c r="O178" s="5">
        <v>97.88</v>
      </c>
      <c r="P178" s="5">
        <v>3.7299999999999902</v>
      </c>
      <c r="Q178" s="5">
        <v>90.5</v>
      </c>
      <c r="R178" s="5">
        <v>98.5</v>
      </c>
      <c r="S178" s="5">
        <v>8</v>
      </c>
      <c r="T178" s="5">
        <v>95</v>
      </c>
      <c r="U178" s="5">
        <v>98</v>
      </c>
      <c r="V178" s="5">
        <v>3</v>
      </c>
      <c r="W178" s="5">
        <v>91</v>
      </c>
      <c r="X178" s="5">
        <v>97</v>
      </c>
      <c r="Y178" s="5">
        <v>6</v>
      </c>
      <c r="Z178" s="2" t="str">
        <f t="shared" si="9"/>
        <v>Low starter</v>
      </c>
      <c r="AA178" s="2" t="s">
        <v>66</v>
      </c>
      <c r="AB178" s="2" t="s">
        <v>66</v>
      </c>
      <c r="AC178" s="2">
        <v>0</v>
      </c>
      <c r="AD178" s="2" t="str">
        <f>IFERROR(INDEX(University_Exit!$D:$D,MATCH($B178,University_Exit!$B:$B,0)),"")</f>
        <v>Carnegie Mellon University</v>
      </c>
      <c r="AE178" s="2" t="str">
        <f>IFERROR(INDEX(University_Exit!$F:$F,MATCH($B178,University_Exit!$B:$B,0)),"")</f>
        <v>Information Technology System</v>
      </c>
      <c r="AF178" s="2" t="str">
        <f>IFERROR(INDEX(University_Exit!$L:$L,MATCH($B178,University_Exit!$B:$B,0)),"")</f>
        <v>Yes</v>
      </c>
      <c r="AG178" s="2">
        <f>IFERROR(INDEX(University_Exit!$H:$H,MATCH($B178,University_Exit!$B:$B,0)),"")</f>
        <v>97.88</v>
      </c>
      <c r="AH178" s="6">
        <f>IFERROR(INDEX(University_Exit!$K:$K,MATCH($B178,University_Exit!$B:$B,0)),"")</f>
        <v>940</v>
      </c>
      <c r="AI178" s="2">
        <f>IFERROR(INDEX(University_Exit!$G:$G,MATCH($B178,University_Exit!$B:$B,0)),"")</f>
        <v>0</v>
      </c>
      <c r="AJ178">
        <f>IFERROR(INDEX(Baseline_Entry!$N:$N,MATCH($B178,Baseline_Entry!$B:$B,0)),"")</f>
        <v>97</v>
      </c>
      <c r="AK178">
        <f>IFERROR(INDEX(Cognitive_Profile!$E:$E,MATCH($B178,Cognitive_Profile!$B:$B,0)),"")</f>
        <v>97</v>
      </c>
      <c r="AL178">
        <f t="shared" si="8"/>
        <v>0</v>
      </c>
      <c r="AM178">
        <f>IFERROR(INDEX(Participation_By_Student!$D:$D,MATCH($B178,Participation_By_Student!$B:$B,0)),"")</f>
        <v>9</v>
      </c>
      <c r="AN178">
        <f>IFERROR(INDEX(Participation_By_Student!$E:$E,MATCH($B178,Participation_By_Student!$B:$B,0)),"")</f>
        <v>21</v>
      </c>
      <c r="AO178">
        <f>IFERROR(INDEX(Participation_By_Student!$F:$F,MATCH($B178,Participation_By_Student!$B:$B,0)),"")</f>
        <v>12</v>
      </c>
      <c r="AP178">
        <f>IFERROR(INDEX(Participation_By_Student!$G:$G,MATCH($B178,Participation_By_Student!$B:$B,0)),"")</f>
        <v>24</v>
      </c>
    </row>
    <row r="179" spans="1:42" x14ac:dyDescent="0.3">
      <c r="A179" s="2" t="s">
        <v>419</v>
      </c>
      <c r="B179" s="2" t="s">
        <v>429</v>
      </c>
      <c r="C179" s="2" t="s">
        <v>430</v>
      </c>
      <c r="D179" s="2" t="s">
        <v>64</v>
      </c>
      <c r="E179" s="2" t="s">
        <v>422</v>
      </c>
      <c r="F179" s="5">
        <f>IFERROR(INDEX(Baseline_Entry!$P:$P,MATCH($B179,Baseline_Entry!$B:$B,0)),"")</f>
        <v>52.833802816901404</v>
      </c>
      <c r="G179" s="5" t="str">
        <f t="shared" si="7"/>
        <v>Yes</v>
      </c>
      <c r="H179" s="5">
        <v>84</v>
      </c>
      <c r="I179" s="5">
        <v>88.6</v>
      </c>
      <c r="J179" s="5">
        <v>4.5999999999999943</v>
      </c>
      <c r="K179" s="5">
        <v>81.349999999999994</v>
      </c>
      <c r="L179" s="5">
        <v>85.75</v>
      </c>
      <c r="M179" s="5">
        <v>4.4000000000000057</v>
      </c>
      <c r="N179" s="5">
        <v>86.35</v>
      </c>
      <c r="O179" s="5">
        <v>87.75</v>
      </c>
      <c r="P179" s="5">
        <v>1.4000000000000059</v>
      </c>
      <c r="Q179" s="5">
        <v>92</v>
      </c>
      <c r="R179" s="5">
        <v>93.5</v>
      </c>
      <c r="S179" s="5">
        <v>1.5</v>
      </c>
      <c r="T179" s="5">
        <v>81.5</v>
      </c>
      <c r="U179" s="5">
        <v>86.5</v>
      </c>
      <c r="V179" s="5">
        <v>5</v>
      </c>
      <c r="W179" s="5">
        <v>78.8</v>
      </c>
      <c r="X179" s="5">
        <v>89.5</v>
      </c>
      <c r="Y179" s="5">
        <v>10.7</v>
      </c>
      <c r="Z179" s="2" t="str">
        <f t="shared" si="9"/>
        <v>Low starter</v>
      </c>
      <c r="AA179" s="2" t="s">
        <v>65</v>
      </c>
      <c r="AB179" s="2" t="s">
        <v>65</v>
      </c>
      <c r="AC179" s="2">
        <v>0</v>
      </c>
      <c r="AD179" s="2" t="str">
        <f>IFERROR(INDEX(University_Exit!$D:$D,MATCH($B179,University_Exit!$B:$B,0)),"")</f>
        <v>University of Nottingham</v>
      </c>
      <c r="AE179" s="2" t="str">
        <f>IFERROR(INDEX(University_Exit!$F:$F,MATCH($B179,University_Exit!$B:$B,0)),"")</f>
        <v>Mechanical Engineering</v>
      </c>
      <c r="AF179" s="2" t="str">
        <f>IFERROR(INDEX(University_Exit!$L:$L,MATCH($B179,University_Exit!$B:$B,0)),"")</f>
        <v>Yes</v>
      </c>
      <c r="AG179" s="2">
        <f>IFERROR(INDEX(University_Exit!$H:$H,MATCH($B179,University_Exit!$B:$B,0)),"")</f>
        <v>87.75</v>
      </c>
      <c r="AH179" s="6">
        <f>IFERROR(INDEX(University_Exit!$K:$K,MATCH($B179,University_Exit!$B:$B,0)),"")</f>
        <v>1060</v>
      </c>
      <c r="AI179" s="2">
        <f>IFERROR(INDEX(University_Exit!$G:$G,MATCH($B179,University_Exit!$B:$B,0)),"")</f>
        <v>0</v>
      </c>
      <c r="AJ179">
        <f>IFERROR(INDEX(Baseline_Entry!$N:$N,MATCH($B179,Baseline_Entry!$B:$B,0)),"")</f>
        <v>95</v>
      </c>
      <c r="AK179">
        <f>IFERROR(INDEX(Cognitive_Profile!$E:$E,MATCH($B179,Cognitive_Profile!$B:$B,0)),"")</f>
        <v>95</v>
      </c>
      <c r="AL179">
        <f t="shared" si="8"/>
        <v>0</v>
      </c>
      <c r="AM179">
        <f>IFERROR(INDEX(Participation_By_Student!$D:$D,MATCH($B179,Participation_By_Student!$B:$B,0)),"")</f>
        <v>4</v>
      </c>
      <c r="AN179">
        <f>IFERROR(INDEX(Participation_By_Student!$E:$E,MATCH($B179,Participation_By_Student!$B:$B,0)),"")</f>
        <v>12</v>
      </c>
      <c r="AO179">
        <f>IFERROR(INDEX(Participation_By_Student!$F:$F,MATCH($B179,Participation_By_Student!$B:$B,0)),"")</f>
        <v>4</v>
      </c>
      <c r="AP179">
        <f>IFERROR(INDEX(Participation_By_Student!$G:$G,MATCH($B179,Participation_By_Student!$B:$B,0)),"")</f>
        <v>12</v>
      </c>
    </row>
    <row r="180" spans="1:42" x14ac:dyDescent="0.3">
      <c r="A180" s="2" t="s">
        <v>419</v>
      </c>
      <c r="B180" s="2" t="s">
        <v>431</v>
      </c>
      <c r="C180" s="2" t="s">
        <v>432</v>
      </c>
      <c r="D180" s="2" t="s">
        <v>64</v>
      </c>
      <c r="E180" s="2" t="s">
        <v>422</v>
      </c>
      <c r="F180" s="5">
        <f>IFERROR(INDEX(Baseline_Entry!$P:$P,MATCH($B180,Baseline_Entry!$B:$B,0)),"")</f>
        <v>53.421596244131457</v>
      </c>
      <c r="G180" s="5" t="str">
        <f t="shared" si="7"/>
        <v>Yes</v>
      </c>
      <c r="H180" s="5">
        <v>83.632000000000005</v>
      </c>
      <c r="I180" s="5">
        <v>85.152000000000001</v>
      </c>
      <c r="J180" s="5">
        <v>1.519999999999996</v>
      </c>
      <c r="K180" s="5">
        <v>84.23</v>
      </c>
      <c r="L180" s="5">
        <v>80.63</v>
      </c>
      <c r="M180" s="5">
        <v>-3.600000000000009</v>
      </c>
      <c r="N180" s="5">
        <v>84.23</v>
      </c>
      <c r="O180" s="5">
        <v>81.63</v>
      </c>
      <c r="P180" s="5">
        <v>-2.600000000000009</v>
      </c>
      <c r="Q180" s="5">
        <v>91.5</v>
      </c>
      <c r="R180" s="5">
        <v>92.5</v>
      </c>
      <c r="S180" s="5">
        <v>1</v>
      </c>
      <c r="T180" s="5">
        <v>76.5</v>
      </c>
      <c r="U180" s="5">
        <v>90.5</v>
      </c>
      <c r="V180" s="5">
        <v>14</v>
      </c>
      <c r="W180" s="5">
        <v>81.7</v>
      </c>
      <c r="X180" s="5">
        <v>80.5</v>
      </c>
      <c r="Y180" s="5">
        <v>-1.2000000000000031</v>
      </c>
      <c r="Z180" s="2" t="str">
        <f t="shared" si="9"/>
        <v>Low starter</v>
      </c>
      <c r="AA180" s="2" t="s">
        <v>65</v>
      </c>
      <c r="AB180" s="2" t="s">
        <v>65</v>
      </c>
      <c r="AC180" s="2">
        <v>0</v>
      </c>
      <c r="AD180" s="2" t="str">
        <f>IFERROR(INDEX(University_Exit!$D:$D,MATCH($B180,University_Exit!$B:$B,0)),"")</f>
        <v>University of Leeds</v>
      </c>
      <c r="AE180" s="2" t="str">
        <f>IFERROR(INDEX(University_Exit!$F:$F,MATCH($B180,University_Exit!$B:$B,0)),"")</f>
        <v>Mechanical Engineering</v>
      </c>
      <c r="AF180" s="2" t="str">
        <f>IFERROR(INDEX(University_Exit!$L:$L,MATCH($B180,University_Exit!$B:$B,0)),"")</f>
        <v>Yes</v>
      </c>
      <c r="AG180" s="2">
        <f>IFERROR(INDEX(University_Exit!$H:$H,MATCH($B180,University_Exit!$B:$B,0)),"")</f>
        <v>81.63</v>
      </c>
      <c r="AH180" s="6">
        <f>IFERROR(INDEX(University_Exit!$K:$K,MATCH($B180,University_Exit!$B:$B,0)),"")</f>
        <v>1010</v>
      </c>
      <c r="AI180" s="2">
        <f>IFERROR(INDEX(University_Exit!$G:$G,MATCH($B180,University_Exit!$B:$B,0)),"")</f>
        <v>0</v>
      </c>
      <c r="AJ180">
        <f>IFERROR(INDEX(Baseline_Entry!$N:$N,MATCH($B180,Baseline_Entry!$B:$B,0)),"")</f>
        <v>110</v>
      </c>
      <c r="AK180">
        <f>IFERROR(INDEX(Cognitive_Profile!$E:$E,MATCH($B180,Cognitive_Profile!$B:$B,0)),"")</f>
        <v>110</v>
      </c>
      <c r="AL180">
        <f t="shared" si="8"/>
        <v>0</v>
      </c>
      <c r="AM180">
        <f>IFERROR(INDEX(Participation_By_Student!$D:$D,MATCH($B180,Participation_By_Student!$B:$B,0)),"")</f>
        <v>1</v>
      </c>
      <c r="AN180">
        <f>IFERROR(INDEX(Participation_By_Student!$E:$E,MATCH($B180,Participation_By_Student!$B:$B,0)),"")</f>
        <v>1</v>
      </c>
      <c r="AO180">
        <f>IFERROR(INDEX(Participation_By_Student!$F:$F,MATCH($B180,Participation_By_Student!$B:$B,0)),"")</f>
        <v>0</v>
      </c>
      <c r="AP180">
        <f>IFERROR(INDEX(Participation_By_Student!$G:$G,MATCH($B180,Participation_By_Student!$B:$B,0)),"")</f>
        <v>1</v>
      </c>
    </row>
    <row r="181" spans="1:42" x14ac:dyDescent="0.3">
      <c r="A181" s="2" t="s">
        <v>419</v>
      </c>
      <c r="B181" s="2" t="s">
        <v>433</v>
      </c>
      <c r="C181" s="2" t="s">
        <v>434</v>
      </c>
      <c r="D181" s="2" t="s">
        <v>64</v>
      </c>
      <c r="E181" s="2" t="s">
        <v>422</v>
      </c>
      <c r="F181" s="5">
        <f>IFERROR(INDEX(Baseline_Entry!$P:$P,MATCH($B181,Baseline_Entry!$B:$B,0)),"")</f>
        <v>64.456338028169014</v>
      </c>
      <c r="G181" s="5" t="str">
        <f t="shared" si="7"/>
        <v>Yes</v>
      </c>
      <c r="H181" s="5">
        <v>83.323999999999984</v>
      </c>
      <c r="I181" s="5">
        <v>96.024000000000001</v>
      </c>
      <c r="J181" s="5">
        <v>12.700000000000021</v>
      </c>
      <c r="K181" s="5">
        <v>80.959999999999994</v>
      </c>
      <c r="L181" s="5">
        <v>92.81</v>
      </c>
      <c r="M181" s="5">
        <v>11.85000000000001</v>
      </c>
      <c r="N181" s="5">
        <v>86.96</v>
      </c>
      <c r="O181" s="5">
        <v>96.81</v>
      </c>
      <c r="P181" s="5">
        <v>9.8500000000000085</v>
      </c>
      <c r="Q181" s="5">
        <v>84.5</v>
      </c>
      <c r="R181" s="5">
        <v>97</v>
      </c>
      <c r="S181" s="5">
        <v>12.5</v>
      </c>
      <c r="T181" s="5">
        <v>83</v>
      </c>
      <c r="U181" s="5">
        <v>97.5</v>
      </c>
      <c r="V181" s="5">
        <v>14.5</v>
      </c>
      <c r="W181" s="5">
        <v>81.2</v>
      </c>
      <c r="X181" s="5">
        <v>96</v>
      </c>
      <c r="Y181" s="5">
        <v>14.8</v>
      </c>
      <c r="Z181" s="2" t="str">
        <f t="shared" si="9"/>
        <v>Low starter</v>
      </c>
      <c r="AA181" s="2" t="s">
        <v>65</v>
      </c>
      <c r="AB181" s="2" t="s">
        <v>66</v>
      </c>
      <c r="AC181" s="2">
        <v>1</v>
      </c>
      <c r="AD181" s="2" t="str">
        <f>IFERROR(INDEX(University_Exit!$D:$D,MATCH($B181,University_Exit!$B:$B,0)),"")</f>
        <v>Carnegie Mellon University</v>
      </c>
      <c r="AE181" s="2" t="str">
        <f>IFERROR(INDEX(University_Exit!$F:$F,MATCH($B181,University_Exit!$B:$B,0)),"")</f>
        <v>Information Technology System</v>
      </c>
      <c r="AF181" s="2" t="str">
        <f>IFERROR(INDEX(University_Exit!$L:$L,MATCH($B181,University_Exit!$B:$B,0)),"")</f>
        <v>Yes</v>
      </c>
      <c r="AG181" s="2">
        <f>IFERROR(INDEX(University_Exit!$H:$H,MATCH($B181,University_Exit!$B:$B,0)),"")</f>
        <v>96.81</v>
      </c>
      <c r="AH181" s="6">
        <f>IFERROR(INDEX(University_Exit!$K:$K,MATCH($B181,University_Exit!$B:$B,0)),"")</f>
        <v>1080</v>
      </c>
      <c r="AI181" s="2">
        <f>IFERROR(INDEX(University_Exit!$G:$G,MATCH($B181,University_Exit!$B:$B,0)),"")</f>
        <v>0</v>
      </c>
      <c r="AJ181">
        <f>IFERROR(INDEX(Baseline_Entry!$N:$N,MATCH($B181,Baseline_Entry!$B:$B,0)),"")</f>
        <v>111</v>
      </c>
      <c r="AK181">
        <f>IFERROR(INDEX(Cognitive_Profile!$E:$E,MATCH($B181,Cognitive_Profile!$B:$B,0)),"")</f>
        <v>111</v>
      </c>
      <c r="AL181">
        <f t="shared" si="8"/>
        <v>0</v>
      </c>
      <c r="AM181">
        <f>IFERROR(INDEX(Participation_By_Student!$D:$D,MATCH($B181,Participation_By_Student!$B:$B,0)),"")</f>
        <v>2</v>
      </c>
      <c r="AN181">
        <f>IFERROR(INDEX(Participation_By_Student!$E:$E,MATCH($B181,Participation_By_Student!$B:$B,0)),"")</f>
        <v>3</v>
      </c>
      <c r="AO181">
        <f>IFERROR(INDEX(Participation_By_Student!$F:$F,MATCH($B181,Participation_By_Student!$B:$B,0)),"")</f>
        <v>0</v>
      </c>
      <c r="AP181">
        <f>IFERROR(INDEX(Participation_By_Student!$G:$G,MATCH($B181,Participation_By_Student!$B:$B,0)),"")</f>
        <v>3</v>
      </c>
    </row>
    <row r="182" spans="1:42" x14ac:dyDescent="0.3">
      <c r="A182" s="2" t="s">
        <v>419</v>
      </c>
      <c r="B182" s="2" t="s">
        <v>435</v>
      </c>
      <c r="C182" s="2" t="s">
        <v>436</v>
      </c>
      <c r="D182" s="2" t="s">
        <v>64</v>
      </c>
      <c r="E182" s="2" t="s">
        <v>422</v>
      </c>
      <c r="F182" s="5">
        <f>IFERROR(INDEX(Baseline_Entry!$P:$P,MATCH($B182,Baseline_Entry!$B:$B,0)),"")</f>
        <v>69.586854460093889</v>
      </c>
      <c r="G182" s="5" t="str">
        <f t="shared" si="7"/>
        <v>Yes</v>
      </c>
      <c r="H182" s="5">
        <v>92.711999999999989</v>
      </c>
      <c r="I182" s="5">
        <v>95.475999999999999</v>
      </c>
      <c r="J182" s="5">
        <v>2.76400000000001</v>
      </c>
      <c r="K182" s="5">
        <v>91.08</v>
      </c>
      <c r="L182" s="5">
        <v>90.69</v>
      </c>
      <c r="M182" s="5">
        <v>-0.39000000000000062</v>
      </c>
      <c r="N182" s="5">
        <v>93.08</v>
      </c>
      <c r="O182" s="5">
        <v>95.69</v>
      </c>
      <c r="P182" s="5">
        <v>2.609999999999999</v>
      </c>
      <c r="Q182" s="5">
        <v>95</v>
      </c>
      <c r="R182" s="5">
        <v>98.5</v>
      </c>
      <c r="S182" s="5">
        <v>3.5</v>
      </c>
      <c r="T182" s="5">
        <v>90.5</v>
      </c>
      <c r="U182" s="5">
        <v>95.5</v>
      </c>
      <c r="V182" s="5">
        <v>5</v>
      </c>
      <c r="W182" s="5">
        <v>93.9</v>
      </c>
      <c r="X182" s="5">
        <v>97</v>
      </c>
      <c r="Y182" s="5">
        <v>3.0999999999999939</v>
      </c>
      <c r="Z182" s="2" t="str">
        <f t="shared" si="9"/>
        <v>Low starter</v>
      </c>
      <c r="AA182" s="2" t="s">
        <v>66</v>
      </c>
      <c r="AB182" s="2" t="s">
        <v>66</v>
      </c>
      <c r="AC182" s="2">
        <v>0</v>
      </c>
      <c r="AD182" s="2" t="str">
        <f>IFERROR(INDEX(University_Exit!$D:$D,MATCH($B182,University_Exit!$B:$B,0)),"")</f>
        <v>University of Leeds</v>
      </c>
      <c r="AE182" s="2" t="str">
        <f>IFERROR(INDEX(University_Exit!$F:$F,MATCH($B182,University_Exit!$B:$B,0)),"")</f>
        <v>Mechanical Engineering</v>
      </c>
      <c r="AF182" s="2" t="str">
        <f>IFERROR(INDEX(University_Exit!$L:$L,MATCH($B182,University_Exit!$B:$B,0)),"")</f>
        <v>Yes</v>
      </c>
      <c r="AG182" s="2">
        <f>IFERROR(INDEX(University_Exit!$H:$H,MATCH($B182,University_Exit!$B:$B,0)),"")</f>
        <v>95.69</v>
      </c>
      <c r="AH182" s="6">
        <f>IFERROR(INDEX(University_Exit!$K:$K,MATCH($B182,University_Exit!$B:$B,0)),"")</f>
        <v>1210</v>
      </c>
      <c r="AI182" s="2">
        <f>IFERROR(INDEX(University_Exit!$G:$G,MATCH($B182,University_Exit!$B:$B,0)),"")</f>
        <v>0</v>
      </c>
      <c r="AJ182">
        <f>IFERROR(INDEX(Baseline_Entry!$N:$N,MATCH($B182,Baseline_Entry!$B:$B,0)),"")</f>
        <v>109</v>
      </c>
      <c r="AK182">
        <f>IFERROR(INDEX(Cognitive_Profile!$E:$E,MATCH($B182,Cognitive_Profile!$B:$B,0)),"")</f>
        <v>109</v>
      </c>
      <c r="AL182">
        <f t="shared" si="8"/>
        <v>0</v>
      </c>
      <c r="AM182">
        <f>IFERROR(INDEX(Participation_By_Student!$D:$D,MATCH($B182,Participation_By_Student!$B:$B,0)),"")</f>
        <v>4</v>
      </c>
      <c r="AN182">
        <f>IFERROR(INDEX(Participation_By_Student!$E:$E,MATCH($B182,Participation_By_Student!$B:$B,0)),"")</f>
        <v>7</v>
      </c>
      <c r="AO182">
        <f>IFERROR(INDEX(Participation_By_Student!$F:$F,MATCH($B182,Participation_By_Student!$B:$B,0)),"")</f>
        <v>1</v>
      </c>
      <c r="AP182">
        <f>IFERROR(INDEX(Participation_By_Student!$G:$G,MATCH($B182,Participation_By_Student!$B:$B,0)),"")</f>
        <v>7</v>
      </c>
    </row>
    <row r="183" spans="1:42" x14ac:dyDescent="0.3">
      <c r="A183" s="2" t="s">
        <v>419</v>
      </c>
      <c r="B183" s="2" t="s">
        <v>437</v>
      </c>
      <c r="C183" s="2" t="s">
        <v>438</v>
      </c>
      <c r="D183" s="2" t="s">
        <v>64</v>
      </c>
      <c r="E183" s="2" t="s">
        <v>422</v>
      </c>
      <c r="F183" s="5">
        <f>IFERROR(INDEX(Baseline_Entry!$P:$P,MATCH($B183,Baseline_Entry!$B:$B,0)),"")</f>
        <v>59.943661971830984</v>
      </c>
      <c r="G183" s="5" t="str">
        <f t="shared" si="7"/>
        <v>Yes</v>
      </c>
      <c r="H183" s="5">
        <v>81.631999999999991</v>
      </c>
      <c r="I183" s="5">
        <v>88.775999999999996</v>
      </c>
      <c r="J183" s="5">
        <v>7.1440000000000046</v>
      </c>
      <c r="K183" s="5">
        <v>79.58</v>
      </c>
      <c r="L183" s="5">
        <v>84.44</v>
      </c>
      <c r="M183" s="5">
        <v>4.8599999999999994</v>
      </c>
      <c r="N183" s="5">
        <v>83.58</v>
      </c>
      <c r="O183" s="5">
        <v>87.44</v>
      </c>
      <c r="P183" s="5">
        <v>3.859999999999999</v>
      </c>
      <c r="Q183" s="5">
        <v>88.5</v>
      </c>
      <c r="R183" s="5">
        <v>93.5</v>
      </c>
      <c r="S183" s="5">
        <v>5</v>
      </c>
      <c r="T183" s="5">
        <v>80</v>
      </c>
      <c r="U183" s="5">
        <v>88</v>
      </c>
      <c r="V183" s="5">
        <v>8</v>
      </c>
      <c r="W183" s="5">
        <v>76.5</v>
      </c>
      <c r="X183" s="5">
        <v>90.5</v>
      </c>
      <c r="Y183" s="5">
        <v>14</v>
      </c>
      <c r="Z183" s="2" t="str">
        <f t="shared" si="9"/>
        <v>Low starter</v>
      </c>
      <c r="AA183" s="2" t="s">
        <v>65</v>
      </c>
      <c r="AB183" s="2" t="s">
        <v>65</v>
      </c>
      <c r="AC183" s="2">
        <v>0</v>
      </c>
      <c r="AD183" s="2" t="str">
        <f>IFERROR(INDEX(University_Exit!$D:$D,MATCH($B183,University_Exit!$B:$B,0)),"")</f>
        <v>University of Leeds</v>
      </c>
      <c r="AE183" s="2" t="str">
        <f>IFERROR(INDEX(University_Exit!$F:$F,MATCH($B183,University_Exit!$B:$B,0)),"")</f>
        <v>Chemical Engineering</v>
      </c>
      <c r="AF183" s="2" t="str">
        <f>IFERROR(INDEX(University_Exit!$L:$L,MATCH($B183,University_Exit!$B:$B,0)),"")</f>
        <v>Yes</v>
      </c>
      <c r="AG183" s="2">
        <f>IFERROR(INDEX(University_Exit!$H:$H,MATCH($B183,University_Exit!$B:$B,0)),"")</f>
        <v>87.44</v>
      </c>
      <c r="AH183" s="6">
        <f>IFERROR(INDEX(University_Exit!$K:$K,MATCH($B183,University_Exit!$B:$B,0)),"")</f>
        <v>1130</v>
      </c>
      <c r="AI183" s="2">
        <f>IFERROR(INDEX(University_Exit!$G:$G,MATCH($B183,University_Exit!$B:$B,0)),"")</f>
        <v>0</v>
      </c>
      <c r="AJ183">
        <f>IFERROR(INDEX(Baseline_Entry!$N:$N,MATCH($B183,Baseline_Entry!$B:$B,0)),"")</f>
        <v>102</v>
      </c>
      <c r="AK183">
        <f>IFERROR(INDEX(Cognitive_Profile!$E:$E,MATCH($B183,Cognitive_Profile!$B:$B,0)),"")</f>
        <v>102</v>
      </c>
      <c r="AL183">
        <f t="shared" si="8"/>
        <v>0</v>
      </c>
      <c r="AM183">
        <f>IFERROR(INDEX(Participation_By_Student!$D:$D,MATCH($B183,Participation_By_Student!$B:$B,0)),"")</f>
        <v>1</v>
      </c>
      <c r="AN183">
        <f>IFERROR(INDEX(Participation_By_Student!$E:$E,MATCH($B183,Participation_By_Student!$B:$B,0)),"")</f>
        <v>1</v>
      </c>
      <c r="AO183">
        <f>IFERROR(INDEX(Participation_By_Student!$F:$F,MATCH($B183,Participation_By_Student!$B:$B,0)),"")</f>
        <v>0</v>
      </c>
      <c r="AP183">
        <f>IFERROR(INDEX(Participation_By_Student!$G:$G,MATCH($B183,Participation_By_Student!$B:$B,0)),"")</f>
        <v>1</v>
      </c>
    </row>
    <row r="184" spans="1:42" x14ac:dyDescent="0.3">
      <c r="A184" s="2" t="s">
        <v>419</v>
      </c>
      <c r="B184" s="2" t="s">
        <v>439</v>
      </c>
      <c r="C184" s="2" t="s">
        <v>440</v>
      </c>
      <c r="D184" s="2" t="s">
        <v>64</v>
      </c>
      <c r="E184" s="2" t="s">
        <v>422</v>
      </c>
      <c r="F184" s="5">
        <f>IFERROR(INDEX(Baseline_Entry!$P:$P,MATCH($B184,Baseline_Entry!$B:$B,0)),"")</f>
        <v>21.83098591549296</v>
      </c>
      <c r="G184" s="5" t="str">
        <f t="shared" si="7"/>
        <v>Yes</v>
      </c>
      <c r="H184" s="5">
        <v>79.72</v>
      </c>
      <c r="I184" s="5">
        <v>90.152000000000001</v>
      </c>
      <c r="J184" s="5">
        <v>10.432</v>
      </c>
      <c r="K184" s="5">
        <v>74.849999999999994</v>
      </c>
      <c r="L184" s="5">
        <v>85.63</v>
      </c>
      <c r="M184" s="5">
        <v>10.78</v>
      </c>
      <c r="N184" s="5">
        <v>80.849999999999994</v>
      </c>
      <c r="O184" s="5">
        <v>91.63</v>
      </c>
      <c r="P184" s="5">
        <v>10.78</v>
      </c>
      <c r="Q184" s="5">
        <v>84</v>
      </c>
      <c r="R184" s="5">
        <v>88.5</v>
      </c>
      <c r="S184" s="5">
        <v>4.5</v>
      </c>
      <c r="T184" s="5">
        <v>84.5</v>
      </c>
      <c r="U184" s="5">
        <v>92.5</v>
      </c>
      <c r="V184" s="5">
        <v>8</v>
      </c>
      <c r="W184" s="5">
        <v>74.400000000000006</v>
      </c>
      <c r="X184" s="5">
        <v>92.5</v>
      </c>
      <c r="Y184" s="5">
        <v>18.099999999999991</v>
      </c>
      <c r="Z184" s="2" t="str">
        <f t="shared" si="9"/>
        <v>Low starter</v>
      </c>
      <c r="AA184" s="2" t="s">
        <v>99</v>
      </c>
      <c r="AB184" s="2" t="s">
        <v>66</v>
      </c>
      <c r="AC184" s="2">
        <v>2</v>
      </c>
      <c r="AD184" s="2" t="str">
        <f>IFERROR(INDEX(University_Exit!$D:$D,MATCH($B184,University_Exit!$B:$B,0)),"")</f>
        <v>PennState University</v>
      </c>
      <c r="AE184" s="2" t="str">
        <f>IFERROR(INDEX(University_Exit!$F:$F,MATCH($B184,University_Exit!$B:$B,0)),"")</f>
        <v>Mechanical Engineering</v>
      </c>
      <c r="AF184" s="2" t="str">
        <f>IFERROR(INDEX(University_Exit!$L:$L,MATCH($B184,University_Exit!$B:$B,0)),"")</f>
        <v>Yes</v>
      </c>
      <c r="AG184" s="2">
        <f>IFERROR(INDEX(University_Exit!$H:$H,MATCH($B184,University_Exit!$B:$B,0)),"")</f>
        <v>91.63</v>
      </c>
      <c r="AH184" s="6">
        <f>IFERROR(INDEX(University_Exit!$K:$K,MATCH($B184,University_Exit!$B:$B,0)),"")</f>
        <v>1140</v>
      </c>
      <c r="AI184" s="2">
        <f>IFERROR(INDEX(University_Exit!$G:$G,MATCH($B184,University_Exit!$B:$B,0)),"")</f>
        <v>0</v>
      </c>
      <c r="AJ184">
        <f>IFERROR(INDEX(Baseline_Entry!$N:$N,MATCH($B184,Baseline_Entry!$B:$B,0)),"")</f>
        <v>93</v>
      </c>
      <c r="AK184">
        <f>IFERROR(INDEX(Cognitive_Profile!$E:$E,MATCH($B184,Cognitive_Profile!$B:$B,0)),"")</f>
        <v>93</v>
      </c>
      <c r="AL184">
        <f t="shared" si="8"/>
        <v>0</v>
      </c>
      <c r="AM184">
        <f>IFERROR(INDEX(Participation_By_Student!$D:$D,MATCH($B184,Participation_By_Student!$B:$B,0)),"")</f>
        <v>2</v>
      </c>
      <c r="AN184">
        <f>IFERROR(INDEX(Participation_By_Student!$E:$E,MATCH($B184,Participation_By_Student!$B:$B,0)),"")</f>
        <v>4</v>
      </c>
      <c r="AO184">
        <f>IFERROR(INDEX(Participation_By_Student!$F:$F,MATCH($B184,Participation_By_Student!$B:$B,0)),"")</f>
        <v>0</v>
      </c>
      <c r="AP184">
        <f>IFERROR(INDEX(Participation_By_Student!$G:$G,MATCH($B184,Participation_By_Student!$B:$B,0)),"")</f>
        <v>4</v>
      </c>
    </row>
    <row r="185" spans="1:42" x14ac:dyDescent="0.3">
      <c r="A185" s="2" t="s">
        <v>419</v>
      </c>
      <c r="B185" s="2" t="s">
        <v>441</v>
      </c>
      <c r="C185" s="2" t="s">
        <v>442</v>
      </c>
      <c r="D185" s="2" t="s">
        <v>64</v>
      </c>
      <c r="E185" s="2" t="s">
        <v>422</v>
      </c>
      <c r="F185" s="5">
        <f>IFERROR(INDEX(Baseline_Entry!$P:$P,MATCH($B185,Baseline_Entry!$B:$B,0)),"")</f>
        <v>57.442253521126759</v>
      </c>
      <c r="G185" s="5" t="str">
        <f t="shared" si="7"/>
        <v>Yes</v>
      </c>
      <c r="H185" s="5">
        <v>90.820000000000007</v>
      </c>
      <c r="I185" s="5">
        <v>92</v>
      </c>
      <c r="J185" s="5">
        <v>1.1799999999999931</v>
      </c>
      <c r="K185" s="5">
        <v>90</v>
      </c>
      <c r="L185" s="5">
        <v>85</v>
      </c>
      <c r="M185" s="5">
        <v>-5</v>
      </c>
      <c r="N185" s="5">
        <v>92</v>
      </c>
      <c r="O185" s="5">
        <v>90</v>
      </c>
      <c r="P185" s="5">
        <v>-2</v>
      </c>
      <c r="Q185" s="5">
        <v>92.5</v>
      </c>
      <c r="R185" s="5">
        <v>96.5</v>
      </c>
      <c r="S185" s="5">
        <v>4</v>
      </c>
      <c r="T185" s="5">
        <v>89.5</v>
      </c>
      <c r="U185" s="5">
        <v>94</v>
      </c>
      <c r="V185" s="5">
        <v>4.5</v>
      </c>
      <c r="W185" s="5">
        <v>90.1</v>
      </c>
      <c r="X185" s="5">
        <v>94.5</v>
      </c>
      <c r="Y185" s="5">
        <v>4.4000000000000057</v>
      </c>
      <c r="Z185" s="2" t="str">
        <f t="shared" si="9"/>
        <v>Low starter</v>
      </c>
      <c r="AA185" s="2" t="s">
        <v>66</v>
      </c>
      <c r="AB185" s="2" t="s">
        <v>66</v>
      </c>
      <c r="AC185" s="2">
        <v>0</v>
      </c>
      <c r="AD185" s="2" t="str">
        <f>IFERROR(INDEX(University_Exit!$D:$D,MATCH($B185,University_Exit!$B:$B,0)),"")</f>
        <v>University of Leeds</v>
      </c>
      <c r="AE185" s="2" t="str">
        <f>IFERROR(INDEX(University_Exit!$F:$F,MATCH($B185,University_Exit!$B:$B,0)),"")</f>
        <v>Architectural Engineering</v>
      </c>
      <c r="AF185" s="2" t="str">
        <f>IFERROR(INDEX(University_Exit!$L:$L,MATCH($B185,University_Exit!$B:$B,0)),"")</f>
        <v>Yes</v>
      </c>
      <c r="AG185" s="2">
        <f>IFERROR(INDEX(University_Exit!$H:$H,MATCH($B185,University_Exit!$B:$B,0)),"")</f>
        <v>90</v>
      </c>
      <c r="AH185" s="6">
        <f>IFERROR(INDEX(University_Exit!$K:$K,MATCH($B185,University_Exit!$B:$B,0)),"")</f>
        <v>1040</v>
      </c>
      <c r="AI185" s="2">
        <f>IFERROR(INDEX(University_Exit!$G:$G,MATCH($B185,University_Exit!$B:$B,0)),"")</f>
        <v>0</v>
      </c>
      <c r="AJ185">
        <f>IFERROR(INDEX(Baseline_Entry!$N:$N,MATCH($B185,Baseline_Entry!$B:$B,0)),"")</f>
        <v>101</v>
      </c>
      <c r="AK185">
        <f>IFERROR(INDEX(Cognitive_Profile!$E:$E,MATCH($B185,Cognitive_Profile!$B:$B,0)),"")</f>
        <v>101</v>
      </c>
      <c r="AL185">
        <f t="shared" si="8"/>
        <v>0</v>
      </c>
      <c r="AM185">
        <f>IFERROR(INDEX(Participation_By_Student!$D:$D,MATCH($B185,Participation_By_Student!$B:$B,0)),"")</f>
        <v>7</v>
      </c>
      <c r="AN185">
        <f>IFERROR(INDEX(Participation_By_Student!$E:$E,MATCH($B185,Participation_By_Student!$B:$B,0)),"")</f>
        <v>11</v>
      </c>
      <c r="AO185">
        <f>IFERROR(INDEX(Participation_By_Student!$F:$F,MATCH($B185,Participation_By_Student!$B:$B,0)),"")</f>
        <v>2</v>
      </c>
      <c r="AP185">
        <f>IFERROR(INDEX(Participation_By_Student!$G:$G,MATCH($B185,Participation_By_Student!$B:$B,0)),"")</f>
        <v>11</v>
      </c>
    </row>
    <row r="186" spans="1:42" x14ac:dyDescent="0.3">
      <c r="A186" s="2" t="s">
        <v>419</v>
      </c>
      <c r="B186" s="2" t="s">
        <v>443</v>
      </c>
      <c r="C186" s="2" t="s">
        <v>444</v>
      </c>
      <c r="D186" s="2" t="s">
        <v>64</v>
      </c>
      <c r="E186" s="2" t="s">
        <v>422</v>
      </c>
      <c r="F186" s="5">
        <f>IFERROR(INDEX(Baseline_Entry!$P:$P,MATCH($B186,Baseline_Entry!$B:$B,0)),"")</f>
        <v>56.097652582159618</v>
      </c>
      <c r="G186" s="5" t="str">
        <f t="shared" si="7"/>
        <v>Yes</v>
      </c>
      <c r="H186" s="5">
        <v>92.908000000000001</v>
      </c>
      <c r="I186" s="5">
        <v>98.352000000000004</v>
      </c>
      <c r="J186" s="5">
        <v>5.4440000000000026</v>
      </c>
      <c r="K186" s="5">
        <v>92.92</v>
      </c>
      <c r="L186" s="5">
        <v>94.13</v>
      </c>
      <c r="M186" s="5">
        <v>1.209999999999994</v>
      </c>
      <c r="N186" s="5">
        <v>94.92</v>
      </c>
      <c r="O186" s="5">
        <v>99.13</v>
      </c>
      <c r="P186" s="5">
        <v>4.2099999999999937</v>
      </c>
      <c r="Q186" s="5">
        <v>89</v>
      </c>
      <c r="R186" s="5">
        <v>98.5</v>
      </c>
      <c r="S186" s="5">
        <v>9.5</v>
      </c>
      <c r="T186" s="5">
        <v>95</v>
      </c>
      <c r="U186" s="5">
        <v>100</v>
      </c>
      <c r="V186" s="5">
        <v>5</v>
      </c>
      <c r="W186" s="5">
        <v>92.7</v>
      </c>
      <c r="X186" s="5">
        <v>100</v>
      </c>
      <c r="Y186" s="5">
        <v>7.2999999999999972</v>
      </c>
      <c r="Z186" s="2" t="str">
        <f t="shared" si="9"/>
        <v>Low starter</v>
      </c>
      <c r="AA186" s="2" t="s">
        <v>66</v>
      </c>
      <c r="AB186" s="2" t="s">
        <v>66</v>
      </c>
      <c r="AC186" s="2">
        <v>0</v>
      </c>
      <c r="AD186" s="2" t="str">
        <f>IFERROR(INDEX(University_Exit!$D:$D,MATCH($B186,University_Exit!$B:$B,0)),"")</f>
        <v>George Washington University</v>
      </c>
      <c r="AE186" s="2" t="str">
        <f>IFERROR(INDEX(University_Exit!$F:$F,MATCH($B186,University_Exit!$B:$B,0)),"")</f>
        <v>Mechanical Engineering</v>
      </c>
      <c r="AF186" s="2" t="str">
        <f>IFERROR(INDEX(University_Exit!$L:$L,MATCH($B186,University_Exit!$B:$B,0)),"")</f>
        <v>Yes</v>
      </c>
      <c r="AG186" s="2">
        <f>IFERROR(INDEX(University_Exit!$H:$H,MATCH($B186,University_Exit!$B:$B,0)),"")</f>
        <v>99.13</v>
      </c>
      <c r="AH186" s="6">
        <f>IFERROR(INDEX(University_Exit!$K:$K,MATCH($B186,University_Exit!$B:$B,0)),"")</f>
        <v>1260</v>
      </c>
      <c r="AI186" s="2">
        <f>IFERROR(INDEX(University_Exit!$G:$G,MATCH($B186,University_Exit!$B:$B,0)),"")</f>
        <v>0</v>
      </c>
      <c r="AJ186">
        <f>IFERROR(INDEX(Baseline_Entry!$N:$N,MATCH($B186,Baseline_Entry!$B:$B,0)),"")</f>
        <v>93</v>
      </c>
      <c r="AK186">
        <f>IFERROR(INDEX(Cognitive_Profile!$E:$E,MATCH($B186,Cognitive_Profile!$B:$B,0)),"")</f>
        <v>93</v>
      </c>
      <c r="AL186">
        <f t="shared" si="8"/>
        <v>0</v>
      </c>
      <c r="AM186">
        <f>IFERROR(INDEX(Participation_By_Student!$D:$D,MATCH($B186,Participation_By_Student!$B:$B,0)),"")</f>
        <v>11</v>
      </c>
      <c r="AN186">
        <f>IFERROR(INDEX(Participation_By_Student!$E:$E,MATCH($B186,Participation_By_Student!$B:$B,0)),"")</f>
        <v>25</v>
      </c>
      <c r="AO186">
        <f>IFERROR(INDEX(Participation_By_Student!$F:$F,MATCH($B186,Participation_By_Student!$B:$B,0)),"")</f>
        <v>12</v>
      </c>
      <c r="AP186">
        <f>IFERROR(INDEX(Participation_By_Student!$G:$G,MATCH($B186,Participation_By_Student!$B:$B,0)),"")</f>
        <v>25</v>
      </c>
    </row>
    <row r="187" spans="1:42" x14ac:dyDescent="0.3">
      <c r="A187" s="2" t="s">
        <v>419</v>
      </c>
      <c r="B187" s="2" t="s">
        <v>445</v>
      </c>
      <c r="C187" s="2" t="s">
        <v>446</v>
      </c>
      <c r="D187" s="2" t="s">
        <v>64</v>
      </c>
      <c r="E187" s="2" t="s">
        <v>422</v>
      </c>
      <c r="F187" s="5">
        <f>IFERROR(INDEX(Baseline_Entry!$P:$P,MATCH($B187,Baseline_Entry!$B:$B,0)),"")</f>
        <v>60.972769953051646</v>
      </c>
      <c r="G187" s="5" t="str">
        <f t="shared" si="7"/>
        <v>Yes</v>
      </c>
      <c r="H187" s="5">
        <v>86.355999999999995</v>
      </c>
      <c r="I187" s="5">
        <v>88</v>
      </c>
      <c r="J187" s="5">
        <v>1.644000000000005</v>
      </c>
      <c r="K187" s="5">
        <v>84.89</v>
      </c>
      <c r="L187" s="5">
        <v>87.5</v>
      </c>
      <c r="M187" s="5">
        <v>2.609999999999999</v>
      </c>
      <c r="N187" s="5">
        <v>87.89</v>
      </c>
      <c r="O187" s="5">
        <v>87.5</v>
      </c>
      <c r="P187" s="5">
        <v>-0.39000000000000062</v>
      </c>
      <c r="Q187" s="5">
        <v>94.5</v>
      </c>
      <c r="R187" s="5">
        <v>93.5</v>
      </c>
      <c r="S187" s="5">
        <v>-1</v>
      </c>
      <c r="T187" s="5">
        <v>80.5</v>
      </c>
      <c r="U187" s="5">
        <v>86</v>
      </c>
      <c r="V187" s="5">
        <v>5.5</v>
      </c>
      <c r="W187" s="5">
        <v>84</v>
      </c>
      <c r="X187" s="5">
        <v>85.5</v>
      </c>
      <c r="Y187" s="5">
        <v>1.5</v>
      </c>
      <c r="Z187" s="2" t="str">
        <f t="shared" si="9"/>
        <v>Low starter</v>
      </c>
      <c r="AA187" s="2" t="s">
        <v>65</v>
      </c>
      <c r="AB187" s="2" t="s">
        <v>65</v>
      </c>
      <c r="AC187" s="2">
        <v>0</v>
      </c>
      <c r="AD187" s="2" t="str">
        <f>IFERROR(INDEX(University_Exit!$D:$D,MATCH($B187,University_Exit!$B:$B,0)),"")</f>
        <v>University of Leeds</v>
      </c>
      <c r="AE187" s="2" t="str">
        <f>IFERROR(INDEX(University_Exit!$F:$F,MATCH($B187,University_Exit!$B:$B,0)),"")</f>
        <v>Chemical Engineering</v>
      </c>
      <c r="AF187" s="2" t="str">
        <f>IFERROR(INDEX(University_Exit!$L:$L,MATCH($B187,University_Exit!$B:$B,0)),"")</f>
        <v>Yes</v>
      </c>
      <c r="AG187" s="2">
        <f>IFERROR(INDEX(University_Exit!$H:$H,MATCH($B187,University_Exit!$B:$B,0)),"")</f>
        <v>87.05</v>
      </c>
      <c r="AH187" s="6">
        <f>IFERROR(INDEX(University_Exit!$K:$K,MATCH($B187,University_Exit!$B:$B,0)),"")</f>
        <v>1080</v>
      </c>
      <c r="AI187" s="2">
        <f>IFERROR(INDEX(University_Exit!$G:$G,MATCH($B187,University_Exit!$B:$B,0)),"")</f>
        <v>0</v>
      </c>
      <c r="AJ187">
        <f>IFERROR(INDEX(Baseline_Entry!$N:$N,MATCH($B187,Baseline_Entry!$B:$B,0)),"")</f>
        <v>99</v>
      </c>
      <c r="AK187">
        <f>IFERROR(INDEX(Cognitive_Profile!$E:$E,MATCH($B187,Cognitive_Profile!$B:$B,0)),"")</f>
        <v>99</v>
      </c>
      <c r="AL187">
        <f t="shared" si="8"/>
        <v>0</v>
      </c>
      <c r="AM187">
        <f>IFERROR(INDEX(Participation_By_Student!$D:$D,MATCH($B187,Participation_By_Student!$B:$B,0)),"")</f>
        <v>3</v>
      </c>
      <c r="AN187">
        <f>IFERROR(INDEX(Participation_By_Student!$E:$E,MATCH($B187,Participation_By_Student!$B:$B,0)),"")</f>
        <v>6</v>
      </c>
      <c r="AO187">
        <f>IFERROR(INDEX(Participation_By_Student!$F:$F,MATCH($B187,Participation_By_Student!$B:$B,0)),"")</f>
        <v>2</v>
      </c>
      <c r="AP187">
        <f>IFERROR(INDEX(Participation_By_Student!$G:$G,MATCH($B187,Participation_By_Student!$B:$B,0)),"")</f>
        <v>6</v>
      </c>
    </row>
    <row r="188" spans="1:42" x14ac:dyDescent="0.3">
      <c r="A188" s="2" t="s">
        <v>419</v>
      </c>
      <c r="B188" s="2" t="s">
        <v>447</v>
      </c>
      <c r="C188" s="2" t="s">
        <v>448</v>
      </c>
      <c r="D188" s="2" t="s">
        <v>64</v>
      </c>
      <c r="E188" s="2" t="s">
        <v>422</v>
      </c>
      <c r="F188" s="5">
        <f>IFERROR(INDEX(Baseline_Entry!$P:$P,MATCH($B188,Baseline_Entry!$B:$B,0)),"")</f>
        <v>65.89107981220657</v>
      </c>
      <c r="G188" s="5" t="str">
        <f t="shared" si="7"/>
        <v>Yes</v>
      </c>
      <c r="H188" s="5">
        <v>89.524000000000001</v>
      </c>
      <c r="I188" s="5">
        <v>93.475999999999999</v>
      </c>
      <c r="J188" s="5">
        <v>3.9519999999999982</v>
      </c>
      <c r="K188" s="5">
        <v>89.96</v>
      </c>
      <c r="L188" s="5">
        <v>90.94</v>
      </c>
      <c r="M188" s="5">
        <v>0.98000000000000398</v>
      </c>
      <c r="N188" s="5">
        <v>91.96</v>
      </c>
      <c r="O188" s="5">
        <v>94.94</v>
      </c>
      <c r="P188" s="5">
        <v>2.980000000000004</v>
      </c>
      <c r="Q188" s="5">
        <v>92.5</v>
      </c>
      <c r="R188" s="5">
        <v>94.5</v>
      </c>
      <c r="S188" s="5">
        <v>2</v>
      </c>
      <c r="T188" s="5">
        <v>84.5</v>
      </c>
      <c r="U188" s="5">
        <v>96.5</v>
      </c>
      <c r="V188" s="5">
        <v>12</v>
      </c>
      <c r="W188" s="5">
        <v>88.7</v>
      </c>
      <c r="X188" s="5">
        <v>90.5</v>
      </c>
      <c r="Y188" s="5">
        <v>1.7999999999999969</v>
      </c>
      <c r="Z188" s="2" t="str">
        <f t="shared" si="9"/>
        <v>Low starter</v>
      </c>
      <c r="AA188" s="2" t="s">
        <v>65</v>
      </c>
      <c r="AB188" s="2" t="s">
        <v>66</v>
      </c>
      <c r="AC188" s="2">
        <v>1</v>
      </c>
      <c r="AD188" s="2" t="str">
        <f>IFERROR(INDEX(University_Exit!$D:$D,MATCH($B188,University_Exit!$B:$B,0)),"")</f>
        <v>Qatar University</v>
      </c>
      <c r="AE188" s="2" t="str">
        <f>IFERROR(INDEX(University_Exit!$F:$F,MATCH($B188,University_Exit!$B:$B,0)),"")</f>
        <v>Mechanical Engineering</v>
      </c>
      <c r="AF188" s="2" t="str">
        <f>IFERROR(INDEX(University_Exit!$L:$L,MATCH($B188,University_Exit!$B:$B,0)),"")</f>
        <v>Yes</v>
      </c>
      <c r="AG188" s="2">
        <f>IFERROR(INDEX(University_Exit!$H:$H,MATCH($B188,University_Exit!$B:$B,0)),"")</f>
        <v>94.94</v>
      </c>
      <c r="AH188" s="6">
        <f>IFERROR(INDEX(University_Exit!$K:$K,MATCH($B188,University_Exit!$B:$B,0)),"")</f>
        <v>1100</v>
      </c>
      <c r="AI188" s="2">
        <f>IFERROR(INDEX(University_Exit!$G:$G,MATCH($B188,University_Exit!$B:$B,0)),"")</f>
        <v>0</v>
      </c>
      <c r="AJ188">
        <f>IFERROR(INDEX(Baseline_Entry!$N:$N,MATCH($B188,Baseline_Entry!$B:$B,0)),"")</f>
        <v>112</v>
      </c>
      <c r="AK188">
        <f>IFERROR(INDEX(Cognitive_Profile!$E:$E,MATCH($B188,Cognitive_Profile!$B:$B,0)),"")</f>
        <v>112</v>
      </c>
      <c r="AL188">
        <f t="shared" si="8"/>
        <v>0</v>
      </c>
      <c r="AM188">
        <f>IFERROR(INDEX(Participation_By_Student!$D:$D,MATCH($B188,Participation_By_Student!$B:$B,0)),"")</f>
        <v>2</v>
      </c>
      <c r="AN188">
        <f>IFERROR(INDEX(Participation_By_Student!$E:$E,MATCH($B188,Participation_By_Student!$B:$B,0)),"")</f>
        <v>9</v>
      </c>
      <c r="AO188">
        <f>IFERROR(INDEX(Participation_By_Student!$F:$F,MATCH($B188,Participation_By_Student!$B:$B,0)),"")</f>
        <v>2</v>
      </c>
      <c r="AP188">
        <f>IFERROR(INDEX(Participation_By_Student!$G:$G,MATCH($B188,Participation_By_Student!$B:$B,0)),"")</f>
        <v>9</v>
      </c>
    </row>
    <row r="189" spans="1:42" x14ac:dyDescent="0.3">
      <c r="A189" s="2" t="s">
        <v>419</v>
      </c>
      <c r="B189" s="2" t="s">
        <v>449</v>
      </c>
      <c r="C189" s="2" t="s">
        <v>450</v>
      </c>
      <c r="D189" s="2" t="s">
        <v>64</v>
      </c>
      <c r="E189" s="2" t="s">
        <v>422</v>
      </c>
      <c r="F189" s="5">
        <f>IFERROR(INDEX(Baseline_Entry!$P:$P,MATCH($B189,Baseline_Entry!$B:$B,0)),"")</f>
        <v>22.535211267605632</v>
      </c>
      <c r="G189" s="5" t="str">
        <f t="shared" si="7"/>
        <v>Yes</v>
      </c>
      <c r="H189" s="5">
        <v>83.896000000000001</v>
      </c>
      <c r="I189" s="5">
        <v>89.251999999999995</v>
      </c>
      <c r="J189" s="5">
        <v>5.3559999999999954</v>
      </c>
      <c r="K189" s="5">
        <v>82.89</v>
      </c>
      <c r="L189" s="5">
        <v>86.38</v>
      </c>
      <c r="M189" s="5">
        <v>3.4899999999999949</v>
      </c>
      <c r="N189" s="5">
        <v>86.89</v>
      </c>
      <c r="O189" s="5">
        <v>91.38</v>
      </c>
      <c r="P189" s="5">
        <v>4.4899999999999949</v>
      </c>
      <c r="Q189" s="5">
        <v>80.5</v>
      </c>
      <c r="R189" s="5">
        <v>90</v>
      </c>
      <c r="S189" s="5">
        <v>9.5</v>
      </c>
      <c r="T189" s="5">
        <v>87.5</v>
      </c>
      <c r="U189" s="5">
        <v>90.5</v>
      </c>
      <c r="V189" s="5">
        <v>3</v>
      </c>
      <c r="W189" s="5">
        <v>81.7</v>
      </c>
      <c r="X189" s="5">
        <v>88</v>
      </c>
      <c r="Y189" s="5">
        <v>6.2999999999999972</v>
      </c>
      <c r="Z189" s="2" t="str">
        <f t="shared" ref="Z189:Z220" si="10">IF(IF(F130="",H130,F130)&lt;70,"Low starter",IF(IF(F130="",H130,F130)&lt;85,"Middle starter","High starter"))</f>
        <v>Low starter</v>
      </c>
      <c r="AA189" s="2" t="s">
        <v>65</v>
      </c>
      <c r="AB189" s="2" t="s">
        <v>65</v>
      </c>
      <c r="AC189" s="2">
        <v>0</v>
      </c>
      <c r="AD189" s="2" t="str">
        <f>IFERROR(INDEX(University_Exit!$D:$D,MATCH($B189,University_Exit!$B:$B,0)),"")</f>
        <v>University of Central Lancashire</v>
      </c>
      <c r="AE189" s="2" t="str">
        <f>IFERROR(INDEX(University_Exit!$F:$F,MATCH($B189,University_Exit!$B:$B,0)),"")</f>
        <v>Marine engineering</v>
      </c>
      <c r="AF189" s="2" t="str">
        <f>IFERROR(INDEX(University_Exit!$L:$L,MATCH($B189,University_Exit!$B:$B,0)),"")</f>
        <v>Yes</v>
      </c>
      <c r="AG189" s="2">
        <f>IFERROR(INDEX(University_Exit!$H:$H,MATCH($B189,University_Exit!$B:$B,0)),"")</f>
        <v>91.38</v>
      </c>
      <c r="AH189" s="6">
        <f>IFERROR(INDEX(University_Exit!$K:$K,MATCH($B189,University_Exit!$B:$B,0)),"")</f>
        <v>950</v>
      </c>
      <c r="AI189" s="2">
        <f>IFERROR(INDEX(University_Exit!$G:$G,MATCH($B189,University_Exit!$B:$B,0)),"")</f>
        <v>0</v>
      </c>
      <c r="AJ189">
        <f>IFERROR(INDEX(Baseline_Entry!$N:$N,MATCH($B189,Baseline_Entry!$B:$B,0)),"")</f>
        <v>96</v>
      </c>
      <c r="AK189">
        <f>IFERROR(INDEX(Cognitive_Profile!$E:$E,MATCH($B189,Cognitive_Profile!$B:$B,0)),"")</f>
        <v>96</v>
      </c>
      <c r="AL189">
        <f t="shared" si="8"/>
        <v>0</v>
      </c>
      <c r="AM189">
        <f>IFERROR(INDEX(Participation_By_Student!$D:$D,MATCH($B189,Participation_By_Student!$B:$B,0)),"")</f>
        <v>5</v>
      </c>
      <c r="AN189">
        <f>IFERROR(INDEX(Participation_By_Student!$E:$E,MATCH($B189,Participation_By_Student!$B:$B,0)),"")</f>
        <v>6</v>
      </c>
      <c r="AO189">
        <f>IFERROR(INDEX(Participation_By_Student!$F:$F,MATCH($B189,Participation_By_Student!$B:$B,0)),"")</f>
        <v>2</v>
      </c>
      <c r="AP189">
        <f>IFERROR(INDEX(Participation_By_Student!$G:$G,MATCH($B189,Participation_By_Student!$B:$B,0)),"")</f>
        <v>6</v>
      </c>
    </row>
    <row r="190" spans="1:42" x14ac:dyDescent="0.3">
      <c r="A190" s="2" t="s">
        <v>419</v>
      </c>
      <c r="B190" s="2" t="s">
        <v>451</v>
      </c>
      <c r="C190" s="2" t="s">
        <v>452</v>
      </c>
      <c r="D190" s="2" t="s">
        <v>64</v>
      </c>
      <c r="E190" s="2" t="s">
        <v>422</v>
      </c>
      <c r="F190" s="5">
        <f>IFERROR(INDEX(Baseline_Entry!$P:$P,MATCH($B190,Baseline_Entry!$B:$B,0)),"")</f>
        <v>54.230985915492958</v>
      </c>
      <c r="G190" s="5" t="str">
        <f t="shared" si="7"/>
        <v>Yes</v>
      </c>
      <c r="H190" s="5">
        <v>73.864000000000004</v>
      </c>
      <c r="I190" s="5">
        <v>75.900000000000006</v>
      </c>
      <c r="J190" s="5">
        <v>2.0360000000000009</v>
      </c>
      <c r="K190" s="5">
        <v>73.959999999999994</v>
      </c>
      <c r="L190" s="5">
        <v>73.5</v>
      </c>
      <c r="M190" s="5">
        <v>-0.45999999999999369</v>
      </c>
      <c r="N190" s="5">
        <v>77.959999999999994</v>
      </c>
      <c r="O190" s="5">
        <v>74.5</v>
      </c>
      <c r="P190" s="5">
        <v>-3.4599999999999942</v>
      </c>
      <c r="Q190" s="5">
        <v>82</v>
      </c>
      <c r="R190" s="5">
        <v>89</v>
      </c>
      <c r="S190" s="5">
        <v>7</v>
      </c>
      <c r="T190" s="5">
        <v>63.5</v>
      </c>
      <c r="U190" s="5">
        <v>80</v>
      </c>
      <c r="V190" s="5">
        <v>16.5</v>
      </c>
      <c r="W190" s="5">
        <v>71.900000000000006</v>
      </c>
      <c r="X190" s="5">
        <v>62.5</v>
      </c>
      <c r="Y190" s="5">
        <v>-9.4000000000000057</v>
      </c>
      <c r="Z190" s="2" t="str">
        <f t="shared" si="10"/>
        <v>Low starter</v>
      </c>
      <c r="AA190" s="2" t="s">
        <v>99</v>
      </c>
      <c r="AB190" s="2" t="s">
        <v>99</v>
      </c>
      <c r="AC190" s="2">
        <v>0</v>
      </c>
      <c r="AD190" s="2" t="str">
        <f>IFERROR(INDEX(University_Exit!$D:$D,MATCH($B190,University_Exit!$B:$B,0)),"")</f>
        <v>Cardiff University</v>
      </c>
      <c r="AE190" s="2" t="str">
        <f>IFERROR(INDEX(University_Exit!$F:$F,MATCH($B190,University_Exit!$B:$B,0)),"")</f>
        <v>Computer Science</v>
      </c>
      <c r="AF190" s="2" t="str">
        <f>IFERROR(INDEX(University_Exit!$L:$L,MATCH($B190,University_Exit!$B:$B,0)),"")</f>
        <v>Yes</v>
      </c>
      <c r="AG190" s="2">
        <f>IFERROR(INDEX(University_Exit!$H:$H,MATCH($B190,University_Exit!$B:$B,0)),"")</f>
        <v>74.05</v>
      </c>
      <c r="AH190" s="6">
        <f>IFERROR(INDEX(University_Exit!$K:$K,MATCH($B190,University_Exit!$B:$B,0)),"")</f>
        <v>960</v>
      </c>
      <c r="AI190" s="2">
        <f>IFERROR(INDEX(University_Exit!$G:$G,MATCH($B190,University_Exit!$B:$B,0)),"")</f>
        <v>0</v>
      </c>
      <c r="AJ190">
        <f>IFERROR(INDEX(Baseline_Entry!$N:$N,MATCH($B190,Baseline_Entry!$B:$B,0)),"")</f>
        <v>93</v>
      </c>
      <c r="AK190">
        <f>IFERROR(INDEX(Cognitive_Profile!$E:$E,MATCH($B190,Cognitive_Profile!$B:$B,0)),"")</f>
        <v>93</v>
      </c>
      <c r="AL190">
        <f t="shared" si="8"/>
        <v>0</v>
      </c>
      <c r="AM190">
        <f>IFERROR(INDEX(Participation_By_Student!$D:$D,MATCH($B190,Participation_By_Student!$B:$B,0)),"")</f>
        <v>2</v>
      </c>
      <c r="AN190">
        <f>IFERROR(INDEX(Participation_By_Student!$E:$E,MATCH($B190,Participation_By_Student!$B:$B,0)),"")</f>
        <v>3</v>
      </c>
      <c r="AO190">
        <f>IFERROR(INDEX(Participation_By_Student!$F:$F,MATCH($B190,Participation_By_Student!$B:$B,0)),"")</f>
        <v>0</v>
      </c>
      <c r="AP190">
        <f>IFERROR(INDEX(Participation_By_Student!$G:$G,MATCH($B190,Participation_By_Student!$B:$B,0)),"")</f>
        <v>3</v>
      </c>
    </row>
    <row r="191" spans="1:42" x14ac:dyDescent="0.3">
      <c r="A191" s="2" t="s">
        <v>419</v>
      </c>
      <c r="B191" s="2" t="s">
        <v>453</v>
      </c>
      <c r="C191" s="2" t="s">
        <v>454</v>
      </c>
      <c r="D191" s="2" t="s">
        <v>64</v>
      </c>
      <c r="E191" s="2" t="s">
        <v>422</v>
      </c>
      <c r="F191" s="5">
        <f>IFERROR(INDEX(Baseline_Entry!$P:$P,MATCH($B191,Baseline_Entry!$B:$B,0)),"")</f>
        <v>69.479812206572774</v>
      </c>
      <c r="G191" s="5" t="str">
        <f t="shared" si="7"/>
        <v>Yes</v>
      </c>
      <c r="H191" s="5">
        <v>89.84</v>
      </c>
      <c r="I191" s="5">
        <v>92.975999999999999</v>
      </c>
      <c r="J191" s="5">
        <v>3.1359999999999961</v>
      </c>
      <c r="K191" s="5">
        <v>83.65</v>
      </c>
      <c r="L191" s="5">
        <v>91.69</v>
      </c>
      <c r="M191" s="5">
        <v>8.039999999999992</v>
      </c>
      <c r="N191" s="5">
        <v>88.65</v>
      </c>
      <c r="O191" s="5">
        <v>92.69</v>
      </c>
      <c r="P191" s="5">
        <v>4.039999999999992</v>
      </c>
      <c r="Q191" s="5">
        <v>95</v>
      </c>
      <c r="R191" s="5">
        <v>99</v>
      </c>
      <c r="S191" s="5">
        <v>4</v>
      </c>
      <c r="T191" s="5">
        <v>96.5</v>
      </c>
      <c r="U191" s="5">
        <v>90</v>
      </c>
      <c r="V191" s="5">
        <v>-6.5</v>
      </c>
      <c r="W191" s="5">
        <v>85.4</v>
      </c>
      <c r="X191" s="5">
        <v>91.5</v>
      </c>
      <c r="Y191" s="5">
        <v>6.0999999999999943</v>
      </c>
      <c r="Z191" s="2" t="str">
        <f t="shared" si="10"/>
        <v>Low starter</v>
      </c>
      <c r="AA191" s="2" t="s">
        <v>65</v>
      </c>
      <c r="AB191" s="2" t="s">
        <v>66</v>
      </c>
      <c r="AC191" s="2">
        <v>1</v>
      </c>
      <c r="AD191" s="2" t="str">
        <f>IFERROR(INDEX(University_Exit!$D:$D,MATCH($B191,University_Exit!$B:$B,0)),"")</f>
        <v>PennState University</v>
      </c>
      <c r="AE191" s="2" t="str">
        <f>IFERROR(INDEX(University_Exit!$F:$F,MATCH($B191,University_Exit!$B:$B,0)),"")</f>
        <v>Petroleum Engineering</v>
      </c>
      <c r="AF191" s="2" t="str">
        <f>IFERROR(INDEX(University_Exit!$L:$L,MATCH($B191,University_Exit!$B:$B,0)),"")</f>
        <v>Yes</v>
      </c>
      <c r="AG191" s="2">
        <f>IFERROR(INDEX(University_Exit!$H:$H,MATCH($B191,University_Exit!$B:$B,0)),"")</f>
        <v>92.69</v>
      </c>
      <c r="AH191" s="6">
        <f>IFERROR(INDEX(University_Exit!$K:$K,MATCH($B191,University_Exit!$B:$B,0)),"")</f>
        <v>1150</v>
      </c>
      <c r="AI191" s="2">
        <f>IFERROR(INDEX(University_Exit!$G:$G,MATCH($B191,University_Exit!$B:$B,0)),"")</f>
        <v>0</v>
      </c>
      <c r="AJ191">
        <f>IFERROR(INDEX(Baseline_Entry!$N:$N,MATCH($B191,Baseline_Entry!$B:$B,0)),"")</f>
        <v>104</v>
      </c>
      <c r="AK191">
        <f>IFERROR(INDEX(Cognitive_Profile!$E:$E,MATCH($B191,Cognitive_Profile!$B:$B,0)),"")</f>
        <v>104</v>
      </c>
      <c r="AL191">
        <f t="shared" si="8"/>
        <v>0</v>
      </c>
      <c r="AM191">
        <f>IFERROR(INDEX(Participation_By_Student!$D:$D,MATCH($B191,Participation_By_Student!$B:$B,0)),"")</f>
        <v>1</v>
      </c>
      <c r="AN191">
        <f>IFERROR(INDEX(Participation_By_Student!$E:$E,MATCH($B191,Participation_By_Student!$B:$B,0)),"")</f>
        <v>1</v>
      </c>
      <c r="AO191">
        <f>IFERROR(INDEX(Participation_By_Student!$F:$F,MATCH($B191,Participation_By_Student!$B:$B,0)),"")</f>
        <v>0</v>
      </c>
      <c r="AP191">
        <f>IFERROR(INDEX(Participation_By_Student!$G:$G,MATCH($B191,Participation_By_Student!$B:$B,0)),"")</f>
        <v>1</v>
      </c>
    </row>
    <row r="192" spans="1:42" x14ac:dyDescent="0.3">
      <c r="A192" s="2" t="s">
        <v>419</v>
      </c>
      <c r="B192" s="2" t="s">
        <v>455</v>
      </c>
      <c r="C192" s="2" t="s">
        <v>456</v>
      </c>
      <c r="D192" s="2" t="s">
        <v>64</v>
      </c>
      <c r="E192" s="2" t="s">
        <v>422</v>
      </c>
      <c r="F192" s="5">
        <f>IFERROR(INDEX(Baseline_Entry!$P:$P,MATCH($B192,Baseline_Entry!$B:$B,0)),"")</f>
        <v>61.074178403755866</v>
      </c>
      <c r="G192" s="5" t="str">
        <f t="shared" si="7"/>
        <v>Yes</v>
      </c>
      <c r="H192" s="5">
        <v>81.907999999999987</v>
      </c>
      <c r="I192" s="5">
        <v>84.5</v>
      </c>
      <c r="J192" s="5">
        <v>2.592000000000013</v>
      </c>
      <c r="K192" s="5">
        <v>81.27</v>
      </c>
      <c r="L192" s="5">
        <v>84.75</v>
      </c>
      <c r="M192" s="5">
        <v>3.480000000000004</v>
      </c>
      <c r="N192" s="5">
        <v>85.27</v>
      </c>
      <c r="O192" s="5">
        <v>85.75</v>
      </c>
      <c r="P192" s="5">
        <v>0.48000000000000398</v>
      </c>
      <c r="Q192" s="5">
        <v>87.5</v>
      </c>
      <c r="R192" s="5">
        <v>95.5</v>
      </c>
      <c r="S192" s="5">
        <v>8</v>
      </c>
      <c r="T192" s="5">
        <v>75</v>
      </c>
      <c r="U192" s="5">
        <v>79.5</v>
      </c>
      <c r="V192" s="5">
        <v>4.5</v>
      </c>
      <c r="W192" s="5">
        <v>80.5</v>
      </c>
      <c r="X192" s="5">
        <v>77</v>
      </c>
      <c r="Y192" s="5">
        <v>-3.5</v>
      </c>
      <c r="Z192" s="2" t="str">
        <f t="shared" si="10"/>
        <v>Low starter</v>
      </c>
      <c r="AA192" s="2" t="s">
        <v>65</v>
      </c>
      <c r="AB192" s="2" t="s">
        <v>65</v>
      </c>
      <c r="AC192" s="2">
        <v>0</v>
      </c>
      <c r="AD192" s="2" t="str">
        <f>IFERROR(INDEX(University_Exit!$D:$D,MATCH($B192,University_Exit!$B:$B,0)),"")</f>
        <v>Hamad Bin Khalifa University</v>
      </c>
      <c r="AE192" s="2" t="str">
        <f>IFERROR(INDEX(University_Exit!$F:$F,MATCH($B192,University_Exit!$B:$B,0)),"")</f>
        <v>Mechanical Engineering</v>
      </c>
      <c r="AF192" s="2" t="str">
        <f>IFERROR(INDEX(University_Exit!$L:$L,MATCH($B192,University_Exit!$B:$B,0)),"")</f>
        <v>Yes</v>
      </c>
      <c r="AG192" s="2">
        <f>IFERROR(INDEX(University_Exit!$H:$H,MATCH($B192,University_Exit!$B:$B,0)),"")</f>
        <v>85.75</v>
      </c>
      <c r="AH192" s="6">
        <f>IFERROR(INDEX(University_Exit!$K:$K,MATCH($B192,University_Exit!$B:$B,0)),"")</f>
        <v>1020</v>
      </c>
      <c r="AI192" s="2">
        <f>IFERROR(INDEX(University_Exit!$G:$G,MATCH($B192,University_Exit!$B:$B,0)),"")</f>
        <v>0</v>
      </c>
      <c r="AJ192">
        <f>IFERROR(INDEX(Baseline_Entry!$N:$N,MATCH($B192,Baseline_Entry!$B:$B,0)),"")</f>
        <v>100</v>
      </c>
      <c r="AK192">
        <f>IFERROR(INDEX(Cognitive_Profile!$E:$E,MATCH($B192,Cognitive_Profile!$B:$B,0)),"")</f>
        <v>100</v>
      </c>
      <c r="AL192">
        <f t="shared" si="8"/>
        <v>0</v>
      </c>
      <c r="AM192">
        <f>IFERROR(INDEX(Participation_By_Student!$D:$D,MATCH($B192,Participation_By_Student!$B:$B,0)),"")</f>
        <v>1</v>
      </c>
      <c r="AN192">
        <f>IFERROR(INDEX(Participation_By_Student!$E:$E,MATCH($B192,Participation_By_Student!$B:$B,0)),"")</f>
        <v>1</v>
      </c>
      <c r="AO192">
        <f>IFERROR(INDEX(Participation_By_Student!$F:$F,MATCH($B192,Participation_By_Student!$B:$B,0)),"")</f>
        <v>0</v>
      </c>
      <c r="AP192">
        <f>IFERROR(INDEX(Participation_By_Student!$G:$G,MATCH($B192,Participation_By_Student!$B:$B,0)),"")</f>
        <v>1</v>
      </c>
    </row>
    <row r="193" spans="1:42" x14ac:dyDescent="0.3">
      <c r="A193" s="2" t="s">
        <v>419</v>
      </c>
      <c r="B193" s="2" t="s">
        <v>457</v>
      </c>
      <c r="C193" s="2" t="s">
        <v>458</v>
      </c>
      <c r="D193" s="2" t="s">
        <v>64</v>
      </c>
      <c r="E193" s="2" t="s">
        <v>422</v>
      </c>
      <c r="F193" s="5">
        <f>IFERROR(INDEX(Baseline_Entry!$P:$P,MATCH($B193,Baseline_Entry!$B:$B,0)),"")</f>
        <v>60.845070422535208</v>
      </c>
      <c r="G193" s="5" t="str">
        <f t="shared" si="7"/>
        <v>Yes</v>
      </c>
      <c r="H193" s="5">
        <v>85.296000000000006</v>
      </c>
      <c r="I193" s="5">
        <v>94.251999999999995</v>
      </c>
      <c r="J193" s="5">
        <v>8.9559999999999889</v>
      </c>
      <c r="K193" s="5">
        <v>81.040000000000006</v>
      </c>
      <c r="L193" s="5">
        <v>88.88</v>
      </c>
      <c r="M193" s="5">
        <v>7.8399999999999892</v>
      </c>
      <c r="N193" s="5">
        <v>87.04</v>
      </c>
      <c r="O193" s="5">
        <v>94.88</v>
      </c>
      <c r="P193" s="5">
        <v>7.8399999999999892</v>
      </c>
      <c r="Q193" s="5">
        <v>90.5</v>
      </c>
      <c r="R193" s="5">
        <v>98.5</v>
      </c>
      <c r="S193" s="5">
        <v>8</v>
      </c>
      <c r="T193" s="5">
        <v>91</v>
      </c>
      <c r="U193" s="5">
        <v>97</v>
      </c>
      <c r="V193" s="5">
        <v>6</v>
      </c>
      <c r="W193" s="5">
        <v>76.900000000000006</v>
      </c>
      <c r="X193" s="5">
        <v>92</v>
      </c>
      <c r="Y193" s="5">
        <v>15.099999999999991</v>
      </c>
      <c r="Z193" s="2" t="str">
        <f t="shared" si="10"/>
        <v>Low starter</v>
      </c>
      <c r="AA193" s="2" t="s">
        <v>65</v>
      </c>
      <c r="AB193" s="2" t="s">
        <v>66</v>
      </c>
      <c r="AC193" s="2">
        <v>1</v>
      </c>
      <c r="AD193" s="2" t="str">
        <f>IFERROR(INDEX(University_Exit!$D:$D,MATCH($B193,University_Exit!$B:$B,0)),"")</f>
        <v>University of Nottingham</v>
      </c>
      <c r="AE193" s="2" t="str">
        <f>IFERROR(INDEX(University_Exit!$F:$F,MATCH($B193,University_Exit!$B:$B,0)),"")</f>
        <v>Mechanical Engineering</v>
      </c>
      <c r="AF193" s="2" t="str">
        <f>IFERROR(INDEX(University_Exit!$L:$L,MATCH($B193,University_Exit!$B:$B,0)),"")</f>
        <v>Yes</v>
      </c>
      <c r="AG193" s="2">
        <f>IFERROR(INDEX(University_Exit!$H:$H,MATCH($B193,University_Exit!$B:$B,0)),"")</f>
        <v>94.88</v>
      </c>
      <c r="AH193" s="6">
        <f>IFERROR(INDEX(University_Exit!$K:$K,MATCH($B193,University_Exit!$B:$B,0)),"")</f>
        <v>1150</v>
      </c>
      <c r="AI193" s="2">
        <f>IFERROR(INDEX(University_Exit!$G:$G,MATCH($B193,University_Exit!$B:$B,0)),"")</f>
        <v>0</v>
      </c>
      <c r="AJ193">
        <f>IFERROR(INDEX(Baseline_Entry!$N:$N,MATCH($B193,Baseline_Entry!$B:$B,0)),"")</f>
        <v>103</v>
      </c>
      <c r="AK193">
        <f>IFERROR(INDEX(Cognitive_Profile!$E:$E,MATCH($B193,Cognitive_Profile!$B:$B,0)),"")</f>
        <v>103</v>
      </c>
      <c r="AL193">
        <f t="shared" si="8"/>
        <v>0</v>
      </c>
      <c r="AM193">
        <f>IFERROR(INDEX(Participation_By_Student!$D:$D,MATCH($B193,Participation_By_Student!$B:$B,0)),"")</f>
        <v>1</v>
      </c>
      <c r="AN193">
        <f>IFERROR(INDEX(Participation_By_Student!$E:$E,MATCH($B193,Participation_By_Student!$B:$B,0)),"")</f>
        <v>2</v>
      </c>
      <c r="AO193">
        <f>IFERROR(INDEX(Participation_By_Student!$F:$F,MATCH($B193,Participation_By_Student!$B:$B,0)),"")</f>
        <v>1</v>
      </c>
      <c r="AP193">
        <f>IFERROR(INDEX(Participation_By_Student!$G:$G,MATCH($B193,Participation_By_Student!$B:$B,0)),"")</f>
        <v>2</v>
      </c>
    </row>
    <row r="194" spans="1:42" x14ac:dyDescent="0.3">
      <c r="A194" s="2" t="s">
        <v>419</v>
      </c>
      <c r="B194" s="2" t="s">
        <v>459</v>
      </c>
      <c r="C194" s="2" t="s">
        <v>460</v>
      </c>
      <c r="D194" s="2" t="s">
        <v>64</v>
      </c>
      <c r="E194" s="2" t="s">
        <v>422</v>
      </c>
      <c r="F194" s="5">
        <f>IFERROR(INDEX(Baseline_Entry!$P:$P,MATCH($B194,Baseline_Entry!$B:$B,0)),"")</f>
        <v>54.807511737089193</v>
      </c>
      <c r="G194" s="5" t="str">
        <f t="shared" ref="G194:G257" si="11">IF(F194="","No","Yes")</f>
        <v>Yes</v>
      </c>
      <c r="H194" s="5">
        <v>89.679999999999993</v>
      </c>
      <c r="I194" s="5">
        <v>95.775999999999996</v>
      </c>
      <c r="J194" s="5">
        <v>6.0960000000000036</v>
      </c>
      <c r="K194" s="5">
        <v>85.15</v>
      </c>
      <c r="L194" s="5">
        <v>95.69</v>
      </c>
      <c r="M194" s="5">
        <v>10.53999999999999</v>
      </c>
      <c r="N194" s="5">
        <v>90.15</v>
      </c>
      <c r="O194" s="5">
        <v>95.69</v>
      </c>
      <c r="P194" s="5">
        <v>5.539999999999992</v>
      </c>
      <c r="Q194" s="5">
        <v>88.5</v>
      </c>
      <c r="R194" s="5">
        <v>97</v>
      </c>
      <c r="S194" s="5">
        <v>8.5</v>
      </c>
      <c r="T194" s="5">
        <v>97</v>
      </c>
      <c r="U194" s="5">
        <v>94</v>
      </c>
      <c r="V194" s="5">
        <v>-3</v>
      </c>
      <c r="W194" s="5">
        <v>87.6</v>
      </c>
      <c r="X194" s="5">
        <v>96.5</v>
      </c>
      <c r="Y194" s="5">
        <v>8.9000000000000057</v>
      </c>
      <c r="Z194" s="2" t="str">
        <f t="shared" si="10"/>
        <v>Low starter</v>
      </c>
      <c r="AA194" s="2" t="s">
        <v>65</v>
      </c>
      <c r="AB194" s="2" t="s">
        <v>66</v>
      </c>
      <c r="AC194" s="2">
        <v>1</v>
      </c>
      <c r="AD194" s="2" t="str">
        <f>IFERROR(INDEX(University_Exit!$D:$D,MATCH($B194,University_Exit!$B:$B,0)),"")</f>
        <v>Qatar University</v>
      </c>
      <c r="AE194" s="2" t="str">
        <f>IFERROR(INDEX(University_Exit!$F:$F,MATCH($B194,University_Exit!$B:$B,0)),"")</f>
        <v>Chemical Engineering</v>
      </c>
      <c r="AF194" s="2" t="str">
        <f>IFERROR(INDEX(University_Exit!$L:$L,MATCH($B194,University_Exit!$B:$B,0)),"")</f>
        <v>Yes</v>
      </c>
      <c r="AG194" s="2">
        <f>IFERROR(INDEX(University_Exit!$H:$H,MATCH($B194,University_Exit!$B:$B,0)),"")</f>
        <v>95.69</v>
      </c>
      <c r="AH194" s="6">
        <f>IFERROR(INDEX(University_Exit!$K:$K,MATCH($B194,University_Exit!$B:$B,0)),"")</f>
        <v>870</v>
      </c>
      <c r="AI194" s="2">
        <f>IFERROR(INDEX(University_Exit!$G:$G,MATCH($B194,University_Exit!$B:$B,0)),"")</f>
        <v>0</v>
      </c>
      <c r="AJ194">
        <f>IFERROR(INDEX(Baseline_Entry!$N:$N,MATCH($B194,Baseline_Entry!$B:$B,0)),"")</f>
        <v>100</v>
      </c>
      <c r="AK194">
        <f>IFERROR(INDEX(Cognitive_Profile!$E:$E,MATCH($B194,Cognitive_Profile!$B:$B,0)),"")</f>
        <v>100</v>
      </c>
      <c r="AL194">
        <f t="shared" ref="AL194:AL257" si="12">IF(OR(AJ194="",AK194=""),"",AK194-AJ194)</f>
        <v>0</v>
      </c>
      <c r="AM194">
        <f>IFERROR(INDEX(Participation_By_Student!$D:$D,MATCH($B194,Participation_By_Student!$B:$B,0)),"")</f>
        <v>1</v>
      </c>
      <c r="AN194">
        <f>IFERROR(INDEX(Participation_By_Student!$E:$E,MATCH($B194,Participation_By_Student!$B:$B,0)),"")</f>
        <v>2</v>
      </c>
      <c r="AO194">
        <f>IFERROR(INDEX(Participation_By_Student!$F:$F,MATCH($B194,Participation_By_Student!$B:$B,0)),"")</f>
        <v>1</v>
      </c>
      <c r="AP194">
        <f>IFERROR(INDEX(Participation_By_Student!$G:$G,MATCH($B194,Participation_By_Student!$B:$B,0)),"")</f>
        <v>2</v>
      </c>
    </row>
    <row r="195" spans="1:42" x14ac:dyDescent="0.3">
      <c r="A195" s="2" t="s">
        <v>419</v>
      </c>
      <c r="B195" s="2" t="s">
        <v>461</v>
      </c>
      <c r="C195" s="2" t="s">
        <v>462</v>
      </c>
      <c r="D195" s="2" t="s">
        <v>64</v>
      </c>
      <c r="E195" s="2" t="s">
        <v>422</v>
      </c>
      <c r="F195" s="5">
        <f>IFERROR(INDEX(Baseline_Entry!$P:$P,MATCH($B195,Baseline_Entry!$B:$B,0)),"")</f>
        <v>62.514553990610331</v>
      </c>
      <c r="G195" s="5" t="str">
        <f t="shared" si="11"/>
        <v>Yes</v>
      </c>
      <c r="H195" s="5">
        <v>85.715999999999994</v>
      </c>
      <c r="I195" s="5">
        <v>89.4</v>
      </c>
      <c r="J195" s="5">
        <v>3.6840000000000122</v>
      </c>
      <c r="K195" s="5">
        <v>82.89</v>
      </c>
      <c r="L195" s="5">
        <v>86.75</v>
      </c>
      <c r="M195" s="5">
        <v>3.859999999999999</v>
      </c>
      <c r="N195" s="5">
        <v>86.89</v>
      </c>
      <c r="O195" s="5">
        <v>90.75</v>
      </c>
      <c r="P195" s="5">
        <v>3.859999999999999</v>
      </c>
      <c r="Q195" s="5">
        <v>95.5</v>
      </c>
      <c r="R195" s="5">
        <v>98</v>
      </c>
      <c r="S195" s="5">
        <v>2.5</v>
      </c>
      <c r="T195" s="5">
        <v>81.5</v>
      </c>
      <c r="U195" s="5">
        <v>83</v>
      </c>
      <c r="V195" s="5">
        <v>1.5</v>
      </c>
      <c r="W195" s="5">
        <v>81.8</v>
      </c>
      <c r="X195" s="5">
        <v>88.5</v>
      </c>
      <c r="Y195" s="5">
        <v>6.7000000000000028</v>
      </c>
      <c r="Z195" s="2" t="str">
        <f t="shared" si="10"/>
        <v>Low starter</v>
      </c>
      <c r="AA195" s="2" t="s">
        <v>65</v>
      </c>
      <c r="AB195" s="2" t="s">
        <v>65</v>
      </c>
      <c r="AC195" s="2">
        <v>0</v>
      </c>
      <c r="AD195" s="2" t="str">
        <f>IFERROR(INDEX(University_Exit!$D:$D,MATCH($B195,University_Exit!$B:$B,0)),"")</f>
        <v>University of Leeds</v>
      </c>
      <c r="AE195" s="2" t="str">
        <f>IFERROR(INDEX(University_Exit!$F:$F,MATCH($B195,University_Exit!$B:$B,0)),"")</f>
        <v>Chemical Engineering</v>
      </c>
      <c r="AF195" s="2" t="str">
        <f>IFERROR(INDEX(University_Exit!$L:$L,MATCH($B195,University_Exit!$B:$B,0)),"")</f>
        <v>Yes</v>
      </c>
      <c r="AG195" s="2">
        <f>IFERROR(INDEX(University_Exit!$H:$H,MATCH($B195,University_Exit!$B:$B,0)),"")</f>
        <v>90.75</v>
      </c>
      <c r="AH195" s="6">
        <f>IFERROR(INDEX(University_Exit!$K:$K,MATCH($B195,University_Exit!$B:$B,0)),"")</f>
        <v>1250</v>
      </c>
      <c r="AI195" s="2">
        <f>IFERROR(INDEX(University_Exit!$G:$G,MATCH($B195,University_Exit!$B:$B,0)),"")</f>
        <v>0</v>
      </c>
      <c r="AJ195">
        <f>IFERROR(INDEX(Baseline_Entry!$N:$N,MATCH($B195,Baseline_Entry!$B:$B,0)),"")</f>
        <v>105</v>
      </c>
      <c r="AK195">
        <f>IFERROR(INDEX(Cognitive_Profile!$E:$E,MATCH($B195,Cognitive_Profile!$B:$B,0)),"")</f>
        <v>105</v>
      </c>
      <c r="AL195">
        <f t="shared" si="12"/>
        <v>0</v>
      </c>
      <c r="AM195">
        <f>IFERROR(INDEX(Participation_By_Student!$D:$D,MATCH($B195,Participation_By_Student!$B:$B,0)),"")</f>
        <v>13</v>
      </c>
      <c r="AN195">
        <f>IFERROR(INDEX(Participation_By_Student!$E:$E,MATCH($B195,Participation_By_Student!$B:$B,0)),"")</f>
        <v>22</v>
      </c>
      <c r="AO195">
        <f>IFERROR(INDEX(Participation_By_Student!$F:$F,MATCH($B195,Participation_By_Student!$B:$B,0)),"")</f>
        <v>9</v>
      </c>
      <c r="AP195">
        <f>IFERROR(INDEX(Participation_By_Student!$G:$G,MATCH($B195,Participation_By_Student!$B:$B,0)),"")</f>
        <v>24</v>
      </c>
    </row>
    <row r="196" spans="1:42" x14ac:dyDescent="0.3">
      <c r="A196" s="2" t="s">
        <v>419</v>
      </c>
      <c r="B196" s="2" t="s">
        <v>463</v>
      </c>
      <c r="C196" s="2" t="s">
        <v>464</v>
      </c>
      <c r="D196" s="2" t="s">
        <v>64</v>
      </c>
      <c r="E196" s="2" t="s">
        <v>422</v>
      </c>
      <c r="F196" s="5">
        <f>IFERROR(INDEX(Baseline_Entry!$P:$P,MATCH($B196,Baseline_Entry!$B:$B,0)),"")</f>
        <v>67.55492957746479</v>
      </c>
      <c r="G196" s="5" t="str">
        <f t="shared" si="11"/>
        <v>Yes</v>
      </c>
      <c r="H196" s="5">
        <v>88.763999999999996</v>
      </c>
      <c r="I196" s="5">
        <v>90.975999999999999</v>
      </c>
      <c r="J196" s="5">
        <v>2.2120000000000029</v>
      </c>
      <c r="K196" s="5">
        <v>84.81</v>
      </c>
      <c r="L196" s="5">
        <v>86.44</v>
      </c>
      <c r="M196" s="5">
        <v>1.629999999999995</v>
      </c>
      <c r="N196" s="5">
        <v>90.81</v>
      </c>
      <c r="O196" s="5">
        <v>91.44</v>
      </c>
      <c r="P196" s="5">
        <v>0.62999999999999545</v>
      </c>
      <c r="Q196" s="5">
        <v>87.5</v>
      </c>
      <c r="R196" s="5">
        <v>94.5</v>
      </c>
      <c r="S196" s="5">
        <v>7</v>
      </c>
      <c r="T196" s="5">
        <v>89.5</v>
      </c>
      <c r="U196" s="5">
        <v>84</v>
      </c>
      <c r="V196" s="5">
        <v>-5.5</v>
      </c>
      <c r="W196" s="5">
        <v>91.2</v>
      </c>
      <c r="X196" s="5">
        <v>98.5</v>
      </c>
      <c r="Y196" s="5">
        <v>7.2999999999999972</v>
      </c>
      <c r="Z196" s="2" t="str">
        <f t="shared" si="10"/>
        <v>Low starter</v>
      </c>
      <c r="AA196" s="2" t="s">
        <v>65</v>
      </c>
      <c r="AB196" s="2" t="s">
        <v>66</v>
      </c>
      <c r="AC196" s="2">
        <v>1</v>
      </c>
      <c r="AD196" s="2" t="str">
        <f>IFERROR(INDEX(University_Exit!$D:$D,MATCH($B196,University_Exit!$B:$B,0)),"")</f>
        <v>Carnegie Mellon University</v>
      </c>
      <c r="AE196" s="2" t="str">
        <f>IFERROR(INDEX(University_Exit!$F:$F,MATCH($B196,University_Exit!$B:$B,0)),"")</f>
        <v>Information Technology System</v>
      </c>
      <c r="AF196" s="2" t="str">
        <f>IFERROR(INDEX(University_Exit!$L:$L,MATCH($B196,University_Exit!$B:$B,0)),"")</f>
        <v>Yes</v>
      </c>
      <c r="AG196" s="2">
        <f>IFERROR(INDEX(University_Exit!$H:$H,MATCH($B196,University_Exit!$B:$B,0)),"")</f>
        <v>91.44</v>
      </c>
      <c r="AH196" s="6">
        <f>IFERROR(INDEX(University_Exit!$K:$K,MATCH($B196,University_Exit!$B:$B,0)),"")</f>
        <v>1190</v>
      </c>
      <c r="AI196" s="2">
        <f>IFERROR(INDEX(University_Exit!$G:$G,MATCH($B196,University_Exit!$B:$B,0)),"")</f>
        <v>0</v>
      </c>
      <c r="AJ196">
        <f>IFERROR(INDEX(Baseline_Entry!$N:$N,MATCH($B196,Baseline_Entry!$B:$B,0)),"")</f>
        <v>110</v>
      </c>
      <c r="AK196">
        <f>IFERROR(INDEX(Cognitive_Profile!$E:$E,MATCH($B196,Cognitive_Profile!$B:$B,0)),"")</f>
        <v>110</v>
      </c>
      <c r="AL196">
        <f t="shared" si="12"/>
        <v>0</v>
      </c>
      <c r="AM196">
        <f>IFERROR(INDEX(Participation_By_Student!$D:$D,MATCH($B196,Participation_By_Student!$B:$B,0)),"")</f>
        <v>2</v>
      </c>
      <c r="AN196">
        <f>IFERROR(INDEX(Participation_By_Student!$E:$E,MATCH($B196,Participation_By_Student!$B:$B,0)),"")</f>
        <v>3</v>
      </c>
      <c r="AO196">
        <f>IFERROR(INDEX(Participation_By_Student!$F:$F,MATCH($B196,Participation_By_Student!$B:$B,0)),"")</f>
        <v>0</v>
      </c>
      <c r="AP196">
        <f>IFERROR(INDEX(Participation_By_Student!$G:$G,MATCH($B196,Participation_By_Student!$B:$B,0)),"")</f>
        <v>3</v>
      </c>
    </row>
    <row r="197" spans="1:42" x14ac:dyDescent="0.3">
      <c r="A197" s="2" t="s">
        <v>419</v>
      </c>
      <c r="B197" s="2" t="s">
        <v>465</v>
      </c>
      <c r="C197" s="2" t="s">
        <v>466</v>
      </c>
      <c r="D197" s="2" t="s">
        <v>64</v>
      </c>
      <c r="E197" s="2" t="s">
        <v>422</v>
      </c>
      <c r="F197" s="5">
        <f>IFERROR(INDEX(Baseline_Entry!$P:$P,MATCH($B197,Baseline_Entry!$B:$B,0)),"")</f>
        <v>61.87417840375587</v>
      </c>
      <c r="G197" s="5" t="str">
        <f t="shared" si="11"/>
        <v>Yes</v>
      </c>
      <c r="H197" s="5">
        <v>88.54</v>
      </c>
      <c r="I197" s="5">
        <v>96.176000000000002</v>
      </c>
      <c r="J197" s="5">
        <v>7.6359999999999957</v>
      </c>
      <c r="K197" s="5">
        <v>83.65</v>
      </c>
      <c r="L197" s="5">
        <v>90.69</v>
      </c>
      <c r="M197" s="5">
        <v>7.039999999999992</v>
      </c>
      <c r="N197" s="5">
        <v>89.65</v>
      </c>
      <c r="O197" s="5">
        <v>95.69</v>
      </c>
      <c r="P197" s="5">
        <v>6.039999999999992</v>
      </c>
      <c r="Q197" s="5">
        <v>96</v>
      </c>
      <c r="R197" s="5">
        <v>98.5</v>
      </c>
      <c r="S197" s="5">
        <v>2.5</v>
      </c>
      <c r="T197" s="5">
        <v>88</v>
      </c>
      <c r="U197" s="5">
        <v>96</v>
      </c>
      <c r="V197" s="5">
        <v>8</v>
      </c>
      <c r="W197" s="5">
        <v>85.4</v>
      </c>
      <c r="X197" s="5">
        <v>100</v>
      </c>
      <c r="Y197" s="5">
        <v>14.599999999999991</v>
      </c>
      <c r="Z197" s="2" t="str">
        <f t="shared" si="10"/>
        <v>Low starter</v>
      </c>
      <c r="AA197" s="2" t="s">
        <v>65</v>
      </c>
      <c r="AB197" s="2" t="s">
        <v>66</v>
      </c>
      <c r="AC197" s="2">
        <v>1</v>
      </c>
      <c r="AD197" s="2" t="str">
        <f>IFERROR(INDEX(University_Exit!$D:$D,MATCH($B197,University_Exit!$B:$B,0)),"")</f>
        <v>University of Nottingham</v>
      </c>
      <c r="AE197" s="2" t="str">
        <f>IFERROR(INDEX(University_Exit!$F:$F,MATCH($B197,University_Exit!$B:$B,0)),"")</f>
        <v>Mechanical Engineering</v>
      </c>
      <c r="AF197" s="2" t="str">
        <f>IFERROR(INDEX(University_Exit!$L:$L,MATCH($B197,University_Exit!$B:$B,0)),"")</f>
        <v>Yes</v>
      </c>
      <c r="AG197" s="2">
        <f>IFERROR(INDEX(University_Exit!$H:$H,MATCH($B197,University_Exit!$B:$B,0)),"")</f>
        <v>95.69</v>
      </c>
      <c r="AH197" s="6">
        <f>IFERROR(INDEX(University_Exit!$K:$K,MATCH($B197,University_Exit!$B:$B,0)),"")</f>
        <v>1190</v>
      </c>
      <c r="AI197" s="2">
        <f>IFERROR(INDEX(University_Exit!$G:$G,MATCH($B197,University_Exit!$B:$B,0)),"")</f>
        <v>0</v>
      </c>
      <c r="AJ197">
        <f>IFERROR(INDEX(Baseline_Entry!$N:$N,MATCH($B197,Baseline_Entry!$B:$B,0)),"")</f>
        <v>100</v>
      </c>
      <c r="AK197">
        <f>IFERROR(INDEX(Cognitive_Profile!$E:$E,MATCH($B197,Cognitive_Profile!$B:$B,0)),"")</f>
        <v>100</v>
      </c>
      <c r="AL197">
        <f t="shared" si="12"/>
        <v>0</v>
      </c>
      <c r="AM197">
        <f>IFERROR(INDEX(Participation_By_Student!$D:$D,MATCH($B197,Participation_By_Student!$B:$B,0)),"")</f>
        <v>10</v>
      </c>
      <c r="AN197">
        <f>IFERROR(INDEX(Participation_By_Student!$E:$E,MATCH($B197,Participation_By_Student!$B:$B,0)),"")</f>
        <v>19</v>
      </c>
      <c r="AO197">
        <f>IFERROR(INDEX(Participation_By_Student!$F:$F,MATCH($B197,Participation_By_Student!$B:$B,0)),"")</f>
        <v>8</v>
      </c>
      <c r="AP197">
        <f>IFERROR(INDEX(Participation_By_Student!$G:$G,MATCH($B197,Participation_By_Student!$B:$B,0)),"")</f>
        <v>19</v>
      </c>
    </row>
    <row r="198" spans="1:42" x14ac:dyDescent="0.3">
      <c r="A198" s="2" t="s">
        <v>419</v>
      </c>
      <c r="B198" s="2" t="s">
        <v>467</v>
      </c>
      <c r="C198" s="2" t="s">
        <v>468</v>
      </c>
      <c r="D198" s="2" t="s">
        <v>64</v>
      </c>
      <c r="E198" s="2" t="s">
        <v>422</v>
      </c>
      <c r="F198" s="5">
        <f>IFERROR(INDEX(Baseline_Entry!$P:$P,MATCH($B198,Baseline_Entry!$B:$B,0)),"")</f>
        <v>23.708920187793428</v>
      </c>
      <c r="G198" s="5" t="str">
        <f t="shared" si="11"/>
        <v>Yes</v>
      </c>
      <c r="H198" s="5">
        <v>85.015999999999991</v>
      </c>
      <c r="I198" s="5">
        <v>86.7</v>
      </c>
      <c r="J198" s="5">
        <v>1.6840000000000119</v>
      </c>
      <c r="K198" s="5">
        <v>84.19</v>
      </c>
      <c r="L198" s="5">
        <v>84.25</v>
      </c>
      <c r="M198" s="5">
        <v>6.0000000000002267E-2</v>
      </c>
      <c r="N198" s="5">
        <v>88.19</v>
      </c>
      <c r="O198" s="5">
        <v>88.25</v>
      </c>
      <c r="P198" s="5">
        <v>6.0000000000002267E-2</v>
      </c>
      <c r="Q198" s="5">
        <v>86</v>
      </c>
      <c r="R198" s="5">
        <v>89.5</v>
      </c>
      <c r="S198" s="5">
        <v>3.5</v>
      </c>
      <c r="T198" s="5">
        <v>85.5</v>
      </c>
      <c r="U198" s="5">
        <v>88.5</v>
      </c>
      <c r="V198" s="5">
        <v>3</v>
      </c>
      <c r="W198" s="5">
        <v>81.2</v>
      </c>
      <c r="X198" s="5">
        <v>83</v>
      </c>
      <c r="Y198" s="5">
        <v>1.7999999999999969</v>
      </c>
      <c r="Z198" s="2" t="str">
        <f t="shared" si="10"/>
        <v>Low starter</v>
      </c>
      <c r="AA198" s="2" t="s">
        <v>65</v>
      </c>
      <c r="AB198" s="2" t="s">
        <v>65</v>
      </c>
      <c r="AC198" s="2">
        <v>0</v>
      </c>
      <c r="AD198" s="2" t="str">
        <f>IFERROR(INDEX(University_Exit!$D:$D,MATCH($B198,University_Exit!$B:$B,0)),"")</f>
        <v>Qatar University</v>
      </c>
      <c r="AE198" s="2" t="str">
        <f>IFERROR(INDEX(University_Exit!$F:$F,MATCH($B198,University_Exit!$B:$B,0)),"")</f>
        <v>Mechanical Engineering</v>
      </c>
      <c r="AF198" s="2" t="str">
        <f>IFERROR(INDEX(University_Exit!$L:$L,MATCH($B198,University_Exit!$B:$B,0)),"")</f>
        <v>Yes</v>
      </c>
      <c r="AG198" s="2">
        <f>IFERROR(INDEX(University_Exit!$H:$H,MATCH($B198,University_Exit!$B:$B,0)),"")</f>
        <v>88.25</v>
      </c>
      <c r="AH198" s="6">
        <f>IFERROR(INDEX(University_Exit!$K:$K,MATCH($B198,University_Exit!$B:$B,0)),"")</f>
        <v>0</v>
      </c>
      <c r="AI198" s="2">
        <f>IFERROR(INDEX(University_Exit!$G:$G,MATCH($B198,University_Exit!$B:$B,0)),"")</f>
        <v>0</v>
      </c>
      <c r="AJ198">
        <f>IFERROR(INDEX(Baseline_Entry!$N:$N,MATCH($B198,Baseline_Entry!$B:$B,0)),"")</f>
        <v>101</v>
      </c>
      <c r="AK198">
        <f>IFERROR(INDEX(Cognitive_Profile!$E:$E,MATCH($B198,Cognitive_Profile!$B:$B,0)),"")</f>
        <v>101</v>
      </c>
      <c r="AL198">
        <f t="shared" si="12"/>
        <v>0</v>
      </c>
      <c r="AM198">
        <f>IFERROR(INDEX(Participation_By_Student!$D:$D,MATCH($B198,Participation_By_Student!$B:$B,0)),"")</f>
        <v>3</v>
      </c>
      <c r="AN198">
        <f>IFERROR(INDEX(Participation_By_Student!$E:$E,MATCH($B198,Participation_By_Student!$B:$B,0)),"")</f>
        <v>6</v>
      </c>
      <c r="AO198">
        <f>IFERROR(INDEX(Participation_By_Student!$F:$F,MATCH($B198,Participation_By_Student!$B:$B,0)),"")</f>
        <v>0</v>
      </c>
      <c r="AP198">
        <f>IFERROR(INDEX(Participation_By_Student!$G:$G,MATCH($B198,Participation_By_Student!$B:$B,0)),"")</f>
        <v>6</v>
      </c>
    </row>
    <row r="199" spans="1:42" x14ac:dyDescent="0.3">
      <c r="A199" s="2" t="s">
        <v>419</v>
      </c>
      <c r="B199" s="2" t="s">
        <v>469</v>
      </c>
      <c r="C199" s="2" t="s">
        <v>470</v>
      </c>
      <c r="D199" s="2" t="s">
        <v>64</v>
      </c>
      <c r="E199" s="2" t="s">
        <v>422</v>
      </c>
      <c r="F199" s="5">
        <f>IFERROR(INDEX(Baseline_Entry!$P:$P,MATCH($B199,Baseline_Entry!$B:$B,0)),"")</f>
        <v>56.775586854460094</v>
      </c>
      <c r="G199" s="5" t="str">
        <f t="shared" si="11"/>
        <v>Yes</v>
      </c>
      <c r="H199" s="5">
        <v>78.872</v>
      </c>
      <c r="I199" s="5">
        <v>88.024000000000001</v>
      </c>
      <c r="J199" s="5">
        <v>9.152000000000001</v>
      </c>
      <c r="K199" s="5">
        <v>81.73</v>
      </c>
      <c r="L199" s="5">
        <v>82.31</v>
      </c>
      <c r="M199" s="5">
        <v>0.57999999999999829</v>
      </c>
      <c r="N199" s="5">
        <v>81.73</v>
      </c>
      <c r="O199" s="5">
        <v>88.31</v>
      </c>
      <c r="P199" s="5">
        <v>6.5799999999999983</v>
      </c>
      <c r="Q199" s="5">
        <v>84</v>
      </c>
      <c r="R199" s="5">
        <v>92</v>
      </c>
      <c r="S199" s="5">
        <v>8</v>
      </c>
      <c r="T199" s="5">
        <v>76</v>
      </c>
      <c r="U199" s="5">
        <v>88.5</v>
      </c>
      <c r="V199" s="5">
        <v>12.5</v>
      </c>
      <c r="W199" s="5">
        <v>70.900000000000006</v>
      </c>
      <c r="X199" s="5">
        <v>89</v>
      </c>
      <c r="Y199" s="5">
        <v>18.099999999999991</v>
      </c>
      <c r="Z199" s="2" t="str">
        <f t="shared" si="10"/>
        <v>Low starter</v>
      </c>
      <c r="AA199" s="2" t="s">
        <v>99</v>
      </c>
      <c r="AB199" s="2" t="s">
        <v>65</v>
      </c>
      <c r="AC199" s="2">
        <v>1</v>
      </c>
      <c r="AD199" s="2" t="str">
        <f>IFERROR(INDEX(University_Exit!$D:$D,MATCH($B199,University_Exit!$B:$B,0)),"")</f>
        <v>Carnegie Mellon University</v>
      </c>
      <c r="AE199" s="2" t="str">
        <f>IFERROR(INDEX(University_Exit!$F:$F,MATCH($B199,University_Exit!$B:$B,0)),"")</f>
        <v>Information Technology System</v>
      </c>
      <c r="AF199" s="2" t="str">
        <f>IFERROR(INDEX(University_Exit!$L:$L,MATCH($B199,University_Exit!$B:$B,0)),"")</f>
        <v>Yes</v>
      </c>
      <c r="AG199" s="2">
        <f>IFERROR(INDEX(University_Exit!$H:$H,MATCH($B199,University_Exit!$B:$B,0)),"")</f>
        <v>88.31</v>
      </c>
      <c r="AH199" s="6">
        <f>IFERROR(INDEX(University_Exit!$K:$K,MATCH($B199,University_Exit!$B:$B,0)),"")</f>
        <v>1050</v>
      </c>
      <c r="AI199" s="2">
        <f>IFERROR(INDEX(University_Exit!$G:$G,MATCH($B199,University_Exit!$B:$B,0)),"")</f>
        <v>0</v>
      </c>
      <c r="AJ199">
        <f>IFERROR(INDEX(Baseline_Entry!$N:$N,MATCH($B199,Baseline_Entry!$B:$B,0)),"")</f>
        <v>101</v>
      </c>
      <c r="AK199">
        <f>IFERROR(INDEX(Cognitive_Profile!$E:$E,MATCH($B199,Cognitive_Profile!$B:$B,0)),"")</f>
        <v>101</v>
      </c>
      <c r="AL199">
        <f t="shared" si="12"/>
        <v>0</v>
      </c>
      <c r="AM199">
        <f>IFERROR(INDEX(Participation_By_Student!$D:$D,MATCH($B199,Participation_By_Student!$B:$B,0)),"")</f>
        <v>2</v>
      </c>
      <c r="AN199">
        <f>IFERROR(INDEX(Participation_By_Student!$E:$E,MATCH($B199,Participation_By_Student!$B:$B,0)),"")</f>
        <v>2</v>
      </c>
      <c r="AO199">
        <f>IFERROR(INDEX(Participation_By_Student!$F:$F,MATCH($B199,Participation_By_Student!$B:$B,0)),"")</f>
        <v>1</v>
      </c>
      <c r="AP199">
        <f>IFERROR(INDEX(Participation_By_Student!$G:$G,MATCH($B199,Participation_By_Student!$B:$B,0)),"")</f>
        <v>2</v>
      </c>
    </row>
    <row r="200" spans="1:42" x14ac:dyDescent="0.3">
      <c r="A200" s="2" t="s">
        <v>419</v>
      </c>
      <c r="B200" s="2" t="s">
        <v>471</v>
      </c>
      <c r="C200" s="2" t="s">
        <v>472</v>
      </c>
      <c r="D200" s="2" t="s">
        <v>64</v>
      </c>
      <c r="E200" s="2" t="s">
        <v>422</v>
      </c>
      <c r="F200" s="5">
        <f>IFERROR(INDEX(Baseline_Entry!$P:$P,MATCH($B200,Baseline_Entry!$B:$B,0)),"")</f>
        <v>61.340845070422539</v>
      </c>
      <c r="G200" s="5" t="str">
        <f t="shared" si="11"/>
        <v>Yes</v>
      </c>
      <c r="H200" s="5">
        <v>90.16</v>
      </c>
      <c r="I200" s="5">
        <v>91.224000000000004</v>
      </c>
      <c r="J200" s="5">
        <v>1.0640000000000069</v>
      </c>
      <c r="K200" s="5">
        <v>85.85</v>
      </c>
      <c r="L200" s="5">
        <v>87.56</v>
      </c>
      <c r="M200" s="5">
        <v>1.710000000000008</v>
      </c>
      <c r="N200" s="5">
        <v>90.85</v>
      </c>
      <c r="O200" s="5">
        <v>92.56</v>
      </c>
      <c r="P200" s="5">
        <v>1.710000000000008</v>
      </c>
      <c r="Q200" s="5">
        <v>94.5</v>
      </c>
      <c r="R200" s="5">
        <v>95</v>
      </c>
      <c r="S200" s="5">
        <v>0.5</v>
      </c>
      <c r="T200" s="5">
        <v>90</v>
      </c>
      <c r="U200" s="5">
        <v>94.5</v>
      </c>
      <c r="V200" s="5">
        <v>4.5</v>
      </c>
      <c r="W200" s="5">
        <v>89.6</v>
      </c>
      <c r="X200" s="5">
        <v>86.5</v>
      </c>
      <c r="Y200" s="5">
        <v>-3.0999999999999939</v>
      </c>
      <c r="Z200" s="2" t="str">
        <f t="shared" si="10"/>
        <v>Low starter</v>
      </c>
      <c r="AA200" s="2" t="s">
        <v>66</v>
      </c>
      <c r="AB200" s="2" t="s">
        <v>66</v>
      </c>
      <c r="AC200" s="2">
        <v>0</v>
      </c>
      <c r="AD200" s="2" t="str">
        <f>IFERROR(INDEX(University_Exit!$D:$D,MATCH($B200,University_Exit!$B:$B,0)),"")</f>
        <v>Qatar University</v>
      </c>
      <c r="AE200" s="2" t="str">
        <f>IFERROR(INDEX(University_Exit!$F:$F,MATCH($B200,University_Exit!$B:$B,0)),"")</f>
        <v>Mechanical Engineering</v>
      </c>
      <c r="AF200" s="2" t="str">
        <f>IFERROR(INDEX(University_Exit!$L:$L,MATCH($B200,University_Exit!$B:$B,0)),"")</f>
        <v>Yes</v>
      </c>
      <c r="AG200" s="2">
        <f>IFERROR(INDEX(University_Exit!$H:$H,MATCH($B200,University_Exit!$B:$B,0)),"")</f>
        <v>92.56</v>
      </c>
      <c r="AH200" s="6">
        <f>IFERROR(INDEX(University_Exit!$K:$K,MATCH($B200,University_Exit!$B:$B,0)),"")</f>
        <v>1170</v>
      </c>
      <c r="AI200" s="2">
        <f>IFERROR(INDEX(University_Exit!$G:$G,MATCH($B200,University_Exit!$B:$B,0)),"")</f>
        <v>0</v>
      </c>
      <c r="AJ200">
        <f>IFERROR(INDEX(Baseline_Entry!$N:$N,MATCH($B200,Baseline_Entry!$B:$B,0)),"")</f>
        <v>100</v>
      </c>
      <c r="AK200">
        <f>IFERROR(INDEX(Cognitive_Profile!$E:$E,MATCH($B200,Cognitive_Profile!$B:$B,0)),"")</f>
        <v>100</v>
      </c>
      <c r="AL200">
        <f t="shared" si="12"/>
        <v>0</v>
      </c>
      <c r="AM200">
        <f>IFERROR(INDEX(Participation_By_Student!$D:$D,MATCH($B200,Participation_By_Student!$B:$B,0)),"")</f>
        <v>2</v>
      </c>
      <c r="AN200">
        <f>IFERROR(INDEX(Participation_By_Student!$E:$E,MATCH($B200,Participation_By_Student!$B:$B,0)),"")</f>
        <v>4</v>
      </c>
      <c r="AO200">
        <f>IFERROR(INDEX(Participation_By_Student!$F:$F,MATCH($B200,Participation_By_Student!$B:$B,0)),"")</f>
        <v>1</v>
      </c>
      <c r="AP200">
        <f>IFERROR(INDEX(Participation_By_Student!$G:$G,MATCH($B200,Participation_By_Student!$B:$B,0)),"")</f>
        <v>4</v>
      </c>
    </row>
    <row r="201" spans="1:42" x14ac:dyDescent="0.3">
      <c r="A201" s="2" t="s">
        <v>419</v>
      </c>
      <c r="B201" s="2" t="s">
        <v>473</v>
      </c>
      <c r="C201" s="2" t="s">
        <v>474</v>
      </c>
      <c r="D201" s="2" t="s">
        <v>64</v>
      </c>
      <c r="E201" s="2" t="s">
        <v>422</v>
      </c>
      <c r="F201" s="5">
        <f>IFERROR(INDEX(Baseline_Entry!$P:$P,MATCH($B201,Baseline_Entry!$B:$B,0)),"")</f>
        <v>61.106103286384972</v>
      </c>
      <c r="G201" s="5" t="str">
        <f t="shared" si="11"/>
        <v>Yes</v>
      </c>
      <c r="H201" s="5">
        <v>81.872</v>
      </c>
      <c r="I201" s="5">
        <v>90.024000000000001</v>
      </c>
      <c r="J201" s="5">
        <v>8.152000000000001</v>
      </c>
      <c r="K201" s="5">
        <v>80.23</v>
      </c>
      <c r="L201" s="5">
        <v>86.56</v>
      </c>
      <c r="M201" s="5">
        <v>6.3299999999999983</v>
      </c>
      <c r="N201" s="5">
        <v>86.23</v>
      </c>
      <c r="O201" s="5">
        <v>90.56</v>
      </c>
      <c r="P201" s="5">
        <v>4.3299999999999983</v>
      </c>
      <c r="Q201" s="5">
        <v>87</v>
      </c>
      <c r="R201" s="5">
        <v>96</v>
      </c>
      <c r="S201" s="5">
        <v>9</v>
      </c>
      <c r="T201" s="5">
        <v>78.5</v>
      </c>
      <c r="U201" s="5">
        <v>89</v>
      </c>
      <c r="V201" s="5">
        <v>10.5</v>
      </c>
      <c r="W201" s="5">
        <v>77.400000000000006</v>
      </c>
      <c r="X201" s="5">
        <v>88</v>
      </c>
      <c r="Y201" s="5">
        <v>10.599999999999991</v>
      </c>
      <c r="Z201" s="2" t="str">
        <f t="shared" si="10"/>
        <v>Low starter</v>
      </c>
      <c r="AA201" s="2" t="s">
        <v>65</v>
      </c>
      <c r="AB201" s="2" t="s">
        <v>66</v>
      </c>
      <c r="AC201" s="2">
        <v>1</v>
      </c>
      <c r="AD201" s="2" t="str">
        <f>IFERROR(INDEX(University_Exit!$D:$D,MATCH($B201,University_Exit!$B:$B,0)),"")</f>
        <v>George Washington University</v>
      </c>
      <c r="AE201" s="2" t="str">
        <f>IFERROR(INDEX(University_Exit!$F:$F,MATCH($B201,University_Exit!$B:$B,0)),"")</f>
        <v>Mechanical Engineering</v>
      </c>
      <c r="AF201" s="2" t="str">
        <f>IFERROR(INDEX(University_Exit!$L:$L,MATCH($B201,University_Exit!$B:$B,0)),"")</f>
        <v>Yes</v>
      </c>
      <c r="AG201" s="2">
        <f>IFERROR(INDEX(University_Exit!$H:$H,MATCH($B201,University_Exit!$B:$B,0)),"")</f>
        <v>90.56</v>
      </c>
      <c r="AH201" s="6">
        <f>IFERROR(INDEX(University_Exit!$K:$K,MATCH($B201,University_Exit!$B:$B,0)),"")</f>
        <v>420</v>
      </c>
      <c r="AI201" s="2">
        <f>IFERROR(INDEX(University_Exit!$G:$G,MATCH($B201,University_Exit!$B:$B,0)),"")</f>
        <v>0</v>
      </c>
      <c r="AJ201">
        <f>IFERROR(INDEX(Baseline_Entry!$N:$N,MATCH($B201,Baseline_Entry!$B:$B,0)),"")</f>
        <v>99</v>
      </c>
      <c r="AK201">
        <f>IFERROR(INDEX(Cognitive_Profile!$E:$E,MATCH($B201,Cognitive_Profile!$B:$B,0)),"")</f>
        <v>99</v>
      </c>
      <c r="AL201">
        <f t="shared" si="12"/>
        <v>0</v>
      </c>
      <c r="AM201">
        <f>IFERROR(INDEX(Participation_By_Student!$D:$D,MATCH($B201,Participation_By_Student!$B:$B,0)),"")</f>
        <v>8</v>
      </c>
      <c r="AN201">
        <f>IFERROR(INDEX(Participation_By_Student!$E:$E,MATCH($B201,Participation_By_Student!$B:$B,0)),"")</f>
        <v>21</v>
      </c>
      <c r="AO201">
        <f>IFERROR(INDEX(Participation_By_Student!$F:$F,MATCH($B201,Participation_By_Student!$B:$B,0)),"")</f>
        <v>11</v>
      </c>
      <c r="AP201">
        <f>IFERROR(INDEX(Participation_By_Student!$G:$G,MATCH($B201,Participation_By_Student!$B:$B,0)),"")</f>
        <v>25</v>
      </c>
    </row>
    <row r="202" spans="1:42" x14ac:dyDescent="0.3">
      <c r="A202" s="2" t="s">
        <v>419</v>
      </c>
      <c r="B202" s="2" t="s">
        <v>475</v>
      </c>
      <c r="C202" s="2" t="s">
        <v>476</v>
      </c>
      <c r="D202" s="2" t="s">
        <v>64</v>
      </c>
      <c r="E202" s="2" t="s">
        <v>422</v>
      </c>
      <c r="F202" s="5">
        <f>IFERROR(INDEX(Baseline_Entry!$P:$P,MATCH($B202,Baseline_Entry!$B:$B,0)),"")</f>
        <v>61.436619718309856</v>
      </c>
      <c r="G202" s="5" t="str">
        <f t="shared" si="11"/>
        <v>Yes</v>
      </c>
      <c r="H202" s="5">
        <v>86.78</v>
      </c>
      <c r="I202" s="5">
        <v>95.4</v>
      </c>
      <c r="J202" s="5">
        <v>8.6200000000000045</v>
      </c>
      <c r="K202" s="5">
        <v>85.35</v>
      </c>
      <c r="L202" s="5">
        <v>94.75</v>
      </c>
      <c r="M202" s="5">
        <v>9.4000000000000057</v>
      </c>
      <c r="N202" s="5">
        <v>90.35</v>
      </c>
      <c r="O202" s="5">
        <v>95.75</v>
      </c>
      <c r="P202" s="5">
        <v>5.4000000000000057</v>
      </c>
      <c r="Q202" s="5">
        <v>84</v>
      </c>
      <c r="R202" s="5">
        <v>97</v>
      </c>
      <c r="S202" s="5">
        <v>13</v>
      </c>
      <c r="T202" s="5">
        <v>90</v>
      </c>
      <c r="U202" s="5">
        <v>93.5</v>
      </c>
      <c r="V202" s="5">
        <v>3.5</v>
      </c>
      <c r="W202" s="5">
        <v>84.2</v>
      </c>
      <c r="X202" s="5">
        <v>96</v>
      </c>
      <c r="Y202" s="5">
        <v>11.8</v>
      </c>
      <c r="Z202" s="2" t="str">
        <f t="shared" si="10"/>
        <v>Low starter</v>
      </c>
      <c r="AA202" s="2" t="s">
        <v>65</v>
      </c>
      <c r="AB202" s="2" t="s">
        <v>66</v>
      </c>
      <c r="AC202" s="2">
        <v>1</v>
      </c>
      <c r="AD202" s="2" t="str">
        <f>IFERROR(INDEX(University_Exit!$D:$D,MATCH($B202,University_Exit!$B:$B,0)),"")</f>
        <v>Qatar University</v>
      </c>
      <c r="AE202" s="2" t="str">
        <f>IFERROR(INDEX(University_Exit!$F:$F,MATCH($B202,University_Exit!$B:$B,0)),"")</f>
        <v>Mechanical Engineering</v>
      </c>
      <c r="AF202" s="2" t="str">
        <f>IFERROR(INDEX(University_Exit!$L:$L,MATCH($B202,University_Exit!$B:$B,0)),"")</f>
        <v>Yes</v>
      </c>
      <c r="AG202" s="2">
        <f>IFERROR(INDEX(University_Exit!$H:$H,MATCH($B202,University_Exit!$B:$B,0)),"")</f>
        <v>95.75</v>
      </c>
      <c r="AH202" s="6">
        <f>IFERROR(INDEX(University_Exit!$K:$K,MATCH($B202,University_Exit!$B:$B,0)),"")</f>
        <v>1390</v>
      </c>
      <c r="AI202" s="2">
        <f>IFERROR(INDEX(University_Exit!$G:$G,MATCH($B202,University_Exit!$B:$B,0)),"")</f>
        <v>0</v>
      </c>
      <c r="AJ202">
        <f>IFERROR(INDEX(Baseline_Entry!$N:$N,MATCH($B202,Baseline_Entry!$B:$B,0)),"")</f>
        <v>97</v>
      </c>
      <c r="AK202">
        <f>IFERROR(INDEX(Cognitive_Profile!$E:$E,MATCH($B202,Cognitive_Profile!$B:$B,0)),"")</f>
        <v>97</v>
      </c>
      <c r="AL202">
        <f t="shared" si="12"/>
        <v>0</v>
      </c>
      <c r="AM202">
        <f>IFERROR(INDEX(Participation_By_Student!$D:$D,MATCH($B202,Participation_By_Student!$B:$B,0)),"")</f>
        <v>7</v>
      </c>
      <c r="AN202">
        <f>IFERROR(INDEX(Participation_By_Student!$E:$E,MATCH($B202,Participation_By_Student!$B:$B,0)),"")</f>
        <v>22</v>
      </c>
      <c r="AO202">
        <f>IFERROR(INDEX(Participation_By_Student!$F:$F,MATCH($B202,Participation_By_Student!$B:$B,0)),"")</f>
        <v>9</v>
      </c>
      <c r="AP202">
        <f>IFERROR(INDEX(Participation_By_Student!$G:$G,MATCH($B202,Participation_By_Student!$B:$B,0)),"")</f>
        <v>24</v>
      </c>
    </row>
    <row r="203" spans="1:42" x14ac:dyDescent="0.3">
      <c r="A203" s="2" t="s">
        <v>419</v>
      </c>
      <c r="B203" s="2" t="s">
        <v>477</v>
      </c>
      <c r="C203" s="2" t="s">
        <v>478</v>
      </c>
      <c r="D203" s="2" t="s">
        <v>64</v>
      </c>
      <c r="E203" s="2" t="s">
        <v>422</v>
      </c>
      <c r="F203" s="5">
        <f>IFERROR(INDEX(Baseline_Entry!$P:$P,MATCH($B203,Baseline_Entry!$B:$B,0)),"")</f>
        <v>22.300469483568076</v>
      </c>
      <c r="G203" s="5" t="str">
        <f t="shared" si="11"/>
        <v>Yes</v>
      </c>
      <c r="H203" s="5">
        <v>80.760000000000005</v>
      </c>
      <c r="I203" s="5">
        <v>84.775999999999996</v>
      </c>
      <c r="J203" s="5">
        <v>4.0159999999999911</v>
      </c>
      <c r="K203" s="5">
        <v>78.150000000000006</v>
      </c>
      <c r="L203" s="5">
        <v>80.44</v>
      </c>
      <c r="M203" s="5">
        <v>2.289999999999992</v>
      </c>
      <c r="N203" s="5">
        <v>83.15</v>
      </c>
      <c r="O203" s="5">
        <v>85.44</v>
      </c>
      <c r="P203" s="5">
        <v>2.289999999999992</v>
      </c>
      <c r="Q203" s="5">
        <v>83</v>
      </c>
      <c r="R203" s="5">
        <v>91.5</v>
      </c>
      <c r="S203" s="5">
        <v>8.5</v>
      </c>
      <c r="T203" s="5">
        <v>87</v>
      </c>
      <c r="U203" s="5">
        <v>87</v>
      </c>
      <c r="V203" s="5">
        <v>0</v>
      </c>
      <c r="W203" s="5">
        <v>72.5</v>
      </c>
      <c r="X203" s="5">
        <v>79.5</v>
      </c>
      <c r="Y203" s="5">
        <v>7</v>
      </c>
      <c r="Z203" s="2" t="str">
        <f t="shared" si="10"/>
        <v>Low starter</v>
      </c>
      <c r="AA203" s="2" t="s">
        <v>65</v>
      </c>
      <c r="AB203" s="2" t="s">
        <v>65</v>
      </c>
      <c r="AC203" s="2">
        <v>0</v>
      </c>
      <c r="AD203" s="2" t="str">
        <f>IFERROR(INDEX(University_Exit!$D:$D,MATCH($B203,University_Exit!$B:$B,0)),"")</f>
        <v>Hamad Bin Khalifa University</v>
      </c>
      <c r="AE203" s="2" t="str">
        <f>IFERROR(INDEX(University_Exit!$F:$F,MATCH($B203,University_Exit!$B:$B,0)),"")</f>
        <v>Mechanical Engineering</v>
      </c>
      <c r="AF203" s="2" t="str">
        <f>IFERROR(INDEX(University_Exit!$L:$L,MATCH($B203,University_Exit!$B:$B,0)),"")</f>
        <v>Yes</v>
      </c>
      <c r="AG203" s="2">
        <f>IFERROR(INDEX(University_Exit!$H:$H,MATCH($B203,University_Exit!$B:$B,0)),"")</f>
        <v>85.44</v>
      </c>
      <c r="AH203" s="6">
        <f>IFERROR(INDEX(University_Exit!$K:$K,MATCH($B203,University_Exit!$B:$B,0)),"")</f>
        <v>840</v>
      </c>
      <c r="AI203" s="2">
        <f>IFERROR(INDEX(University_Exit!$G:$G,MATCH($B203,University_Exit!$B:$B,0)),"")</f>
        <v>0</v>
      </c>
      <c r="AJ203">
        <f>IFERROR(INDEX(Baseline_Entry!$N:$N,MATCH($B203,Baseline_Entry!$B:$B,0)),"")</f>
        <v>95</v>
      </c>
      <c r="AK203">
        <f>IFERROR(INDEX(Cognitive_Profile!$E:$E,MATCH($B203,Cognitive_Profile!$B:$B,0)),"")</f>
        <v>95</v>
      </c>
      <c r="AL203">
        <f t="shared" si="12"/>
        <v>0</v>
      </c>
      <c r="AM203">
        <f>IFERROR(INDEX(Participation_By_Student!$D:$D,MATCH($B203,Participation_By_Student!$B:$B,0)),"")</f>
        <v>1</v>
      </c>
      <c r="AN203">
        <f>IFERROR(INDEX(Participation_By_Student!$E:$E,MATCH($B203,Participation_By_Student!$B:$B,0)),"")</f>
        <v>4</v>
      </c>
      <c r="AO203">
        <f>IFERROR(INDEX(Participation_By_Student!$F:$F,MATCH($B203,Participation_By_Student!$B:$B,0)),"")</f>
        <v>1</v>
      </c>
      <c r="AP203">
        <f>IFERROR(INDEX(Participation_By_Student!$G:$G,MATCH($B203,Participation_By_Student!$B:$B,0)),"")</f>
        <v>4</v>
      </c>
    </row>
    <row r="204" spans="1:42" x14ac:dyDescent="0.3">
      <c r="A204" s="2" t="s">
        <v>419</v>
      </c>
      <c r="B204" s="2" t="s">
        <v>479</v>
      </c>
      <c r="C204" s="2" t="s">
        <v>480</v>
      </c>
      <c r="D204" s="2" t="s">
        <v>64</v>
      </c>
      <c r="E204" s="2" t="s">
        <v>422</v>
      </c>
      <c r="F204" s="5">
        <f>IFERROR(INDEX(Baseline_Entry!$P:$P,MATCH($B204,Baseline_Entry!$B:$B,0)),"")</f>
        <v>53.72957746478874</v>
      </c>
      <c r="G204" s="5" t="str">
        <f t="shared" si="11"/>
        <v>Yes</v>
      </c>
      <c r="H204" s="5">
        <v>80.804000000000002</v>
      </c>
      <c r="I204" s="5">
        <v>93.075999999999993</v>
      </c>
      <c r="J204" s="5">
        <v>12.27199999999999</v>
      </c>
      <c r="K204" s="5">
        <v>78.959999999999994</v>
      </c>
      <c r="L204" s="5">
        <v>92.19</v>
      </c>
      <c r="M204" s="5">
        <v>13.23</v>
      </c>
      <c r="N204" s="5">
        <v>84.96</v>
      </c>
      <c r="O204" s="5">
        <v>94.19</v>
      </c>
      <c r="P204" s="5">
        <v>9.230000000000004</v>
      </c>
      <c r="Q204" s="5">
        <v>83</v>
      </c>
      <c r="R204" s="5">
        <v>93.5</v>
      </c>
      <c r="S204" s="5">
        <v>10.5</v>
      </c>
      <c r="T204" s="5">
        <v>77</v>
      </c>
      <c r="U204" s="5">
        <v>89</v>
      </c>
      <c r="V204" s="5">
        <v>12</v>
      </c>
      <c r="W204" s="5">
        <v>80.099999999999994</v>
      </c>
      <c r="X204" s="5">
        <v>96.5</v>
      </c>
      <c r="Y204" s="5">
        <v>16.400000000000009</v>
      </c>
      <c r="Z204" s="2" t="str">
        <f t="shared" si="10"/>
        <v>Low starter</v>
      </c>
      <c r="AA204" s="2" t="s">
        <v>65</v>
      </c>
      <c r="AB204" s="2" t="s">
        <v>66</v>
      </c>
      <c r="AC204" s="2">
        <v>1</v>
      </c>
      <c r="AD204" s="2" t="str">
        <f>IFERROR(INDEX(University_Exit!$D:$D,MATCH($B204,University_Exit!$B:$B,0)),"")</f>
        <v>Qatar University</v>
      </c>
      <c r="AE204" s="2" t="str">
        <f>IFERROR(INDEX(University_Exit!$F:$F,MATCH($B204,University_Exit!$B:$B,0)),"")</f>
        <v>General Medicine</v>
      </c>
      <c r="AF204" s="2" t="str">
        <f>IFERROR(INDEX(University_Exit!$L:$L,MATCH($B204,University_Exit!$B:$B,0)),"")</f>
        <v>Yes</v>
      </c>
      <c r="AG204" s="2">
        <f>IFERROR(INDEX(University_Exit!$H:$H,MATCH($B204,University_Exit!$B:$B,0)),"")</f>
        <v>94.19</v>
      </c>
      <c r="AH204" s="6">
        <f>IFERROR(INDEX(University_Exit!$K:$K,MATCH($B204,University_Exit!$B:$B,0)),"")</f>
        <v>1130</v>
      </c>
      <c r="AI204" s="2">
        <f>IFERROR(INDEX(University_Exit!$G:$G,MATCH($B204,University_Exit!$B:$B,0)),"")</f>
        <v>0</v>
      </c>
      <c r="AJ204">
        <f>IFERROR(INDEX(Baseline_Entry!$N:$N,MATCH($B204,Baseline_Entry!$B:$B,0)),"")</f>
        <v>92</v>
      </c>
      <c r="AK204">
        <f>IFERROR(INDEX(Cognitive_Profile!$E:$E,MATCH($B204,Cognitive_Profile!$B:$B,0)),"")</f>
        <v>92</v>
      </c>
      <c r="AL204">
        <f t="shared" si="12"/>
        <v>0</v>
      </c>
      <c r="AM204">
        <f>IFERROR(INDEX(Participation_By_Student!$D:$D,MATCH($B204,Participation_By_Student!$B:$B,0)),"")</f>
        <v>4</v>
      </c>
      <c r="AN204">
        <f>IFERROR(INDEX(Participation_By_Student!$E:$E,MATCH($B204,Participation_By_Student!$B:$B,0)),"")</f>
        <v>7</v>
      </c>
      <c r="AO204">
        <f>IFERROR(INDEX(Participation_By_Student!$F:$F,MATCH($B204,Participation_By_Student!$B:$B,0)),"")</f>
        <v>1</v>
      </c>
      <c r="AP204">
        <f>IFERROR(INDEX(Participation_By_Student!$G:$G,MATCH($B204,Participation_By_Student!$B:$B,0)),"")</f>
        <v>7</v>
      </c>
    </row>
    <row r="205" spans="1:42" x14ac:dyDescent="0.3">
      <c r="A205" s="2" t="s">
        <v>419</v>
      </c>
      <c r="B205" s="2" t="s">
        <v>481</v>
      </c>
      <c r="C205" s="2" t="s">
        <v>482</v>
      </c>
      <c r="D205" s="2" t="s">
        <v>64</v>
      </c>
      <c r="E205" s="2" t="s">
        <v>422</v>
      </c>
      <c r="F205" s="5">
        <f>IFERROR(INDEX(Baseline_Entry!$P:$P,MATCH($B205,Baseline_Entry!$B:$B,0)),"")</f>
        <v>74.531455399061031</v>
      </c>
      <c r="G205" s="5" t="str">
        <f t="shared" si="11"/>
        <v>Yes</v>
      </c>
      <c r="H205" s="5">
        <v>88.207999999999998</v>
      </c>
      <c r="I205" s="5">
        <v>96.475999999999999</v>
      </c>
      <c r="J205" s="5">
        <v>8.2680000000000007</v>
      </c>
      <c r="K205" s="5">
        <v>86.42</v>
      </c>
      <c r="L205" s="5">
        <v>92.94</v>
      </c>
      <c r="M205" s="5">
        <v>6.519999999999996</v>
      </c>
      <c r="N205" s="5">
        <v>90.42</v>
      </c>
      <c r="O205" s="5">
        <v>96.94</v>
      </c>
      <c r="P205" s="5">
        <v>6.519999999999996</v>
      </c>
      <c r="Q205" s="5">
        <v>89.5</v>
      </c>
      <c r="R205" s="5">
        <v>97.5</v>
      </c>
      <c r="S205" s="5">
        <v>8</v>
      </c>
      <c r="T205" s="5">
        <v>84.5</v>
      </c>
      <c r="U205" s="5">
        <v>97</v>
      </c>
      <c r="V205" s="5">
        <v>12.5</v>
      </c>
      <c r="W205" s="5">
        <v>90.2</v>
      </c>
      <c r="X205" s="5">
        <v>98</v>
      </c>
      <c r="Y205" s="5">
        <v>7.7999999999999972</v>
      </c>
      <c r="Z205" s="2" t="str">
        <f t="shared" si="10"/>
        <v>Low starter</v>
      </c>
      <c r="AA205" s="2" t="s">
        <v>65</v>
      </c>
      <c r="AB205" s="2" t="s">
        <v>66</v>
      </c>
      <c r="AC205" s="2">
        <v>1</v>
      </c>
      <c r="AD205" s="2" t="str">
        <f>IFERROR(INDEX(University_Exit!$D:$D,MATCH($B205,University_Exit!$B:$B,0)),"")</f>
        <v>Weill Cornell Medicine – Qatar</v>
      </c>
      <c r="AE205" s="2" t="str">
        <f>IFERROR(INDEX(University_Exit!$F:$F,MATCH($B205,University_Exit!$B:$B,0)),"")</f>
        <v>General Medicine</v>
      </c>
      <c r="AF205" s="2" t="str">
        <f>IFERROR(INDEX(University_Exit!$L:$L,MATCH($B205,University_Exit!$B:$B,0)),"")</f>
        <v>Yes</v>
      </c>
      <c r="AG205" s="2">
        <f>IFERROR(INDEX(University_Exit!$H:$H,MATCH($B205,University_Exit!$B:$B,0)),"")</f>
        <v>96.94</v>
      </c>
      <c r="AH205" s="6">
        <f>IFERROR(INDEX(University_Exit!$K:$K,MATCH($B205,University_Exit!$B:$B,0)),"")</f>
        <v>1260</v>
      </c>
      <c r="AI205" s="2">
        <f>IFERROR(INDEX(University_Exit!$G:$G,MATCH($B205,University_Exit!$B:$B,0)),"")</f>
        <v>0</v>
      </c>
      <c r="AJ205">
        <f>IFERROR(INDEX(Baseline_Entry!$N:$N,MATCH($B205,Baseline_Entry!$B:$B,0)),"")</f>
        <v>117</v>
      </c>
      <c r="AK205">
        <f>IFERROR(INDEX(Cognitive_Profile!$E:$E,MATCH($B205,Cognitive_Profile!$B:$B,0)),"")</f>
        <v>117</v>
      </c>
      <c r="AL205">
        <f t="shared" si="12"/>
        <v>0</v>
      </c>
      <c r="AM205">
        <f>IFERROR(INDEX(Participation_By_Student!$D:$D,MATCH($B205,Participation_By_Student!$B:$B,0)),"")</f>
        <v>3</v>
      </c>
      <c r="AN205">
        <f>IFERROR(INDEX(Participation_By_Student!$E:$E,MATCH($B205,Participation_By_Student!$B:$B,0)),"")</f>
        <v>3</v>
      </c>
      <c r="AO205">
        <f>IFERROR(INDEX(Participation_By_Student!$F:$F,MATCH($B205,Participation_By_Student!$B:$B,0)),"")</f>
        <v>0</v>
      </c>
      <c r="AP205">
        <f>IFERROR(INDEX(Participation_By_Student!$G:$G,MATCH($B205,Participation_By_Student!$B:$B,0)),"")</f>
        <v>3</v>
      </c>
    </row>
    <row r="206" spans="1:42" x14ac:dyDescent="0.3">
      <c r="A206" s="2" t="s">
        <v>419</v>
      </c>
      <c r="B206" s="2" t="s">
        <v>483</v>
      </c>
      <c r="C206" s="2" t="s">
        <v>484</v>
      </c>
      <c r="D206" s="2" t="s">
        <v>64</v>
      </c>
      <c r="E206" s="2" t="s">
        <v>422</v>
      </c>
      <c r="F206" s="5">
        <f>IFERROR(INDEX(Baseline_Entry!$P:$P,MATCH($B206,Baseline_Entry!$B:$B,0)),"")</f>
        <v>48.721126760563379</v>
      </c>
      <c r="G206" s="5" t="str">
        <f t="shared" si="11"/>
        <v>Yes</v>
      </c>
      <c r="H206" s="5">
        <v>81.408000000000001</v>
      </c>
      <c r="I206" s="5">
        <v>92.475999999999999</v>
      </c>
      <c r="J206" s="5">
        <v>11.068</v>
      </c>
      <c r="K206" s="5">
        <v>79.42</v>
      </c>
      <c r="L206" s="5">
        <v>87.44</v>
      </c>
      <c r="M206" s="5">
        <v>8.019999999999996</v>
      </c>
      <c r="N206" s="5">
        <v>84.42</v>
      </c>
      <c r="O206" s="5">
        <v>93.44</v>
      </c>
      <c r="P206" s="5">
        <v>9.019999999999996</v>
      </c>
      <c r="Q206" s="5">
        <v>88</v>
      </c>
      <c r="R206" s="5">
        <v>96.5</v>
      </c>
      <c r="S206" s="5">
        <v>8.5</v>
      </c>
      <c r="T206" s="5">
        <v>83</v>
      </c>
      <c r="U206" s="5">
        <v>88</v>
      </c>
      <c r="V206" s="5">
        <v>5</v>
      </c>
      <c r="W206" s="5">
        <v>72.2</v>
      </c>
      <c r="X206" s="5">
        <v>97</v>
      </c>
      <c r="Y206" s="5">
        <v>24.8</v>
      </c>
      <c r="Z206" s="2" t="str">
        <f t="shared" si="10"/>
        <v>Low starter</v>
      </c>
      <c r="AA206" s="2" t="s">
        <v>65</v>
      </c>
      <c r="AB206" s="2" t="s">
        <v>66</v>
      </c>
      <c r="AC206" s="2">
        <v>1</v>
      </c>
      <c r="AD206" s="2" t="str">
        <f>IFERROR(INDEX(University_Exit!$D:$D,MATCH($B206,University_Exit!$B:$B,0)),"")</f>
        <v>Hamad Bin Khalifa University</v>
      </c>
      <c r="AE206" s="2" t="str">
        <f>IFERROR(INDEX(University_Exit!$F:$F,MATCH($B206,University_Exit!$B:$B,0)),"")</f>
        <v>Mechanical Engineering</v>
      </c>
      <c r="AF206" s="2" t="str">
        <f>IFERROR(INDEX(University_Exit!$L:$L,MATCH($B206,University_Exit!$B:$B,0)),"")</f>
        <v>Yes</v>
      </c>
      <c r="AG206" s="2">
        <f>IFERROR(INDEX(University_Exit!$H:$H,MATCH($B206,University_Exit!$B:$B,0)),"")</f>
        <v>93.44</v>
      </c>
      <c r="AH206" s="6">
        <f>IFERROR(INDEX(University_Exit!$K:$K,MATCH($B206,University_Exit!$B:$B,0)),"")</f>
        <v>980</v>
      </c>
      <c r="AI206" s="2">
        <f>IFERROR(INDEX(University_Exit!$G:$G,MATCH($B206,University_Exit!$B:$B,0)),"")</f>
        <v>0</v>
      </c>
      <c r="AJ206">
        <f>IFERROR(INDEX(Baseline_Entry!$N:$N,MATCH($B206,Baseline_Entry!$B:$B,0)),"")</f>
        <v>86</v>
      </c>
      <c r="AK206">
        <f>IFERROR(INDEX(Cognitive_Profile!$E:$E,MATCH($B206,Cognitive_Profile!$B:$B,0)),"")</f>
        <v>86</v>
      </c>
      <c r="AL206">
        <f t="shared" si="12"/>
        <v>0</v>
      </c>
      <c r="AM206">
        <f>IFERROR(INDEX(Participation_By_Student!$D:$D,MATCH($B206,Participation_By_Student!$B:$B,0)),"")</f>
        <v>4</v>
      </c>
      <c r="AN206">
        <f>IFERROR(INDEX(Participation_By_Student!$E:$E,MATCH($B206,Participation_By_Student!$B:$B,0)),"")</f>
        <v>13</v>
      </c>
      <c r="AO206">
        <f>IFERROR(INDEX(Participation_By_Student!$F:$F,MATCH($B206,Participation_By_Student!$B:$B,0)),"")</f>
        <v>5</v>
      </c>
      <c r="AP206">
        <f>IFERROR(INDEX(Participation_By_Student!$G:$G,MATCH($B206,Participation_By_Student!$B:$B,0)),"")</f>
        <v>13</v>
      </c>
    </row>
    <row r="207" spans="1:42" x14ac:dyDescent="0.3">
      <c r="A207" s="2" t="s">
        <v>419</v>
      </c>
      <c r="B207" s="2" t="s">
        <v>485</v>
      </c>
      <c r="C207" s="2" t="s">
        <v>486</v>
      </c>
      <c r="D207" s="2" t="s">
        <v>64</v>
      </c>
      <c r="E207" s="2" t="s">
        <v>422</v>
      </c>
      <c r="F207" s="5">
        <f>IFERROR(INDEX(Baseline_Entry!$P:$P,MATCH($B207,Baseline_Entry!$B:$B,0)),"")</f>
        <v>55.169953051643184</v>
      </c>
      <c r="G207" s="5" t="str">
        <f t="shared" si="11"/>
        <v>Yes</v>
      </c>
      <c r="H207" s="5">
        <v>89.792000000000002</v>
      </c>
      <c r="I207" s="5">
        <v>96.9</v>
      </c>
      <c r="J207" s="5">
        <v>7.1080000000000041</v>
      </c>
      <c r="K207" s="5">
        <v>85.23</v>
      </c>
      <c r="L207" s="5">
        <v>94</v>
      </c>
      <c r="M207" s="5">
        <v>8.769999999999996</v>
      </c>
      <c r="N207" s="5">
        <v>91.23</v>
      </c>
      <c r="O207" s="5">
        <v>98</v>
      </c>
      <c r="P207" s="5">
        <v>6.769999999999996</v>
      </c>
      <c r="Q207" s="5">
        <v>90.5</v>
      </c>
      <c r="R207" s="5">
        <v>98</v>
      </c>
      <c r="S207" s="5">
        <v>7.5</v>
      </c>
      <c r="T207" s="5">
        <v>93.5</v>
      </c>
      <c r="U207" s="5">
        <v>97</v>
      </c>
      <c r="V207" s="5">
        <v>3.5</v>
      </c>
      <c r="W207" s="5">
        <v>88.5</v>
      </c>
      <c r="X207" s="5">
        <v>97.5</v>
      </c>
      <c r="Y207" s="5">
        <v>9</v>
      </c>
      <c r="Z207" s="2" t="str">
        <f t="shared" si="10"/>
        <v>Low starter</v>
      </c>
      <c r="AA207" s="2" t="s">
        <v>65</v>
      </c>
      <c r="AB207" s="2" t="s">
        <v>66</v>
      </c>
      <c r="AC207" s="2">
        <v>1</v>
      </c>
      <c r="AD207" s="2" t="str">
        <f>IFERROR(INDEX(University_Exit!$D:$D,MATCH($B207,University_Exit!$B:$B,0)),"")</f>
        <v>University of Nottingham</v>
      </c>
      <c r="AE207" s="2" t="str">
        <f>IFERROR(INDEX(University_Exit!$F:$F,MATCH($B207,University_Exit!$B:$B,0)),"")</f>
        <v>Mechanical Engineering</v>
      </c>
      <c r="AF207" s="2" t="str">
        <f>IFERROR(INDEX(University_Exit!$L:$L,MATCH($B207,University_Exit!$B:$B,0)),"")</f>
        <v>Yes</v>
      </c>
      <c r="AG207" s="2">
        <f>IFERROR(INDEX(University_Exit!$H:$H,MATCH($B207,University_Exit!$B:$B,0)),"")</f>
        <v>98</v>
      </c>
      <c r="AH207" s="6">
        <f>IFERROR(INDEX(University_Exit!$K:$K,MATCH($B207,University_Exit!$B:$B,0)),"")</f>
        <v>1200</v>
      </c>
      <c r="AI207" s="2">
        <f>IFERROR(INDEX(University_Exit!$G:$G,MATCH($B207,University_Exit!$B:$B,0)),"")</f>
        <v>0</v>
      </c>
      <c r="AJ207">
        <f>IFERROR(INDEX(Baseline_Entry!$N:$N,MATCH($B207,Baseline_Entry!$B:$B,0)),"")</f>
        <v>97</v>
      </c>
      <c r="AK207">
        <f>IFERROR(INDEX(Cognitive_Profile!$E:$E,MATCH($B207,Cognitive_Profile!$B:$B,0)),"")</f>
        <v>97</v>
      </c>
      <c r="AL207">
        <f t="shared" si="12"/>
        <v>0</v>
      </c>
      <c r="AM207">
        <f>IFERROR(INDEX(Participation_By_Student!$D:$D,MATCH($B207,Participation_By_Student!$B:$B,0)),"")</f>
        <v>4</v>
      </c>
      <c r="AN207">
        <f>IFERROR(INDEX(Participation_By_Student!$E:$E,MATCH($B207,Participation_By_Student!$B:$B,0)),"")</f>
        <v>16</v>
      </c>
      <c r="AO207">
        <f>IFERROR(INDEX(Participation_By_Student!$F:$F,MATCH($B207,Participation_By_Student!$B:$B,0)),"")</f>
        <v>6</v>
      </c>
      <c r="AP207">
        <f>IFERROR(INDEX(Participation_By_Student!$G:$G,MATCH($B207,Participation_By_Student!$B:$B,0)),"")</f>
        <v>16</v>
      </c>
    </row>
    <row r="208" spans="1:42" x14ac:dyDescent="0.3">
      <c r="A208" s="2" t="s">
        <v>419</v>
      </c>
      <c r="B208" s="2" t="s">
        <v>487</v>
      </c>
      <c r="C208" s="2" t="s">
        <v>488</v>
      </c>
      <c r="D208" s="2" t="s">
        <v>64</v>
      </c>
      <c r="E208" s="2" t="s">
        <v>422</v>
      </c>
      <c r="F208" s="5">
        <f>IFERROR(INDEX(Baseline_Entry!$P:$P,MATCH($B208,Baseline_Entry!$B:$B,0)),"")</f>
        <v>21.126760563380284</v>
      </c>
      <c r="G208" s="5" t="str">
        <f t="shared" si="11"/>
        <v>Yes</v>
      </c>
      <c r="H208" s="5">
        <v>75.067999999999998</v>
      </c>
      <c r="I208" s="5">
        <v>93.852000000000004</v>
      </c>
      <c r="J208" s="5">
        <v>18.78400000000001</v>
      </c>
      <c r="K208" s="5">
        <v>73.77</v>
      </c>
      <c r="L208" s="5">
        <v>90.88</v>
      </c>
      <c r="M208" s="5">
        <v>17.11</v>
      </c>
      <c r="N208" s="5">
        <v>79.77</v>
      </c>
      <c r="O208" s="5">
        <v>94.88</v>
      </c>
      <c r="P208" s="5">
        <v>15.11</v>
      </c>
      <c r="Q208" s="5">
        <v>72.5</v>
      </c>
      <c r="R208" s="5">
        <v>88.5</v>
      </c>
      <c r="S208" s="5">
        <v>16</v>
      </c>
      <c r="T208" s="5">
        <v>81</v>
      </c>
      <c r="U208" s="5">
        <v>98.5</v>
      </c>
      <c r="V208" s="5">
        <v>17.5</v>
      </c>
      <c r="W208" s="5">
        <v>68.3</v>
      </c>
      <c r="X208" s="5">
        <v>96.5</v>
      </c>
      <c r="Y208" s="5">
        <v>28.2</v>
      </c>
      <c r="Z208" s="2" t="str">
        <f t="shared" si="10"/>
        <v>Low starter</v>
      </c>
      <c r="AA208" s="2" t="s">
        <v>99</v>
      </c>
      <c r="AB208" s="2" t="s">
        <v>66</v>
      </c>
      <c r="AC208" s="2">
        <v>2</v>
      </c>
      <c r="AD208" s="2" t="str">
        <f>IFERROR(INDEX(University_Exit!$D:$D,MATCH($B208,University_Exit!$B:$B,0)),"")</f>
        <v>University of Nottingham</v>
      </c>
      <c r="AE208" s="2" t="str">
        <f>IFERROR(INDEX(University_Exit!$F:$F,MATCH($B208,University_Exit!$B:$B,0)),"")</f>
        <v>Chemical Engineering</v>
      </c>
      <c r="AF208" s="2" t="str">
        <f>IFERROR(INDEX(University_Exit!$L:$L,MATCH($B208,University_Exit!$B:$B,0)),"")</f>
        <v>Yes</v>
      </c>
      <c r="AG208" s="2">
        <f>IFERROR(INDEX(University_Exit!$H:$H,MATCH($B208,University_Exit!$B:$B,0)),"")</f>
        <v>94.88</v>
      </c>
      <c r="AH208" s="6">
        <f>IFERROR(INDEX(University_Exit!$K:$K,MATCH($B208,University_Exit!$B:$B,0)),"")</f>
        <v>940</v>
      </c>
      <c r="AI208" s="2">
        <f>IFERROR(INDEX(University_Exit!$G:$G,MATCH($B208,University_Exit!$B:$B,0)),"")</f>
        <v>0</v>
      </c>
      <c r="AJ208">
        <f>IFERROR(INDEX(Baseline_Entry!$N:$N,MATCH($B208,Baseline_Entry!$B:$B,0)),"")</f>
        <v>90</v>
      </c>
      <c r="AK208">
        <f>IFERROR(INDEX(Cognitive_Profile!$E:$E,MATCH($B208,Cognitive_Profile!$B:$B,0)),"")</f>
        <v>90</v>
      </c>
      <c r="AL208">
        <f t="shared" si="12"/>
        <v>0</v>
      </c>
      <c r="AM208">
        <f>IFERROR(INDEX(Participation_By_Student!$D:$D,MATCH($B208,Participation_By_Student!$B:$B,0)),"")</f>
        <v>4</v>
      </c>
      <c r="AN208">
        <f>IFERROR(INDEX(Participation_By_Student!$E:$E,MATCH($B208,Participation_By_Student!$B:$B,0)),"")</f>
        <v>7</v>
      </c>
      <c r="AO208">
        <f>IFERROR(INDEX(Participation_By_Student!$F:$F,MATCH($B208,Participation_By_Student!$B:$B,0)),"")</f>
        <v>2</v>
      </c>
      <c r="AP208">
        <f>IFERROR(INDEX(Participation_By_Student!$G:$G,MATCH($B208,Participation_By_Student!$B:$B,0)),"")</f>
        <v>7</v>
      </c>
    </row>
    <row r="209" spans="1:42" x14ac:dyDescent="0.3">
      <c r="A209" s="2" t="s">
        <v>419</v>
      </c>
      <c r="B209" s="2" t="s">
        <v>489</v>
      </c>
      <c r="C209" s="2" t="s">
        <v>490</v>
      </c>
      <c r="D209" s="2" t="s">
        <v>64</v>
      </c>
      <c r="E209" s="2" t="s">
        <v>422</v>
      </c>
      <c r="F209" s="5">
        <f>IFERROR(INDEX(Baseline_Entry!$P:$P,MATCH($B209,Baseline_Entry!$B:$B,0)),"")</f>
        <v>57.372769953051638</v>
      </c>
      <c r="G209" s="5" t="str">
        <f t="shared" si="11"/>
        <v>Yes</v>
      </c>
      <c r="H209" s="5">
        <v>83.97999999999999</v>
      </c>
      <c r="I209" s="5">
        <v>91.4</v>
      </c>
      <c r="J209" s="5">
        <v>7.4200000000000159</v>
      </c>
      <c r="K209" s="5">
        <v>81.849999999999994</v>
      </c>
      <c r="L209" s="5">
        <v>88</v>
      </c>
      <c r="M209" s="5">
        <v>6.1500000000000057</v>
      </c>
      <c r="N209" s="5">
        <v>85.85</v>
      </c>
      <c r="O209" s="5">
        <v>90</v>
      </c>
      <c r="P209" s="5">
        <v>4.1500000000000057</v>
      </c>
      <c r="Q209" s="5">
        <v>85</v>
      </c>
      <c r="R209" s="5">
        <v>92.5</v>
      </c>
      <c r="S209" s="5">
        <v>7.5</v>
      </c>
      <c r="T209" s="5">
        <v>89</v>
      </c>
      <c r="U209" s="5">
        <v>90.5</v>
      </c>
      <c r="V209" s="5">
        <v>1.5</v>
      </c>
      <c r="W209" s="5">
        <v>78.2</v>
      </c>
      <c r="X209" s="5">
        <v>96</v>
      </c>
      <c r="Y209" s="5">
        <v>17.8</v>
      </c>
      <c r="Z209" s="2" t="str">
        <f t="shared" si="10"/>
        <v>Low starter</v>
      </c>
      <c r="AA209" s="2" t="s">
        <v>65</v>
      </c>
      <c r="AB209" s="2" t="s">
        <v>66</v>
      </c>
      <c r="AC209" s="2">
        <v>1</v>
      </c>
      <c r="AD209" s="2" t="str">
        <f>IFERROR(INDEX(University_Exit!$D:$D,MATCH($B209,University_Exit!$B:$B,0)),"")</f>
        <v>Hamad Bin Khalifa University</v>
      </c>
      <c r="AE209" s="2" t="str">
        <f>IFERROR(INDEX(University_Exit!$F:$F,MATCH($B209,University_Exit!$B:$B,0)),"")</f>
        <v>Computer Engineering</v>
      </c>
      <c r="AF209" s="2" t="str">
        <f>IFERROR(INDEX(University_Exit!$L:$L,MATCH($B209,University_Exit!$B:$B,0)),"")</f>
        <v>Yes</v>
      </c>
      <c r="AG209" s="2">
        <f>IFERROR(INDEX(University_Exit!$H:$H,MATCH($B209,University_Exit!$B:$B,0)),"")</f>
        <v>90</v>
      </c>
      <c r="AH209" s="6">
        <f>IFERROR(INDEX(University_Exit!$K:$K,MATCH($B209,University_Exit!$B:$B,0)),"")</f>
        <v>1020</v>
      </c>
      <c r="AI209" s="2">
        <f>IFERROR(INDEX(University_Exit!$G:$G,MATCH($B209,University_Exit!$B:$B,0)),"")</f>
        <v>0</v>
      </c>
      <c r="AJ209">
        <f>IFERROR(INDEX(Baseline_Entry!$N:$N,MATCH($B209,Baseline_Entry!$B:$B,0)),"")</f>
        <v>99</v>
      </c>
      <c r="AK209">
        <f>IFERROR(INDEX(Cognitive_Profile!$E:$E,MATCH($B209,Cognitive_Profile!$B:$B,0)),"")</f>
        <v>99</v>
      </c>
      <c r="AL209">
        <f t="shared" si="12"/>
        <v>0</v>
      </c>
      <c r="AM209">
        <f>IFERROR(INDEX(Participation_By_Student!$D:$D,MATCH($B209,Participation_By_Student!$B:$B,0)),"")</f>
        <v>5</v>
      </c>
      <c r="AN209">
        <f>IFERROR(INDEX(Participation_By_Student!$E:$E,MATCH($B209,Participation_By_Student!$B:$B,0)),"")</f>
        <v>5</v>
      </c>
      <c r="AO209">
        <f>IFERROR(INDEX(Participation_By_Student!$F:$F,MATCH($B209,Participation_By_Student!$B:$B,0)),"")</f>
        <v>0</v>
      </c>
      <c r="AP209">
        <f>IFERROR(INDEX(Participation_By_Student!$G:$G,MATCH($B209,Participation_By_Student!$B:$B,0)),"")</f>
        <v>5</v>
      </c>
    </row>
    <row r="210" spans="1:42" x14ac:dyDescent="0.3">
      <c r="A210" s="2" t="s">
        <v>419</v>
      </c>
      <c r="B210" s="2" t="s">
        <v>491</v>
      </c>
      <c r="C210" s="2" t="s">
        <v>492</v>
      </c>
      <c r="D210" s="2" t="s">
        <v>64</v>
      </c>
      <c r="E210" s="2" t="s">
        <v>422</v>
      </c>
      <c r="F210" s="5">
        <f>IFERROR(INDEX(Baseline_Entry!$P:$P,MATCH($B210,Baseline_Entry!$B:$B,0)),"")</f>
        <v>62.268544600938959</v>
      </c>
      <c r="G210" s="5" t="str">
        <f t="shared" si="11"/>
        <v>Yes</v>
      </c>
      <c r="H210" s="5">
        <v>87.996000000000009</v>
      </c>
      <c r="I210" s="5">
        <v>95.451999999999998</v>
      </c>
      <c r="J210" s="5">
        <v>7.4559999999999889</v>
      </c>
      <c r="K210" s="5">
        <v>88.04</v>
      </c>
      <c r="L210" s="5">
        <v>92.88</v>
      </c>
      <c r="M210" s="5">
        <v>4.8399999999999892</v>
      </c>
      <c r="N210" s="5">
        <v>91.04</v>
      </c>
      <c r="O210" s="5">
        <v>95.88</v>
      </c>
      <c r="P210" s="5">
        <v>4.8399999999999892</v>
      </c>
      <c r="Q210" s="5">
        <v>86.5</v>
      </c>
      <c r="R210" s="5">
        <v>96.5</v>
      </c>
      <c r="S210" s="5">
        <v>10</v>
      </c>
      <c r="T210" s="5">
        <v>87</v>
      </c>
      <c r="U210" s="5">
        <v>97.5</v>
      </c>
      <c r="V210" s="5">
        <v>10.5</v>
      </c>
      <c r="W210" s="5">
        <v>87.4</v>
      </c>
      <c r="X210" s="5">
        <v>94.5</v>
      </c>
      <c r="Y210" s="5">
        <v>7.0999999999999943</v>
      </c>
      <c r="Z210" s="2" t="str">
        <f t="shared" si="10"/>
        <v>Low starter</v>
      </c>
      <c r="AA210" s="2" t="s">
        <v>65</v>
      </c>
      <c r="AB210" s="2" t="s">
        <v>66</v>
      </c>
      <c r="AC210" s="2">
        <v>1</v>
      </c>
      <c r="AD210" s="2" t="str">
        <f>IFERROR(INDEX(University_Exit!$D:$D,MATCH($B210,University_Exit!$B:$B,0)),"")</f>
        <v>University of Leeds</v>
      </c>
      <c r="AE210" s="2" t="str">
        <f>IFERROR(INDEX(University_Exit!$F:$F,MATCH($B210,University_Exit!$B:$B,0)),"")</f>
        <v>Electrical and Electronics Engineering</v>
      </c>
      <c r="AF210" s="2" t="str">
        <f>IFERROR(INDEX(University_Exit!$L:$L,MATCH($B210,University_Exit!$B:$B,0)),"")</f>
        <v>Yes</v>
      </c>
      <c r="AG210" s="2">
        <f>IFERROR(INDEX(University_Exit!$H:$H,MATCH($B210,University_Exit!$B:$B,0)),"")</f>
        <v>95.88</v>
      </c>
      <c r="AH210" s="6">
        <f>IFERROR(INDEX(University_Exit!$K:$K,MATCH($B210,University_Exit!$B:$B,0)),"")</f>
        <v>0</v>
      </c>
      <c r="AI210" s="2">
        <f>IFERROR(INDEX(University_Exit!$G:$G,MATCH($B210,University_Exit!$B:$B,0)),"")</f>
        <v>0</v>
      </c>
      <c r="AJ210">
        <f>IFERROR(INDEX(Baseline_Entry!$N:$N,MATCH($B210,Baseline_Entry!$B:$B,0)),"")</f>
        <v>96</v>
      </c>
      <c r="AK210">
        <f>IFERROR(INDEX(Cognitive_Profile!$E:$E,MATCH($B210,Cognitive_Profile!$B:$B,0)),"")</f>
        <v>96</v>
      </c>
      <c r="AL210">
        <f t="shared" si="12"/>
        <v>0</v>
      </c>
      <c r="AM210">
        <f>IFERROR(INDEX(Participation_By_Student!$D:$D,MATCH($B210,Participation_By_Student!$B:$B,0)),"")</f>
        <v>5</v>
      </c>
      <c r="AN210">
        <f>IFERROR(INDEX(Participation_By_Student!$E:$E,MATCH($B210,Participation_By_Student!$B:$B,0)),"")</f>
        <v>9</v>
      </c>
      <c r="AO210">
        <f>IFERROR(INDEX(Participation_By_Student!$F:$F,MATCH($B210,Participation_By_Student!$B:$B,0)),"")</f>
        <v>2</v>
      </c>
      <c r="AP210">
        <f>IFERROR(INDEX(Participation_By_Student!$G:$G,MATCH($B210,Participation_By_Student!$B:$B,0)),"")</f>
        <v>9</v>
      </c>
    </row>
    <row r="211" spans="1:42" x14ac:dyDescent="0.3">
      <c r="A211" s="2" t="s">
        <v>419</v>
      </c>
      <c r="B211" s="2" t="s">
        <v>493</v>
      </c>
      <c r="C211" s="2" t="s">
        <v>494</v>
      </c>
      <c r="D211" s="2" t="s">
        <v>64</v>
      </c>
      <c r="E211" s="2" t="s">
        <v>422</v>
      </c>
      <c r="F211" s="5">
        <f>IFERROR(INDEX(Baseline_Entry!$P:$P,MATCH($B211,Baseline_Entry!$B:$B,0)),"")</f>
        <v>63.260093896713613</v>
      </c>
      <c r="G211" s="5" t="str">
        <f t="shared" si="11"/>
        <v>Yes</v>
      </c>
      <c r="H211" s="5">
        <v>86.86</v>
      </c>
      <c r="I211" s="5">
        <v>80.852000000000004</v>
      </c>
      <c r="J211" s="5">
        <v>-6.0079999999999956</v>
      </c>
      <c r="K211" s="5">
        <v>83.65</v>
      </c>
      <c r="L211" s="5">
        <v>75.88</v>
      </c>
      <c r="M211" s="5">
        <v>-7.7700000000000102</v>
      </c>
      <c r="N211" s="5">
        <v>87.65</v>
      </c>
      <c r="O211" s="5">
        <v>79.88</v>
      </c>
      <c r="P211" s="5">
        <v>-7.7700000000000102</v>
      </c>
      <c r="Q211" s="5">
        <v>92</v>
      </c>
      <c r="R211" s="5">
        <v>86</v>
      </c>
      <c r="S211" s="5">
        <v>-6</v>
      </c>
      <c r="T211" s="5">
        <v>87.5</v>
      </c>
      <c r="U211" s="5">
        <v>78.5</v>
      </c>
      <c r="V211" s="5">
        <v>-9</v>
      </c>
      <c r="W211" s="5">
        <v>83.5</v>
      </c>
      <c r="X211" s="5">
        <v>84</v>
      </c>
      <c r="Y211" s="5">
        <v>0.5</v>
      </c>
      <c r="Z211" s="2" t="str">
        <f t="shared" si="10"/>
        <v>Low starter</v>
      </c>
      <c r="AA211" s="2" t="s">
        <v>65</v>
      </c>
      <c r="AB211" s="2" t="s">
        <v>65</v>
      </c>
      <c r="AC211" s="2">
        <v>0</v>
      </c>
      <c r="AD211" s="2" t="str">
        <f>IFERROR(INDEX(University_Exit!$D:$D,MATCH($B211,University_Exit!$B:$B,0)),"")</f>
        <v>Qatar University</v>
      </c>
      <c r="AE211" s="2" t="str">
        <f>IFERROR(INDEX(University_Exit!$F:$F,MATCH($B211,University_Exit!$B:$B,0)),"")</f>
        <v>Mechanical Engineering</v>
      </c>
      <c r="AF211" s="2" t="str">
        <f>IFERROR(INDEX(University_Exit!$L:$L,MATCH($B211,University_Exit!$B:$B,0)),"")</f>
        <v>Yes</v>
      </c>
      <c r="AG211" s="2">
        <f>IFERROR(INDEX(University_Exit!$H:$H,MATCH($B211,University_Exit!$B:$B,0)),"")</f>
        <v>79.88</v>
      </c>
      <c r="AH211" s="6">
        <f>IFERROR(INDEX(University_Exit!$K:$K,MATCH($B211,University_Exit!$B:$B,0)),"")</f>
        <v>880</v>
      </c>
      <c r="AI211" s="2">
        <f>IFERROR(INDEX(University_Exit!$G:$G,MATCH($B211,University_Exit!$B:$B,0)),"")</f>
        <v>0</v>
      </c>
      <c r="AJ211">
        <f>IFERROR(INDEX(Baseline_Entry!$N:$N,MATCH($B211,Baseline_Entry!$B:$B,0)),"")</f>
        <v>90</v>
      </c>
      <c r="AK211">
        <f>IFERROR(INDEX(Cognitive_Profile!$E:$E,MATCH($B211,Cognitive_Profile!$B:$B,0)),"")</f>
        <v>90</v>
      </c>
      <c r="AL211">
        <f t="shared" si="12"/>
        <v>0</v>
      </c>
      <c r="AM211">
        <f>IFERROR(INDEX(Participation_By_Student!$D:$D,MATCH($B211,Participation_By_Student!$B:$B,0)),"")</f>
        <v>2</v>
      </c>
      <c r="AN211">
        <f>IFERROR(INDEX(Participation_By_Student!$E:$E,MATCH($B211,Participation_By_Student!$B:$B,0)),"")</f>
        <v>3</v>
      </c>
      <c r="AO211">
        <f>IFERROR(INDEX(Participation_By_Student!$F:$F,MATCH($B211,Participation_By_Student!$B:$B,0)),"")</f>
        <v>0</v>
      </c>
      <c r="AP211">
        <f>IFERROR(INDEX(Participation_By_Student!$G:$G,MATCH($B211,Participation_By_Student!$B:$B,0)),"")</f>
        <v>3</v>
      </c>
    </row>
    <row r="212" spans="1:42" x14ac:dyDescent="0.3">
      <c r="A212" s="2" t="s">
        <v>419</v>
      </c>
      <c r="B212" s="2" t="s">
        <v>495</v>
      </c>
      <c r="C212" s="2" t="s">
        <v>496</v>
      </c>
      <c r="D212" s="2" t="s">
        <v>64</v>
      </c>
      <c r="E212" s="2" t="s">
        <v>422</v>
      </c>
      <c r="F212" s="5">
        <f>IFERROR(INDEX(Baseline_Entry!$P:$P,MATCH($B212,Baseline_Entry!$B:$B,0)),"")</f>
        <v>21.36150234741784</v>
      </c>
      <c r="G212" s="5" t="str">
        <f t="shared" si="11"/>
        <v>Yes</v>
      </c>
      <c r="H212" s="5">
        <v>87.811999999999998</v>
      </c>
      <c r="I212" s="5">
        <v>87.676000000000002</v>
      </c>
      <c r="J212" s="5">
        <v>-0.13599999999999571</v>
      </c>
      <c r="K212" s="5">
        <v>89.08</v>
      </c>
      <c r="L212" s="5">
        <v>87.44</v>
      </c>
      <c r="M212" s="5">
        <v>-1.640000000000001</v>
      </c>
      <c r="N212" s="5">
        <v>89.08</v>
      </c>
      <c r="O212" s="5">
        <v>88.44</v>
      </c>
      <c r="P212" s="5">
        <v>-0.64000000000000057</v>
      </c>
      <c r="Q212" s="5">
        <v>86.5</v>
      </c>
      <c r="R212" s="5">
        <v>89</v>
      </c>
      <c r="S212" s="5">
        <v>2.5</v>
      </c>
      <c r="T212" s="5">
        <v>93</v>
      </c>
      <c r="U212" s="5">
        <v>88</v>
      </c>
      <c r="V212" s="5">
        <v>-5</v>
      </c>
      <c r="W212" s="5">
        <v>81.400000000000006</v>
      </c>
      <c r="X212" s="5">
        <v>85.5</v>
      </c>
      <c r="Y212" s="5">
        <v>4.0999999999999943</v>
      </c>
      <c r="Z212" s="2" t="str">
        <f t="shared" si="10"/>
        <v>Low starter</v>
      </c>
      <c r="AA212" s="2" t="s">
        <v>65</v>
      </c>
      <c r="AB212" s="2" t="s">
        <v>65</v>
      </c>
      <c r="AC212" s="2">
        <v>0</v>
      </c>
      <c r="AD212" s="2" t="str">
        <f>IFERROR(INDEX(University_Exit!$D:$D,MATCH($B212,University_Exit!$B:$B,0)),"")</f>
        <v>Qatar University</v>
      </c>
      <c r="AE212" s="2" t="str">
        <f>IFERROR(INDEX(University_Exit!$F:$F,MATCH($B212,University_Exit!$B:$B,0)),"")</f>
        <v>Mechanical Engineering</v>
      </c>
      <c r="AF212" s="2" t="str">
        <f>IFERROR(INDEX(University_Exit!$L:$L,MATCH($B212,University_Exit!$B:$B,0)),"")</f>
        <v>Yes</v>
      </c>
      <c r="AG212" s="2">
        <f>IFERROR(INDEX(University_Exit!$H:$H,MATCH($B212,University_Exit!$B:$B,0)),"")</f>
        <v>88.44</v>
      </c>
      <c r="AH212" s="6">
        <f>IFERROR(INDEX(University_Exit!$K:$K,MATCH($B212,University_Exit!$B:$B,0)),"")</f>
        <v>930</v>
      </c>
      <c r="AI212" s="2">
        <f>IFERROR(INDEX(University_Exit!$G:$G,MATCH($B212,University_Exit!$B:$B,0)),"")</f>
        <v>0</v>
      </c>
      <c r="AJ212">
        <f>IFERROR(INDEX(Baseline_Entry!$N:$N,MATCH($B212,Baseline_Entry!$B:$B,0)),"")</f>
        <v>91</v>
      </c>
      <c r="AK212">
        <f>IFERROR(INDEX(Cognitive_Profile!$E:$E,MATCH($B212,Cognitive_Profile!$B:$B,0)),"")</f>
        <v>91</v>
      </c>
      <c r="AL212">
        <f t="shared" si="12"/>
        <v>0</v>
      </c>
      <c r="AM212">
        <f>IFERROR(INDEX(Participation_By_Student!$D:$D,MATCH($B212,Participation_By_Student!$B:$B,0)),"")</f>
        <v>2</v>
      </c>
      <c r="AN212">
        <f>IFERROR(INDEX(Participation_By_Student!$E:$E,MATCH($B212,Participation_By_Student!$B:$B,0)),"")</f>
        <v>3</v>
      </c>
      <c r="AO212">
        <f>IFERROR(INDEX(Participation_By_Student!$F:$F,MATCH($B212,Participation_By_Student!$B:$B,0)),"")</f>
        <v>1</v>
      </c>
      <c r="AP212">
        <f>IFERROR(INDEX(Participation_By_Student!$G:$G,MATCH($B212,Participation_By_Student!$B:$B,0)),"")</f>
        <v>3</v>
      </c>
    </row>
    <row r="213" spans="1:42" x14ac:dyDescent="0.3">
      <c r="A213" s="2" t="s">
        <v>419</v>
      </c>
      <c r="B213" s="2" t="s">
        <v>497</v>
      </c>
      <c r="C213" s="2" t="s">
        <v>498</v>
      </c>
      <c r="D213" s="2" t="s">
        <v>64</v>
      </c>
      <c r="E213" s="2" t="s">
        <v>422</v>
      </c>
      <c r="F213" s="5">
        <f>IFERROR(INDEX(Baseline_Entry!$P:$P,MATCH($B213,Baseline_Entry!$B:$B,0)),"")</f>
        <v>60.552112676056339</v>
      </c>
      <c r="G213" s="5" t="str">
        <f t="shared" si="11"/>
        <v>Yes</v>
      </c>
      <c r="H213" s="5">
        <v>83.492000000000004</v>
      </c>
      <c r="I213" s="5">
        <v>84.9</v>
      </c>
      <c r="J213" s="5">
        <v>1.408000000000001</v>
      </c>
      <c r="K213" s="5">
        <v>85.23</v>
      </c>
      <c r="L213" s="5">
        <v>86</v>
      </c>
      <c r="M213" s="5">
        <v>0.76999999999999602</v>
      </c>
      <c r="N213" s="5">
        <v>85.23</v>
      </c>
      <c r="O213" s="5">
        <v>86</v>
      </c>
      <c r="P213" s="5">
        <v>0.76999999999999602</v>
      </c>
      <c r="Q213" s="5">
        <v>85.5</v>
      </c>
      <c r="R213" s="5">
        <v>87</v>
      </c>
      <c r="S213" s="5">
        <v>1.5</v>
      </c>
      <c r="T213" s="5">
        <v>81</v>
      </c>
      <c r="U213" s="5">
        <v>82.5</v>
      </c>
      <c r="V213" s="5">
        <v>1.5</v>
      </c>
      <c r="W213" s="5">
        <v>80.5</v>
      </c>
      <c r="X213" s="5">
        <v>83</v>
      </c>
      <c r="Y213" s="5">
        <v>2.5</v>
      </c>
      <c r="Z213" s="2" t="str">
        <f t="shared" si="10"/>
        <v>Low starter</v>
      </c>
      <c r="AA213" s="2" t="s">
        <v>65</v>
      </c>
      <c r="AB213" s="2" t="s">
        <v>65</v>
      </c>
      <c r="AC213" s="2">
        <v>0</v>
      </c>
      <c r="AD213" s="2" t="str">
        <f>IFERROR(INDEX(University_Exit!$D:$D,MATCH($B213,University_Exit!$B:$B,0)),"")</f>
        <v>Qatar University</v>
      </c>
      <c r="AE213" s="2" t="str">
        <f>IFERROR(INDEX(University_Exit!$F:$F,MATCH($B213,University_Exit!$B:$B,0)),"")</f>
        <v>General Medicine</v>
      </c>
      <c r="AF213" s="2" t="str">
        <f>IFERROR(INDEX(University_Exit!$L:$L,MATCH($B213,University_Exit!$B:$B,0)),"")</f>
        <v>Yes</v>
      </c>
      <c r="AG213" s="2">
        <f>IFERROR(INDEX(University_Exit!$H:$H,MATCH($B213,University_Exit!$B:$B,0)),"")</f>
        <v>86</v>
      </c>
      <c r="AH213" s="6">
        <f>IFERROR(INDEX(University_Exit!$K:$K,MATCH($B213,University_Exit!$B:$B,0)),"")</f>
        <v>1000</v>
      </c>
      <c r="AI213" s="2">
        <f>IFERROR(INDEX(University_Exit!$G:$G,MATCH($B213,University_Exit!$B:$B,0)),"")</f>
        <v>0</v>
      </c>
      <c r="AJ213">
        <f>IFERROR(INDEX(Baseline_Entry!$N:$N,MATCH($B213,Baseline_Entry!$B:$B,0)),"")</f>
        <v>108</v>
      </c>
      <c r="AK213">
        <f>IFERROR(INDEX(Cognitive_Profile!$E:$E,MATCH($B213,Cognitive_Profile!$B:$B,0)),"")</f>
        <v>108</v>
      </c>
      <c r="AL213">
        <f t="shared" si="12"/>
        <v>0</v>
      </c>
      <c r="AM213">
        <f>IFERROR(INDEX(Participation_By_Student!$D:$D,MATCH($B213,Participation_By_Student!$B:$B,0)),"")</f>
        <v>1</v>
      </c>
      <c r="AN213">
        <f>IFERROR(INDEX(Participation_By_Student!$E:$E,MATCH($B213,Participation_By_Student!$B:$B,0)),"")</f>
        <v>2</v>
      </c>
      <c r="AO213">
        <f>IFERROR(INDEX(Participation_By_Student!$F:$F,MATCH($B213,Participation_By_Student!$B:$B,0)),"")</f>
        <v>0</v>
      </c>
      <c r="AP213">
        <f>IFERROR(INDEX(Participation_By_Student!$G:$G,MATCH($B213,Participation_By_Student!$B:$B,0)),"")</f>
        <v>2</v>
      </c>
    </row>
    <row r="214" spans="1:42" x14ac:dyDescent="0.3">
      <c r="A214" s="2" t="s">
        <v>419</v>
      </c>
      <c r="B214" s="2" t="s">
        <v>499</v>
      </c>
      <c r="C214" s="2" t="s">
        <v>500</v>
      </c>
      <c r="D214" s="2" t="s">
        <v>64</v>
      </c>
      <c r="E214" s="2" t="s">
        <v>422</v>
      </c>
      <c r="F214" s="5">
        <f>IFERROR(INDEX(Baseline_Entry!$P:$P,MATCH($B214,Baseline_Entry!$B:$B,0)),"")</f>
        <v>19.953051643192488</v>
      </c>
      <c r="G214" s="5" t="str">
        <f t="shared" si="11"/>
        <v>Yes</v>
      </c>
      <c r="H214" s="5">
        <v>93.347999999999985</v>
      </c>
      <c r="I214" s="5">
        <v>97.152000000000001</v>
      </c>
      <c r="J214" s="5">
        <v>3.8040000000000158</v>
      </c>
      <c r="K214" s="5">
        <v>93.27</v>
      </c>
      <c r="L214" s="5">
        <v>92.63</v>
      </c>
      <c r="M214" s="5">
        <v>-0.64000000000000057</v>
      </c>
      <c r="N214" s="5">
        <v>94.27</v>
      </c>
      <c r="O214" s="5">
        <v>98.63</v>
      </c>
      <c r="P214" s="5">
        <v>4.3599999999999994</v>
      </c>
      <c r="Q214" s="5">
        <v>92</v>
      </c>
      <c r="R214" s="5">
        <v>96.5</v>
      </c>
      <c r="S214" s="5">
        <v>4.5</v>
      </c>
      <c r="T214" s="5">
        <v>96.5</v>
      </c>
      <c r="U214" s="5">
        <v>100</v>
      </c>
      <c r="V214" s="5">
        <v>3.5</v>
      </c>
      <c r="W214" s="5">
        <v>90.7</v>
      </c>
      <c r="X214" s="5">
        <v>98</v>
      </c>
      <c r="Y214" s="5">
        <v>7.2999999999999972</v>
      </c>
      <c r="Z214" s="2" t="str">
        <f t="shared" si="10"/>
        <v>Low starter</v>
      </c>
      <c r="AA214" s="2" t="s">
        <v>66</v>
      </c>
      <c r="AB214" s="2" t="s">
        <v>66</v>
      </c>
      <c r="AC214" s="2">
        <v>0</v>
      </c>
      <c r="AD214" s="2" t="str">
        <f>IFERROR(INDEX(University_Exit!$D:$D,MATCH($B214,University_Exit!$B:$B,0)),"")</f>
        <v>George Washington University</v>
      </c>
      <c r="AE214" s="2" t="str">
        <f>IFERROR(INDEX(University_Exit!$F:$F,MATCH($B214,University_Exit!$B:$B,0)),"")</f>
        <v>Mechanical Engineering</v>
      </c>
      <c r="AF214" s="2" t="str">
        <f>IFERROR(INDEX(University_Exit!$L:$L,MATCH($B214,University_Exit!$B:$B,0)),"")</f>
        <v>Yes</v>
      </c>
      <c r="AG214" s="2">
        <f>IFERROR(INDEX(University_Exit!$H:$H,MATCH($B214,University_Exit!$B:$B,0)),"")</f>
        <v>98.63</v>
      </c>
      <c r="AH214" s="6">
        <f>IFERROR(INDEX(University_Exit!$K:$K,MATCH($B214,University_Exit!$B:$B,0)),"")</f>
        <v>970</v>
      </c>
      <c r="AI214" s="2">
        <f>IFERROR(INDEX(University_Exit!$G:$G,MATCH($B214,University_Exit!$B:$B,0)),"")</f>
        <v>0</v>
      </c>
      <c r="AJ214">
        <f>IFERROR(INDEX(Baseline_Entry!$N:$N,MATCH($B214,Baseline_Entry!$B:$B,0)),"")</f>
        <v>85</v>
      </c>
      <c r="AK214">
        <f>IFERROR(INDEX(Cognitive_Profile!$E:$E,MATCH($B214,Cognitive_Profile!$B:$B,0)),"")</f>
        <v>85</v>
      </c>
      <c r="AL214">
        <f t="shared" si="12"/>
        <v>0</v>
      </c>
      <c r="AM214">
        <f>IFERROR(INDEX(Participation_By_Student!$D:$D,MATCH($B214,Participation_By_Student!$B:$B,0)),"")</f>
        <v>6</v>
      </c>
      <c r="AN214">
        <f>IFERROR(INDEX(Participation_By_Student!$E:$E,MATCH($B214,Participation_By_Student!$B:$B,0)),"")</f>
        <v>16</v>
      </c>
      <c r="AO214">
        <f>IFERROR(INDEX(Participation_By_Student!$F:$F,MATCH($B214,Participation_By_Student!$B:$B,0)),"")</f>
        <v>8</v>
      </c>
      <c r="AP214">
        <f>IFERROR(INDEX(Participation_By_Student!$G:$G,MATCH($B214,Participation_By_Student!$B:$B,0)),"")</f>
        <v>16</v>
      </c>
    </row>
    <row r="215" spans="1:42" x14ac:dyDescent="0.3">
      <c r="A215" s="2" t="s">
        <v>419</v>
      </c>
      <c r="B215" s="2" t="s">
        <v>501</v>
      </c>
      <c r="C215" s="2" t="s">
        <v>502</v>
      </c>
      <c r="D215" s="2" t="s">
        <v>64</v>
      </c>
      <c r="E215" s="2" t="s">
        <v>422</v>
      </c>
      <c r="F215" s="5">
        <f>IFERROR(INDEX(Baseline_Entry!$P:$P,MATCH($B215,Baseline_Entry!$B:$B,0)),"")</f>
        <v>61.729577464788726</v>
      </c>
      <c r="G215" s="5" t="str">
        <f t="shared" si="11"/>
        <v>Yes</v>
      </c>
      <c r="H215" s="5">
        <v>94.62</v>
      </c>
      <c r="I215" s="5">
        <v>96.251999999999995</v>
      </c>
      <c r="J215" s="5">
        <v>1.631999999999991</v>
      </c>
      <c r="K215" s="5">
        <v>94.15</v>
      </c>
      <c r="L215" s="5">
        <v>92.13</v>
      </c>
      <c r="M215" s="5">
        <v>-2.0200000000000098</v>
      </c>
      <c r="N215" s="5">
        <v>95.15</v>
      </c>
      <c r="O215" s="5">
        <v>98.13</v>
      </c>
      <c r="P215" s="5">
        <v>2.9799999999999902</v>
      </c>
      <c r="Q215" s="5">
        <v>96</v>
      </c>
      <c r="R215" s="5">
        <v>96.5</v>
      </c>
      <c r="S215" s="5">
        <v>0.5</v>
      </c>
      <c r="T215" s="5">
        <v>95.5</v>
      </c>
      <c r="U215" s="5">
        <v>98.5</v>
      </c>
      <c r="V215" s="5">
        <v>3</v>
      </c>
      <c r="W215" s="5">
        <v>92.3</v>
      </c>
      <c r="X215" s="5">
        <v>96</v>
      </c>
      <c r="Y215" s="5">
        <v>3.7000000000000028</v>
      </c>
      <c r="Z215" s="2" t="str">
        <f t="shared" si="10"/>
        <v>Low starter</v>
      </c>
      <c r="AA215" s="2" t="s">
        <v>66</v>
      </c>
      <c r="AB215" s="2" t="s">
        <v>66</v>
      </c>
      <c r="AC215" s="2">
        <v>0</v>
      </c>
      <c r="AD215" s="2" t="str">
        <f>IFERROR(INDEX(University_Exit!$D:$D,MATCH($B215,University_Exit!$B:$B,0)),"")</f>
        <v>George Washington University</v>
      </c>
      <c r="AE215" s="2" t="str">
        <f>IFERROR(INDEX(University_Exit!$F:$F,MATCH($B215,University_Exit!$B:$B,0)),"")</f>
        <v>Mechanical Engineering</v>
      </c>
      <c r="AF215" s="2" t="str">
        <f>IFERROR(INDEX(University_Exit!$L:$L,MATCH($B215,University_Exit!$B:$B,0)),"")</f>
        <v>Yes</v>
      </c>
      <c r="AG215" s="2">
        <f>IFERROR(INDEX(University_Exit!$H:$H,MATCH($B215,University_Exit!$B:$B,0)),"")</f>
        <v>98.13</v>
      </c>
      <c r="AH215" s="6">
        <f>IFERROR(INDEX(University_Exit!$K:$K,MATCH($B215,University_Exit!$B:$B,0)),"")</f>
        <v>1090</v>
      </c>
      <c r="AI215" s="2">
        <f>IFERROR(INDEX(University_Exit!$G:$G,MATCH($B215,University_Exit!$B:$B,0)),"")</f>
        <v>0</v>
      </c>
      <c r="AJ215">
        <f>IFERROR(INDEX(Baseline_Entry!$N:$N,MATCH($B215,Baseline_Entry!$B:$B,0)),"")</f>
        <v>92</v>
      </c>
      <c r="AK215">
        <f>IFERROR(INDEX(Cognitive_Profile!$E:$E,MATCH($B215,Cognitive_Profile!$B:$B,0)),"")</f>
        <v>92</v>
      </c>
      <c r="AL215">
        <f t="shared" si="12"/>
        <v>0</v>
      </c>
      <c r="AM215">
        <f>IFERROR(INDEX(Participation_By_Student!$D:$D,MATCH($B215,Participation_By_Student!$B:$B,0)),"")</f>
        <v>6</v>
      </c>
      <c r="AN215">
        <f>IFERROR(INDEX(Participation_By_Student!$E:$E,MATCH($B215,Participation_By_Student!$B:$B,0)),"")</f>
        <v>16</v>
      </c>
      <c r="AO215">
        <f>IFERROR(INDEX(Participation_By_Student!$F:$F,MATCH($B215,Participation_By_Student!$B:$B,0)),"")</f>
        <v>8</v>
      </c>
      <c r="AP215">
        <f>IFERROR(INDEX(Participation_By_Student!$G:$G,MATCH($B215,Participation_By_Student!$B:$B,0)),"")</f>
        <v>17</v>
      </c>
    </row>
    <row r="216" spans="1:42" x14ac:dyDescent="0.3">
      <c r="A216" s="2" t="s">
        <v>419</v>
      </c>
      <c r="B216" s="2" t="s">
        <v>503</v>
      </c>
      <c r="C216" s="2" t="s">
        <v>504</v>
      </c>
      <c r="D216" s="2" t="s">
        <v>64</v>
      </c>
      <c r="E216" s="2" t="s">
        <v>422</v>
      </c>
      <c r="F216" s="5">
        <f>IFERROR(INDEX(Baseline_Entry!$P:$P,MATCH($B216,Baseline_Entry!$B:$B,0)),"")</f>
        <v>56.903286384976525</v>
      </c>
      <c r="G216" s="5" t="str">
        <f t="shared" si="11"/>
        <v>Yes</v>
      </c>
      <c r="H216" s="5">
        <v>85.396000000000001</v>
      </c>
      <c r="I216" s="5">
        <v>83.951999999999998</v>
      </c>
      <c r="J216" s="5">
        <v>-1.4440000000000031</v>
      </c>
      <c r="K216" s="5">
        <v>82.54</v>
      </c>
      <c r="L216" s="5">
        <v>77.38</v>
      </c>
      <c r="M216" s="5">
        <v>-5.1600000000000108</v>
      </c>
      <c r="N216" s="5">
        <v>88.54</v>
      </c>
      <c r="O216" s="5">
        <v>80.38</v>
      </c>
      <c r="P216" s="5">
        <v>-8.1600000000000108</v>
      </c>
      <c r="Q216" s="5">
        <v>84</v>
      </c>
      <c r="R216" s="5">
        <v>85.5</v>
      </c>
      <c r="S216" s="5">
        <v>1.5</v>
      </c>
      <c r="T216" s="5">
        <v>81</v>
      </c>
      <c r="U216" s="5">
        <v>85.5</v>
      </c>
      <c r="V216" s="5">
        <v>4.5</v>
      </c>
      <c r="W216" s="5">
        <v>90.9</v>
      </c>
      <c r="X216" s="5">
        <v>91</v>
      </c>
      <c r="Y216" s="5">
        <v>9.9999999999994316E-2</v>
      </c>
      <c r="Z216" s="2" t="str">
        <f t="shared" si="10"/>
        <v>Low starter</v>
      </c>
      <c r="AA216" s="2" t="s">
        <v>65</v>
      </c>
      <c r="AB216" s="2" t="s">
        <v>65</v>
      </c>
      <c r="AC216" s="2">
        <v>0</v>
      </c>
      <c r="AD216" s="2" t="str">
        <f>IFERROR(INDEX(University_Exit!$D:$D,MATCH($B216,University_Exit!$B:$B,0)),"")</f>
        <v>Qatar University</v>
      </c>
      <c r="AE216" s="2" t="str">
        <f>IFERROR(INDEX(University_Exit!$F:$F,MATCH($B216,University_Exit!$B:$B,0)),"")</f>
        <v>Computer Engineering</v>
      </c>
      <c r="AF216" s="2" t="str">
        <f>IFERROR(INDEX(University_Exit!$L:$L,MATCH($B216,University_Exit!$B:$B,0)),"")</f>
        <v>Yes</v>
      </c>
      <c r="AG216" s="2">
        <f>IFERROR(INDEX(University_Exit!$H:$H,MATCH($B216,University_Exit!$B:$B,0)),"")</f>
        <v>80.38</v>
      </c>
      <c r="AH216" s="6">
        <f>IFERROR(INDEX(University_Exit!$K:$K,MATCH($B216,University_Exit!$B:$B,0)),"")</f>
        <v>1060</v>
      </c>
      <c r="AI216" s="2">
        <f>IFERROR(INDEX(University_Exit!$G:$G,MATCH($B216,University_Exit!$B:$B,0)),"")</f>
        <v>0</v>
      </c>
      <c r="AJ216">
        <f>IFERROR(INDEX(Baseline_Entry!$N:$N,MATCH($B216,Baseline_Entry!$B:$B,0)),"")</f>
        <v>97</v>
      </c>
      <c r="AK216">
        <f>IFERROR(INDEX(Cognitive_Profile!$E:$E,MATCH($B216,Cognitive_Profile!$B:$B,0)),"")</f>
        <v>97</v>
      </c>
      <c r="AL216">
        <f t="shared" si="12"/>
        <v>0</v>
      </c>
      <c r="AM216">
        <f>IFERROR(INDEX(Participation_By_Student!$D:$D,MATCH($B216,Participation_By_Student!$B:$B,0)),"")</f>
        <v>1</v>
      </c>
      <c r="AN216">
        <f>IFERROR(INDEX(Participation_By_Student!$E:$E,MATCH($B216,Participation_By_Student!$B:$B,0)),"")</f>
        <v>1</v>
      </c>
      <c r="AO216">
        <f>IFERROR(INDEX(Participation_By_Student!$F:$F,MATCH($B216,Participation_By_Student!$B:$B,0)),"")</f>
        <v>0</v>
      </c>
      <c r="AP216">
        <f>IFERROR(INDEX(Participation_By_Student!$G:$G,MATCH($B216,Participation_By_Student!$B:$B,0)),"")</f>
        <v>1</v>
      </c>
    </row>
    <row r="217" spans="1:42" x14ac:dyDescent="0.3">
      <c r="A217" s="2" t="s">
        <v>419</v>
      </c>
      <c r="B217" s="2" t="s">
        <v>505</v>
      </c>
      <c r="C217" s="2" t="s">
        <v>506</v>
      </c>
      <c r="D217" s="2" t="s">
        <v>64</v>
      </c>
      <c r="E217" s="2" t="s">
        <v>422</v>
      </c>
      <c r="F217" s="5">
        <f>IFERROR(INDEX(Baseline_Entry!$P:$P,MATCH($B217,Baseline_Entry!$B:$B,0)),"")</f>
        <v>21.83098591549296</v>
      </c>
      <c r="G217" s="5" t="str">
        <f t="shared" si="11"/>
        <v>Yes</v>
      </c>
      <c r="H217" s="5">
        <v>77.768000000000001</v>
      </c>
      <c r="I217" s="5">
        <v>88.152000000000001</v>
      </c>
      <c r="J217" s="5">
        <v>10.384</v>
      </c>
      <c r="K217" s="5">
        <v>81.12</v>
      </c>
      <c r="L217" s="5">
        <v>85.13</v>
      </c>
      <c r="M217" s="5">
        <v>4.0099999999999909</v>
      </c>
      <c r="N217" s="5">
        <v>83.12</v>
      </c>
      <c r="O217" s="5">
        <v>90.13</v>
      </c>
      <c r="P217" s="5">
        <v>7.0099999999999909</v>
      </c>
      <c r="Q217" s="5">
        <v>75</v>
      </c>
      <c r="R217" s="5">
        <v>88</v>
      </c>
      <c r="S217" s="5">
        <v>13</v>
      </c>
      <c r="T217" s="5">
        <v>71.5</v>
      </c>
      <c r="U217" s="5">
        <v>86.5</v>
      </c>
      <c r="V217" s="5">
        <v>15</v>
      </c>
      <c r="W217" s="5">
        <v>78.099999999999994</v>
      </c>
      <c r="X217" s="5">
        <v>91</v>
      </c>
      <c r="Y217" s="5">
        <v>12.900000000000009</v>
      </c>
      <c r="Z217" s="2" t="str">
        <f t="shared" si="10"/>
        <v>Low starter</v>
      </c>
      <c r="AA217" s="2" t="s">
        <v>99</v>
      </c>
      <c r="AB217" s="2" t="s">
        <v>65</v>
      </c>
      <c r="AC217" s="2">
        <v>1</v>
      </c>
      <c r="AD217" s="2" t="str">
        <f>IFERROR(INDEX(University_Exit!$D:$D,MATCH($B217,University_Exit!$B:$B,0)),"")</f>
        <v>الكلية العسكرية</v>
      </c>
      <c r="AE217" s="2" t="str">
        <f>IFERROR(INDEX(University_Exit!$F:$F,MATCH($B217,University_Exit!$B:$B,0)),"")</f>
        <v>مرشح ظابط</v>
      </c>
      <c r="AF217" s="2" t="str">
        <f>IFERROR(INDEX(University_Exit!$L:$L,MATCH($B217,University_Exit!$B:$B,0)),"")</f>
        <v>No</v>
      </c>
      <c r="AG217" s="2">
        <f>IFERROR(INDEX(University_Exit!$H:$H,MATCH($B217,University_Exit!$B:$B,0)),"")</f>
        <v>90.13</v>
      </c>
      <c r="AH217" s="6">
        <f>IFERROR(INDEX(University_Exit!$K:$K,MATCH($B217,University_Exit!$B:$B,0)),"")</f>
        <v>950</v>
      </c>
      <c r="AI217" s="2">
        <f>IFERROR(INDEX(University_Exit!$G:$G,MATCH($B217,University_Exit!$B:$B,0)),"")</f>
        <v>0</v>
      </c>
      <c r="AJ217">
        <f>IFERROR(INDEX(Baseline_Entry!$N:$N,MATCH($B217,Baseline_Entry!$B:$B,0)),"")</f>
        <v>93</v>
      </c>
      <c r="AK217">
        <f>IFERROR(INDEX(Cognitive_Profile!$E:$E,MATCH($B217,Cognitive_Profile!$B:$B,0)),"")</f>
        <v>93</v>
      </c>
      <c r="AL217">
        <f t="shared" si="12"/>
        <v>0</v>
      </c>
      <c r="AM217">
        <f>IFERROR(INDEX(Participation_By_Student!$D:$D,MATCH($B217,Participation_By_Student!$B:$B,0)),"")</f>
        <v>4</v>
      </c>
      <c r="AN217">
        <f>IFERROR(INDEX(Participation_By_Student!$E:$E,MATCH($B217,Participation_By_Student!$B:$B,0)),"")</f>
        <v>5</v>
      </c>
      <c r="AO217">
        <f>IFERROR(INDEX(Participation_By_Student!$F:$F,MATCH($B217,Participation_By_Student!$B:$B,0)),"")</f>
        <v>0</v>
      </c>
      <c r="AP217">
        <f>IFERROR(INDEX(Participation_By_Student!$G:$G,MATCH($B217,Participation_By_Student!$B:$B,0)),"")</f>
        <v>5</v>
      </c>
    </row>
    <row r="218" spans="1:42" x14ac:dyDescent="0.3">
      <c r="A218" s="2" t="s">
        <v>419</v>
      </c>
      <c r="B218" s="2" t="s">
        <v>507</v>
      </c>
      <c r="C218" s="2" t="s">
        <v>508</v>
      </c>
      <c r="D218" s="2" t="s">
        <v>64</v>
      </c>
      <c r="E218" s="2" t="s">
        <v>422</v>
      </c>
      <c r="F218" s="5">
        <f>IFERROR(INDEX(Baseline_Entry!$P:$P,MATCH($B218,Baseline_Entry!$B:$B,0)),"")</f>
        <v>22.065727699530516</v>
      </c>
      <c r="G218" s="5" t="str">
        <f t="shared" si="11"/>
        <v>Yes</v>
      </c>
      <c r="H218" s="5">
        <v>85.372</v>
      </c>
      <c r="I218" s="5">
        <v>75.5</v>
      </c>
      <c r="J218" s="5">
        <v>-9.8719999999999999</v>
      </c>
      <c r="K218" s="5">
        <v>81.73</v>
      </c>
      <c r="L218" s="5">
        <v>78</v>
      </c>
      <c r="M218" s="5">
        <v>-3.730000000000004</v>
      </c>
      <c r="N218" s="5">
        <v>86.73</v>
      </c>
      <c r="O218" s="5">
        <v>82</v>
      </c>
      <c r="P218" s="5">
        <v>-4.730000000000004</v>
      </c>
      <c r="Q218" s="5">
        <v>88</v>
      </c>
      <c r="R218" s="5">
        <v>84.5</v>
      </c>
      <c r="S218" s="5">
        <v>-3.5</v>
      </c>
      <c r="T218" s="5">
        <v>87</v>
      </c>
      <c r="U218" s="5">
        <v>61</v>
      </c>
      <c r="V218" s="5">
        <v>-26</v>
      </c>
      <c r="W218" s="5">
        <v>83.4</v>
      </c>
      <c r="X218" s="5">
        <v>72</v>
      </c>
      <c r="Y218" s="5">
        <v>-11.400000000000009</v>
      </c>
      <c r="Z218" s="2" t="str">
        <f t="shared" si="10"/>
        <v>Low starter</v>
      </c>
      <c r="AA218" s="2" t="s">
        <v>65</v>
      </c>
      <c r="AB218" s="2" t="s">
        <v>99</v>
      </c>
      <c r="AC218" s="2">
        <v>-1</v>
      </c>
      <c r="AD218" s="2" t="str">
        <f>IFERROR(INDEX(University_Exit!$D:$D,MATCH($B218,University_Exit!$B:$B,0)),"")</f>
        <v>Doha university</v>
      </c>
      <c r="AE218" s="2" t="str">
        <f>IFERROR(INDEX(University_Exit!$F:$F,MATCH($B218,University_Exit!$B:$B,0)),"")</f>
        <v>Chemical Engineering</v>
      </c>
      <c r="AF218" s="2" t="str">
        <f>IFERROR(INDEX(University_Exit!$L:$L,MATCH($B218,University_Exit!$B:$B,0)),"")</f>
        <v>Yes</v>
      </c>
      <c r="AG218" s="2">
        <f>IFERROR(INDEX(University_Exit!$H:$H,MATCH($B218,University_Exit!$B:$B,0)),"")</f>
        <v>0</v>
      </c>
      <c r="AH218" s="6">
        <f>IFERROR(INDEX(University_Exit!$K:$K,MATCH($B218,University_Exit!$B:$B,0)),"")</f>
        <v>1020</v>
      </c>
      <c r="AI218" s="2">
        <f>IFERROR(INDEX(University_Exit!$G:$G,MATCH($B218,University_Exit!$B:$B,0)),"")</f>
        <v>0</v>
      </c>
      <c r="AJ218">
        <f>IFERROR(INDEX(Baseline_Entry!$N:$N,MATCH($B218,Baseline_Entry!$B:$B,0)),"")</f>
        <v>94</v>
      </c>
      <c r="AK218">
        <f>IFERROR(INDEX(Cognitive_Profile!$E:$E,MATCH($B218,Cognitive_Profile!$B:$B,0)),"")</f>
        <v>94</v>
      </c>
      <c r="AL218">
        <f t="shared" si="12"/>
        <v>0</v>
      </c>
      <c r="AM218">
        <f>IFERROR(INDEX(Participation_By_Student!$D:$D,MATCH($B218,Participation_By_Student!$B:$B,0)),"")</f>
        <v>1</v>
      </c>
      <c r="AN218">
        <f>IFERROR(INDEX(Participation_By_Student!$E:$E,MATCH($B218,Participation_By_Student!$B:$B,0)),"")</f>
        <v>2</v>
      </c>
      <c r="AO218">
        <f>IFERROR(INDEX(Participation_By_Student!$F:$F,MATCH($B218,Participation_By_Student!$B:$B,0)),"")</f>
        <v>1</v>
      </c>
      <c r="AP218">
        <f>IFERROR(INDEX(Participation_By_Student!$G:$G,MATCH($B218,Participation_By_Student!$B:$B,0)),"")</f>
        <v>2</v>
      </c>
    </row>
    <row r="219" spans="1:42" x14ac:dyDescent="0.3">
      <c r="A219" s="2" t="s">
        <v>419</v>
      </c>
      <c r="B219" s="2" t="s">
        <v>509</v>
      </c>
      <c r="C219" s="2" t="s">
        <v>510</v>
      </c>
      <c r="D219" s="2" t="s">
        <v>64</v>
      </c>
      <c r="E219" s="2" t="s">
        <v>422</v>
      </c>
      <c r="F219" s="5">
        <f>IFERROR(INDEX(Baseline_Entry!$P:$P,MATCH($B219,Baseline_Entry!$B:$B,0)),"")</f>
        <v>55.138028169014092</v>
      </c>
      <c r="G219" s="5" t="str">
        <f t="shared" si="11"/>
        <v>Yes</v>
      </c>
      <c r="H219" s="5">
        <v>90.591999999999999</v>
      </c>
      <c r="I219" s="5">
        <v>97.152000000000001</v>
      </c>
      <c r="J219" s="5">
        <v>6.5600000000000023</v>
      </c>
      <c r="K219" s="5">
        <v>91.08</v>
      </c>
      <c r="L219" s="5">
        <v>92.38</v>
      </c>
      <c r="M219" s="5">
        <v>1.2999999999999969</v>
      </c>
      <c r="N219" s="5">
        <v>92.08</v>
      </c>
      <c r="O219" s="5">
        <v>98.38</v>
      </c>
      <c r="P219" s="5">
        <v>6.2999999999999972</v>
      </c>
      <c r="Q219" s="5">
        <v>87.5</v>
      </c>
      <c r="R219" s="5">
        <v>99</v>
      </c>
      <c r="S219" s="5">
        <v>11.5</v>
      </c>
      <c r="T219" s="5">
        <v>95</v>
      </c>
      <c r="U219" s="5">
        <v>99</v>
      </c>
      <c r="V219" s="5">
        <v>4</v>
      </c>
      <c r="W219" s="5">
        <v>87.3</v>
      </c>
      <c r="X219" s="5">
        <v>97</v>
      </c>
      <c r="Y219" s="5">
        <v>9.7000000000000028</v>
      </c>
      <c r="Z219" s="2" t="str">
        <f t="shared" si="10"/>
        <v>Low starter</v>
      </c>
      <c r="AA219" s="2" t="s">
        <v>66</v>
      </c>
      <c r="AB219" s="2" t="s">
        <v>66</v>
      </c>
      <c r="AC219" s="2">
        <v>0</v>
      </c>
      <c r="AD219" s="2" t="str">
        <f>IFERROR(INDEX(University_Exit!$D:$D,MATCH($B219,University_Exit!$B:$B,0)),"")</f>
        <v>Hamad Bin Khalifa University</v>
      </c>
      <c r="AE219" s="2" t="str">
        <f>IFERROR(INDEX(University_Exit!$F:$F,MATCH($B219,University_Exit!$B:$B,0)),"")</f>
        <v>Electrical Engineering</v>
      </c>
      <c r="AF219" s="2" t="str">
        <f>IFERROR(INDEX(University_Exit!$L:$L,MATCH($B219,University_Exit!$B:$B,0)),"")</f>
        <v>Yes</v>
      </c>
      <c r="AG219" s="2">
        <f>IFERROR(INDEX(University_Exit!$H:$H,MATCH($B219,University_Exit!$B:$B,0)),"")</f>
        <v>98.39</v>
      </c>
      <c r="AH219" s="6">
        <f>IFERROR(INDEX(University_Exit!$K:$K,MATCH($B219,University_Exit!$B:$B,0)),"")</f>
        <v>1030</v>
      </c>
      <c r="AI219" s="2">
        <f>IFERROR(INDEX(University_Exit!$G:$G,MATCH($B219,University_Exit!$B:$B,0)),"")</f>
        <v>0</v>
      </c>
      <c r="AJ219">
        <f>IFERROR(INDEX(Baseline_Entry!$N:$N,MATCH($B219,Baseline_Entry!$B:$B,0)),"")</f>
        <v>98</v>
      </c>
      <c r="AK219">
        <f>IFERROR(INDEX(Cognitive_Profile!$E:$E,MATCH($B219,Cognitive_Profile!$B:$B,0)),"")</f>
        <v>98</v>
      </c>
      <c r="AL219">
        <f t="shared" si="12"/>
        <v>0</v>
      </c>
      <c r="AM219">
        <f>IFERROR(INDEX(Participation_By_Student!$D:$D,MATCH($B219,Participation_By_Student!$B:$B,0)),"")</f>
        <v>1</v>
      </c>
      <c r="AN219">
        <f>IFERROR(INDEX(Participation_By_Student!$E:$E,MATCH($B219,Participation_By_Student!$B:$B,0)),"")</f>
        <v>1</v>
      </c>
      <c r="AO219">
        <f>IFERROR(INDEX(Participation_By_Student!$F:$F,MATCH($B219,Participation_By_Student!$B:$B,0)),"")</f>
        <v>0</v>
      </c>
      <c r="AP219">
        <f>IFERROR(INDEX(Participation_By_Student!$G:$G,MATCH($B219,Participation_By_Student!$B:$B,0)),"")</f>
        <v>1</v>
      </c>
    </row>
    <row r="220" spans="1:42" x14ac:dyDescent="0.3">
      <c r="A220" s="2" t="s">
        <v>419</v>
      </c>
      <c r="B220" s="2" t="s">
        <v>511</v>
      </c>
      <c r="C220" s="2" t="s">
        <v>512</v>
      </c>
      <c r="D220" s="2" t="s">
        <v>64</v>
      </c>
      <c r="E220" s="2" t="s">
        <v>422</v>
      </c>
      <c r="F220" s="5">
        <f>IFERROR(INDEX(Baseline_Entry!$P:$P,MATCH($B220,Baseline_Entry!$B:$B,0)),"")</f>
        <v>60.903286384976525</v>
      </c>
      <c r="G220" s="5" t="str">
        <f t="shared" si="11"/>
        <v>Yes</v>
      </c>
      <c r="H220" s="5">
        <v>95.044000000000011</v>
      </c>
      <c r="I220" s="5">
        <v>96.575999999999993</v>
      </c>
      <c r="J220" s="5">
        <v>1.531999999999982</v>
      </c>
      <c r="K220" s="5">
        <v>92.31</v>
      </c>
      <c r="L220" s="5">
        <v>95.94</v>
      </c>
      <c r="M220" s="5">
        <v>3.629999999999995</v>
      </c>
      <c r="N220" s="5">
        <v>96.31</v>
      </c>
      <c r="O220" s="5">
        <v>95.94</v>
      </c>
      <c r="P220" s="5">
        <v>-0.37000000000000449</v>
      </c>
      <c r="Q220" s="5">
        <v>95.5</v>
      </c>
      <c r="R220" s="5">
        <v>97.5</v>
      </c>
      <c r="S220" s="5">
        <v>2</v>
      </c>
      <c r="T220" s="5">
        <v>97</v>
      </c>
      <c r="U220" s="5">
        <v>98.5</v>
      </c>
      <c r="V220" s="5">
        <v>1.5</v>
      </c>
      <c r="W220" s="5">
        <v>94.1</v>
      </c>
      <c r="X220" s="5">
        <v>95</v>
      </c>
      <c r="Y220" s="5">
        <v>0.90000000000000568</v>
      </c>
      <c r="Z220" s="2" t="str">
        <f t="shared" si="10"/>
        <v>Low starter</v>
      </c>
      <c r="AA220" s="2" t="s">
        <v>66</v>
      </c>
      <c r="AB220" s="2" t="s">
        <v>66</v>
      </c>
      <c r="AC220" s="2">
        <v>0</v>
      </c>
      <c r="AD220" s="2" t="str">
        <f>IFERROR(INDEX(University_Exit!$D:$D,MATCH($B220,University_Exit!$B:$B,0)),"")</f>
        <v>University of Nottingham</v>
      </c>
      <c r="AE220" s="2" t="str">
        <f>IFERROR(INDEX(University_Exit!$F:$F,MATCH($B220,University_Exit!$B:$B,0)),"")</f>
        <v>Mechanical Engineering</v>
      </c>
      <c r="AF220" s="2" t="str">
        <f>IFERROR(INDEX(University_Exit!$L:$L,MATCH($B220,University_Exit!$B:$B,0)),"")</f>
        <v>Yes</v>
      </c>
      <c r="AG220" s="2">
        <f>IFERROR(INDEX(University_Exit!$H:$H,MATCH($B220,University_Exit!$B:$B,0)),"")</f>
        <v>95.94</v>
      </c>
      <c r="AH220" s="6">
        <f>IFERROR(INDEX(University_Exit!$K:$K,MATCH($B220,University_Exit!$B:$B,0)),"")</f>
        <v>1240</v>
      </c>
      <c r="AI220" s="2">
        <f>IFERROR(INDEX(University_Exit!$G:$G,MATCH($B220,University_Exit!$B:$B,0)),"")</f>
        <v>0</v>
      </c>
      <c r="AJ220">
        <f>IFERROR(INDEX(Baseline_Entry!$N:$N,MATCH($B220,Baseline_Entry!$B:$B,0)),"")</f>
        <v>97</v>
      </c>
      <c r="AK220">
        <f>IFERROR(INDEX(Cognitive_Profile!$E:$E,MATCH($B220,Cognitive_Profile!$B:$B,0)),"")</f>
        <v>97</v>
      </c>
      <c r="AL220">
        <f t="shared" si="12"/>
        <v>0</v>
      </c>
      <c r="AM220">
        <f>IFERROR(INDEX(Participation_By_Student!$D:$D,MATCH($B220,Participation_By_Student!$B:$B,0)),"")</f>
        <v>6</v>
      </c>
      <c r="AN220">
        <f>IFERROR(INDEX(Participation_By_Student!$E:$E,MATCH($B220,Participation_By_Student!$B:$B,0)),"")</f>
        <v>22</v>
      </c>
      <c r="AO220">
        <f>IFERROR(INDEX(Participation_By_Student!$F:$F,MATCH($B220,Participation_By_Student!$B:$B,0)),"")</f>
        <v>12</v>
      </c>
      <c r="AP220">
        <f>IFERROR(INDEX(Participation_By_Student!$G:$G,MATCH($B220,Participation_By_Student!$B:$B,0)),"")</f>
        <v>25</v>
      </c>
    </row>
    <row r="221" spans="1:42" x14ac:dyDescent="0.3">
      <c r="A221" s="2" t="s">
        <v>419</v>
      </c>
      <c r="B221" s="2" t="s">
        <v>513</v>
      </c>
      <c r="C221" s="2" t="s">
        <v>514</v>
      </c>
      <c r="D221" s="2" t="s">
        <v>64</v>
      </c>
      <c r="E221" s="2" t="s">
        <v>422</v>
      </c>
      <c r="F221" s="5">
        <f>IFERROR(INDEX(Baseline_Entry!$P:$P,MATCH($B221,Baseline_Entry!$B:$B,0)),"")</f>
        <v>59.613145539906107</v>
      </c>
      <c r="G221" s="5" t="str">
        <f t="shared" si="11"/>
        <v>Yes</v>
      </c>
      <c r="H221" s="5">
        <v>86.244</v>
      </c>
      <c r="I221" s="5">
        <v>87.224000000000004</v>
      </c>
      <c r="J221" s="5">
        <v>0.98000000000000398</v>
      </c>
      <c r="K221" s="5">
        <v>89.31</v>
      </c>
      <c r="L221" s="5">
        <v>85.06</v>
      </c>
      <c r="M221" s="5">
        <v>-4.25</v>
      </c>
      <c r="N221" s="5">
        <v>89.31</v>
      </c>
      <c r="O221" s="5">
        <v>88.06</v>
      </c>
      <c r="P221" s="5">
        <v>-1.25</v>
      </c>
      <c r="Q221" s="5">
        <v>79</v>
      </c>
      <c r="R221" s="5">
        <v>89.5</v>
      </c>
      <c r="S221" s="5">
        <v>10.5</v>
      </c>
      <c r="T221" s="5">
        <v>91</v>
      </c>
      <c r="U221" s="5">
        <v>85.5</v>
      </c>
      <c r="V221" s="5">
        <v>-5.5</v>
      </c>
      <c r="W221" s="5">
        <v>82.6</v>
      </c>
      <c r="X221" s="5">
        <v>88</v>
      </c>
      <c r="Y221" s="5">
        <v>5.4000000000000057</v>
      </c>
      <c r="Z221" s="2" t="str">
        <f t="shared" ref="Z221:Z252" si="13">IF(IF(F162="",H162,F162)&lt;70,"Low starter",IF(IF(F162="",H162,F162)&lt;85,"Middle starter","High starter"))</f>
        <v>Low starter</v>
      </c>
      <c r="AA221" s="2" t="s">
        <v>65</v>
      </c>
      <c r="AB221" s="2" t="s">
        <v>65</v>
      </c>
      <c r="AC221" s="2">
        <v>0</v>
      </c>
      <c r="AD221" s="2" t="str">
        <f>IFERROR(INDEX(University_Exit!$D:$D,MATCH($B221,University_Exit!$B:$B,0)),"")</f>
        <v>Qatar University</v>
      </c>
      <c r="AE221" s="2" t="str">
        <f>IFERROR(INDEX(University_Exit!$F:$F,MATCH($B221,University_Exit!$B:$B,0)),"")</f>
        <v>Mechanical Engineering</v>
      </c>
      <c r="AF221" s="2" t="str">
        <f>IFERROR(INDEX(University_Exit!$L:$L,MATCH($B221,University_Exit!$B:$B,0)),"")</f>
        <v>Yes</v>
      </c>
      <c r="AG221" s="2">
        <f>IFERROR(INDEX(University_Exit!$H:$H,MATCH($B221,University_Exit!$B:$B,0)),"")</f>
        <v>88.06</v>
      </c>
      <c r="AH221" s="6">
        <f>IFERROR(INDEX(University_Exit!$K:$K,MATCH($B221,University_Exit!$B:$B,0)),"")</f>
        <v>1070</v>
      </c>
      <c r="AI221" s="2">
        <f>IFERROR(INDEX(University_Exit!$G:$G,MATCH($B221,University_Exit!$B:$B,0)),"")</f>
        <v>0</v>
      </c>
      <c r="AJ221">
        <f>IFERROR(INDEX(Baseline_Entry!$N:$N,MATCH($B221,Baseline_Entry!$B:$B,0)),"")</f>
        <v>104</v>
      </c>
      <c r="AK221">
        <f>IFERROR(INDEX(Cognitive_Profile!$E:$E,MATCH($B221,Cognitive_Profile!$B:$B,0)),"")</f>
        <v>104</v>
      </c>
      <c r="AL221">
        <f t="shared" si="12"/>
        <v>0</v>
      </c>
      <c r="AM221">
        <f>IFERROR(INDEX(Participation_By_Student!$D:$D,MATCH($B221,Participation_By_Student!$B:$B,0)),"")</f>
        <v>2</v>
      </c>
      <c r="AN221">
        <f>IFERROR(INDEX(Participation_By_Student!$E:$E,MATCH($B221,Participation_By_Student!$B:$B,0)),"")</f>
        <v>6</v>
      </c>
      <c r="AO221">
        <f>IFERROR(INDEX(Participation_By_Student!$F:$F,MATCH($B221,Participation_By_Student!$B:$B,0)),"")</f>
        <v>1</v>
      </c>
      <c r="AP221">
        <f>IFERROR(INDEX(Participation_By_Student!$G:$G,MATCH($B221,Participation_By_Student!$B:$B,0)),"")</f>
        <v>6</v>
      </c>
    </row>
    <row r="222" spans="1:42" x14ac:dyDescent="0.3">
      <c r="A222" s="2" t="s">
        <v>419</v>
      </c>
      <c r="B222" s="2" t="s">
        <v>515</v>
      </c>
      <c r="C222" s="2" t="s">
        <v>516</v>
      </c>
      <c r="D222" s="2" t="s">
        <v>64</v>
      </c>
      <c r="E222" s="2" t="s">
        <v>422</v>
      </c>
      <c r="F222" s="5">
        <f>IFERROR(INDEX(Baseline_Entry!$P:$P,MATCH($B222,Baseline_Entry!$B:$B,0)),"")</f>
        <v>62.450704225352105</v>
      </c>
      <c r="G222" s="5" t="str">
        <f t="shared" si="11"/>
        <v>Yes</v>
      </c>
      <c r="H222" s="5">
        <v>78.872</v>
      </c>
      <c r="I222" s="5">
        <v>87.975999999999999</v>
      </c>
      <c r="J222" s="5">
        <v>9.1039999999999992</v>
      </c>
      <c r="K222" s="5">
        <v>76.73</v>
      </c>
      <c r="L222" s="5">
        <v>83.44</v>
      </c>
      <c r="M222" s="5">
        <v>6.7099999999999937</v>
      </c>
      <c r="N222" s="5">
        <v>80.73</v>
      </c>
      <c r="O222" s="5">
        <v>88.44</v>
      </c>
      <c r="P222" s="5">
        <v>7.7099999999999937</v>
      </c>
      <c r="Q222" s="5">
        <v>93</v>
      </c>
      <c r="R222" s="5">
        <v>96</v>
      </c>
      <c r="S222" s="5">
        <v>3</v>
      </c>
      <c r="T222" s="5">
        <v>73.5</v>
      </c>
      <c r="U222" s="5">
        <v>86.5</v>
      </c>
      <c r="V222" s="5">
        <v>13</v>
      </c>
      <c r="W222" s="5">
        <v>70.400000000000006</v>
      </c>
      <c r="X222" s="5">
        <v>85.5</v>
      </c>
      <c r="Y222" s="5">
        <v>15.099999999999991</v>
      </c>
      <c r="Z222" s="2" t="str">
        <f t="shared" si="13"/>
        <v>Low starter</v>
      </c>
      <c r="AA222" s="2" t="s">
        <v>99</v>
      </c>
      <c r="AB222" s="2" t="s">
        <v>65</v>
      </c>
      <c r="AC222" s="2">
        <v>1</v>
      </c>
      <c r="AD222" s="2" t="str">
        <f>IFERROR(INDEX(University_Exit!$D:$D,MATCH($B222,University_Exit!$B:$B,0)),"")</f>
        <v>Weill Cornell Medicine – Qatar</v>
      </c>
      <c r="AE222" s="2" t="str">
        <f>IFERROR(INDEX(University_Exit!$F:$F,MATCH($B222,University_Exit!$B:$B,0)),"")</f>
        <v>General Medicine</v>
      </c>
      <c r="AF222" s="2" t="str">
        <f>IFERROR(INDEX(University_Exit!$L:$L,MATCH($B222,University_Exit!$B:$B,0)),"")</f>
        <v>Yes</v>
      </c>
      <c r="AG222" s="2">
        <f>IFERROR(INDEX(University_Exit!$H:$H,MATCH($B222,University_Exit!$B:$B,0)),"")</f>
        <v>88.44</v>
      </c>
      <c r="AH222" s="6">
        <f>IFERROR(INDEX(University_Exit!$K:$K,MATCH($B222,University_Exit!$B:$B,0)),"")</f>
        <v>1200</v>
      </c>
      <c r="AI222" s="2">
        <f>IFERROR(INDEX(University_Exit!$G:$G,MATCH($B222,University_Exit!$B:$B,0)),"")</f>
        <v>0</v>
      </c>
      <c r="AJ222">
        <f>IFERROR(INDEX(Baseline_Entry!$N:$N,MATCH($B222,Baseline_Entry!$B:$B,0)),"")</f>
        <v>107</v>
      </c>
      <c r="AK222">
        <f>IFERROR(INDEX(Cognitive_Profile!$E:$E,MATCH($B222,Cognitive_Profile!$B:$B,0)),"")</f>
        <v>107</v>
      </c>
      <c r="AL222">
        <f t="shared" si="12"/>
        <v>0</v>
      </c>
      <c r="AM222">
        <f>IFERROR(INDEX(Participation_By_Student!$D:$D,MATCH($B222,Participation_By_Student!$B:$B,0)),"")</f>
        <v>6</v>
      </c>
      <c r="AN222">
        <f>IFERROR(INDEX(Participation_By_Student!$E:$E,MATCH($B222,Participation_By_Student!$B:$B,0)),"")</f>
        <v>16</v>
      </c>
      <c r="AO222">
        <f>IFERROR(INDEX(Participation_By_Student!$F:$F,MATCH($B222,Participation_By_Student!$B:$B,0)),"")</f>
        <v>6</v>
      </c>
      <c r="AP222">
        <f>IFERROR(INDEX(Participation_By_Student!$G:$G,MATCH($B222,Participation_By_Student!$B:$B,0)),"")</f>
        <v>16</v>
      </c>
    </row>
    <row r="223" spans="1:42" x14ac:dyDescent="0.3">
      <c r="A223" s="2" t="s">
        <v>419</v>
      </c>
      <c r="B223" s="2" t="s">
        <v>517</v>
      </c>
      <c r="C223" s="2" t="s">
        <v>518</v>
      </c>
      <c r="D223" s="2" t="s">
        <v>64</v>
      </c>
      <c r="E223" s="2" t="s">
        <v>422</v>
      </c>
      <c r="F223" s="5">
        <f>IFERROR(INDEX(Baseline_Entry!$P:$P,MATCH($B223,Baseline_Entry!$B:$B,0)),"")</f>
        <v>58.230985915492958</v>
      </c>
      <c r="G223" s="5" t="str">
        <f t="shared" si="11"/>
        <v>Yes</v>
      </c>
      <c r="H223" s="5">
        <v>93.756</v>
      </c>
      <c r="I223" s="5">
        <v>97.275999999999996</v>
      </c>
      <c r="J223" s="5">
        <v>3.519999999999996</v>
      </c>
      <c r="K223" s="5">
        <v>92.04</v>
      </c>
      <c r="L223" s="5">
        <v>92.19</v>
      </c>
      <c r="M223" s="5">
        <v>0.1499999999999915</v>
      </c>
      <c r="N223" s="5">
        <v>94.04</v>
      </c>
      <c r="O223" s="5">
        <v>98.19</v>
      </c>
      <c r="P223" s="5">
        <v>4.1499999999999906</v>
      </c>
      <c r="Q223" s="5">
        <v>95.5</v>
      </c>
      <c r="R223" s="5">
        <v>98</v>
      </c>
      <c r="S223" s="5">
        <v>2.5</v>
      </c>
      <c r="T223" s="5">
        <v>97.5</v>
      </c>
      <c r="U223" s="5">
        <v>99.5</v>
      </c>
      <c r="V223" s="5">
        <v>2</v>
      </c>
      <c r="W223" s="5">
        <v>89.7</v>
      </c>
      <c r="X223" s="5">
        <v>98.5</v>
      </c>
      <c r="Y223" s="5">
        <v>8.7999999999999972</v>
      </c>
      <c r="Z223" s="2" t="str">
        <f t="shared" si="13"/>
        <v>Low starter</v>
      </c>
      <c r="AA223" s="2" t="s">
        <v>66</v>
      </c>
      <c r="AB223" s="2" t="s">
        <v>66</v>
      </c>
      <c r="AC223" s="2">
        <v>0</v>
      </c>
      <c r="AD223" s="2" t="str">
        <f>IFERROR(INDEX(University_Exit!$D:$D,MATCH($B223,University_Exit!$B:$B,0)),"")</f>
        <v>WEILL CORNELL MEDICINE</v>
      </c>
      <c r="AE223" s="2" t="str">
        <f>IFERROR(INDEX(University_Exit!$F:$F,MATCH($B223,University_Exit!$B:$B,0)),"")</f>
        <v>General Medicine</v>
      </c>
      <c r="AF223" s="2" t="str">
        <f>IFERROR(INDEX(University_Exit!$L:$L,MATCH($B223,University_Exit!$B:$B,0)),"")</f>
        <v>Yes</v>
      </c>
      <c r="AG223" s="2">
        <f>IFERROR(INDEX(University_Exit!$H:$H,MATCH($B223,University_Exit!$B:$B,0)),"")</f>
        <v>98.19</v>
      </c>
      <c r="AH223" s="6">
        <f>IFERROR(INDEX(University_Exit!$K:$K,MATCH($B223,University_Exit!$B:$B,0)),"")</f>
        <v>1240</v>
      </c>
      <c r="AI223" s="2">
        <f>IFERROR(INDEX(University_Exit!$G:$G,MATCH($B223,University_Exit!$B:$B,0)),"")</f>
        <v>0</v>
      </c>
      <c r="AJ223">
        <f>IFERROR(INDEX(Baseline_Entry!$N:$N,MATCH($B223,Baseline_Entry!$B:$B,0)),"")</f>
        <v>93</v>
      </c>
      <c r="AK223">
        <f>IFERROR(INDEX(Cognitive_Profile!$E:$E,MATCH($B223,Cognitive_Profile!$B:$B,0)),"")</f>
        <v>93</v>
      </c>
      <c r="AL223">
        <f t="shared" si="12"/>
        <v>0</v>
      </c>
      <c r="AM223">
        <f>IFERROR(INDEX(Participation_By_Student!$D:$D,MATCH($B223,Participation_By_Student!$B:$B,0)),"")</f>
        <v>4</v>
      </c>
      <c r="AN223">
        <f>IFERROR(INDEX(Participation_By_Student!$E:$E,MATCH($B223,Participation_By_Student!$B:$B,0)),"")</f>
        <v>13</v>
      </c>
      <c r="AO223">
        <f>IFERROR(INDEX(Participation_By_Student!$F:$F,MATCH($B223,Participation_By_Student!$B:$B,0)),"")</f>
        <v>5</v>
      </c>
      <c r="AP223">
        <f>IFERROR(INDEX(Participation_By_Student!$G:$G,MATCH($B223,Participation_By_Student!$B:$B,0)),"")</f>
        <v>14</v>
      </c>
    </row>
    <row r="224" spans="1:42" x14ac:dyDescent="0.3">
      <c r="A224" s="2" t="s">
        <v>419</v>
      </c>
      <c r="B224" s="2" t="s">
        <v>519</v>
      </c>
      <c r="C224" s="2" t="s">
        <v>520</v>
      </c>
      <c r="D224" s="2" t="s">
        <v>64</v>
      </c>
      <c r="E224" s="2" t="s">
        <v>422</v>
      </c>
      <c r="F224" s="5">
        <f>IFERROR(INDEX(Baseline_Entry!$P:$P,MATCH($B224,Baseline_Entry!$B:$B,0)),"")</f>
        <v>56.445070422535217</v>
      </c>
      <c r="G224" s="5" t="str">
        <f t="shared" si="11"/>
        <v>Yes</v>
      </c>
      <c r="H224" s="5">
        <v>81.284000000000006</v>
      </c>
      <c r="I224" s="5">
        <v>95.451999999999998</v>
      </c>
      <c r="J224" s="5">
        <v>14.16799999999999</v>
      </c>
      <c r="K224" s="5">
        <v>77.81</v>
      </c>
      <c r="L224" s="5">
        <v>92.38</v>
      </c>
      <c r="M224" s="5">
        <v>14.56999999999999</v>
      </c>
      <c r="N224" s="5">
        <v>83.81</v>
      </c>
      <c r="O224" s="5">
        <v>93.38</v>
      </c>
      <c r="P224" s="5">
        <v>9.5699999999999932</v>
      </c>
      <c r="Q224" s="5">
        <v>88</v>
      </c>
      <c r="R224" s="5">
        <v>98</v>
      </c>
      <c r="S224" s="5">
        <v>10</v>
      </c>
      <c r="T224" s="5">
        <v>82.5</v>
      </c>
      <c r="U224" s="5">
        <v>97.5</v>
      </c>
      <c r="V224" s="5">
        <v>15</v>
      </c>
      <c r="W224" s="5">
        <v>74.3</v>
      </c>
      <c r="X224" s="5">
        <v>96</v>
      </c>
      <c r="Y224" s="5">
        <v>21.7</v>
      </c>
      <c r="Z224" s="2" t="str">
        <f t="shared" si="13"/>
        <v>Low starter</v>
      </c>
      <c r="AA224" s="2" t="s">
        <v>65</v>
      </c>
      <c r="AB224" s="2" t="s">
        <v>66</v>
      </c>
      <c r="AC224" s="2">
        <v>1</v>
      </c>
      <c r="AD224" s="2" t="str">
        <f>IFERROR(INDEX(University_Exit!$D:$D,MATCH($B224,University_Exit!$B:$B,0)),"")</f>
        <v>WEILL CORNELL MEDICINE</v>
      </c>
      <c r="AE224" s="2" t="str">
        <f>IFERROR(INDEX(University_Exit!$F:$F,MATCH($B224,University_Exit!$B:$B,0)),"")</f>
        <v>General Medicine</v>
      </c>
      <c r="AF224" s="2" t="str">
        <f>IFERROR(INDEX(University_Exit!$L:$L,MATCH($B224,University_Exit!$B:$B,0)),"")</f>
        <v>Yes</v>
      </c>
      <c r="AG224" s="2">
        <f>IFERROR(INDEX(University_Exit!$H:$H,MATCH($B224,University_Exit!$B:$B,0)),"")</f>
        <v>93.38</v>
      </c>
      <c r="AH224" s="6">
        <f>IFERROR(INDEX(University_Exit!$K:$K,MATCH($B224,University_Exit!$B:$B,0)),"")</f>
        <v>1190</v>
      </c>
      <c r="AI224" s="2">
        <f>IFERROR(INDEX(University_Exit!$G:$G,MATCH($B224,University_Exit!$B:$B,0)),"")</f>
        <v>0</v>
      </c>
      <c r="AJ224">
        <f>IFERROR(INDEX(Baseline_Entry!$N:$N,MATCH($B224,Baseline_Entry!$B:$B,0)),"")</f>
        <v>103</v>
      </c>
      <c r="AK224">
        <f>IFERROR(INDEX(Cognitive_Profile!$E:$E,MATCH($B224,Cognitive_Profile!$B:$B,0)),"")</f>
        <v>103</v>
      </c>
      <c r="AL224">
        <f t="shared" si="12"/>
        <v>0</v>
      </c>
      <c r="AM224">
        <f>IFERROR(INDEX(Participation_By_Student!$D:$D,MATCH($B224,Participation_By_Student!$B:$B,0)),"")</f>
        <v>5</v>
      </c>
      <c r="AN224">
        <f>IFERROR(INDEX(Participation_By_Student!$E:$E,MATCH($B224,Participation_By_Student!$B:$B,0)),"")</f>
        <v>10</v>
      </c>
      <c r="AO224">
        <f>IFERROR(INDEX(Participation_By_Student!$F:$F,MATCH($B224,Participation_By_Student!$B:$B,0)),"")</f>
        <v>5</v>
      </c>
      <c r="AP224">
        <f>IFERROR(INDEX(Participation_By_Student!$G:$G,MATCH($B224,Participation_By_Student!$B:$B,0)),"")</f>
        <v>10</v>
      </c>
    </row>
    <row r="225" spans="1:42" x14ac:dyDescent="0.3">
      <c r="A225" s="2" t="s">
        <v>419</v>
      </c>
      <c r="B225" s="2" t="s">
        <v>521</v>
      </c>
      <c r="C225" s="2" t="s">
        <v>522</v>
      </c>
      <c r="D225" s="2" t="s">
        <v>64</v>
      </c>
      <c r="E225" s="2" t="s">
        <v>422</v>
      </c>
      <c r="F225" s="5">
        <f>IFERROR(INDEX(Baseline_Entry!$P:$P,MATCH($B225,Baseline_Entry!$B:$B,0)),"")</f>
        <v>57.697652582159627</v>
      </c>
      <c r="G225" s="5" t="str">
        <f t="shared" si="11"/>
        <v>Yes</v>
      </c>
      <c r="H225" s="5">
        <v>93.2</v>
      </c>
      <c r="I225" s="5">
        <v>97.7</v>
      </c>
      <c r="J225" s="5">
        <v>4.5</v>
      </c>
      <c r="K225" s="5">
        <v>89</v>
      </c>
      <c r="L225" s="5">
        <v>94.25</v>
      </c>
      <c r="M225" s="5">
        <v>5.25</v>
      </c>
      <c r="N225" s="5">
        <v>95</v>
      </c>
      <c r="O225" s="5">
        <v>98.25</v>
      </c>
      <c r="P225" s="5">
        <v>3.25</v>
      </c>
      <c r="Q225" s="5">
        <v>93.5</v>
      </c>
      <c r="R225" s="5">
        <v>97</v>
      </c>
      <c r="S225" s="5">
        <v>3.5</v>
      </c>
      <c r="T225" s="5">
        <v>97.5</v>
      </c>
      <c r="U225" s="5">
        <v>100</v>
      </c>
      <c r="V225" s="5">
        <v>2.5</v>
      </c>
      <c r="W225" s="5">
        <v>91</v>
      </c>
      <c r="X225" s="5">
        <v>99</v>
      </c>
      <c r="Y225" s="5">
        <v>8</v>
      </c>
      <c r="Z225" s="2" t="str">
        <f t="shared" si="13"/>
        <v>Low starter</v>
      </c>
      <c r="AA225" s="2" t="s">
        <v>66</v>
      </c>
      <c r="AB225" s="2" t="s">
        <v>66</v>
      </c>
      <c r="AC225" s="2">
        <v>0</v>
      </c>
      <c r="AD225" s="2" t="str">
        <f>IFERROR(INDEX(University_Exit!$D:$D,MATCH($B225,University_Exit!$B:$B,0)),"")</f>
        <v>WEILL CORNELL MEDICINE</v>
      </c>
      <c r="AE225" s="2" t="str">
        <f>IFERROR(INDEX(University_Exit!$F:$F,MATCH($B225,University_Exit!$B:$B,0)),"")</f>
        <v>General Medicine</v>
      </c>
      <c r="AF225" s="2" t="str">
        <f>IFERROR(INDEX(University_Exit!$L:$L,MATCH($B225,University_Exit!$B:$B,0)),"")</f>
        <v>Yes</v>
      </c>
      <c r="AG225" s="2">
        <f>IFERROR(INDEX(University_Exit!$H:$H,MATCH($B225,University_Exit!$B:$B,0)),"")</f>
        <v>96.25</v>
      </c>
      <c r="AH225" s="6">
        <f>IFERROR(INDEX(University_Exit!$K:$K,MATCH($B225,University_Exit!$B:$B,0)),"")</f>
        <v>1320</v>
      </c>
      <c r="AI225" s="2">
        <f>IFERROR(INDEX(University_Exit!$G:$G,MATCH($B225,University_Exit!$B:$B,0)),"")</f>
        <v>0</v>
      </c>
      <c r="AJ225">
        <f>IFERROR(INDEX(Baseline_Entry!$N:$N,MATCH($B225,Baseline_Entry!$B:$B,0)),"")</f>
        <v>93</v>
      </c>
      <c r="AK225">
        <f>IFERROR(INDEX(Cognitive_Profile!$E:$E,MATCH($B225,Cognitive_Profile!$B:$B,0)),"")</f>
        <v>93</v>
      </c>
      <c r="AL225">
        <f t="shared" si="12"/>
        <v>0</v>
      </c>
      <c r="AM225">
        <f>IFERROR(INDEX(Participation_By_Student!$D:$D,MATCH($B225,Participation_By_Student!$B:$B,0)),"")</f>
        <v>11</v>
      </c>
      <c r="AN225">
        <f>IFERROR(INDEX(Participation_By_Student!$E:$E,MATCH($B225,Participation_By_Student!$B:$B,0)),"")</f>
        <v>16</v>
      </c>
      <c r="AO225">
        <f>IFERROR(INDEX(Participation_By_Student!$F:$F,MATCH($B225,Participation_By_Student!$B:$B,0)),"")</f>
        <v>9</v>
      </c>
      <c r="AP225">
        <f>IFERROR(INDEX(Participation_By_Student!$G:$G,MATCH($B225,Participation_By_Student!$B:$B,0)),"")</f>
        <v>18</v>
      </c>
    </row>
    <row r="226" spans="1:42" x14ac:dyDescent="0.3">
      <c r="A226" s="2" t="s">
        <v>419</v>
      </c>
      <c r="B226" s="2" t="s">
        <v>523</v>
      </c>
      <c r="C226" s="2" t="s">
        <v>524</v>
      </c>
      <c r="D226" s="2" t="s">
        <v>64</v>
      </c>
      <c r="E226" s="2" t="s">
        <v>422</v>
      </c>
      <c r="F226" s="5">
        <f>IFERROR(INDEX(Baseline_Entry!$P:$P,MATCH($B226,Baseline_Entry!$B:$B,0)),"")</f>
        <v>58.413145539906111</v>
      </c>
      <c r="G226" s="5" t="str">
        <f t="shared" si="11"/>
        <v>Yes</v>
      </c>
      <c r="H226" s="5">
        <v>77.263999999999982</v>
      </c>
      <c r="I226" s="5">
        <v>89.1</v>
      </c>
      <c r="J226" s="5">
        <v>11.836000000000009</v>
      </c>
      <c r="K226" s="5">
        <v>77.459999999999994</v>
      </c>
      <c r="L226" s="5">
        <v>84.75</v>
      </c>
      <c r="M226" s="5">
        <v>7.2900000000000063</v>
      </c>
      <c r="N226" s="5">
        <v>81.459999999999994</v>
      </c>
      <c r="O226" s="5">
        <v>90.75</v>
      </c>
      <c r="P226" s="5">
        <v>9.2900000000000063</v>
      </c>
      <c r="Q226" s="5">
        <v>89</v>
      </c>
      <c r="R226" s="5">
        <v>97</v>
      </c>
      <c r="S226" s="5">
        <v>8</v>
      </c>
      <c r="T226" s="5">
        <v>70</v>
      </c>
      <c r="U226" s="5">
        <v>86.5</v>
      </c>
      <c r="V226" s="5">
        <v>16.5</v>
      </c>
      <c r="W226" s="5">
        <v>68.400000000000006</v>
      </c>
      <c r="X226" s="5">
        <v>86.5</v>
      </c>
      <c r="Y226" s="5">
        <v>18.099999999999991</v>
      </c>
      <c r="Z226" s="2" t="str">
        <f t="shared" si="13"/>
        <v>Low starter</v>
      </c>
      <c r="AA226" s="2" t="s">
        <v>99</v>
      </c>
      <c r="AB226" s="2" t="s">
        <v>65</v>
      </c>
      <c r="AC226" s="2">
        <v>1</v>
      </c>
      <c r="AD226" s="2" t="str">
        <f>IFERROR(INDEX(University_Exit!$D:$D,MATCH($B226,University_Exit!$B:$B,0)),"")</f>
        <v>Qatar University</v>
      </c>
      <c r="AE226" s="2" t="str">
        <f>IFERROR(INDEX(University_Exit!$F:$F,MATCH($B226,University_Exit!$B:$B,0)),"")</f>
        <v>General Medicine</v>
      </c>
      <c r="AF226" s="2" t="str">
        <f>IFERROR(INDEX(University_Exit!$L:$L,MATCH($B226,University_Exit!$B:$B,0)),"")</f>
        <v>Yes</v>
      </c>
      <c r="AG226" s="2">
        <f>IFERROR(INDEX(University_Exit!$H:$H,MATCH($B226,University_Exit!$B:$B,0)),"")</f>
        <v>90.75</v>
      </c>
      <c r="AH226" s="6">
        <f>IFERROR(INDEX(University_Exit!$K:$K,MATCH($B226,University_Exit!$B:$B,0)),"")</f>
        <v>1080</v>
      </c>
      <c r="AI226" s="2">
        <f>IFERROR(INDEX(University_Exit!$G:$G,MATCH($B226,University_Exit!$B:$B,0)),"")</f>
        <v>0</v>
      </c>
      <c r="AJ226">
        <f>IFERROR(INDEX(Baseline_Entry!$N:$N,MATCH($B226,Baseline_Entry!$B:$B,0)),"")</f>
        <v>104</v>
      </c>
      <c r="AK226">
        <f>IFERROR(INDEX(Cognitive_Profile!$E:$E,MATCH($B226,Cognitive_Profile!$B:$B,0)),"")</f>
        <v>104</v>
      </c>
      <c r="AL226">
        <f t="shared" si="12"/>
        <v>0</v>
      </c>
      <c r="AM226">
        <f>IFERROR(INDEX(Participation_By_Student!$D:$D,MATCH($B226,Participation_By_Student!$B:$B,0)),"")</f>
        <v>1</v>
      </c>
      <c r="AN226">
        <f>IFERROR(INDEX(Participation_By_Student!$E:$E,MATCH($B226,Participation_By_Student!$B:$B,0)),"")</f>
        <v>2</v>
      </c>
      <c r="AO226">
        <f>IFERROR(INDEX(Participation_By_Student!$F:$F,MATCH($B226,Participation_By_Student!$B:$B,0)),"")</f>
        <v>1</v>
      </c>
      <c r="AP226">
        <f>IFERROR(INDEX(Participation_By_Student!$G:$G,MATCH($B226,Participation_By_Student!$B:$B,0)),"")</f>
        <v>2</v>
      </c>
    </row>
    <row r="227" spans="1:42" x14ac:dyDescent="0.3">
      <c r="A227" s="2" t="s">
        <v>419</v>
      </c>
      <c r="B227" s="2" t="s">
        <v>525</v>
      </c>
      <c r="C227" s="2" t="s">
        <v>526</v>
      </c>
      <c r="D227" s="2" t="s">
        <v>64</v>
      </c>
      <c r="E227" s="2" t="s">
        <v>422</v>
      </c>
      <c r="F227" s="5">
        <f>IFERROR(INDEX(Baseline_Entry!$P:$P,MATCH($B227,Baseline_Entry!$B:$B,0)),"")</f>
        <v>67.021596244131459</v>
      </c>
      <c r="G227" s="5" t="str">
        <f t="shared" si="11"/>
        <v>Yes</v>
      </c>
      <c r="H227" s="5">
        <v>87.183999999999997</v>
      </c>
      <c r="I227" s="5">
        <v>90.051999999999992</v>
      </c>
      <c r="J227" s="5">
        <v>2.867999999999995</v>
      </c>
      <c r="K227" s="5">
        <v>84.46</v>
      </c>
      <c r="L227" s="5">
        <v>86.38</v>
      </c>
      <c r="M227" s="5">
        <v>1.9200000000000019</v>
      </c>
      <c r="N227" s="5">
        <v>89.46</v>
      </c>
      <c r="O227" s="5">
        <v>86.38</v>
      </c>
      <c r="P227" s="5">
        <v>-3.0799999999999979</v>
      </c>
      <c r="Q227" s="5">
        <v>91</v>
      </c>
      <c r="R227" s="5">
        <v>99</v>
      </c>
      <c r="S227" s="5">
        <v>8</v>
      </c>
      <c r="T227" s="5">
        <v>83.5</v>
      </c>
      <c r="U227" s="5">
        <v>91</v>
      </c>
      <c r="V227" s="5">
        <v>7.5</v>
      </c>
      <c r="W227" s="5">
        <v>87.5</v>
      </c>
      <c r="X227" s="5">
        <v>87.5</v>
      </c>
      <c r="Y227" s="5">
        <v>0</v>
      </c>
      <c r="Z227" s="2" t="str">
        <f t="shared" si="13"/>
        <v>Middle starter</v>
      </c>
      <c r="AA227" s="2" t="s">
        <v>65</v>
      </c>
      <c r="AB227" s="2" t="s">
        <v>66</v>
      </c>
      <c r="AC227" s="2">
        <v>1</v>
      </c>
      <c r="AD227" s="2" t="str">
        <f>IFERROR(INDEX(University_Exit!$D:$D,MATCH($B227,University_Exit!$B:$B,0)),"")</f>
        <v>PennState University</v>
      </c>
      <c r="AE227" s="2" t="str">
        <f>IFERROR(INDEX(University_Exit!$F:$F,MATCH($B227,University_Exit!$B:$B,0)),"")</f>
        <v>Petroleum Engineering</v>
      </c>
      <c r="AF227" s="2" t="str">
        <f>IFERROR(INDEX(University_Exit!$L:$L,MATCH($B227,University_Exit!$B:$B,0)),"")</f>
        <v>Yes</v>
      </c>
      <c r="AG227" s="2">
        <f>IFERROR(INDEX(University_Exit!$H:$H,MATCH($B227,University_Exit!$B:$B,0)),"")</f>
        <v>86.38</v>
      </c>
      <c r="AH227" s="6">
        <f>IFERROR(INDEX(University_Exit!$K:$K,MATCH($B227,University_Exit!$B:$B,0)),"")</f>
        <v>1110</v>
      </c>
      <c r="AI227" s="2">
        <f>IFERROR(INDEX(University_Exit!$G:$G,MATCH($B227,University_Exit!$B:$B,0)),"")</f>
        <v>0</v>
      </c>
      <c r="AJ227">
        <f>IFERROR(INDEX(Baseline_Entry!$N:$N,MATCH($B227,Baseline_Entry!$B:$B,0)),"")</f>
        <v>110</v>
      </c>
      <c r="AK227">
        <f>IFERROR(INDEX(Cognitive_Profile!$E:$E,MATCH($B227,Cognitive_Profile!$B:$B,0)),"")</f>
        <v>110</v>
      </c>
      <c r="AL227">
        <f t="shared" si="12"/>
        <v>0</v>
      </c>
      <c r="AM227">
        <f>IFERROR(INDEX(Participation_By_Student!$D:$D,MATCH($B227,Participation_By_Student!$B:$B,0)),"")</f>
        <v>1</v>
      </c>
      <c r="AN227">
        <f>IFERROR(INDEX(Participation_By_Student!$E:$E,MATCH($B227,Participation_By_Student!$B:$B,0)),"")</f>
        <v>4</v>
      </c>
      <c r="AO227">
        <f>IFERROR(INDEX(Participation_By_Student!$F:$F,MATCH($B227,Participation_By_Student!$B:$B,0)),"")</f>
        <v>0</v>
      </c>
      <c r="AP227">
        <f>IFERROR(INDEX(Participation_By_Student!$G:$G,MATCH($B227,Participation_By_Student!$B:$B,0)),"")</f>
        <v>4</v>
      </c>
    </row>
    <row r="228" spans="1:42" x14ac:dyDescent="0.3">
      <c r="A228" s="2" t="s">
        <v>419</v>
      </c>
      <c r="B228" s="2" t="s">
        <v>527</v>
      </c>
      <c r="C228" s="2" t="s">
        <v>528</v>
      </c>
      <c r="D228" s="2" t="s">
        <v>64</v>
      </c>
      <c r="E228" s="2" t="s">
        <v>422</v>
      </c>
      <c r="F228" s="5">
        <f>IFERROR(INDEX(Baseline_Entry!$P:$P,MATCH($B228,Baseline_Entry!$B:$B,0)),"")</f>
        <v>61.40469483568075</v>
      </c>
      <c r="G228" s="5" t="str">
        <f t="shared" si="11"/>
        <v>Yes</v>
      </c>
      <c r="H228" s="5">
        <v>94.72</v>
      </c>
      <c r="I228" s="5">
        <v>94.751999999999995</v>
      </c>
      <c r="J228" s="5">
        <v>3.1999999999996483E-2</v>
      </c>
      <c r="K228" s="5">
        <v>95.5</v>
      </c>
      <c r="L228" s="5">
        <v>93.38</v>
      </c>
      <c r="M228" s="5">
        <v>-2.120000000000005</v>
      </c>
      <c r="N228" s="5">
        <v>95.5</v>
      </c>
      <c r="O228" s="5">
        <v>96.38</v>
      </c>
      <c r="P228" s="5">
        <v>0.87999999999999545</v>
      </c>
      <c r="Q228" s="5">
        <v>93</v>
      </c>
      <c r="R228" s="5">
        <v>94.5</v>
      </c>
      <c r="S228" s="5">
        <v>1.5</v>
      </c>
      <c r="T228" s="5">
        <v>95.5</v>
      </c>
      <c r="U228" s="5">
        <v>96.5</v>
      </c>
      <c r="V228" s="5">
        <v>1</v>
      </c>
      <c r="W228" s="5">
        <v>94.1</v>
      </c>
      <c r="X228" s="5">
        <v>93</v>
      </c>
      <c r="Y228" s="5">
        <v>-1.0999999999999941</v>
      </c>
      <c r="Z228" s="2" t="str">
        <f t="shared" si="13"/>
        <v>Low starter</v>
      </c>
      <c r="AA228" s="2" t="s">
        <v>66</v>
      </c>
      <c r="AB228" s="2" t="s">
        <v>66</v>
      </c>
      <c r="AC228" s="2">
        <v>0</v>
      </c>
      <c r="AD228" s="2" t="str">
        <f>IFERROR(INDEX(University_Exit!$D:$D,MATCH($B228,University_Exit!$B:$B,0)),"")</f>
        <v>Royal College of Surgeons in Ireland</v>
      </c>
      <c r="AE228" s="2" t="str">
        <f>IFERROR(INDEX(University_Exit!$F:$F,MATCH($B228,University_Exit!$B:$B,0)),"")</f>
        <v>General Medicine</v>
      </c>
      <c r="AF228" s="2" t="str">
        <f>IFERROR(INDEX(University_Exit!$L:$L,MATCH($B228,University_Exit!$B:$B,0)),"")</f>
        <v>Yes</v>
      </c>
      <c r="AG228" s="2">
        <f>IFERROR(INDEX(University_Exit!$H:$H,MATCH($B228,University_Exit!$B:$B,0)),"")</f>
        <v>96.38</v>
      </c>
      <c r="AH228" s="6">
        <f>IFERROR(INDEX(University_Exit!$K:$K,MATCH($B228,University_Exit!$B:$B,0)),"")</f>
        <v>1010</v>
      </c>
      <c r="AI228" s="2">
        <f>IFERROR(INDEX(University_Exit!$G:$G,MATCH($B228,University_Exit!$B:$B,0)),"")</f>
        <v>0</v>
      </c>
      <c r="AJ228">
        <f>IFERROR(INDEX(Baseline_Entry!$N:$N,MATCH($B228,Baseline_Entry!$B:$B,0)),"")</f>
        <v>98</v>
      </c>
      <c r="AK228">
        <f>IFERROR(INDEX(Cognitive_Profile!$E:$E,MATCH($B228,Cognitive_Profile!$B:$B,0)),"")</f>
        <v>98</v>
      </c>
      <c r="AL228">
        <f t="shared" si="12"/>
        <v>0</v>
      </c>
      <c r="AM228">
        <f>IFERROR(INDEX(Participation_By_Student!$D:$D,MATCH($B228,Participation_By_Student!$B:$B,0)),"")</f>
        <v>5</v>
      </c>
      <c r="AN228">
        <f>IFERROR(INDEX(Participation_By_Student!$E:$E,MATCH($B228,Participation_By_Student!$B:$B,0)),"")</f>
        <v>9</v>
      </c>
      <c r="AO228">
        <f>IFERROR(INDEX(Participation_By_Student!$F:$F,MATCH($B228,Participation_By_Student!$B:$B,0)),"")</f>
        <v>6</v>
      </c>
      <c r="AP228">
        <f>IFERROR(INDEX(Participation_By_Student!$G:$G,MATCH($B228,Participation_By_Student!$B:$B,0)),"")</f>
        <v>9</v>
      </c>
    </row>
    <row r="229" spans="1:42" x14ac:dyDescent="0.3">
      <c r="A229" s="2" t="s">
        <v>419</v>
      </c>
      <c r="B229" s="2" t="s">
        <v>529</v>
      </c>
      <c r="C229" s="2" t="s">
        <v>530</v>
      </c>
      <c r="D229" s="2" t="s">
        <v>64</v>
      </c>
      <c r="E229" s="2" t="s">
        <v>422</v>
      </c>
      <c r="F229" s="5">
        <f>IFERROR(INDEX(Baseline_Entry!$P:$P,MATCH($B229,Baseline_Entry!$B:$B,0)),"")</f>
        <v>61.111737089201881</v>
      </c>
      <c r="G229" s="5" t="str">
        <f t="shared" si="11"/>
        <v>Yes</v>
      </c>
      <c r="H229" s="5">
        <v>84.635999999999996</v>
      </c>
      <c r="I229" s="5">
        <v>93.8</v>
      </c>
      <c r="J229" s="5">
        <v>9.1640000000000015</v>
      </c>
      <c r="K229" s="5">
        <v>82.89</v>
      </c>
      <c r="L229" s="5">
        <v>89.75</v>
      </c>
      <c r="M229" s="5">
        <v>6.8599999999999994</v>
      </c>
      <c r="N229" s="5">
        <v>86.89</v>
      </c>
      <c r="O229" s="5">
        <v>94.75</v>
      </c>
      <c r="P229" s="5">
        <v>7.8599999999999994</v>
      </c>
      <c r="Q229" s="5">
        <v>89.5</v>
      </c>
      <c r="R229" s="5">
        <v>97.5</v>
      </c>
      <c r="S229" s="5">
        <v>8</v>
      </c>
      <c r="T229" s="5">
        <v>89.5</v>
      </c>
      <c r="U229" s="5">
        <v>93.5</v>
      </c>
      <c r="V229" s="5">
        <v>4</v>
      </c>
      <c r="W229" s="5">
        <v>74.400000000000006</v>
      </c>
      <c r="X229" s="5">
        <v>93.5</v>
      </c>
      <c r="Y229" s="5">
        <v>19.099999999999991</v>
      </c>
      <c r="Z229" s="2" t="str">
        <f t="shared" si="13"/>
        <v>Low starter</v>
      </c>
      <c r="AA229" s="2" t="s">
        <v>65</v>
      </c>
      <c r="AB229" s="2" t="s">
        <v>66</v>
      </c>
      <c r="AC229" s="2">
        <v>1</v>
      </c>
      <c r="AD229" s="2" t="str">
        <f>IFERROR(INDEX(University_Exit!$D:$D,MATCH($B229,University_Exit!$B:$B,0)),"")</f>
        <v>Royal College of Surgeons in Ireland</v>
      </c>
      <c r="AE229" s="2" t="str">
        <f>IFERROR(INDEX(University_Exit!$F:$F,MATCH($B229,University_Exit!$B:$B,0)),"")</f>
        <v>General Medicine</v>
      </c>
      <c r="AF229" s="2" t="str">
        <f>IFERROR(INDEX(University_Exit!$L:$L,MATCH($B229,University_Exit!$B:$B,0)),"")</f>
        <v>Yes</v>
      </c>
      <c r="AG229" s="2">
        <f>IFERROR(INDEX(University_Exit!$H:$H,MATCH($B229,University_Exit!$B:$B,0)),"")</f>
        <v>94.75</v>
      </c>
      <c r="AH229" s="6">
        <f>IFERROR(INDEX(University_Exit!$K:$K,MATCH($B229,University_Exit!$B:$B,0)),"")</f>
        <v>1220</v>
      </c>
      <c r="AI229" s="2">
        <f>IFERROR(INDEX(University_Exit!$G:$G,MATCH($B229,University_Exit!$B:$B,0)),"")</f>
        <v>0</v>
      </c>
      <c r="AJ229">
        <f>IFERROR(INDEX(Baseline_Entry!$N:$N,MATCH($B229,Baseline_Entry!$B:$B,0)),"")</f>
        <v>103</v>
      </c>
      <c r="AK229">
        <f>IFERROR(INDEX(Cognitive_Profile!$E:$E,MATCH($B229,Cognitive_Profile!$B:$B,0)),"")</f>
        <v>103</v>
      </c>
      <c r="AL229">
        <f t="shared" si="12"/>
        <v>0</v>
      </c>
      <c r="AM229">
        <f>IFERROR(INDEX(Participation_By_Student!$D:$D,MATCH($B229,Participation_By_Student!$B:$B,0)),"")</f>
        <v>2</v>
      </c>
      <c r="AN229">
        <f>IFERROR(INDEX(Participation_By_Student!$E:$E,MATCH($B229,Participation_By_Student!$B:$B,0)),"")</f>
        <v>6</v>
      </c>
      <c r="AO229">
        <f>IFERROR(INDEX(Participation_By_Student!$F:$F,MATCH($B229,Participation_By_Student!$B:$B,0)),"")</f>
        <v>2</v>
      </c>
      <c r="AP229">
        <f>IFERROR(INDEX(Participation_By_Student!$G:$G,MATCH($B229,Participation_By_Student!$B:$B,0)),"")</f>
        <v>6</v>
      </c>
    </row>
    <row r="230" spans="1:42" x14ac:dyDescent="0.3">
      <c r="A230" s="2" t="s">
        <v>419</v>
      </c>
      <c r="B230" s="2" t="s">
        <v>531</v>
      </c>
      <c r="C230" s="2" t="s">
        <v>532</v>
      </c>
      <c r="D230" s="2" t="s">
        <v>64</v>
      </c>
      <c r="E230" s="2" t="s">
        <v>422</v>
      </c>
      <c r="F230" s="5">
        <f>IFERROR(INDEX(Baseline_Entry!$P:$P,MATCH($B230,Baseline_Entry!$B:$B,0)),"")</f>
        <v>61.5962441314554</v>
      </c>
      <c r="G230" s="5" t="str">
        <f t="shared" si="11"/>
        <v>Yes</v>
      </c>
      <c r="H230" s="5">
        <v>93.26</v>
      </c>
      <c r="I230" s="5">
        <v>96.7</v>
      </c>
      <c r="J230" s="5">
        <v>3.4399999999999982</v>
      </c>
      <c r="K230" s="5">
        <v>94</v>
      </c>
      <c r="L230" s="5">
        <v>95</v>
      </c>
      <c r="M230" s="5">
        <v>1</v>
      </c>
      <c r="N230" s="5">
        <v>94</v>
      </c>
      <c r="O230" s="5">
        <v>97</v>
      </c>
      <c r="P230" s="5">
        <v>3</v>
      </c>
      <c r="Q230" s="5">
        <v>92.5</v>
      </c>
      <c r="R230" s="5">
        <v>97</v>
      </c>
      <c r="S230" s="5">
        <v>4.5</v>
      </c>
      <c r="T230" s="5">
        <v>94.5</v>
      </c>
      <c r="U230" s="5">
        <v>97.5</v>
      </c>
      <c r="V230" s="5">
        <v>3</v>
      </c>
      <c r="W230" s="5">
        <v>91.3</v>
      </c>
      <c r="X230" s="5">
        <v>97</v>
      </c>
      <c r="Y230" s="5">
        <v>5.7000000000000028</v>
      </c>
      <c r="Z230" s="2" t="str">
        <f t="shared" si="13"/>
        <v>Low starter</v>
      </c>
      <c r="AA230" s="2" t="s">
        <v>66</v>
      </c>
      <c r="AB230" s="2" t="s">
        <v>66</v>
      </c>
      <c r="AC230" s="2">
        <v>0</v>
      </c>
      <c r="AD230" s="2" t="str">
        <f>IFERROR(INDEX(University_Exit!$D:$D,MATCH($B230,University_Exit!$B:$B,0)),"")</f>
        <v>University Of Sheffield</v>
      </c>
      <c r="AE230" s="2" t="str">
        <f>IFERROR(INDEX(University_Exit!$F:$F,MATCH($B230,University_Exit!$B:$B,0)),"")</f>
        <v>Biomedical Engineering</v>
      </c>
      <c r="AF230" s="2" t="str">
        <f>IFERROR(INDEX(University_Exit!$L:$L,MATCH($B230,University_Exit!$B:$B,0)),"")</f>
        <v>Yes</v>
      </c>
      <c r="AG230" s="2">
        <f>IFERROR(INDEX(University_Exit!$H:$H,MATCH($B230,University_Exit!$B:$B,0)),"")</f>
        <v>97</v>
      </c>
      <c r="AH230" s="6">
        <f>IFERROR(INDEX(University_Exit!$K:$K,MATCH($B230,University_Exit!$B:$B,0)),"")</f>
        <v>1090</v>
      </c>
      <c r="AI230" s="2">
        <f>IFERROR(INDEX(University_Exit!$G:$G,MATCH($B230,University_Exit!$B:$B,0)),"")</f>
        <v>0</v>
      </c>
      <c r="AJ230">
        <f>IFERROR(INDEX(Baseline_Entry!$N:$N,MATCH($B230,Baseline_Entry!$B:$B,0)),"")</f>
        <v>92</v>
      </c>
      <c r="AK230">
        <f>IFERROR(INDEX(Cognitive_Profile!$E:$E,MATCH($B230,Cognitive_Profile!$B:$B,0)),"")</f>
        <v>92</v>
      </c>
      <c r="AL230">
        <f t="shared" si="12"/>
        <v>0</v>
      </c>
      <c r="AM230">
        <f>IFERROR(INDEX(Participation_By_Student!$D:$D,MATCH($B230,Participation_By_Student!$B:$B,0)),"")</f>
        <v>2</v>
      </c>
      <c r="AN230">
        <f>IFERROR(INDEX(Participation_By_Student!$E:$E,MATCH($B230,Participation_By_Student!$B:$B,0)),"")</f>
        <v>5</v>
      </c>
      <c r="AO230">
        <f>IFERROR(INDEX(Participation_By_Student!$F:$F,MATCH($B230,Participation_By_Student!$B:$B,0)),"")</f>
        <v>2</v>
      </c>
      <c r="AP230">
        <f>IFERROR(INDEX(Participation_By_Student!$G:$G,MATCH($B230,Participation_By_Student!$B:$B,0)),"")</f>
        <v>5</v>
      </c>
    </row>
    <row r="231" spans="1:42" x14ac:dyDescent="0.3">
      <c r="A231" s="2" t="s">
        <v>419</v>
      </c>
      <c r="B231" s="2" t="s">
        <v>533</v>
      </c>
      <c r="C231" s="2" t="s">
        <v>534</v>
      </c>
      <c r="D231" s="2" t="s">
        <v>64</v>
      </c>
      <c r="E231" s="2" t="s">
        <v>422</v>
      </c>
      <c r="F231" s="5">
        <f>IFERROR(INDEX(Baseline_Entry!$P:$P,MATCH($B231,Baseline_Entry!$B:$B,0)),"")</f>
        <v>61.138028169014092</v>
      </c>
      <c r="G231" s="5" t="str">
        <f t="shared" si="11"/>
        <v>Yes</v>
      </c>
      <c r="H231" s="5">
        <v>88.195999999999998</v>
      </c>
      <c r="I231" s="5">
        <v>93.475999999999999</v>
      </c>
      <c r="J231" s="5">
        <v>5.2800000000000011</v>
      </c>
      <c r="K231" s="5">
        <v>85.39</v>
      </c>
      <c r="L231" s="5">
        <v>89.19</v>
      </c>
      <c r="M231" s="5">
        <v>3.7999999999999972</v>
      </c>
      <c r="N231" s="5">
        <v>90.39</v>
      </c>
      <c r="O231" s="5">
        <v>92.19</v>
      </c>
      <c r="P231" s="5">
        <v>1.7999999999999969</v>
      </c>
      <c r="Q231" s="5">
        <v>85.5</v>
      </c>
      <c r="R231" s="5">
        <v>93</v>
      </c>
      <c r="S231" s="5">
        <v>7.5</v>
      </c>
      <c r="T231" s="5">
        <v>95.5</v>
      </c>
      <c r="U231" s="5">
        <v>96.5</v>
      </c>
      <c r="V231" s="5">
        <v>1</v>
      </c>
      <c r="W231" s="5">
        <v>84.2</v>
      </c>
      <c r="X231" s="5">
        <v>96.5</v>
      </c>
      <c r="Y231" s="5">
        <v>12.3</v>
      </c>
      <c r="Z231" s="2" t="str">
        <f t="shared" si="13"/>
        <v>Low starter</v>
      </c>
      <c r="AA231" s="2" t="s">
        <v>65</v>
      </c>
      <c r="AB231" s="2" t="s">
        <v>66</v>
      </c>
      <c r="AC231" s="2">
        <v>1</v>
      </c>
      <c r="AD231" s="2" t="str">
        <f>IFERROR(INDEX(University_Exit!$D:$D,MATCH($B231,University_Exit!$B:$B,0)),"")</f>
        <v>WEILL CORNELL MEDICINE</v>
      </c>
      <c r="AE231" s="2" t="str">
        <f>IFERROR(INDEX(University_Exit!$F:$F,MATCH($B231,University_Exit!$B:$B,0)),"")</f>
        <v>General Medicine</v>
      </c>
      <c r="AF231" s="2" t="str">
        <f>IFERROR(INDEX(University_Exit!$L:$L,MATCH($B231,University_Exit!$B:$B,0)),"")</f>
        <v>Yes</v>
      </c>
      <c r="AG231" s="2">
        <f>IFERROR(INDEX(University_Exit!$H:$H,MATCH($B231,University_Exit!$B:$B,0)),"")</f>
        <v>92.19</v>
      </c>
      <c r="AH231" s="6">
        <f>IFERROR(INDEX(University_Exit!$K:$K,MATCH($B231,University_Exit!$B:$B,0)),"")</f>
        <v>1170</v>
      </c>
      <c r="AI231" s="2">
        <f>IFERROR(INDEX(University_Exit!$G:$G,MATCH($B231,University_Exit!$B:$B,0)),"")</f>
        <v>0</v>
      </c>
      <c r="AJ231">
        <f>IFERROR(INDEX(Baseline_Entry!$N:$N,MATCH($B231,Baseline_Entry!$B:$B,0)),"")</f>
        <v>98</v>
      </c>
      <c r="AK231">
        <f>IFERROR(INDEX(Cognitive_Profile!$E:$E,MATCH($B231,Cognitive_Profile!$B:$B,0)),"")</f>
        <v>98</v>
      </c>
      <c r="AL231">
        <f t="shared" si="12"/>
        <v>0</v>
      </c>
      <c r="AM231">
        <f>IFERROR(INDEX(Participation_By_Student!$D:$D,MATCH($B231,Participation_By_Student!$B:$B,0)),"")</f>
        <v>8</v>
      </c>
      <c r="AN231">
        <f>IFERROR(INDEX(Participation_By_Student!$E:$E,MATCH($B231,Participation_By_Student!$B:$B,0)),"")</f>
        <v>18</v>
      </c>
      <c r="AO231">
        <f>IFERROR(INDEX(Participation_By_Student!$F:$F,MATCH($B231,Participation_By_Student!$B:$B,0)),"")</f>
        <v>6</v>
      </c>
      <c r="AP231">
        <f>IFERROR(INDEX(Participation_By_Student!$G:$G,MATCH($B231,Participation_By_Student!$B:$B,0)),"")</f>
        <v>19</v>
      </c>
    </row>
    <row r="232" spans="1:42" x14ac:dyDescent="0.3">
      <c r="A232" s="2" t="s">
        <v>419</v>
      </c>
      <c r="B232" s="2" t="s">
        <v>535</v>
      </c>
      <c r="C232" s="2" t="s">
        <v>536</v>
      </c>
      <c r="D232" s="2" t="s">
        <v>64</v>
      </c>
      <c r="E232" s="2" t="s">
        <v>422</v>
      </c>
      <c r="F232" s="5">
        <f>IFERROR(INDEX(Baseline_Entry!$P:$P,MATCH($B232,Baseline_Entry!$B:$B,0)),"")</f>
        <v>59.543661971830979</v>
      </c>
      <c r="G232" s="5" t="str">
        <f t="shared" si="11"/>
        <v>Yes</v>
      </c>
      <c r="H232" s="5">
        <v>82.555999999999997</v>
      </c>
      <c r="I232" s="5">
        <v>92.975999999999999</v>
      </c>
      <c r="J232" s="5">
        <v>10.42</v>
      </c>
      <c r="K232" s="5">
        <v>82.89</v>
      </c>
      <c r="L232" s="5">
        <v>88.69</v>
      </c>
      <c r="M232" s="5">
        <v>5.7999999999999972</v>
      </c>
      <c r="N232" s="5">
        <v>85.89</v>
      </c>
      <c r="O232" s="5">
        <v>94.69</v>
      </c>
      <c r="P232" s="5">
        <v>8.7999999999999972</v>
      </c>
      <c r="Q232" s="5">
        <v>90</v>
      </c>
      <c r="R232" s="5">
        <v>98</v>
      </c>
      <c r="S232" s="5">
        <v>8</v>
      </c>
      <c r="T232" s="5">
        <v>78</v>
      </c>
      <c r="U232" s="5">
        <v>91.5</v>
      </c>
      <c r="V232" s="5">
        <v>13.5</v>
      </c>
      <c r="W232" s="5">
        <v>76</v>
      </c>
      <c r="X232" s="5">
        <v>92</v>
      </c>
      <c r="Y232" s="5">
        <v>16</v>
      </c>
      <c r="Z232" s="2" t="str">
        <f t="shared" si="13"/>
        <v>Low starter</v>
      </c>
      <c r="AA232" s="2" t="s">
        <v>65</v>
      </c>
      <c r="AB232" s="2" t="s">
        <v>66</v>
      </c>
      <c r="AC232" s="2">
        <v>1</v>
      </c>
      <c r="AD232" s="2" t="str">
        <f>IFERROR(INDEX(University_Exit!$D:$D,MATCH($B232,University_Exit!$B:$B,0)),"")</f>
        <v>Royal College of Surgeons in Ireland</v>
      </c>
      <c r="AE232" s="2" t="str">
        <f>IFERROR(INDEX(University_Exit!$F:$F,MATCH($B232,University_Exit!$B:$B,0)),"")</f>
        <v>General Medicine</v>
      </c>
      <c r="AF232" s="2" t="str">
        <f>IFERROR(INDEX(University_Exit!$L:$L,MATCH($B232,University_Exit!$B:$B,0)),"")</f>
        <v>Yes</v>
      </c>
      <c r="AG232" s="2">
        <f>IFERROR(INDEX(University_Exit!$H:$H,MATCH($B232,University_Exit!$B:$B,0)),"")</f>
        <v>94.69</v>
      </c>
      <c r="AH232" s="6">
        <f>IFERROR(INDEX(University_Exit!$K:$K,MATCH($B232,University_Exit!$B:$B,0)),"")</f>
        <v>1270</v>
      </c>
      <c r="AI232" s="2">
        <f>IFERROR(INDEX(University_Exit!$G:$G,MATCH($B232,University_Exit!$B:$B,0)),"")</f>
        <v>0</v>
      </c>
      <c r="AJ232">
        <f>IFERROR(INDEX(Baseline_Entry!$N:$N,MATCH($B232,Baseline_Entry!$B:$B,0)),"")</f>
        <v>102</v>
      </c>
      <c r="AK232">
        <f>IFERROR(INDEX(Cognitive_Profile!$E:$E,MATCH($B232,Cognitive_Profile!$B:$B,0)),"")</f>
        <v>102</v>
      </c>
      <c r="AL232">
        <f t="shared" si="12"/>
        <v>0</v>
      </c>
      <c r="AM232">
        <f>IFERROR(INDEX(Participation_By_Student!$D:$D,MATCH($B232,Participation_By_Student!$B:$B,0)),"")</f>
        <v>3</v>
      </c>
      <c r="AN232">
        <f>IFERROR(INDEX(Participation_By_Student!$E:$E,MATCH($B232,Participation_By_Student!$B:$B,0)),"")</f>
        <v>6</v>
      </c>
      <c r="AO232">
        <f>IFERROR(INDEX(Participation_By_Student!$F:$F,MATCH($B232,Participation_By_Student!$B:$B,0)),"")</f>
        <v>1</v>
      </c>
      <c r="AP232">
        <f>IFERROR(INDEX(Participation_By_Student!$G:$G,MATCH($B232,Participation_By_Student!$B:$B,0)),"")</f>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232"/>
  <sheetViews>
    <sheetView workbookViewId="0"/>
  </sheetViews>
  <sheetFormatPr defaultRowHeight="14.4" x14ac:dyDescent="0.3"/>
  <cols>
    <col min="22" max="22" width="24" customWidth="1"/>
    <col min="23" max="23" width="70" customWidth="1"/>
  </cols>
  <sheetData>
    <row r="1" spans="1:23" ht="43.2" customHeight="1" x14ac:dyDescent="0.3">
      <c r="A1" s="27" t="s">
        <v>39</v>
      </c>
      <c r="B1" s="27" t="s">
        <v>40</v>
      </c>
      <c r="C1" s="27" t="s">
        <v>41</v>
      </c>
      <c r="D1" s="27" t="s">
        <v>547</v>
      </c>
      <c r="E1" s="27" t="s">
        <v>813</v>
      </c>
      <c r="F1" s="27" t="s">
        <v>814</v>
      </c>
      <c r="G1" s="27" t="s">
        <v>821</v>
      </c>
      <c r="H1" s="27" t="s">
        <v>822</v>
      </c>
      <c r="I1" s="27" t="s">
        <v>550</v>
      </c>
      <c r="J1" s="27" t="s">
        <v>823</v>
      </c>
      <c r="K1" s="27" t="s">
        <v>824</v>
      </c>
      <c r="L1" s="27" t="s">
        <v>551</v>
      </c>
      <c r="M1" s="27" t="s">
        <v>825</v>
      </c>
      <c r="N1" s="27" t="s">
        <v>826</v>
      </c>
      <c r="O1" s="27" t="s">
        <v>552</v>
      </c>
      <c r="P1" s="27" t="s">
        <v>827</v>
      </c>
      <c r="Q1" s="27" t="s">
        <v>828</v>
      </c>
      <c r="R1" s="27" t="s">
        <v>553</v>
      </c>
      <c r="S1" s="27" t="s">
        <v>829</v>
      </c>
      <c r="T1" s="27" t="s">
        <v>830</v>
      </c>
      <c r="U1" s="27" t="s">
        <v>831</v>
      </c>
      <c r="V1" s="31" t="s">
        <v>832</v>
      </c>
      <c r="W1" s="31" t="s">
        <v>833</v>
      </c>
    </row>
    <row r="2" spans="1:23" x14ac:dyDescent="0.3">
      <c r="A2" t="s">
        <v>60</v>
      </c>
      <c r="B2" t="s">
        <v>61</v>
      </c>
      <c r="C2" t="s">
        <v>62</v>
      </c>
      <c r="D2" t="str">
        <f>IFERROR(INDEX(Baseline_Entry!$N:$N,MATCH($B2,Baseline_Entry!$B:$B,0)),"")</f>
        <v/>
      </c>
      <c r="E2" t="str">
        <f>IFERROR(INDEX(CAT4_Current_Master!$H:$H,MATCH($B2,CAT4_Current_Master!$A:$A,0)),"")</f>
        <v/>
      </c>
      <c r="F2" t="str">
        <f t="shared" ref="F2:F65" si="0">IF(OR(D2="",E2=""),"",E2-D2)</f>
        <v/>
      </c>
      <c r="G2" t="str">
        <f>IFERROR(INDEX(Baseline_Entry!$Q:$Q,MATCH($B2,Baseline_Entry!$B:$B,0)),"")</f>
        <v/>
      </c>
      <c r="H2" t="str">
        <f>IFERROR(INDEX(CAT4_Current_Master!$C:$C,MATCH($B2,CAT4_Current_Master!$A:$A,0)),"")</f>
        <v/>
      </c>
      <c r="I2" t="str">
        <f>IFERROR(INDEX(Baseline_Entry!$R:$R,MATCH($B2,Baseline_Entry!$B:$B,0)),"")</f>
        <v/>
      </c>
      <c r="J2" t="str">
        <f>IFERROR(INDEX(CAT4_Current_Master!$D:$D,MATCH($B2,CAT4_Current_Master!$A:$A,0)),"")</f>
        <v/>
      </c>
      <c r="K2" t="str">
        <f t="shared" ref="K2:K65" si="1">IF(OR(I2="",J2=""),"",J2-I2)</f>
        <v/>
      </c>
      <c r="L2" t="str">
        <f>IFERROR(INDEX(Baseline_Entry!$S:$S,MATCH($B2,Baseline_Entry!$B:$B,0)),"")</f>
        <v/>
      </c>
      <c r="M2" t="str">
        <f>IFERROR(INDEX(CAT4_Current_Master!$E:$E,MATCH($B2,CAT4_Current_Master!$A:$A,0)),"")</f>
        <v/>
      </c>
      <c r="N2" t="str">
        <f t="shared" ref="N2:N65" si="2">IF(OR(L2="",M2=""),"",M2-L2)</f>
        <v/>
      </c>
      <c r="O2" t="str">
        <f>IFERROR(INDEX(Baseline_Entry!$T:$T,MATCH($B2,Baseline_Entry!$B:$B,0)),"")</f>
        <v/>
      </c>
      <c r="P2" t="str">
        <f>IFERROR(INDEX(CAT4_Current_Master!$F:$F,MATCH($B2,CAT4_Current_Master!$A:$A,0)),"")</f>
        <v/>
      </c>
      <c r="Q2" t="str">
        <f t="shared" ref="Q2:Q65" si="3">IF(OR(O2="",P2=""),"",P2-O2)</f>
        <v/>
      </c>
      <c r="R2" t="str">
        <f>IFERROR(INDEX(Baseline_Entry!$U:$U,MATCH($B2,Baseline_Entry!$B:$B,0)),"")</f>
        <v/>
      </c>
      <c r="S2" t="str">
        <f>IFERROR(INDEX(CAT4_Current_Master!$G:$G,MATCH($B2,CAT4_Current_Master!$A:$A,0)),"")</f>
        <v/>
      </c>
      <c r="T2" t="str">
        <f t="shared" ref="T2:T65" si="4">IF(OR(R2="",S2=""),"",S2-R2)</f>
        <v/>
      </c>
      <c r="U2" t="str">
        <f>IFERROR(INDEX(CAT4_Current_Master!$I:$I,MATCH($B2,CAT4_Current_Master!$A:$A,0)),"")</f>
        <v/>
      </c>
      <c r="V2" t="str">
        <f t="shared" ref="V2:V65" si="5">IF(COUNT(J2,M2,P2,S2)&lt;4,"",IF(MAX(J2,M2,P2,S2)-MIN(J2,M2,P2,S2)&lt;=7,"Balanced profile",IF(AND(P2=MAX(J2,M2,P2,S2),M2&gt;=100),"Analytical / Abstract thinker",IF(M2=MAX(J2,M2,P2,S2),"Quantitative strength",IF(J2=MAX(J2,M2,P2,S2),"Verbal strength",IF(S2=MAX(J2,M2,P2,S2),"Spatial strength","Mixed profile"))))))</f>
        <v/>
      </c>
      <c r="W2" t="str">
        <f t="shared" ref="W2:W65" si="6">IF(V2="","",IF(V2="Balanced profile","Balanced cognitive pattern across the four CAT4 domains.",IF(V2="Analytical / Abstract thinker","Strong non-verbal reasoning supported by quantitative strength; well aligned with advanced analytical and STEM-rich tasks.",IF(V2="Quantitative strength","Highest current domain is quantitative reasoning, suggesting strong numerical and structured problem-solving potential.",IF(V2="Verbal strength","Highest current domain is verbal reasoning, suggesting strength in language-rich, discussion-rich, and evidence-based tasks.",IF(V2="Spatial strength","Highest current domain is spatial reasoning, suggesting strength in visualisation, modelling, and design tasks.","Mixed cognitive pattern requiring differentiated instruction."))))))</f>
        <v/>
      </c>
    </row>
    <row r="3" spans="1:23" x14ac:dyDescent="0.3">
      <c r="A3" t="s">
        <v>60</v>
      </c>
      <c r="B3" t="s">
        <v>67</v>
      </c>
      <c r="C3" t="s">
        <v>68</v>
      </c>
      <c r="D3" t="str">
        <f>IFERROR(INDEX(Baseline_Entry!$N:$N,MATCH($B3,Baseline_Entry!$B:$B,0)),"")</f>
        <v/>
      </c>
      <c r="E3" t="str">
        <f>IFERROR(INDEX(CAT4_Current_Master!$H:$H,MATCH($B3,CAT4_Current_Master!$A:$A,0)),"")</f>
        <v/>
      </c>
      <c r="F3" t="str">
        <f t="shared" si="0"/>
        <v/>
      </c>
      <c r="G3" t="str">
        <f>IFERROR(INDEX(Baseline_Entry!$Q:$Q,MATCH($B3,Baseline_Entry!$B:$B,0)),"")</f>
        <v/>
      </c>
      <c r="H3" t="str">
        <f>IFERROR(INDEX(CAT4_Current_Master!$C:$C,MATCH($B3,CAT4_Current_Master!$A:$A,0)),"")</f>
        <v/>
      </c>
      <c r="I3" t="str">
        <f>IFERROR(INDEX(Baseline_Entry!$R:$R,MATCH($B3,Baseline_Entry!$B:$B,0)),"")</f>
        <v/>
      </c>
      <c r="J3" t="str">
        <f>IFERROR(INDEX(CAT4_Current_Master!$D:$D,MATCH($B3,CAT4_Current_Master!$A:$A,0)),"")</f>
        <v/>
      </c>
      <c r="K3" t="str">
        <f t="shared" si="1"/>
        <v/>
      </c>
      <c r="L3" t="str">
        <f>IFERROR(INDEX(Baseline_Entry!$S:$S,MATCH($B3,Baseline_Entry!$B:$B,0)),"")</f>
        <v/>
      </c>
      <c r="M3" t="str">
        <f>IFERROR(INDEX(CAT4_Current_Master!$E:$E,MATCH($B3,CAT4_Current_Master!$A:$A,0)),"")</f>
        <v/>
      </c>
      <c r="N3" t="str">
        <f t="shared" si="2"/>
        <v/>
      </c>
      <c r="O3" t="str">
        <f>IFERROR(INDEX(Baseline_Entry!$T:$T,MATCH($B3,Baseline_Entry!$B:$B,0)),"")</f>
        <v/>
      </c>
      <c r="P3" t="str">
        <f>IFERROR(INDEX(CAT4_Current_Master!$F:$F,MATCH($B3,CAT4_Current_Master!$A:$A,0)),"")</f>
        <v/>
      </c>
      <c r="Q3" t="str">
        <f t="shared" si="3"/>
        <v/>
      </c>
      <c r="R3" t="str">
        <f>IFERROR(INDEX(Baseline_Entry!$U:$U,MATCH($B3,Baseline_Entry!$B:$B,0)),"")</f>
        <v/>
      </c>
      <c r="S3" t="str">
        <f>IFERROR(INDEX(CAT4_Current_Master!$G:$G,MATCH($B3,CAT4_Current_Master!$A:$A,0)),"")</f>
        <v/>
      </c>
      <c r="T3" t="str">
        <f t="shared" si="4"/>
        <v/>
      </c>
      <c r="U3" t="str">
        <f>IFERROR(INDEX(CAT4_Current_Master!$I:$I,MATCH($B3,CAT4_Current_Master!$A:$A,0)),"")</f>
        <v/>
      </c>
      <c r="V3" t="str">
        <f t="shared" si="5"/>
        <v/>
      </c>
      <c r="W3" t="str">
        <f t="shared" si="6"/>
        <v/>
      </c>
    </row>
    <row r="4" spans="1:23" x14ac:dyDescent="0.3">
      <c r="A4" t="s">
        <v>60</v>
      </c>
      <c r="B4" t="s">
        <v>69</v>
      </c>
      <c r="C4" t="s">
        <v>70</v>
      </c>
      <c r="D4" t="str">
        <f>IFERROR(INDEX(Baseline_Entry!$N:$N,MATCH($B4,Baseline_Entry!$B:$B,0)),"")</f>
        <v/>
      </c>
      <c r="E4" t="str">
        <f>IFERROR(INDEX(CAT4_Current_Master!$H:$H,MATCH($B4,CAT4_Current_Master!$A:$A,0)),"")</f>
        <v/>
      </c>
      <c r="F4" t="str">
        <f t="shared" si="0"/>
        <v/>
      </c>
      <c r="G4" t="str">
        <f>IFERROR(INDEX(Baseline_Entry!$Q:$Q,MATCH($B4,Baseline_Entry!$B:$B,0)),"")</f>
        <v/>
      </c>
      <c r="H4" t="str">
        <f>IFERROR(INDEX(CAT4_Current_Master!$C:$C,MATCH($B4,CAT4_Current_Master!$A:$A,0)),"")</f>
        <v/>
      </c>
      <c r="I4" t="str">
        <f>IFERROR(INDEX(Baseline_Entry!$R:$R,MATCH($B4,Baseline_Entry!$B:$B,0)),"")</f>
        <v/>
      </c>
      <c r="J4" t="str">
        <f>IFERROR(INDEX(CAT4_Current_Master!$D:$D,MATCH($B4,CAT4_Current_Master!$A:$A,0)),"")</f>
        <v/>
      </c>
      <c r="K4" t="str">
        <f t="shared" si="1"/>
        <v/>
      </c>
      <c r="L4" t="str">
        <f>IFERROR(INDEX(Baseline_Entry!$S:$S,MATCH($B4,Baseline_Entry!$B:$B,0)),"")</f>
        <v/>
      </c>
      <c r="M4" t="str">
        <f>IFERROR(INDEX(CAT4_Current_Master!$E:$E,MATCH($B4,CAT4_Current_Master!$A:$A,0)),"")</f>
        <v/>
      </c>
      <c r="N4" t="str">
        <f t="shared" si="2"/>
        <v/>
      </c>
      <c r="O4" t="str">
        <f>IFERROR(INDEX(Baseline_Entry!$T:$T,MATCH($B4,Baseline_Entry!$B:$B,0)),"")</f>
        <v/>
      </c>
      <c r="P4" t="str">
        <f>IFERROR(INDEX(CAT4_Current_Master!$F:$F,MATCH($B4,CAT4_Current_Master!$A:$A,0)),"")</f>
        <v/>
      </c>
      <c r="Q4" t="str">
        <f t="shared" si="3"/>
        <v/>
      </c>
      <c r="R4" t="str">
        <f>IFERROR(INDEX(Baseline_Entry!$U:$U,MATCH($B4,Baseline_Entry!$B:$B,0)),"")</f>
        <v/>
      </c>
      <c r="S4" t="str">
        <f>IFERROR(INDEX(CAT4_Current_Master!$G:$G,MATCH($B4,CAT4_Current_Master!$A:$A,0)),"")</f>
        <v/>
      </c>
      <c r="T4" t="str">
        <f t="shared" si="4"/>
        <v/>
      </c>
      <c r="U4" t="str">
        <f>IFERROR(INDEX(CAT4_Current_Master!$I:$I,MATCH($B4,CAT4_Current_Master!$A:$A,0)),"")</f>
        <v/>
      </c>
      <c r="V4" t="str">
        <f t="shared" si="5"/>
        <v/>
      </c>
      <c r="W4" t="str">
        <f t="shared" si="6"/>
        <v/>
      </c>
    </row>
    <row r="5" spans="1:23" x14ac:dyDescent="0.3">
      <c r="A5" t="s">
        <v>60</v>
      </c>
      <c r="B5" t="s">
        <v>71</v>
      </c>
      <c r="C5" t="s">
        <v>72</v>
      </c>
      <c r="D5" t="str">
        <f>IFERROR(INDEX(Baseline_Entry!$N:$N,MATCH($B5,Baseline_Entry!$B:$B,0)),"")</f>
        <v/>
      </c>
      <c r="E5" t="str">
        <f>IFERROR(INDEX(CAT4_Current_Master!$H:$H,MATCH($B5,CAT4_Current_Master!$A:$A,0)),"")</f>
        <v/>
      </c>
      <c r="F5" t="str">
        <f t="shared" si="0"/>
        <v/>
      </c>
      <c r="G5" t="str">
        <f>IFERROR(INDEX(Baseline_Entry!$Q:$Q,MATCH($B5,Baseline_Entry!$B:$B,0)),"")</f>
        <v/>
      </c>
      <c r="H5" t="str">
        <f>IFERROR(INDEX(CAT4_Current_Master!$C:$C,MATCH($B5,CAT4_Current_Master!$A:$A,0)),"")</f>
        <v/>
      </c>
      <c r="I5" t="str">
        <f>IFERROR(INDEX(Baseline_Entry!$R:$R,MATCH($B5,Baseline_Entry!$B:$B,0)),"")</f>
        <v/>
      </c>
      <c r="J5" t="str">
        <f>IFERROR(INDEX(CAT4_Current_Master!$D:$D,MATCH($B5,CAT4_Current_Master!$A:$A,0)),"")</f>
        <v/>
      </c>
      <c r="K5" t="str">
        <f t="shared" si="1"/>
        <v/>
      </c>
      <c r="L5" t="str">
        <f>IFERROR(INDEX(Baseline_Entry!$S:$S,MATCH($B5,Baseline_Entry!$B:$B,0)),"")</f>
        <v/>
      </c>
      <c r="M5" t="str">
        <f>IFERROR(INDEX(CAT4_Current_Master!$E:$E,MATCH($B5,CAT4_Current_Master!$A:$A,0)),"")</f>
        <v/>
      </c>
      <c r="N5" t="str">
        <f t="shared" si="2"/>
        <v/>
      </c>
      <c r="O5" t="str">
        <f>IFERROR(INDEX(Baseline_Entry!$T:$T,MATCH($B5,Baseline_Entry!$B:$B,0)),"")</f>
        <v/>
      </c>
      <c r="P5" t="str">
        <f>IFERROR(INDEX(CAT4_Current_Master!$F:$F,MATCH($B5,CAT4_Current_Master!$A:$A,0)),"")</f>
        <v/>
      </c>
      <c r="Q5" t="str">
        <f t="shared" si="3"/>
        <v/>
      </c>
      <c r="R5" t="str">
        <f>IFERROR(INDEX(Baseline_Entry!$U:$U,MATCH($B5,Baseline_Entry!$B:$B,0)),"")</f>
        <v/>
      </c>
      <c r="S5" t="str">
        <f>IFERROR(INDEX(CAT4_Current_Master!$G:$G,MATCH($B5,CAT4_Current_Master!$A:$A,0)),"")</f>
        <v/>
      </c>
      <c r="T5" t="str">
        <f t="shared" si="4"/>
        <v/>
      </c>
      <c r="U5" t="str">
        <f>IFERROR(INDEX(CAT4_Current_Master!$I:$I,MATCH($B5,CAT4_Current_Master!$A:$A,0)),"")</f>
        <v/>
      </c>
      <c r="V5" t="str">
        <f t="shared" si="5"/>
        <v/>
      </c>
      <c r="W5" t="str">
        <f t="shared" si="6"/>
        <v/>
      </c>
    </row>
    <row r="6" spans="1:23" x14ac:dyDescent="0.3">
      <c r="A6" t="s">
        <v>60</v>
      </c>
      <c r="B6" t="s">
        <v>73</v>
      </c>
      <c r="C6" t="s">
        <v>74</v>
      </c>
      <c r="D6" t="str">
        <f>IFERROR(INDEX(Baseline_Entry!$N:$N,MATCH($B6,Baseline_Entry!$B:$B,0)),"")</f>
        <v/>
      </c>
      <c r="E6" t="str">
        <f>IFERROR(INDEX(CAT4_Current_Master!$H:$H,MATCH($B6,CAT4_Current_Master!$A:$A,0)),"")</f>
        <v/>
      </c>
      <c r="F6" t="str">
        <f t="shared" si="0"/>
        <v/>
      </c>
      <c r="G6" t="str">
        <f>IFERROR(INDEX(Baseline_Entry!$Q:$Q,MATCH($B6,Baseline_Entry!$B:$B,0)),"")</f>
        <v/>
      </c>
      <c r="H6" t="str">
        <f>IFERROR(INDEX(CAT4_Current_Master!$C:$C,MATCH($B6,CAT4_Current_Master!$A:$A,0)),"")</f>
        <v/>
      </c>
      <c r="I6" t="str">
        <f>IFERROR(INDEX(Baseline_Entry!$R:$R,MATCH($B6,Baseline_Entry!$B:$B,0)),"")</f>
        <v/>
      </c>
      <c r="J6" t="str">
        <f>IFERROR(INDEX(CAT4_Current_Master!$D:$D,MATCH($B6,CAT4_Current_Master!$A:$A,0)),"")</f>
        <v/>
      </c>
      <c r="K6" t="str">
        <f t="shared" si="1"/>
        <v/>
      </c>
      <c r="L6" t="str">
        <f>IFERROR(INDEX(Baseline_Entry!$S:$S,MATCH($B6,Baseline_Entry!$B:$B,0)),"")</f>
        <v/>
      </c>
      <c r="M6" t="str">
        <f>IFERROR(INDEX(CAT4_Current_Master!$E:$E,MATCH($B6,CAT4_Current_Master!$A:$A,0)),"")</f>
        <v/>
      </c>
      <c r="N6" t="str">
        <f t="shared" si="2"/>
        <v/>
      </c>
      <c r="O6" t="str">
        <f>IFERROR(INDEX(Baseline_Entry!$T:$T,MATCH($B6,Baseline_Entry!$B:$B,0)),"")</f>
        <v/>
      </c>
      <c r="P6" t="str">
        <f>IFERROR(INDEX(CAT4_Current_Master!$F:$F,MATCH($B6,CAT4_Current_Master!$A:$A,0)),"")</f>
        <v/>
      </c>
      <c r="Q6" t="str">
        <f t="shared" si="3"/>
        <v/>
      </c>
      <c r="R6" t="str">
        <f>IFERROR(INDEX(Baseline_Entry!$U:$U,MATCH($B6,Baseline_Entry!$B:$B,0)),"")</f>
        <v/>
      </c>
      <c r="S6" t="str">
        <f>IFERROR(INDEX(CAT4_Current_Master!$G:$G,MATCH($B6,CAT4_Current_Master!$A:$A,0)),"")</f>
        <v/>
      </c>
      <c r="T6" t="str">
        <f t="shared" si="4"/>
        <v/>
      </c>
      <c r="U6" t="str">
        <f>IFERROR(INDEX(CAT4_Current_Master!$I:$I,MATCH($B6,CAT4_Current_Master!$A:$A,0)),"")</f>
        <v/>
      </c>
      <c r="V6" t="str">
        <f t="shared" si="5"/>
        <v/>
      </c>
      <c r="W6" t="str">
        <f t="shared" si="6"/>
        <v/>
      </c>
    </row>
    <row r="7" spans="1:23" x14ac:dyDescent="0.3">
      <c r="A7" t="s">
        <v>60</v>
      </c>
      <c r="B7" t="s">
        <v>75</v>
      </c>
      <c r="C7" t="s">
        <v>76</v>
      </c>
      <c r="D7" t="str">
        <f>IFERROR(INDEX(Baseline_Entry!$N:$N,MATCH($B7,Baseline_Entry!$B:$B,0)),"")</f>
        <v/>
      </c>
      <c r="E7" t="str">
        <f>IFERROR(INDEX(CAT4_Current_Master!$H:$H,MATCH($B7,CAT4_Current_Master!$A:$A,0)),"")</f>
        <v/>
      </c>
      <c r="F7" t="str">
        <f t="shared" si="0"/>
        <v/>
      </c>
      <c r="G7" t="str">
        <f>IFERROR(INDEX(Baseline_Entry!$Q:$Q,MATCH($B7,Baseline_Entry!$B:$B,0)),"")</f>
        <v/>
      </c>
      <c r="H7" t="str">
        <f>IFERROR(INDEX(CAT4_Current_Master!$C:$C,MATCH($B7,CAT4_Current_Master!$A:$A,0)),"")</f>
        <v/>
      </c>
      <c r="I7" t="str">
        <f>IFERROR(INDEX(Baseline_Entry!$R:$R,MATCH($B7,Baseline_Entry!$B:$B,0)),"")</f>
        <v/>
      </c>
      <c r="J7" t="str">
        <f>IFERROR(INDEX(CAT4_Current_Master!$D:$D,MATCH($B7,CAT4_Current_Master!$A:$A,0)),"")</f>
        <v/>
      </c>
      <c r="K7" t="str">
        <f t="shared" si="1"/>
        <v/>
      </c>
      <c r="L7" t="str">
        <f>IFERROR(INDEX(Baseline_Entry!$S:$S,MATCH($B7,Baseline_Entry!$B:$B,0)),"")</f>
        <v/>
      </c>
      <c r="M7" t="str">
        <f>IFERROR(INDEX(CAT4_Current_Master!$E:$E,MATCH($B7,CAT4_Current_Master!$A:$A,0)),"")</f>
        <v/>
      </c>
      <c r="N7" t="str">
        <f t="shared" si="2"/>
        <v/>
      </c>
      <c r="O7" t="str">
        <f>IFERROR(INDEX(Baseline_Entry!$T:$T,MATCH($B7,Baseline_Entry!$B:$B,0)),"")</f>
        <v/>
      </c>
      <c r="P7" t="str">
        <f>IFERROR(INDEX(CAT4_Current_Master!$F:$F,MATCH($B7,CAT4_Current_Master!$A:$A,0)),"")</f>
        <v/>
      </c>
      <c r="Q7" t="str">
        <f t="shared" si="3"/>
        <v/>
      </c>
      <c r="R7" t="str">
        <f>IFERROR(INDEX(Baseline_Entry!$U:$U,MATCH($B7,Baseline_Entry!$B:$B,0)),"")</f>
        <v/>
      </c>
      <c r="S7" t="str">
        <f>IFERROR(INDEX(CAT4_Current_Master!$G:$G,MATCH($B7,CAT4_Current_Master!$A:$A,0)),"")</f>
        <v/>
      </c>
      <c r="T7" t="str">
        <f t="shared" si="4"/>
        <v/>
      </c>
      <c r="U7" t="str">
        <f>IFERROR(INDEX(CAT4_Current_Master!$I:$I,MATCH($B7,CAT4_Current_Master!$A:$A,0)),"")</f>
        <v/>
      </c>
      <c r="V7" t="str">
        <f t="shared" si="5"/>
        <v/>
      </c>
      <c r="W7" t="str">
        <f t="shared" si="6"/>
        <v/>
      </c>
    </row>
    <row r="8" spans="1:23" x14ac:dyDescent="0.3">
      <c r="A8" t="s">
        <v>60</v>
      </c>
      <c r="B8" t="s">
        <v>77</v>
      </c>
      <c r="C8" t="s">
        <v>78</v>
      </c>
      <c r="D8" t="str">
        <f>IFERROR(INDEX(Baseline_Entry!$N:$N,MATCH($B8,Baseline_Entry!$B:$B,0)),"")</f>
        <v/>
      </c>
      <c r="E8" t="str">
        <f>IFERROR(INDEX(CAT4_Current_Master!$H:$H,MATCH($B8,CAT4_Current_Master!$A:$A,0)),"")</f>
        <v/>
      </c>
      <c r="F8" t="str">
        <f t="shared" si="0"/>
        <v/>
      </c>
      <c r="G8" t="str">
        <f>IFERROR(INDEX(Baseline_Entry!$Q:$Q,MATCH($B8,Baseline_Entry!$B:$B,0)),"")</f>
        <v/>
      </c>
      <c r="H8" t="str">
        <f>IFERROR(INDEX(CAT4_Current_Master!$C:$C,MATCH($B8,CAT4_Current_Master!$A:$A,0)),"")</f>
        <v/>
      </c>
      <c r="I8" t="str">
        <f>IFERROR(INDEX(Baseline_Entry!$R:$R,MATCH($B8,Baseline_Entry!$B:$B,0)),"")</f>
        <v/>
      </c>
      <c r="J8" t="str">
        <f>IFERROR(INDEX(CAT4_Current_Master!$D:$D,MATCH($B8,CAT4_Current_Master!$A:$A,0)),"")</f>
        <v/>
      </c>
      <c r="K8" t="str">
        <f t="shared" si="1"/>
        <v/>
      </c>
      <c r="L8" t="str">
        <f>IFERROR(INDEX(Baseline_Entry!$S:$S,MATCH($B8,Baseline_Entry!$B:$B,0)),"")</f>
        <v/>
      </c>
      <c r="M8" t="str">
        <f>IFERROR(INDEX(CAT4_Current_Master!$E:$E,MATCH($B8,CAT4_Current_Master!$A:$A,0)),"")</f>
        <v/>
      </c>
      <c r="N8" t="str">
        <f t="shared" si="2"/>
        <v/>
      </c>
      <c r="O8" t="str">
        <f>IFERROR(INDEX(Baseline_Entry!$T:$T,MATCH($B8,Baseline_Entry!$B:$B,0)),"")</f>
        <v/>
      </c>
      <c r="P8" t="str">
        <f>IFERROR(INDEX(CAT4_Current_Master!$F:$F,MATCH($B8,CAT4_Current_Master!$A:$A,0)),"")</f>
        <v/>
      </c>
      <c r="Q8" t="str">
        <f t="shared" si="3"/>
        <v/>
      </c>
      <c r="R8" t="str">
        <f>IFERROR(INDEX(Baseline_Entry!$U:$U,MATCH($B8,Baseline_Entry!$B:$B,0)),"")</f>
        <v/>
      </c>
      <c r="S8" t="str">
        <f>IFERROR(INDEX(CAT4_Current_Master!$G:$G,MATCH($B8,CAT4_Current_Master!$A:$A,0)),"")</f>
        <v/>
      </c>
      <c r="T8" t="str">
        <f t="shared" si="4"/>
        <v/>
      </c>
      <c r="U8" t="str">
        <f>IFERROR(INDEX(CAT4_Current_Master!$I:$I,MATCH($B8,CAT4_Current_Master!$A:$A,0)),"")</f>
        <v/>
      </c>
      <c r="V8" t="str">
        <f t="shared" si="5"/>
        <v/>
      </c>
      <c r="W8" t="str">
        <f t="shared" si="6"/>
        <v/>
      </c>
    </row>
    <row r="9" spans="1:23" x14ac:dyDescent="0.3">
      <c r="A9" t="s">
        <v>60</v>
      </c>
      <c r="B9" t="s">
        <v>79</v>
      </c>
      <c r="C9" t="s">
        <v>80</v>
      </c>
      <c r="D9" t="str">
        <f>IFERROR(INDEX(Baseline_Entry!$N:$N,MATCH($B9,Baseline_Entry!$B:$B,0)),"")</f>
        <v/>
      </c>
      <c r="E9" t="str">
        <f>IFERROR(INDEX(CAT4_Current_Master!$H:$H,MATCH($B9,CAT4_Current_Master!$A:$A,0)),"")</f>
        <v/>
      </c>
      <c r="F9" t="str">
        <f t="shared" si="0"/>
        <v/>
      </c>
      <c r="G9" t="str">
        <f>IFERROR(INDEX(Baseline_Entry!$Q:$Q,MATCH($B9,Baseline_Entry!$B:$B,0)),"")</f>
        <v/>
      </c>
      <c r="H9" t="str">
        <f>IFERROR(INDEX(CAT4_Current_Master!$C:$C,MATCH($B9,CAT4_Current_Master!$A:$A,0)),"")</f>
        <v/>
      </c>
      <c r="I9" t="str">
        <f>IFERROR(INDEX(Baseline_Entry!$R:$R,MATCH($B9,Baseline_Entry!$B:$B,0)),"")</f>
        <v/>
      </c>
      <c r="J9" t="str">
        <f>IFERROR(INDEX(CAT4_Current_Master!$D:$D,MATCH($B9,CAT4_Current_Master!$A:$A,0)),"")</f>
        <v/>
      </c>
      <c r="K9" t="str">
        <f t="shared" si="1"/>
        <v/>
      </c>
      <c r="L9" t="str">
        <f>IFERROR(INDEX(Baseline_Entry!$S:$S,MATCH($B9,Baseline_Entry!$B:$B,0)),"")</f>
        <v/>
      </c>
      <c r="M9" t="str">
        <f>IFERROR(INDEX(CAT4_Current_Master!$E:$E,MATCH($B9,CAT4_Current_Master!$A:$A,0)),"")</f>
        <v/>
      </c>
      <c r="N9" t="str">
        <f t="shared" si="2"/>
        <v/>
      </c>
      <c r="O9" t="str">
        <f>IFERROR(INDEX(Baseline_Entry!$T:$T,MATCH($B9,Baseline_Entry!$B:$B,0)),"")</f>
        <v/>
      </c>
      <c r="P9" t="str">
        <f>IFERROR(INDEX(CAT4_Current_Master!$F:$F,MATCH($B9,CAT4_Current_Master!$A:$A,0)),"")</f>
        <v/>
      </c>
      <c r="Q9" t="str">
        <f t="shared" si="3"/>
        <v/>
      </c>
      <c r="R9" t="str">
        <f>IFERROR(INDEX(Baseline_Entry!$U:$U,MATCH($B9,Baseline_Entry!$B:$B,0)),"")</f>
        <v/>
      </c>
      <c r="S9" t="str">
        <f>IFERROR(INDEX(CAT4_Current_Master!$G:$G,MATCH($B9,CAT4_Current_Master!$A:$A,0)),"")</f>
        <v/>
      </c>
      <c r="T9" t="str">
        <f t="shared" si="4"/>
        <v/>
      </c>
      <c r="U9" t="str">
        <f>IFERROR(INDEX(CAT4_Current_Master!$I:$I,MATCH($B9,CAT4_Current_Master!$A:$A,0)),"")</f>
        <v/>
      </c>
      <c r="V9" t="str">
        <f t="shared" si="5"/>
        <v/>
      </c>
      <c r="W9" t="str">
        <f t="shared" si="6"/>
        <v/>
      </c>
    </row>
    <row r="10" spans="1:23" x14ac:dyDescent="0.3">
      <c r="A10" t="s">
        <v>60</v>
      </c>
      <c r="B10" t="s">
        <v>81</v>
      </c>
      <c r="C10" t="s">
        <v>82</v>
      </c>
      <c r="D10" t="str">
        <f>IFERROR(INDEX(Baseline_Entry!$N:$N,MATCH($B10,Baseline_Entry!$B:$B,0)),"")</f>
        <v/>
      </c>
      <c r="E10" t="str">
        <f>IFERROR(INDEX(CAT4_Current_Master!$H:$H,MATCH($B10,CAT4_Current_Master!$A:$A,0)),"")</f>
        <v/>
      </c>
      <c r="F10" t="str">
        <f t="shared" si="0"/>
        <v/>
      </c>
      <c r="G10" t="str">
        <f>IFERROR(INDEX(Baseline_Entry!$Q:$Q,MATCH($B10,Baseline_Entry!$B:$B,0)),"")</f>
        <v/>
      </c>
      <c r="H10" t="str">
        <f>IFERROR(INDEX(CAT4_Current_Master!$C:$C,MATCH($B10,CAT4_Current_Master!$A:$A,0)),"")</f>
        <v/>
      </c>
      <c r="I10" t="str">
        <f>IFERROR(INDEX(Baseline_Entry!$R:$R,MATCH($B10,Baseline_Entry!$B:$B,0)),"")</f>
        <v/>
      </c>
      <c r="J10" t="str">
        <f>IFERROR(INDEX(CAT4_Current_Master!$D:$D,MATCH($B10,CAT4_Current_Master!$A:$A,0)),"")</f>
        <v/>
      </c>
      <c r="K10" t="str">
        <f t="shared" si="1"/>
        <v/>
      </c>
      <c r="L10" t="str">
        <f>IFERROR(INDEX(Baseline_Entry!$S:$S,MATCH($B10,Baseline_Entry!$B:$B,0)),"")</f>
        <v/>
      </c>
      <c r="M10" t="str">
        <f>IFERROR(INDEX(CAT4_Current_Master!$E:$E,MATCH($B10,CAT4_Current_Master!$A:$A,0)),"")</f>
        <v/>
      </c>
      <c r="N10" t="str">
        <f t="shared" si="2"/>
        <v/>
      </c>
      <c r="O10" t="str">
        <f>IFERROR(INDEX(Baseline_Entry!$T:$T,MATCH($B10,Baseline_Entry!$B:$B,0)),"")</f>
        <v/>
      </c>
      <c r="P10" t="str">
        <f>IFERROR(INDEX(CAT4_Current_Master!$F:$F,MATCH($B10,CAT4_Current_Master!$A:$A,0)),"")</f>
        <v/>
      </c>
      <c r="Q10" t="str">
        <f t="shared" si="3"/>
        <v/>
      </c>
      <c r="R10" t="str">
        <f>IFERROR(INDEX(Baseline_Entry!$U:$U,MATCH($B10,Baseline_Entry!$B:$B,0)),"")</f>
        <v/>
      </c>
      <c r="S10" t="str">
        <f>IFERROR(INDEX(CAT4_Current_Master!$G:$G,MATCH($B10,CAT4_Current_Master!$A:$A,0)),"")</f>
        <v/>
      </c>
      <c r="T10" t="str">
        <f t="shared" si="4"/>
        <v/>
      </c>
      <c r="U10" t="str">
        <f>IFERROR(INDEX(CAT4_Current_Master!$I:$I,MATCH($B10,CAT4_Current_Master!$A:$A,0)),"")</f>
        <v/>
      </c>
      <c r="V10" t="str">
        <f t="shared" si="5"/>
        <v/>
      </c>
      <c r="W10" t="str">
        <f t="shared" si="6"/>
        <v/>
      </c>
    </row>
    <row r="11" spans="1:23" x14ac:dyDescent="0.3">
      <c r="A11" t="s">
        <v>60</v>
      </c>
      <c r="B11" t="s">
        <v>83</v>
      </c>
      <c r="C11" t="s">
        <v>84</v>
      </c>
      <c r="D11" t="str">
        <f>IFERROR(INDEX(Baseline_Entry!$N:$N,MATCH($B11,Baseline_Entry!$B:$B,0)),"")</f>
        <v/>
      </c>
      <c r="E11" t="str">
        <f>IFERROR(INDEX(CAT4_Current_Master!$H:$H,MATCH($B11,CAT4_Current_Master!$A:$A,0)),"")</f>
        <v/>
      </c>
      <c r="F11" t="str">
        <f t="shared" si="0"/>
        <v/>
      </c>
      <c r="G11" t="str">
        <f>IFERROR(INDEX(Baseline_Entry!$Q:$Q,MATCH($B11,Baseline_Entry!$B:$B,0)),"")</f>
        <v/>
      </c>
      <c r="H11" t="str">
        <f>IFERROR(INDEX(CAT4_Current_Master!$C:$C,MATCH($B11,CAT4_Current_Master!$A:$A,0)),"")</f>
        <v/>
      </c>
      <c r="I11" t="str">
        <f>IFERROR(INDEX(Baseline_Entry!$R:$R,MATCH($B11,Baseline_Entry!$B:$B,0)),"")</f>
        <v/>
      </c>
      <c r="J11" t="str">
        <f>IFERROR(INDEX(CAT4_Current_Master!$D:$D,MATCH($B11,CAT4_Current_Master!$A:$A,0)),"")</f>
        <v/>
      </c>
      <c r="K11" t="str">
        <f t="shared" si="1"/>
        <v/>
      </c>
      <c r="L11" t="str">
        <f>IFERROR(INDEX(Baseline_Entry!$S:$S,MATCH($B11,Baseline_Entry!$B:$B,0)),"")</f>
        <v/>
      </c>
      <c r="M11" t="str">
        <f>IFERROR(INDEX(CAT4_Current_Master!$E:$E,MATCH($B11,CAT4_Current_Master!$A:$A,0)),"")</f>
        <v/>
      </c>
      <c r="N11" t="str">
        <f t="shared" si="2"/>
        <v/>
      </c>
      <c r="O11" t="str">
        <f>IFERROR(INDEX(Baseline_Entry!$T:$T,MATCH($B11,Baseline_Entry!$B:$B,0)),"")</f>
        <v/>
      </c>
      <c r="P11" t="str">
        <f>IFERROR(INDEX(CAT4_Current_Master!$F:$F,MATCH($B11,CAT4_Current_Master!$A:$A,0)),"")</f>
        <v/>
      </c>
      <c r="Q11" t="str">
        <f t="shared" si="3"/>
        <v/>
      </c>
      <c r="R11" t="str">
        <f>IFERROR(INDEX(Baseline_Entry!$U:$U,MATCH($B11,Baseline_Entry!$B:$B,0)),"")</f>
        <v/>
      </c>
      <c r="S11" t="str">
        <f>IFERROR(INDEX(CAT4_Current_Master!$G:$G,MATCH($B11,CAT4_Current_Master!$A:$A,0)),"")</f>
        <v/>
      </c>
      <c r="T11" t="str">
        <f t="shared" si="4"/>
        <v/>
      </c>
      <c r="U11" t="str">
        <f>IFERROR(INDEX(CAT4_Current_Master!$I:$I,MATCH($B11,CAT4_Current_Master!$A:$A,0)),"")</f>
        <v/>
      </c>
      <c r="V11" t="str">
        <f t="shared" si="5"/>
        <v/>
      </c>
      <c r="W11" t="str">
        <f t="shared" si="6"/>
        <v/>
      </c>
    </row>
    <row r="12" spans="1:23" x14ac:dyDescent="0.3">
      <c r="A12" t="s">
        <v>60</v>
      </c>
      <c r="B12" t="s">
        <v>85</v>
      </c>
      <c r="C12" t="s">
        <v>86</v>
      </c>
      <c r="D12" t="str">
        <f>IFERROR(INDEX(Baseline_Entry!$N:$N,MATCH($B12,Baseline_Entry!$B:$B,0)),"")</f>
        <v/>
      </c>
      <c r="E12" t="str">
        <f>IFERROR(INDEX(CAT4_Current_Master!$H:$H,MATCH($B12,CAT4_Current_Master!$A:$A,0)),"")</f>
        <v/>
      </c>
      <c r="F12" t="str">
        <f t="shared" si="0"/>
        <v/>
      </c>
      <c r="G12" t="str">
        <f>IFERROR(INDEX(Baseline_Entry!$Q:$Q,MATCH($B12,Baseline_Entry!$B:$B,0)),"")</f>
        <v/>
      </c>
      <c r="H12" t="str">
        <f>IFERROR(INDEX(CAT4_Current_Master!$C:$C,MATCH($B12,CAT4_Current_Master!$A:$A,0)),"")</f>
        <v/>
      </c>
      <c r="I12" t="str">
        <f>IFERROR(INDEX(Baseline_Entry!$R:$R,MATCH($B12,Baseline_Entry!$B:$B,0)),"")</f>
        <v/>
      </c>
      <c r="J12" t="str">
        <f>IFERROR(INDEX(CAT4_Current_Master!$D:$D,MATCH($B12,CAT4_Current_Master!$A:$A,0)),"")</f>
        <v/>
      </c>
      <c r="K12" t="str">
        <f t="shared" si="1"/>
        <v/>
      </c>
      <c r="L12" t="str">
        <f>IFERROR(INDEX(Baseline_Entry!$S:$S,MATCH($B12,Baseline_Entry!$B:$B,0)),"")</f>
        <v/>
      </c>
      <c r="M12" t="str">
        <f>IFERROR(INDEX(CAT4_Current_Master!$E:$E,MATCH($B12,CAT4_Current_Master!$A:$A,0)),"")</f>
        <v/>
      </c>
      <c r="N12" t="str">
        <f t="shared" si="2"/>
        <v/>
      </c>
      <c r="O12" t="str">
        <f>IFERROR(INDEX(Baseline_Entry!$T:$T,MATCH($B12,Baseline_Entry!$B:$B,0)),"")</f>
        <v/>
      </c>
      <c r="P12" t="str">
        <f>IFERROR(INDEX(CAT4_Current_Master!$F:$F,MATCH($B12,CAT4_Current_Master!$A:$A,0)),"")</f>
        <v/>
      </c>
      <c r="Q12" t="str">
        <f t="shared" si="3"/>
        <v/>
      </c>
      <c r="R12" t="str">
        <f>IFERROR(INDEX(Baseline_Entry!$U:$U,MATCH($B12,Baseline_Entry!$B:$B,0)),"")</f>
        <v/>
      </c>
      <c r="S12" t="str">
        <f>IFERROR(INDEX(CAT4_Current_Master!$G:$G,MATCH($B12,CAT4_Current_Master!$A:$A,0)),"")</f>
        <v/>
      </c>
      <c r="T12" t="str">
        <f t="shared" si="4"/>
        <v/>
      </c>
      <c r="U12" t="str">
        <f>IFERROR(INDEX(CAT4_Current_Master!$I:$I,MATCH($B12,CAT4_Current_Master!$A:$A,0)),"")</f>
        <v/>
      </c>
      <c r="V12" t="str">
        <f t="shared" si="5"/>
        <v/>
      </c>
      <c r="W12" t="str">
        <f t="shared" si="6"/>
        <v/>
      </c>
    </row>
    <row r="13" spans="1:23" x14ac:dyDescent="0.3">
      <c r="A13" t="s">
        <v>60</v>
      </c>
      <c r="B13" t="s">
        <v>87</v>
      </c>
      <c r="C13" t="s">
        <v>88</v>
      </c>
      <c r="D13" t="str">
        <f>IFERROR(INDEX(Baseline_Entry!$N:$N,MATCH($B13,Baseline_Entry!$B:$B,0)),"")</f>
        <v/>
      </c>
      <c r="E13" t="str">
        <f>IFERROR(INDEX(CAT4_Current_Master!$H:$H,MATCH($B13,CAT4_Current_Master!$A:$A,0)),"")</f>
        <v/>
      </c>
      <c r="F13" t="str">
        <f t="shared" si="0"/>
        <v/>
      </c>
      <c r="G13" t="str">
        <f>IFERROR(INDEX(Baseline_Entry!$Q:$Q,MATCH($B13,Baseline_Entry!$B:$B,0)),"")</f>
        <v/>
      </c>
      <c r="H13" t="str">
        <f>IFERROR(INDEX(CAT4_Current_Master!$C:$C,MATCH($B13,CAT4_Current_Master!$A:$A,0)),"")</f>
        <v/>
      </c>
      <c r="I13" t="str">
        <f>IFERROR(INDEX(Baseline_Entry!$R:$R,MATCH($B13,Baseline_Entry!$B:$B,0)),"")</f>
        <v/>
      </c>
      <c r="J13" t="str">
        <f>IFERROR(INDEX(CAT4_Current_Master!$D:$D,MATCH($B13,CAT4_Current_Master!$A:$A,0)),"")</f>
        <v/>
      </c>
      <c r="K13" t="str">
        <f t="shared" si="1"/>
        <v/>
      </c>
      <c r="L13" t="str">
        <f>IFERROR(INDEX(Baseline_Entry!$S:$S,MATCH($B13,Baseline_Entry!$B:$B,0)),"")</f>
        <v/>
      </c>
      <c r="M13" t="str">
        <f>IFERROR(INDEX(CAT4_Current_Master!$E:$E,MATCH($B13,CAT4_Current_Master!$A:$A,0)),"")</f>
        <v/>
      </c>
      <c r="N13" t="str">
        <f t="shared" si="2"/>
        <v/>
      </c>
      <c r="O13" t="str">
        <f>IFERROR(INDEX(Baseline_Entry!$T:$T,MATCH($B13,Baseline_Entry!$B:$B,0)),"")</f>
        <v/>
      </c>
      <c r="P13" t="str">
        <f>IFERROR(INDEX(CAT4_Current_Master!$F:$F,MATCH($B13,CAT4_Current_Master!$A:$A,0)),"")</f>
        <v/>
      </c>
      <c r="Q13" t="str">
        <f t="shared" si="3"/>
        <v/>
      </c>
      <c r="R13" t="str">
        <f>IFERROR(INDEX(Baseline_Entry!$U:$U,MATCH($B13,Baseline_Entry!$B:$B,0)),"")</f>
        <v/>
      </c>
      <c r="S13" t="str">
        <f>IFERROR(INDEX(CAT4_Current_Master!$G:$G,MATCH($B13,CAT4_Current_Master!$A:$A,0)),"")</f>
        <v/>
      </c>
      <c r="T13" t="str">
        <f t="shared" si="4"/>
        <v/>
      </c>
      <c r="U13" t="str">
        <f>IFERROR(INDEX(CAT4_Current_Master!$I:$I,MATCH($B13,CAT4_Current_Master!$A:$A,0)),"")</f>
        <v/>
      </c>
      <c r="V13" t="str">
        <f t="shared" si="5"/>
        <v/>
      </c>
      <c r="W13" t="str">
        <f t="shared" si="6"/>
        <v/>
      </c>
    </row>
    <row r="14" spans="1:23" x14ac:dyDescent="0.3">
      <c r="A14" t="s">
        <v>60</v>
      </c>
      <c r="B14" t="s">
        <v>89</v>
      </c>
      <c r="C14" t="s">
        <v>90</v>
      </c>
      <c r="D14" t="str">
        <f>IFERROR(INDEX(Baseline_Entry!$N:$N,MATCH($B14,Baseline_Entry!$B:$B,0)),"")</f>
        <v/>
      </c>
      <c r="E14" t="str">
        <f>IFERROR(INDEX(CAT4_Current_Master!$H:$H,MATCH($B14,CAT4_Current_Master!$A:$A,0)),"")</f>
        <v/>
      </c>
      <c r="F14" t="str">
        <f t="shared" si="0"/>
        <v/>
      </c>
      <c r="G14" t="str">
        <f>IFERROR(INDEX(Baseline_Entry!$Q:$Q,MATCH($B14,Baseline_Entry!$B:$B,0)),"")</f>
        <v/>
      </c>
      <c r="H14" t="str">
        <f>IFERROR(INDEX(CAT4_Current_Master!$C:$C,MATCH($B14,CAT4_Current_Master!$A:$A,0)),"")</f>
        <v/>
      </c>
      <c r="I14" t="str">
        <f>IFERROR(INDEX(Baseline_Entry!$R:$R,MATCH($B14,Baseline_Entry!$B:$B,0)),"")</f>
        <v/>
      </c>
      <c r="J14" t="str">
        <f>IFERROR(INDEX(CAT4_Current_Master!$D:$D,MATCH($B14,CAT4_Current_Master!$A:$A,0)),"")</f>
        <v/>
      </c>
      <c r="K14" t="str">
        <f t="shared" si="1"/>
        <v/>
      </c>
      <c r="L14" t="str">
        <f>IFERROR(INDEX(Baseline_Entry!$S:$S,MATCH($B14,Baseline_Entry!$B:$B,0)),"")</f>
        <v/>
      </c>
      <c r="M14" t="str">
        <f>IFERROR(INDEX(CAT4_Current_Master!$E:$E,MATCH($B14,CAT4_Current_Master!$A:$A,0)),"")</f>
        <v/>
      </c>
      <c r="N14" t="str">
        <f t="shared" si="2"/>
        <v/>
      </c>
      <c r="O14" t="str">
        <f>IFERROR(INDEX(Baseline_Entry!$T:$T,MATCH($B14,Baseline_Entry!$B:$B,0)),"")</f>
        <v/>
      </c>
      <c r="P14" t="str">
        <f>IFERROR(INDEX(CAT4_Current_Master!$F:$F,MATCH($B14,CAT4_Current_Master!$A:$A,0)),"")</f>
        <v/>
      </c>
      <c r="Q14" t="str">
        <f t="shared" si="3"/>
        <v/>
      </c>
      <c r="R14" t="str">
        <f>IFERROR(INDEX(Baseline_Entry!$U:$U,MATCH($B14,Baseline_Entry!$B:$B,0)),"")</f>
        <v/>
      </c>
      <c r="S14" t="str">
        <f>IFERROR(INDEX(CAT4_Current_Master!$G:$G,MATCH($B14,CAT4_Current_Master!$A:$A,0)),"")</f>
        <v/>
      </c>
      <c r="T14" t="str">
        <f t="shared" si="4"/>
        <v/>
      </c>
      <c r="U14" t="str">
        <f>IFERROR(INDEX(CAT4_Current_Master!$I:$I,MATCH($B14,CAT4_Current_Master!$A:$A,0)),"")</f>
        <v/>
      </c>
      <c r="V14" t="str">
        <f t="shared" si="5"/>
        <v/>
      </c>
      <c r="W14" t="str">
        <f t="shared" si="6"/>
        <v/>
      </c>
    </row>
    <row r="15" spans="1:23" x14ac:dyDescent="0.3">
      <c r="A15" t="s">
        <v>60</v>
      </c>
      <c r="B15" t="s">
        <v>91</v>
      </c>
      <c r="C15" t="s">
        <v>92</v>
      </c>
      <c r="D15" t="str">
        <f>IFERROR(INDEX(Baseline_Entry!$N:$N,MATCH($B15,Baseline_Entry!$B:$B,0)),"")</f>
        <v/>
      </c>
      <c r="E15" t="str">
        <f>IFERROR(INDEX(CAT4_Current_Master!$H:$H,MATCH($B15,CAT4_Current_Master!$A:$A,0)),"")</f>
        <v/>
      </c>
      <c r="F15" t="str">
        <f t="shared" si="0"/>
        <v/>
      </c>
      <c r="G15" t="str">
        <f>IFERROR(INDEX(Baseline_Entry!$Q:$Q,MATCH($B15,Baseline_Entry!$B:$B,0)),"")</f>
        <v/>
      </c>
      <c r="H15" t="str">
        <f>IFERROR(INDEX(CAT4_Current_Master!$C:$C,MATCH($B15,CAT4_Current_Master!$A:$A,0)),"")</f>
        <v/>
      </c>
      <c r="I15" t="str">
        <f>IFERROR(INDEX(Baseline_Entry!$R:$R,MATCH($B15,Baseline_Entry!$B:$B,0)),"")</f>
        <v/>
      </c>
      <c r="J15" t="str">
        <f>IFERROR(INDEX(CAT4_Current_Master!$D:$D,MATCH($B15,CAT4_Current_Master!$A:$A,0)),"")</f>
        <v/>
      </c>
      <c r="K15" t="str">
        <f t="shared" si="1"/>
        <v/>
      </c>
      <c r="L15" t="str">
        <f>IFERROR(INDEX(Baseline_Entry!$S:$S,MATCH($B15,Baseline_Entry!$B:$B,0)),"")</f>
        <v/>
      </c>
      <c r="M15" t="str">
        <f>IFERROR(INDEX(CAT4_Current_Master!$E:$E,MATCH($B15,CAT4_Current_Master!$A:$A,0)),"")</f>
        <v/>
      </c>
      <c r="N15" t="str">
        <f t="shared" si="2"/>
        <v/>
      </c>
      <c r="O15" t="str">
        <f>IFERROR(INDEX(Baseline_Entry!$T:$T,MATCH($B15,Baseline_Entry!$B:$B,0)),"")</f>
        <v/>
      </c>
      <c r="P15" t="str">
        <f>IFERROR(INDEX(CAT4_Current_Master!$F:$F,MATCH($B15,CAT4_Current_Master!$A:$A,0)),"")</f>
        <v/>
      </c>
      <c r="Q15" t="str">
        <f t="shared" si="3"/>
        <v/>
      </c>
      <c r="R15" t="str">
        <f>IFERROR(INDEX(Baseline_Entry!$U:$U,MATCH($B15,Baseline_Entry!$B:$B,0)),"")</f>
        <v/>
      </c>
      <c r="S15" t="str">
        <f>IFERROR(INDEX(CAT4_Current_Master!$G:$G,MATCH($B15,CAT4_Current_Master!$A:$A,0)),"")</f>
        <v/>
      </c>
      <c r="T15" t="str">
        <f t="shared" si="4"/>
        <v/>
      </c>
      <c r="U15" t="str">
        <f>IFERROR(INDEX(CAT4_Current_Master!$I:$I,MATCH($B15,CAT4_Current_Master!$A:$A,0)),"")</f>
        <v/>
      </c>
      <c r="V15" t="str">
        <f t="shared" si="5"/>
        <v/>
      </c>
      <c r="W15" t="str">
        <f t="shared" si="6"/>
        <v/>
      </c>
    </row>
    <row r="16" spans="1:23" x14ac:dyDescent="0.3">
      <c r="A16" t="s">
        <v>60</v>
      </c>
      <c r="B16" t="s">
        <v>93</v>
      </c>
      <c r="C16" t="s">
        <v>94</v>
      </c>
      <c r="D16" t="str">
        <f>IFERROR(INDEX(Baseline_Entry!$N:$N,MATCH($B16,Baseline_Entry!$B:$B,0)),"")</f>
        <v/>
      </c>
      <c r="E16" t="str">
        <f>IFERROR(INDEX(CAT4_Current_Master!$H:$H,MATCH($B16,CAT4_Current_Master!$A:$A,0)),"")</f>
        <v/>
      </c>
      <c r="F16" t="str">
        <f t="shared" si="0"/>
        <v/>
      </c>
      <c r="G16" t="str">
        <f>IFERROR(INDEX(Baseline_Entry!$Q:$Q,MATCH($B16,Baseline_Entry!$B:$B,0)),"")</f>
        <v/>
      </c>
      <c r="H16" t="str">
        <f>IFERROR(INDEX(CAT4_Current_Master!$C:$C,MATCH($B16,CAT4_Current_Master!$A:$A,0)),"")</f>
        <v/>
      </c>
      <c r="I16" t="str">
        <f>IFERROR(INDEX(Baseline_Entry!$R:$R,MATCH($B16,Baseline_Entry!$B:$B,0)),"")</f>
        <v/>
      </c>
      <c r="J16" t="str">
        <f>IFERROR(INDEX(CAT4_Current_Master!$D:$D,MATCH($B16,CAT4_Current_Master!$A:$A,0)),"")</f>
        <v/>
      </c>
      <c r="K16" t="str">
        <f t="shared" si="1"/>
        <v/>
      </c>
      <c r="L16" t="str">
        <f>IFERROR(INDEX(Baseline_Entry!$S:$S,MATCH($B16,Baseline_Entry!$B:$B,0)),"")</f>
        <v/>
      </c>
      <c r="M16" t="str">
        <f>IFERROR(INDEX(CAT4_Current_Master!$E:$E,MATCH($B16,CAT4_Current_Master!$A:$A,0)),"")</f>
        <v/>
      </c>
      <c r="N16" t="str">
        <f t="shared" si="2"/>
        <v/>
      </c>
      <c r="O16" t="str">
        <f>IFERROR(INDEX(Baseline_Entry!$T:$T,MATCH($B16,Baseline_Entry!$B:$B,0)),"")</f>
        <v/>
      </c>
      <c r="P16" t="str">
        <f>IFERROR(INDEX(CAT4_Current_Master!$F:$F,MATCH($B16,CAT4_Current_Master!$A:$A,0)),"")</f>
        <v/>
      </c>
      <c r="Q16" t="str">
        <f t="shared" si="3"/>
        <v/>
      </c>
      <c r="R16" t="str">
        <f>IFERROR(INDEX(Baseline_Entry!$U:$U,MATCH($B16,Baseline_Entry!$B:$B,0)),"")</f>
        <v/>
      </c>
      <c r="S16" t="str">
        <f>IFERROR(INDEX(CAT4_Current_Master!$G:$G,MATCH($B16,CAT4_Current_Master!$A:$A,0)),"")</f>
        <v/>
      </c>
      <c r="T16" t="str">
        <f t="shared" si="4"/>
        <v/>
      </c>
      <c r="U16" t="str">
        <f>IFERROR(INDEX(CAT4_Current_Master!$I:$I,MATCH($B16,CAT4_Current_Master!$A:$A,0)),"")</f>
        <v/>
      </c>
      <c r="V16" t="str">
        <f t="shared" si="5"/>
        <v/>
      </c>
      <c r="W16" t="str">
        <f t="shared" si="6"/>
        <v/>
      </c>
    </row>
    <row r="17" spans="1:23" x14ac:dyDescent="0.3">
      <c r="A17" t="s">
        <v>60</v>
      </c>
      <c r="B17" t="s">
        <v>95</v>
      </c>
      <c r="C17" t="s">
        <v>96</v>
      </c>
      <c r="D17" t="str">
        <f>IFERROR(INDEX(Baseline_Entry!$N:$N,MATCH($B17,Baseline_Entry!$B:$B,0)),"")</f>
        <v/>
      </c>
      <c r="E17" t="str">
        <f>IFERROR(INDEX(CAT4_Current_Master!$H:$H,MATCH($B17,CAT4_Current_Master!$A:$A,0)),"")</f>
        <v/>
      </c>
      <c r="F17" t="str">
        <f t="shared" si="0"/>
        <v/>
      </c>
      <c r="G17" t="str">
        <f>IFERROR(INDEX(Baseline_Entry!$Q:$Q,MATCH($B17,Baseline_Entry!$B:$B,0)),"")</f>
        <v/>
      </c>
      <c r="H17" t="str">
        <f>IFERROR(INDEX(CAT4_Current_Master!$C:$C,MATCH($B17,CAT4_Current_Master!$A:$A,0)),"")</f>
        <v/>
      </c>
      <c r="I17" t="str">
        <f>IFERROR(INDEX(Baseline_Entry!$R:$R,MATCH($B17,Baseline_Entry!$B:$B,0)),"")</f>
        <v/>
      </c>
      <c r="J17" t="str">
        <f>IFERROR(INDEX(CAT4_Current_Master!$D:$D,MATCH($B17,CAT4_Current_Master!$A:$A,0)),"")</f>
        <v/>
      </c>
      <c r="K17" t="str">
        <f t="shared" si="1"/>
        <v/>
      </c>
      <c r="L17" t="str">
        <f>IFERROR(INDEX(Baseline_Entry!$S:$S,MATCH($B17,Baseline_Entry!$B:$B,0)),"")</f>
        <v/>
      </c>
      <c r="M17" t="str">
        <f>IFERROR(INDEX(CAT4_Current_Master!$E:$E,MATCH($B17,CAT4_Current_Master!$A:$A,0)),"")</f>
        <v/>
      </c>
      <c r="N17" t="str">
        <f t="shared" si="2"/>
        <v/>
      </c>
      <c r="O17" t="str">
        <f>IFERROR(INDEX(Baseline_Entry!$T:$T,MATCH($B17,Baseline_Entry!$B:$B,0)),"")</f>
        <v/>
      </c>
      <c r="P17" t="str">
        <f>IFERROR(INDEX(CAT4_Current_Master!$F:$F,MATCH($B17,CAT4_Current_Master!$A:$A,0)),"")</f>
        <v/>
      </c>
      <c r="Q17" t="str">
        <f t="shared" si="3"/>
        <v/>
      </c>
      <c r="R17" t="str">
        <f>IFERROR(INDEX(Baseline_Entry!$U:$U,MATCH($B17,Baseline_Entry!$B:$B,0)),"")</f>
        <v/>
      </c>
      <c r="S17" t="str">
        <f>IFERROR(INDEX(CAT4_Current_Master!$G:$G,MATCH($B17,CAT4_Current_Master!$A:$A,0)),"")</f>
        <v/>
      </c>
      <c r="T17" t="str">
        <f t="shared" si="4"/>
        <v/>
      </c>
      <c r="U17" t="str">
        <f>IFERROR(INDEX(CAT4_Current_Master!$I:$I,MATCH($B17,CAT4_Current_Master!$A:$A,0)),"")</f>
        <v/>
      </c>
      <c r="V17" t="str">
        <f t="shared" si="5"/>
        <v/>
      </c>
      <c r="W17" t="str">
        <f t="shared" si="6"/>
        <v/>
      </c>
    </row>
    <row r="18" spans="1:23" x14ac:dyDescent="0.3">
      <c r="A18" t="s">
        <v>60</v>
      </c>
      <c r="B18" t="s">
        <v>97</v>
      </c>
      <c r="C18" t="s">
        <v>98</v>
      </c>
      <c r="D18" t="str">
        <f>IFERROR(INDEX(Baseline_Entry!$N:$N,MATCH($B18,Baseline_Entry!$B:$B,0)),"")</f>
        <v/>
      </c>
      <c r="E18" t="str">
        <f>IFERROR(INDEX(CAT4_Current_Master!$H:$H,MATCH($B18,CAT4_Current_Master!$A:$A,0)),"")</f>
        <v/>
      </c>
      <c r="F18" t="str">
        <f t="shared" si="0"/>
        <v/>
      </c>
      <c r="G18" t="str">
        <f>IFERROR(INDEX(Baseline_Entry!$Q:$Q,MATCH($B18,Baseline_Entry!$B:$B,0)),"")</f>
        <v/>
      </c>
      <c r="H18" t="str">
        <f>IFERROR(INDEX(CAT4_Current_Master!$C:$C,MATCH($B18,CAT4_Current_Master!$A:$A,0)),"")</f>
        <v/>
      </c>
      <c r="I18" t="str">
        <f>IFERROR(INDEX(Baseline_Entry!$R:$R,MATCH($B18,Baseline_Entry!$B:$B,0)),"")</f>
        <v/>
      </c>
      <c r="J18" t="str">
        <f>IFERROR(INDEX(CAT4_Current_Master!$D:$D,MATCH($B18,CAT4_Current_Master!$A:$A,0)),"")</f>
        <v/>
      </c>
      <c r="K18" t="str">
        <f t="shared" si="1"/>
        <v/>
      </c>
      <c r="L18" t="str">
        <f>IFERROR(INDEX(Baseline_Entry!$S:$S,MATCH($B18,Baseline_Entry!$B:$B,0)),"")</f>
        <v/>
      </c>
      <c r="M18" t="str">
        <f>IFERROR(INDEX(CAT4_Current_Master!$E:$E,MATCH($B18,CAT4_Current_Master!$A:$A,0)),"")</f>
        <v/>
      </c>
      <c r="N18" t="str">
        <f t="shared" si="2"/>
        <v/>
      </c>
      <c r="O18" t="str">
        <f>IFERROR(INDEX(Baseline_Entry!$T:$T,MATCH($B18,Baseline_Entry!$B:$B,0)),"")</f>
        <v/>
      </c>
      <c r="P18" t="str">
        <f>IFERROR(INDEX(CAT4_Current_Master!$F:$F,MATCH($B18,CAT4_Current_Master!$A:$A,0)),"")</f>
        <v/>
      </c>
      <c r="Q18" t="str">
        <f t="shared" si="3"/>
        <v/>
      </c>
      <c r="R18" t="str">
        <f>IFERROR(INDEX(Baseline_Entry!$U:$U,MATCH($B18,Baseline_Entry!$B:$B,0)),"")</f>
        <v/>
      </c>
      <c r="S18" t="str">
        <f>IFERROR(INDEX(CAT4_Current_Master!$G:$G,MATCH($B18,CAT4_Current_Master!$A:$A,0)),"")</f>
        <v/>
      </c>
      <c r="T18" t="str">
        <f t="shared" si="4"/>
        <v/>
      </c>
      <c r="U18" t="str">
        <f>IFERROR(INDEX(CAT4_Current_Master!$I:$I,MATCH($B18,CAT4_Current_Master!$A:$A,0)),"")</f>
        <v/>
      </c>
      <c r="V18" t="str">
        <f t="shared" si="5"/>
        <v/>
      </c>
      <c r="W18" t="str">
        <f t="shared" si="6"/>
        <v/>
      </c>
    </row>
    <row r="19" spans="1:23" x14ac:dyDescent="0.3">
      <c r="A19" t="s">
        <v>60</v>
      </c>
      <c r="B19" t="s">
        <v>100</v>
      </c>
      <c r="C19" t="s">
        <v>101</v>
      </c>
      <c r="D19" t="str">
        <f>IFERROR(INDEX(Baseline_Entry!$N:$N,MATCH($B19,Baseline_Entry!$B:$B,0)),"")</f>
        <v/>
      </c>
      <c r="E19" t="str">
        <f>IFERROR(INDEX(CAT4_Current_Master!$H:$H,MATCH($B19,CAT4_Current_Master!$A:$A,0)),"")</f>
        <v/>
      </c>
      <c r="F19" t="str">
        <f t="shared" si="0"/>
        <v/>
      </c>
      <c r="G19" t="str">
        <f>IFERROR(INDEX(Baseline_Entry!$Q:$Q,MATCH($B19,Baseline_Entry!$B:$B,0)),"")</f>
        <v/>
      </c>
      <c r="H19" t="str">
        <f>IFERROR(INDEX(CAT4_Current_Master!$C:$C,MATCH($B19,CAT4_Current_Master!$A:$A,0)),"")</f>
        <v/>
      </c>
      <c r="I19" t="str">
        <f>IFERROR(INDEX(Baseline_Entry!$R:$R,MATCH($B19,Baseline_Entry!$B:$B,0)),"")</f>
        <v/>
      </c>
      <c r="J19" t="str">
        <f>IFERROR(INDEX(CAT4_Current_Master!$D:$D,MATCH($B19,CAT4_Current_Master!$A:$A,0)),"")</f>
        <v/>
      </c>
      <c r="K19" t="str">
        <f t="shared" si="1"/>
        <v/>
      </c>
      <c r="L19" t="str">
        <f>IFERROR(INDEX(Baseline_Entry!$S:$S,MATCH($B19,Baseline_Entry!$B:$B,0)),"")</f>
        <v/>
      </c>
      <c r="M19" t="str">
        <f>IFERROR(INDEX(CAT4_Current_Master!$E:$E,MATCH($B19,CAT4_Current_Master!$A:$A,0)),"")</f>
        <v/>
      </c>
      <c r="N19" t="str">
        <f t="shared" si="2"/>
        <v/>
      </c>
      <c r="O19" t="str">
        <f>IFERROR(INDEX(Baseline_Entry!$T:$T,MATCH($B19,Baseline_Entry!$B:$B,0)),"")</f>
        <v/>
      </c>
      <c r="P19" t="str">
        <f>IFERROR(INDEX(CAT4_Current_Master!$F:$F,MATCH($B19,CAT4_Current_Master!$A:$A,0)),"")</f>
        <v/>
      </c>
      <c r="Q19" t="str">
        <f t="shared" si="3"/>
        <v/>
      </c>
      <c r="R19" t="str">
        <f>IFERROR(INDEX(Baseline_Entry!$U:$U,MATCH($B19,Baseline_Entry!$B:$B,0)),"")</f>
        <v/>
      </c>
      <c r="S19" t="str">
        <f>IFERROR(INDEX(CAT4_Current_Master!$G:$G,MATCH($B19,CAT4_Current_Master!$A:$A,0)),"")</f>
        <v/>
      </c>
      <c r="T19" t="str">
        <f t="shared" si="4"/>
        <v/>
      </c>
      <c r="U19" t="str">
        <f>IFERROR(INDEX(CAT4_Current_Master!$I:$I,MATCH($B19,CAT4_Current_Master!$A:$A,0)),"")</f>
        <v/>
      </c>
      <c r="V19" t="str">
        <f t="shared" si="5"/>
        <v/>
      </c>
      <c r="W19" t="str">
        <f t="shared" si="6"/>
        <v/>
      </c>
    </row>
    <row r="20" spans="1:23" x14ac:dyDescent="0.3">
      <c r="A20" t="s">
        <v>60</v>
      </c>
      <c r="B20" t="s">
        <v>102</v>
      </c>
      <c r="C20" t="s">
        <v>103</v>
      </c>
      <c r="D20" t="str">
        <f>IFERROR(INDEX(Baseline_Entry!$N:$N,MATCH($B20,Baseline_Entry!$B:$B,0)),"")</f>
        <v/>
      </c>
      <c r="E20" t="str">
        <f>IFERROR(INDEX(CAT4_Current_Master!$H:$H,MATCH($B20,CAT4_Current_Master!$A:$A,0)),"")</f>
        <v/>
      </c>
      <c r="F20" t="str">
        <f t="shared" si="0"/>
        <v/>
      </c>
      <c r="G20" t="str">
        <f>IFERROR(INDEX(Baseline_Entry!$Q:$Q,MATCH($B20,Baseline_Entry!$B:$B,0)),"")</f>
        <v/>
      </c>
      <c r="H20" t="str">
        <f>IFERROR(INDEX(CAT4_Current_Master!$C:$C,MATCH($B20,CAT4_Current_Master!$A:$A,0)),"")</f>
        <v/>
      </c>
      <c r="I20" t="str">
        <f>IFERROR(INDEX(Baseline_Entry!$R:$R,MATCH($B20,Baseline_Entry!$B:$B,0)),"")</f>
        <v/>
      </c>
      <c r="J20" t="str">
        <f>IFERROR(INDEX(CAT4_Current_Master!$D:$D,MATCH($B20,CAT4_Current_Master!$A:$A,0)),"")</f>
        <v/>
      </c>
      <c r="K20" t="str">
        <f t="shared" si="1"/>
        <v/>
      </c>
      <c r="L20" t="str">
        <f>IFERROR(INDEX(Baseline_Entry!$S:$S,MATCH($B20,Baseline_Entry!$B:$B,0)),"")</f>
        <v/>
      </c>
      <c r="M20" t="str">
        <f>IFERROR(INDEX(CAT4_Current_Master!$E:$E,MATCH($B20,CAT4_Current_Master!$A:$A,0)),"")</f>
        <v/>
      </c>
      <c r="N20" t="str">
        <f t="shared" si="2"/>
        <v/>
      </c>
      <c r="O20" t="str">
        <f>IFERROR(INDEX(Baseline_Entry!$T:$T,MATCH($B20,Baseline_Entry!$B:$B,0)),"")</f>
        <v/>
      </c>
      <c r="P20" t="str">
        <f>IFERROR(INDEX(CAT4_Current_Master!$F:$F,MATCH($B20,CAT4_Current_Master!$A:$A,0)),"")</f>
        <v/>
      </c>
      <c r="Q20" t="str">
        <f t="shared" si="3"/>
        <v/>
      </c>
      <c r="R20" t="str">
        <f>IFERROR(INDEX(Baseline_Entry!$U:$U,MATCH($B20,Baseline_Entry!$B:$B,0)),"")</f>
        <v/>
      </c>
      <c r="S20" t="str">
        <f>IFERROR(INDEX(CAT4_Current_Master!$G:$G,MATCH($B20,CAT4_Current_Master!$A:$A,0)),"")</f>
        <v/>
      </c>
      <c r="T20" t="str">
        <f t="shared" si="4"/>
        <v/>
      </c>
      <c r="U20" t="str">
        <f>IFERROR(INDEX(CAT4_Current_Master!$I:$I,MATCH($B20,CAT4_Current_Master!$A:$A,0)),"")</f>
        <v/>
      </c>
      <c r="V20" t="str">
        <f t="shared" si="5"/>
        <v/>
      </c>
      <c r="W20" t="str">
        <f t="shared" si="6"/>
        <v/>
      </c>
    </row>
    <row r="21" spans="1:23" x14ac:dyDescent="0.3">
      <c r="A21" t="s">
        <v>60</v>
      </c>
      <c r="B21" t="s">
        <v>104</v>
      </c>
      <c r="C21" t="s">
        <v>105</v>
      </c>
      <c r="D21" t="str">
        <f>IFERROR(INDEX(Baseline_Entry!$N:$N,MATCH($B21,Baseline_Entry!$B:$B,0)),"")</f>
        <v/>
      </c>
      <c r="E21" t="str">
        <f>IFERROR(INDEX(CAT4_Current_Master!$H:$H,MATCH($B21,CAT4_Current_Master!$A:$A,0)),"")</f>
        <v/>
      </c>
      <c r="F21" t="str">
        <f t="shared" si="0"/>
        <v/>
      </c>
      <c r="G21" t="str">
        <f>IFERROR(INDEX(Baseline_Entry!$Q:$Q,MATCH($B21,Baseline_Entry!$B:$B,0)),"")</f>
        <v/>
      </c>
      <c r="H21" t="str">
        <f>IFERROR(INDEX(CAT4_Current_Master!$C:$C,MATCH($B21,CAT4_Current_Master!$A:$A,0)),"")</f>
        <v/>
      </c>
      <c r="I21" t="str">
        <f>IFERROR(INDEX(Baseline_Entry!$R:$R,MATCH($B21,Baseline_Entry!$B:$B,0)),"")</f>
        <v/>
      </c>
      <c r="J21" t="str">
        <f>IFERROR(INDEX(CAT4_Current_Master!$D:$D,MATCH($B21,CAT4_Current_Master!$A:$A,0)),"")</f>
        <v/>
      </c>
      <c r="K21" t="str">
        <f t="shared" si="1"/>
        <v/>
      </c>
      <c r="L21" t="str">
        <f>IFERROR(INDEX(Baseline_Entry!$S:$S,MATCH($B21,Baseline_Entry!$B:$B,0)),"")</f>
        <v/>
      </c>
      <c r="M21" t="str">
        <f>IFERROR(INDEX(CAT4_Current_Master!$E:$E,MATCH($B21,CAT4_Current_Master!$A:$A,0)),"")</f>
        <v/>
      </c>
      <c r="N21" t="str">
        <f t="shared" si="2"/>
        <v/>
      </c>
      <c r="O21" t="str">
        <f>IFERROR(INDEX(Baseline_Entry!$T:$T,MATCH($B21,Baseline_Entry!$B:$B,0)),"")</f>
        <v/>
      </c>
      <c r="P21" t="str">
        <f>IFERROR(INDEX(CAT4_Current_Master!$F:$F,MATCH($B21,CAT4_Current_Master!$A:$A,0)),"")</f>
        <v/>
      </c>
      <c r="Q21" t="str">
        <f t="shared" si="3"/>
        <v/>
      </c>
      <c r="R21" t="str">
        <f>IFERROR(INDEX(Baseline_Entry!$U:$U,MATCH($B21,Baseline_Entry!$B:$B,0)),"")</f>
        <v/>
      </c>
      <c r="S21" t="str">
        <f>IFERROR(INDEX(CAT4_Current_Master!$G:$G,MATCH($B21,CAT4_Current_Master!$A:$A,0)),"")</f>
        <v/>
      </c>
      <c r="T21" t="str">
        <f t="shared" si="4"/>
        <v/>
      </c>
      <c r="U21" t="str">
        <f>IFERROR(INDEX(CAT4_Current_Master!$I:$I,MATCH($B21,CAT4_Current_Master!$A:$A,0)),"")</f>
        <v/>
      </c>
      <c r="V21" t="str">
        <f t="shared" si="5"/>
        <v/>
      </c>
      <c r="W21" t="str">
        <f t="shared" si="6"/>
        <v/>
      </c>
    </row>
    <row r="22" spans="1:23" x14ac:dyDescent="0.3">
      <c r="A22" t="s">
        <v>60</v>
      </c>
      <c r="B22" t="s">
        <v>106</v>
      </c>
      <c r="C22" t="s">
        <v>107</v>
      </c>
      <c r="D22" t="str">
        <f>IFERROR(INDEX(Baseline_Entry!$N:$N,MATCH($B22,Baseline_Entry!$B:$B,0)),"")</f>
        <v/>
      </c>
      <c r="E22" t="str">
        <f>IFERROR(INDEX(CAT4_Current_Master!$H:$H,MATCH($B22,CAT4_Current_Master!$A:$A,0)),"")</f>
        <v/>
      </c>
      <c r="F22" t="str">
        <f t="shared" si="0"/>
        <v/>
      </c>
      <c r="G22" t="str">
        <f>IFERROR(INDEX(Baseline_Entry!$Q:$Q,MATCH($B22,Baseline_Entry!$B:$B,0)),"")</f>
        <v/>
      </c>
      <c r="H22" t="str">
        <f>IFERROR(INDEX(CAT4_Current_Master!$C:$C,MATCH($B22,CAT4_Current_Master!$A:$A,0)),"")</f>
        <v/>
      </c>
      <c r="I22" t="str">
        <f>IFERROR(INDEX(Baseline_Entry!$R:$R,MATCH($B22,Baseline_Entry!$B:$B,0)),"")</f>
        <v/>
      </c>
      <c r="J22" t="str">
        <f>IFERROR(INDEX(CAT4_Current_Master!$D:$D,MATCH($B22,CAT4_Current_Master!$A:$A,0)),"")</f>
        <v/>
      </c>
      <c r="K22" t="str">
        <f t="shared" si="1"/>
        <v/>
      </c>
      <c r="L22" t="str">
        <f>IFERROR(INDEX(Baseline_Entry!$S:$S,MATCH($B22,Baseline_Entry!$B:$B,0)),"")</f>
        <v/>
      </c>
      <c r="M22" t="str">
        <f>IFERROR(INDEX(CAT4_Current_Master!$E:$E,MATCH($B22,CAT4_Current_Master!$A:$A,0)),"")</f>
        <v/>
      </c>
      <c r="N22" t="str">
        <f t="shared" si="2"/>
        <v/>
      </c>
      <c r="O22" t="str">
        <f>IFERROR(INDEX(Baseline_Entry!$T:$T,MATCH($B22,Baseline_Entry!$B:$B,0)),"")</f>
        <v/>
      </c>
      <c r="P22" t="str">
        <f>IFERROR(INDEX(CAT4_Current_Master!$F:$F,MATCH($B22,CAT4_Current_Master!$A:$A,0)),"")</f>
        <v/>
      </c>
      <c r="Q22" t="str">
        <f t="shared" si="3"/>
        <v/>
      </c>
      <c r="R22" t="str">
        <f>IFERROR(INDEX(Baseline_Entry!$U:$U,MATCH($B22,Baseline_Entry!$B:$B,0)),"")</f>
        <v/>
      </c>
      <c r="S22" t="str">
        <f>IFERROR(INDEX(CAT4_Current_Master!$G:$G,MATCH($B22,CAT4_Current_Master!$A:$A,0)),"")</f>
        <v/>
      </c>
      <c r="T22" t="str">
        <f t="shared" si="4"/>
        <v/>
      </c>
      <c r="U22" t="str">
        <f>IFERROR(INDEX(CAT4_Current_Master!$I:$I,MATCH($B22,CAT4_Current_Master!$A:$A,0)),"")</f>
        <v/>
      </c>
      <c r="V22" t="str">
        <f t="shared" si="5"/>
        <v/>
      </c>
      <c r="W22" t="str">
        <f t="shared" si="6"/>
        <v/>
      </c>
    </row>
    <row r="23" spans="1:23" x14ac:dyDescent="0.3">
      <c r="A23" t="s">
        <v>60</v>
      </c>
      <c r="B23" t="s">
        <v>108</v>
      </c>
      <c r="C23" t="s">
        <v>109</v>
      </c>
      <c r="D23" t="str">
        <f>IFERROR(INDEX(Baseline_Entry!$N:$N,MATCH($B23,Baseline_Entry!$B:$B,0)),"")</f>
        <v/>
      </c>
      <c r="E23" t="str">
        <f>IFERROR(INDEX(CAT4_Current_Master!$H:$H,MATCH($B23,CAT4_Current_Master!$A:$A,0)),"")</f>
        <v/>
      </c>
      <c r="F23" t="str">
        <f t="shared" si="0"/>
        <v/>
      </c>
      <c r="G23" t="str">
        <f>IFERROR(INDEX(Baseline_Entry!$Q:$Q,MATCH($B23,Baseline_Entry!$B:$B,0)),"")</f>
        <v/>
      </c>
      <c r="H23" t="str">
        <f>IFERROR(INDEX(CAT4_Current_Master!$C:$C,MATCH($B23,CAT4_Current_Master!$A:$A,0)),"")</f>
        <v/>
      </c>
      <c r="I23" t="str">
        <f>IFERROR(INDEX(Baseline_Entry!$R:$R,MATCH($B23,Baseline_Entry!$B:$B,0)),"")</f>
        <v/>
      </c>
      <c r="J23" t="str">
        <f>IFERROR(INDEX(CAT4_Current_Master!$D:$D,MATCH($B23,CAT4_Current_Master!$A:$A,0)),"")</f>
        <v/>
      </c>
      <c r="K23" t="str">
        <f t="shared" si="1"/>
        <v/>
      </c>
      <c r="L23" t="str">
        <f>IFERROR(INDEX(Baseline_Entry!$S:$S,MATCH($B23,Baseline_Entry!$B:$B,0)),"")</f>
        <v/>
      </c>
      <c r="M23" t="str">
        <f>IFERROR(INDEX(CAT4_Current_Master!$E:$E,MATCH($B23,CAT4_Current_Master!$A:$A,0)),"")</f>
        <v/>
      </c>
      <c r="N23" t="str">
        <f t="shared" si="2"/>
        <v/>
      </c>
      <c r="O23" t="str">
        <f>IFERROR(INDEX(Baseline_Entry!$T:$T,MATCH($B23,Baseline_Entry!$B:$B,0)),"")</f>
        <v/>
      </c>
      <c r="P23" t="str">
        <f>IFERROR(INDEX(CAT4_Current_Master!$F:$F,MATCH($B23,CAT4_Current_Master!$A:$A,0)),"")</f>
        <v/>
      </c>
      <c r="Q23" t="str">
        <f t="shared" si="3"/>
        <v/>
      </c>
      <c r="R23" t="str">
        <f>IFERROR(INDEX(Baseline_Entry!$U:$U,MATCH($B23,Baseline_Entry!$B:$B,0)),"")</f>
        <v/>
      </c>
      <c r="S23" t="str">
        <f>IFERROR(INDEX(CAT4_Current_Master!$G:$G,MATCH($B23,CAT4_Current_Master!$A:$A,0)),"")</f>
        <v/>
      </c>
      <c r="T23" t="str">
        <f t="shared" si="4"/>
        <v/>
      </c>
      <c r="U23" t="str">
        <f>IFERROR(INDEX(CAT4_Current_Master!$I:$I,MATCH($B23,CAT4_Current_Master!$A:$A,0)),"")</f>
        <v/>
      </c>
      <c r="V23" t="str">
        <f t="shared" si="5"/>
        <v/>
      </c>
      <c r="W23" t="str">
        <f t="shared" si="6"/>
        <v/>
      </c>
    </row>
    <row r="24" spans="1:23" x14ac:dyDescent="0.3">
      <c r="A24" t="s">
        <v>60</v>
      </c>
      <c r="B24" t="s">
        <v>110</v>
      </c>
      <c r="C24" t="s">
        <v>111</v>
      </c>
      <c r="D24" t="str">
        <f>IFERROR(INDEX(Baseline_Entry!$N:$N,MATCH($B24,Baseline_Entry!$B:$B,0)),"")</f>
        <v/>
      </c>
      <c r="E24" t="str">
        <f>IFERROR(INDEX(CAT4_Current_Master!$H:$H,MATCH($B24,CAT4_Current_Master!$A:$A,0)),"")</f>
        <v/>
      </c>
      <c r="F24" t="str">
        <f t="shared" si="0"/>
        <v/>
      </c>
      <c r="G24" t="str">
        <f>IFERROR(INDEX(Baseline_Entry!$Q:$Q,MATCH($B24,Baseline_Entry!$B:$B,0)),"")</f>
        <v/>
      </c>
      <c r="H24" t="str">
        <f>IFERROR(INDEX(CAT4_Current_Master!$C:$C,MATCH($B24,CAT4_Current_Master!$A:$A,0)),"")</f>
        <v/>
      </c>
      <c r="I24" t="str">
        <f>IFERROR(INDEX(Baseline_Entry!$R:$R,MATCH($B24,Baseline_Entry!$B:$B,0)),"")</f>
        <v/>
      </c>
      <c r="J24" t="str">
        <f>IFERROR(INDEX(CAT4_Current_Master!$D:$D,MATCH($B24,CAT4_Current_Master!$A:$A,0)),"")</f>
        <v/>
      </c>
      <c r="K24" t="str">
        <f t="shared" si="1"/>
        <v/>
      </c>
      <c r="L24" t="str">
        <f>IFERROR(INDEX(Baseline_Entry!$S:$S,MATCH($B24,Baseline_Entry!$B:$B,0)),"")</f>
        <v/>
      </c>
      <c r="M24" t="str">
        <f>IFERROR(INDEX(CAT4_Current_Master!$E:$E,MATCH($B24,CAT4_Current_Master!$A:$A,0)),"")</f>
        <v/>
      </c>
      <c r="N24" t="str">
        <f t="shared" si="2"/>
        <v/>
      </c>
      <c r="O24" t="str">
        <f>IFERROR(INDEX(Baseline_Entry!$T:$T,MATCH($B24,Baseline_Entry!$B:$B,0)),"")</f>
        <v/>
      </c>
      <c r="P24" t="str">
        <f>IFERROR(INDEX(CAT4_Current_Master!$F:$F,MATCH($B24,CAT4_Current_Master!$A:$A,0)),"")</f>
        <v/>
      </c>
      <c r="Q24" t="str">
        <f t="shared" si="3"/>
        <v/>
      </c>
      <c r="R24" t="str">
        <f>IFERROR(INDEX(Baseline_Entry!$U:$U,MATCH($B24,Baseline_Entry!$B:$B,0)),"")</f>
        <v/>
      </c>
      <c r="S24" t="str">
        <f>IFERROR(INDEX(CAT4_Current_Master!$G:$G,MATCH($B24,CAT4_Current_Master!$A:$A,0)),"")</f>
        <v/>
      </c>
      <c r="T24" t="str">
        <f t="shared" si="4"/>
        <v/>
      </c>
      <c r="U24" t="str">
        <f>IFERROR(INDEX(CAT4_Current_Master!$I:$I,MATCH($B24,CAT4_Current_Master!$A:$A,0)),"")</f>
        <v/>
      </c>
      <c r="V24" t="str">
        <f t="shared" si="5"/>
        <v/>
      </c>
      <c r="W24" t="str">
        <f t="shared" si="6"/>
        <v/>
      </c>
    </row>
    <row r="25" spans="1:23" x14ac:dyDescent="0.3">
      <c r="A25" t="s">
        <v>60</v>
      </c>
      <c r="B25" t="s">
        <v>112</v>
      </c>
      <c r="C25" t="s">
        <v>113</v>
      </c>
      <c r="D25" t="str">
        <f>IFERROR(INDEX(Baseline_Entry!$N:$N,MATCH($B25,Baseline_Entry!$B:$B,0)),"")</f>
        <v/>
      </c>
      <c r="E25" t="str">
        <f>IFERROR(INDEX(CAT4_Current_Master!$H:$H,MATCH($B25,CAT4_Current_Master!$A:$A,0)),"")</f>
        <v/>
      </c>
      <c r="F25" t="str">
        <f t="shared" si="0"/>
        <v/>
      </c>
      <c r="G25" t="str">
        <f>IFERROR(INDEX(Baseline_Entry!$Q:$Q,MATCH($B25,Baseline_Entry!$B:$B,0)),"")</f>
        <v/>
      </c>
      <c r="H25" t="str">
        <f>IFERROR(INDEX(CAT4_Current_Master!$C:$C,MATCH($B25,CAT4_Current_Master!$A:$A,0)),"")</f>
        <v/>
      </c>
      <c r="I25" t="str">
        <f>IFERROR(INDEX(Baseline_Entry!$R:$R,MATCH($B25,Baseline_Entry!$B:$B,0)),"")</f>
        <v/>
      </c>
      <c r="J25" t="str">
        <f>IFERROR(INDEX(CAT4_Current_Master!$D:$D,MATCH($B25,CAT4_Current_Master!$A:$A,0)),"")</f>
        <v/>
      </c>
      <c r="K25" t="str">
        <f t="shared" si="1"/>
        <v/>
      </c>
      <c r="L25" t="str">
        <f>IFERROR(INDEX(Baseline_Entry!$S:$S,MATCH($B25,Baseline_Entry!$B:$B,0)),"")</f>
        <v/>
      </c>
      <c r="M25" t="str">
        <f>IFERROR(INDEX(CAT4_Current_Master!$E:$E,MATCH($B25,CAT4_Current_Master!$A:$A,0)),"")</f>
        <v/>
      </c>
      <c r="N25" t="str">
        <f t="shared" si="2"/>
        <v/>
      </c>
      <c r="O25" t="str">
        <f>IFERROR(INDEX(Baseline_Entry!$T:$T,MATCH($B25,Baseline_Entry!$B:$B,0)),"")</f>
        <v/>
      </c>
      <c r="P25" t="str">
        <f>IFERROR(INDEX(CAT4_Current_Master!$F:$F,MATCH($B25,CAT4_Current_Master!$A:$A,0)),"")</f>
        <v/>
      </c>
      <c r="Q25" t="str">
        <f t="shared" si="3"/>
        <v/>
      </c>
      <c r="R25" t="str">
        <f>IFERROR(INDEX(Baseline_Entry!$U:$U,MATCH($B25,Baseline_Entry!$B:$B,0)),"")</f>
        <v/>
      </c>
      <c r="S25" t="str">
        <f>IFERROR(INDEX(CAT4_Current_Master!$G:$G,MATCH($B25,CAT4_Current_Master!$A:$A,0)),"")</f>
        <v/>
      </c>
      <c r="T25" t="str">
        <f t="shared" si="4"/>
        <v/>
      </c>
      <c r="U25" t="str">
        <f>IFERROR(INDEX(CAT4_Current_Master!$I:$I,MATCH($B25,CAT4_Current_Master!$A:$A,0)),"")</f>
        <v/>
      </c>
      <c r="V25" t="str">
        <f t="shared" si="5"/>
        <v/>
      </c>
      <c r="W25" t="str">
        <f t="shared" si="6"/>
        <v/>
      </c>
    </row>
    <row r="26" spans="1:23" x14ac:dyDescent="0.3">
      <c r="A26" t="s">
        <v>60</v>
      </c>
      <c r="B26" t="s">
        <v>114</v>
      </c>
      <c r="C26" t="s">
        <v>115</v>
      </c>
      <c r="D26" t="str">
        <f>IFERROR(INDEX(Baseline_Entry!$N:$N,MATCH($B26,Baseline_Entry!$B:$B,0)),"")</f>
        <v/>
      </c>
      <c r="E26" t="str">
        <f>IFERROR(INDEX(CAT4_Current_Master!$H:$H,MATCH($B26,CAT4_Current_Master!$A:$A,0)),"")</f>
        <v/>
      </c>
      <c r="F26" t="str">
        <f t="shared" si="0"/>
        <v/>
      </c>
      <c r="G26" t="str">
        <f>IFERROR(INDEX(Baseline_Entry!$Q:$Q,MATCH($B26,Baseline_Entry!$B:$B,0)),"")</f>
        <v/>
      </c>
      <c r="H26" t="str">
        <f>IFERROR(INDEX(CAT4_Current_Master!$C:$C,MATCH($B26,CAT4_Current_Master!$A:$A,0)),"")</f>
        <v/>
      </c>
      <c r="I26" t="str">
        <f>IFERROR(INDEX(Baseline_Entry!$R:$R,MATCH($B26,Baseline_Entry!$B:$B,0)),"")</f>
        <v/>
      </c>
      <c r="J26" t="str">
        <f>IFERROR(INDEX(CAT4_Current_Master!$D:$D,MATCH($B26,CAT4_Current_Master!$A:$A,0)),"")</f>
        <v/>
      </c>
      <c r="K26" t="str">
        <f t="shared" si="1"/>
        <v/>
      </c>
      <c r="L26" t="str">
        <f>IFERROR(INDEX(Baseline_Entry!$S:$S,MATCH($B26,Baseline_Entry!$B:$B,0)),"")</f>
        <v/>
      </c>
      <c r="M26" t="str">
        <f>IFERROR(INDEX(CAT4_Current_Master!$E:$E,MATCH($B26,CAT4_Current_Master!$A:$A,0)),"")</f>
        <v/>
      </c>
      <c r="N26" t="str">
        <f t="shared" si="2"/>
        <v/>
      </c>
      <c r="O26" t="str">
        <f>IFERROR(INDEX(Baseline_Entry!$T:$T,MATCH($B26,Baseline_Entry!$B:$B,0)),"")</f>
        <v/>
      </c>
      <c r="P26" t="str">
        <f>IFERROR(INDEX(CAT4_Current_Master!$F:$F,MATCH($B26,CAT4_Current_Master!$A:$A,0)),"")</f>
        <v/>
      </c>
      <c r="Q26" t="str">
        <f t="shared" si="3"/>
        <v/>
      </c>
      <c r="R26" t="str">
        <f>IFERROR(INDEX(Baseline_Entry!$U:$U,MATCH($B26,Baseline_Entry!$B:$B,0)),"")</f>
        <v/>
      </c>
      <c r="S26" t="str">
        <f>IFERROR(INDEX(CAT4_Current_Master!$G:$G,MATCH($B26,CAT4_Current_Master!$A:$A,0)),"")</f>
        <v/>
      </c>
      <c r="T26" t="str">
        <f t="shared" si="4"/>
        <v/>
      </c>
      <c r="U26" t="str">
        <f>IFERROR(INDEX(CAT4_Current_Master!$I:$I,MATCH($B26,CAT4_Current_Master!$A:$A,0)),"")</f>
        <v/>
      </c>
      <c r="V26" t="str">
        <f t="shared" si="5"/>
        <v/>
      </c>
      <c r="W26" t="str">
        <f t="shared" si="6"/>
        <v/>
      </c>
    </row>
    <row r="27" spans="1:23" x14ac:dyDescent="0.3">
      <c r="A27" t="s">
        <v>60</v>
      </c>
      <c r="B27" t="s">
        <v>116</v>
      </c>
      <c r="C27" t="s">
        <v>117</v>
      </c>
      <c r="D27" t="str">
        <f>IFERROR(INDEX(Baseline_Entry!$N:$N,MATCH($B27,Baseline_Entry!$B:$B,0)),"")</f>
        <v/>
      </c>
      <c r="E27" t="str">
        <f>IFERROR(INDEX(CAT4_Current_Master!$H:$H,MATCH($B27,CAT4_Current_Master!$A:$A,0)),"")</f>
        <v/>
      </c>
      <c r="F27" t="str">
        <f t="shared" si="0"/>
        <v/>
      </c>
      <c r="G27" t="str">
        <f>IFERROR(INDEX(Baseline_Entry!$Q:$Q,MATCH($B27,Baseline_Entry!$B:$B,0)),"")</f>
        <v/>
      </c>
      <c r="H27" t="str">
        <f>IFERROR(INDEX(CAT4_Current_Master!$C:$C,MATCH($B27,CAT4_Current_Master!$A:$A,0)),"")</f>
        <v/>
      </c>
      <c r="I27" t="str">
        <f>IFERROR(INDEX(Baseline_Entry!$R:$R,MATCH($B27,Baseline_Entry!$B:$B,0)),"")</f>
        <v/>
      </c>
      <c r="J27" t="str">
        <f>IFERROR(INDEX(CAT4_Current_Master!$D:$D,MATCH($B27,CAT4_Current_Master!$A:$A,0)),"")</f>
        <v/>
      </c>
      <c r="K27" t="str">
        <f t="shared" si="1"/>
        <v/>
      </c>
      <c r="L27" t="str">
        <f>IFERROR(INDEX(Baseline_Entry!$S:$S,MATCH($B27,Baseline_Entry!$B:$B,0)),"")</f>
        <v/>
      </c>
      <c r="M27" t="str">
        <f>IFERROR(INDEX(CAT4_Current_Master!$E:$E,MATCH($B27,CAT4_Current_Master!$A:$A,0)),"")</f>
        <v/>
      </c>
      <c r="N27" t="str">
        <f t="shared" si="2"/>
        <v/>
      </c>
      <c r="O27" t="str">
        <f>IFERROR(INDEX(Baseline_Entry!$T:$T,MATCH($B27,Baseline_Entry!$B:$B,0)),"")</f>
        <v/>
      </c>
      <c r="P27" t="str">
        <f>IFERROR(INDEX(CAT4_Current_Master!$F:$F,MATCH($B27,CAT4_Current_Master!$A:$A,0)),"")</f>
        <v/>
      </c>
      <c r="Q27" t="str">
        <f t="shared" si="3"/>
        <v/>
      </c>
      <c r="R27" t="str">
        <f>IFERROR(INDEX(Baseline_Entry!$U:$U,MATCH($B27,Baseline_Entry!$B:$B,0)),"")</f>
        <v/>
      </c>
      <c r="S27" t="str">
        <f>IFERROR(INDEX(CAT4_Current_Master!$G:$G,MATCH($B27,CAT4_Current_Master!$A:$A,0)),"")</f>
        <v/>
      </c>
      <c r="T27" t="str">
        <f t="shared" si="4"/>
        <v/>
      </c>
      <c r="U27" t="str">
        <f>IFERROR(INDEX(CAT4_Current_Master!$I:$I,MATCH($B27,CAT4_Current_Master!$A:$A,0)),"")</f>
        <v/>
      </c>
      <c r="V27" t="str">
        <f t="shared" si="5"/>
        <v/>
      </c>
      <c r="W27" t="str">
        <f t="shared" si="6"/>
        <v/>
      </c>
    </row>
    <row r="28" spans="1:23" x14ac:dyDescent="0.3">
      <c r="A28" t="s">
        <v>60</v>
      </c>
      <c r="B28" t="s">
        <v>118</v>
      </c>
      <c r="C28" t="s">
        <v>119</v>
      </c>
      <c r="D28" t="str">
        <f>IFERROR(INDEX(Baseline_Entry!$N:$N,MATCH($B28,Baseline_Entry!$B:$B,0)),"")</f>
        <v/>
      </c>
      <c r="E28" t="str">
        <f>IFERROR(INDEX(CAT4_Current_Master!$H:$H,MATCH($B28,CAT4_Current_Master!$A:$A,0)),"")</f>
        <v/>
      </c>
      <c r="F28" t="str">
        <f t="shared" si="0"/>
        <v/>
      </c>
      <c r="G28" t="str">
        <f>IFERROR(INDEX(Baseline_Entry!$Q:$Q,MATCH($B28,Baseline_Entry!$B:$B,0)),"")</f>
        <v/>
      </c>
      <c r="H28" t="str">
        <f>IFERROR(INDEX(CAT4_Current_Master!$C:$C,MATCH($B28,CAT4_Current_Master!$A:$A,0)),"")</f>
        <v/>
      </c>
      <c r="I28" t="str">
        <f>IFERROR(INDEX(Baseline_Entry!$R:$R,MATCH($B28,Baseline_Entry!$B:$B,0)),"")</f>
        <v/>
      </c>
      <c r="J28" t="str">
        <f>IFERROR(INDEX(CAT4_Current_Master!$D:$D,MATCH($B28,CAT4_Current_Master!$A:$A,0)),"")</f>
        <v/>
      </c>
      <c r="K28" t="str">
        <f t="shared" si="1"/>
        <v/>
      </c>
      <c r="L28" t="str">
        <f>IFERROR(INDEX(Baseline_Entry!$S:$S,MATCH($B28,Baseline_Entry!$B:$B,0)),"")</f>
        <v/>
      </c>
      <c r="M28" t="str">
        <f>IFERROR(INDEX(CAT4_Current_Master!$E:$E,MATCH($B28,CAT4_Current_Master!$A:$A,0)),"")</f>
        <v/>
      </c>
      <c r="N28" t="str">
        <f t="shared" si="2"/>
        <v/>
      </c>
      <c r="O28" t="str">
        <f>IFERROR(INDEX(Baseline_Entry!$T:$T,MATCH($B28,Baseline_Entry!$B:$B,0)),"")</f>
        <v/>
      </c>
      <c r="P28" t="str">
        <f>IFERROR(INDEX(CAT4_Current_Master!$F:$F,MATCH($B28,CAT4_Current_Master!$A:$A,0)),"")</f>
        <v/>
      </c>
      <c r="Q28" t="str">
        <f t="shared" si="3"/>
        <v/>
      </c>
      <c r="R28" t="str">
        <f>IFERROR(INDEX(Baseline_Entry!$U:$U,MATCH($B28,Baseline_Entry!$B:$B,0)),"")</f>
        <v/>
      </c>
      <c r="S28" t="str">
        <f>IFERROR(INDEX(CAT4_Current_Master!$G:$G,MATCH($B28,CAT4_Current_Master!$A:$A,0)),"")</f>
        <v/>
      </c>
      <c r="T28" t="str">
        <f t="shared" si="4"/>
        <v/>
      </c>
      <c r="U28" t="str">
        <f>IFERROR(INDEX(CAT4_Current_Master!$I:$I,MATCH($B28,CAT4_Current_Master!$A:$A,0)),"")</f>
        <v/>
      </c>
      <c r="V28" t="str">
        <f t="shared" si="5"/>
        <v/>
      </c>
      <c r="W28" t="str">
        <f t="shared" si="6"/>
        <v/>
      </c>
    </row>
    <row r="29" spans="1:23" x14ac:dyDescent="0.3">
      <c r="A29" t="s">
        <v>60</v>
      </c>
      <c r="B29" t="s">
        <v>121</v>
      </c>
      <c r="C29" t="s">
        <v>122</v>
      </c>
      <c r="D29" t="str">
        <f>IFERROR(INDEX(Baseline_Entry!$N:$N,MATCH($B29,Baseline_Entry!$B:$B,0)),"")</f>
        <v/>
      </c>
      <c r="E29" t="str">
        <f>IFERROR(INDEX(CAT4_Current_Master!$H:$H,MATCH($B29,CAT4_Current_Master!$A:$A,0)),"")</f>
        <v/>
      </c>
      <c r="F29" t="str">
        <f t="shared" si="0"/>
        <v/>
      </c>
      <c r="G29" t="str">
        <f>IFERROR(INDEX(Baseline_Entry!$Q:$Q,MATCH($B29,Baseline_Entry!$B:$B,0)),"")</f>
        <v/>
      </c>
      <c r="H29" t="str">
        <f>IFERROR(INDEX(CAT4_Current_Master!$C:$C,MATCH($B29,CAT4_Current_Master!$A:$A,0)),"")</f>
        <v/>
      </c>
      <c r="I29" t="str">
        <f>IFERROR(INDEX(Baseline_Entry!$R:$R,MATCH($B29,Baseline_Entry!$B:$B,0)),"")</f>
        <v/>
      </c>
      <c r="J29" t="str">
        <f>IFERROR(INDEX(CAT4_Current_Master!$D:$D,MATCH($B29,CAT4_Current_Master!$A:$A,0)),"")</f>
        <v/>
      </c>
      <c r="K29" t="str">
        <f t="shared" si="1"/>
        <v/>
      </c>
      <c r="L29" t="str">
        <f>IFERROR(INDEX(Baseline_Entry!$S:$S,MATCH($B29,Baseline_Entry!$B:$B,0)),"")</f>
        <v/>
      </c>
      <c r="M29" t="str">
        <f>IFERROR(INDEX(CAT4_Current_Master!$E:$E,MATCH($B29,CAT4_Current_Master!$A:$A,0)),"")</f>
        <v/>
      </c>
      <c r="N29" t="str">
        <f t="shared" si="2"/>
        <v/>
      </c>
      <c r="O29" t="str">
        <f>IFERROR(INDEX(Baseline_Entry!$T:$T,MATCH($B29,Baseline_Entry!$B:$B,0)),"")</f>
        <v/>
      </c>
      <c r="P29" t="str">
        <f>IFERROR(INDEX(CAT4_Current_Master!$F:$F,MATCH($B29,CAT4_Current_Master!$A:$A,0)),"")</f>
        <v/>
      </c>
      <c r="Q29" t="str">
        <f t="shared" si="3"/>
        <v/>
      </c>
      <c r="R29" t="str">
        <f>IFERROR(INDEX(Baseline_Entry!$U:$U,MATCH($B29,Baseline_Entry!$B:$B,0)),"")</f>
        <v/>
      </c>
      <c r="S29" t="str">
        <f>IFERROR(INDEX(CAT4_Current_Master!$G:$G,MATCH($B29,CAT4_Current_Master!$A:$A,0)),"")</f>
        <v/>
      </c>
      <c r="T29" t="str">
        <f t="shared" si="4"/>
        <v/>
      </c>
      <c r="U29" t="str">
        <f>IFERROR(INDEX(CAT4_Current_Master!$I:$I,MATCH($B29,CAT4_Current_Master!$A:$A,0)),"")</f>
        <v/>
      </c>
      <c r="V29" t="str">
        <f t="shared" si="5"/>
        <v/>
      </c>
      <c r="W29" t="str">
        <f t="shared" si="6"/>
        <v/>
      </c>
    </row>
    <row r="30" spans="1:23" x14ac:dyDescent="0.3">
      <c r="A30" t="s">
        <v>60</v>
      </c>
      <c r="B30" t="s">
        <v>123</v>
      </c>
      <c r="C30" t="s">
        <v>124</v>
      </c>
      <c r="D30" t="str">
        <f>IFERROR(INDEX(Baseline_Entry!$N:$N,MATCH($B30,Baseline_Entry!$B:$B,0)),"")</f>
        <v/>
      </c>
      <c r="E30" t="str">
        <f>IFERROR(INDEX(CAT4_Current_Master!$H:$H,MATCH($B30,CAT4_Current_Master!$A:$A,0)),"")</f>
        <v/>
      </c>
      <c r="F30" t="str">
        <f t="shared" si="0"/>
        <v/>
      </c>
      <c r="G30" t="str">
        <f>IFERROR(INDEX(Baseline_Entry!$Q:$Q,MATCH($B30,Baseline_Entry!$B:$B,0)),"")</f>
        <v/>
      </c>
      <c r="H30" t="str">
        <f>IFERROR(INDEX(CAT4_Current_Master!$C:$C,MATCH($B30,CAT4_Current_Master!$A:$A,0)),"")</f>
        <v/>
      </c>
      <c r="I30" t="str">
        <f>IFERROR(INDEX(Baseline_Entry!$R:$R,MATCH($B30,Baseline_Entry!$B:$B,0)),"")</f>
        <v/>
      </c>
      <c r="J30" t="str">
        <f>IFERROR(INDEX(CAT4_Current_Master!$D:$D,MATCH($B30,CAT4_Current_Master!$A:$A,0)),"")</f>
        <v/>
      </c>
      <c r="K30" t="str">
        <f t="shared" si="1"/>
        <v/>
      </c>
      <c r="L30" t="str">
        <f>IFERROR(INDEX(Baseline_Entry!$S:$S,MATCH($B30,Baseline_Entry!$B:$B,0)),"")</f>
        <v/>
      </c>
      <c r="M30" t="str">
        <f>IFERROR(INDEX(CAT4_Current_Master!$E:$E,MATCH($B30,CAT4_Current_Master!$A:$A,0)),"")</f>
        <v/>
      </c>
      <c r="N30" t="str">
        <f t="shared" si="2"/>
        <v/>
      </c>
      <c r="O30" t="str">
        <f>IFERROR(INDEX(Baseline_Entry!$T:$T,MATCH($B30,Baseline_Entry!$B:$B,0)),"")</f>
        <v/>
      </c>
      <c r="P30" t="str">
        <f>IFERROR(INDEX(CAT4_Current_Master!$F:$F,MATCH($B30,CAT4_Current_Master!$A:$A,0)),"")</f>
        <v/>
      </c>
      <c r="Q30" t="str">
        <f t="shared" si="3"/>
        <v/>
      </c>
      <c r="R30" t="str">
        <f>IFERROR(INDEX(Baseline_Entry!$U:$U,MATCH($B30,Baseline_Entry!$B:$B,0)),"")</f>
        <v/>
      </c>
      <c r="S30" t="str">
        <f>IFERROR(INDEX(CAT4_Current_Master!$G:$G,MATCH($B30,CAT4_Current_Master!$A:$A,0)),"")</f>
        <v/>
      </c>
      <c r="T30" t="str">
        <f t="shared" si="4"/>
        <v/>
      </c>
      <c r="U30" t="str">
        <f>IFERROR(INDEX(CAT4_Current_Master!$I:$I,MATCH($B30,CAT4_Current_Master!$A:$A,0)),"")</f>
        <v/>
      </c>
      <c r="V30" t="str">
        <f t="shared" si="5"/>
        <v/>
      </c>
      <c r="W30" t="str">
        <f t="shared" si="6"/>
        <v/>
      </c>
    </row>
    <row r="31" spans="1:23" x14ac:dyDescent="0.3">
      <c r="A31" t="s">
        <v>60</v>
      </c>
      <c r="B31" t="s">
        <v>125</v>
      </c>
      <c r="C31" t="s">
        <v>126</v>
      </c>
      <c r="D31" t="str">
        <f>IFERROR(INDEX(Baseline_Entry!$N:$N,MATCH($B31,Baseline_Entry!$B:$B,0)),"")</f>
        <v/>
      </c>
      <c r="E31" t="str">
        <f>IFERROR(INDEX(CAT4_Current_Master!$H:$H,MATCH($B31,CAT4_Current_Master!$A:$A,0)),"")</f>
        <v/>
      </c>
      <c r="F31" t="str">
        <f t="shared" si="0"/>
        <v/>
      </c>
      <c r="G31" t="str">
        <f>IFERROR(INDEX(Baseline_Entry!$Q:$Q,MATCH($B31,Baseline_Entry!$B:$B,0)),"")</f>
        <v/>
      </c>
      <c r="H31" t="str">
        <f>IFERROR(INDEX(CAT4_Current_Master!$C:$C,MATCH($B31,CAT4_Current_Master!$A:$A,0)),"")</f>
        <v/>
      </c>
      <c r="I31" t="str">
        <f>IFERROR(INDEX(Baseline_Entry!$R:$R,MATCH($B31,Baseline_Entry!$B:$B,0)),"")</f>
        <v/>
      </c>
      <c r="J31" t="str">
        <f>IFERROR(INDEX(CAT4_Current_Master!$D:$D,MATCH($B31,CAT4_Current_Master!$A:$A,0)),"")</f>
        <v/>
      </c>
      <c r="K31" t="str">
        <f t="shared" si="1"/>
        <v/>
      </c>
      <c r="L31" t="str">
        <f>IFERROR(INDEX(Baseline_Entry!$S:$S,MATCH($B31,Baseline_Entry!$B:$B,0)),"")</f>
        <v/>
      </c>
      <c r="M31" t="str">
        <f>IFERROR(INDEX(CAT4_Current_Master!$E:$E,MATCH($B31,CAT4_Current_Master!$A:$A,0)),"")</f>
        <v/>
      </c>
      <c r="N31" t="str">
        <f t="shared" si="2"/>
        <v/>
      </c>
      <c r="O31" t="str">
        <f>IFERROR(INDEX(Baseline_Entry!$T:$T,MATCH($B31,Baseline_Entry!$B:$B,0)),"")</f>
        <v/>
      </c>
      <c r="P31" t="str">
        <f>IFERROR(INDEX(CAT4_Current_Master!$F:$F,MATCH($B31,CAT4_Current_Master!$A:$A,0)),"")</f>
        <v/>
      </c>
      <c r="Q31" t="str">
        <f t="shared" si="3"/>
        <v/>
      </c>
      <c r="R31" t="str">
        <f>IFERROR(INDEX(Baseline_Entry!$U:$U,MATCH($B31,Baseline_Entry!$B:$B,0)),"")</f>
        <v/>
      </c>
      <c r="S31" t="str">
        <f>IFERROR(INDEX(CAT4_Current_Master!$G:$G,MATCH($B31,CAT4_Current_Master!$A:$A,0)),"")</f>
        <v/>
      </c>
      <c r="T31" t="str">
        <f t="shared" si="4"/>
        <v/>
      </c>
      <c r="U31" t="str">
        <f>IFERROR(INDEX(CAT4_Current_Master!$I:$I,MATCH($B31,CAT4_Current_Master!$A:$A,0)),"")</f>
        <v/>
      </c>
      <c r="V31" t="str">
        <f t="shared" si="5"/>
        <v/>
      </c>
      <c r="W31" t="str">
        <f t="shared" si="6"/>
        <v/>
      </c>
    </row>
    <row r="32" spans="1:23" x14ac:dyDescent="0.3">
      <c r="A32" t="s">
        <v>60</v>
      </c>
      <c r="B32" t="s">
        <v>127</v>
      </c>
      <c r="C32" t="s">
        <v>128</v>
      </c>
      <c r="D32" t="str">
        <f>IFERROR(INDEX(Baseline_Entry!$N:$N,MATCH($B32,Baseline_Entry!$B:$B,0)),"")</f>
        <v/>
      </c>
      <c r="E32" t="str">
        <f>IFERROR(INDEX(CAT4_Current_Master!$H:$H,MATCH($B32,CAT4_Current_Master!$A:$A,0)),"")</f>
        <v/>
      </c>
      <c r="F32" t="str">
        <f t="shared" si="0"/>
        <v/>
      </c>
      <c r="G32" t="str">
        <f>IFERROR(INDEX(Baseline_Entry!$Q:$Q,MATCH($B32,Baseline_Entry!$B:$B,0)),"")</f>
        <v/>
      </c>
      <c r="H32" t="str">
        <f>IFERROR(INDEX(CAT4_Current_Master!$C:$C,MATCH($B32,CAT4_Current_Master!$A:$A,0)),"")</f>
        <v/>
      </c>
      <c r="I32" t="str">
        <f>IFERROR(INDEX(Baseline_Entry!$R:$R,MATCH($B32,Baseline_Entry!$B:$B,0)),"")</f>
        <v/>
      </c>
      <c r="J32" t="str">
        <f>IFERROR(INDEX(CAT4_Current_Master!$D:$D,MATCH($B32,CAT4_Current_Master!$A:$A,0)),"")</f>
        <v/>
      </c>
      <c r="K32" t="str">
        <f t="shared" si="1"/>
        <v/>
      </c>
      <c r="L32" t="str">
        <f>IFERROR(INDEX(Baseline_Entry!$S:$S,MATCH($B32,Baseline_Entry!$B:$B,0)),"")</f>
        <v/>
      </c>
      <c r="M32" t="str">
        <f>IFERROR(INDEX(CAT4_Current_Master!$E:$E,MATCH($B32,CAT4_Current_Master!$A:$A,0)),"")</f>
        <v/>
      </c>
      <c r="N32" t="str">
        <f t="shared" si="2"/>
        <v/>
      </c>
      <c r="O32" t="str">
        <f>IFERROR(INDEX(Baseline_Entry!$T:$T,MATCH($B32,Baseline_Entry!$B:$B,0)),"")</f>
        <v/>
      </c>
      <c r="P32" t="str">
        <f>IFERROR(INDEX(CAT4_Current_Master!$F:$F,MATCH($B32,CAT4_Current_Master!$A:$A,0)),"")</f>
        <v/>
      </c>
      <c r="Q32" t="str">
        <f t="shared" si="3"/>
        <v/>
      </c>
      <c r="R32" t="str">
        <f>IFERROR(INDEX(Baseline_Entry!$U:$U,MATCH($B32,Baseline_Entry!$B:$B,0)),"")</f>
        <v/>
      </c>
      <c r="S32" t="str">
        <f>IFERROR(INDEX(CAT4_Current_Master!$G:$G,MATCH($B32,CAT4_Current_Master!$A:$A,0)),"")</f>
        <v/>
      </c>
      <c r="T32" t="str">
        <f t="shared" si="4"/>
        <v/>
      </c>
      <c r="U32" t="str">
        <f>IFERROR(INDEX(CAT4_Current_Master!$I:$I,MATCH($B32,CAT4_Current_Master!$A:$A,0)),"")</f>
        <v/>
      </c>
      <c r="V32" t="str">
        <f t="shared" si="5"/>
        <v/>
      </c>
      <c r="W32" t="str">
        <f t="shared" si="6"/>
        <v/>
      </c>
    </row>
    <row r="33" spans="1:23" x14ac:dyDescent="0.3">
      <c r="A33" t="s">
        <v>60</v>
      </c>
      <c r="B33" t="s">
        <v>129</v>
      </c>
      <c r="C33" t="s">
        <v>130</v>
      </c>
      <c r="D33" t="str">
        <f>IFERROR(INDEX(Baseline_Entry!$N:$N,MATCH($B33,Baseline_Entry!$B:$B,0)),"")</f>
        <v/>
      </c>
      <c r="E33" t="str">
        <f>IFERROR(INDEX(CAT4_Current_Master!$H:$H,MATCH($B33,CAT4_Current_Master!$A:$A,0)),"")</f>
        <v/>
      </c>
      <c r="F33" t="str">
        <f t="shared" si="0"/>
        <v/>
      </c>
      <c r="G33" t="str">
        <f>IFERROR(INDEX(Baseline_Entry!$Q:$Q,MATCH($B33,Baseline_Entry!$B:$B,0)),"")</f>
        <v/>
      </c>
      <c r="H33" t="str">
        <f>IFERROR(INDEX(CAT4_Current_Master!$C:$C,MATCH($B33,CAT4_Current_Master!$A:$A,0)),"")</f>
        <v/>
      </c>
      <c r="I33" t="str">
        <f>IFERROR(INDEX(Baseline_Entry!$R:$R,MATCH($B33,Baseline_Entry!$B:$B,0)),"")</f>
        <v/>
      </c>
      <c r="J33" t="str">
        <f>IFERROR(INDEX(CAT4_Current_Master!$D:$D,MATCH($B33,CAT4_Current_Master!$A:$A,0)),"")</f>
        <v/>
      </c>
      <c r="K33" t="str">
        <f t="shared" si="1"/>
        <v/>
      </c>
      <c r="L33" t="str">
        <f>IFERROR(INDEX(Baseline_Entry!$S:$S,MATCH($B33,Baseline_Entry!$B:$B,0)),"")</f>
        <v/>
      </c>
      <c r="M33" t="str">
        <f>IFERROR(INDEX(CAT4_Current_Master!$E:$E,MATCH($B33,CAT4_Current_Master!$A:$A,0)),"")</f>
        <v/>
      </c>
      <c r="N33" t="str">
        <f t="shared" si="2"/>
        <v/>
      </c>
      <c r="O33" t="str">
        <f>IFERROR(INDEX(Baseline_Entry!$T:$T,MATCH($B33,Baseline_Entry!$B:$B,0)),"")</f>
        <v/>
      </c>
      <c r="P33" t="str">
        <f>IFERROR(INDEX(CAT4_Current_Master!$F:$F,MATCH($B33,CAT4_Current_Master!$A:$A,0)),"")</f>
        <v/>
      </c>
      <c r="Q33" t="str">
        <f t="shared" si="3"/>
        <v/>
      </c>
      <c r="R33" t="str">
        <f>IFERROR(INDEX(Baseline_Entry!$U:$U,MATCH($B33,Baseline_Entry!$B:$B,0)),"")</f>
        <v/>
      </c>
      <c r="S33" t="str">
        <f>IFERROR(INDEX(CAT4_Current_Master!$G:$G,MATCH($B33,CAT4_Current_Master!$A:$A,0)),"")</f>
        <v/>
      </c>
      <c r="T33" t="str">
        <f t="shared" si="4"/>
        <v/>
      </c>
      <c r="U33" t="str">
        <f>IFERROR(INDEX(CAT4_Current_Master!$I:$I,MATCH($B33,CAT4_Current_Master!$A:$A,0)),"")</f>
        <v/>
      </c>
      <c r="V33" t="str">
        <f t="shared" si="5"/>
        <v/>
      </c>
      <c r="W33" t="str">
        <f t="shared" si="6"/>
        <v/>
      </c>
    </row>
    <row r="34" spans="1:23" x14ac:dyDescent="0.3">
      <c r="A34" t="s">
        <v>60</v>
      </c>
      <c r="B34" t="s">
        <v>131</v>
      </c>
      <c r="C34" t="s">
        <v>132</v>
      </c>
      <c r="D34" t="str">
        <f>IFERROR(INDEX(Baseline_Entry!$N:$N,MATCH($B34,Baseline_Entry!$B:$B,0)),"")</f>
        <v/>
      </c>
      <c r="E34" t="str">
        <f>IFERROR(INDEX(CAT4_Current_Master!$H:$H,MATCH($B34,CAT4_Current_Master!$A:$A,0)),"")</f>
        <v/>
      </c>
      <c r="F34" t="str">
        <f t="shared" si="0"/>
        <v/>
      </c>
      <c r="G34" t="str">
        <f>IFERROR(INDEX(Baseline_Entry!$Q:$Q,MATCH($B34,Baseline_Entry!$B:$B,0)),"")</f>
        <v/>
      </c>
      <c r="H34" t="str">
        <f>IFERROR(INDEX(CAT4_Current_Master!$C:$C,MATCH($B34,CAT4_Current_Master!$A:$A,0)),"")</f>
        <v/>
      </c>
      <c r="I34" t="str">
        <f>IFERROR(INDEX(Baseline_Entry!$R:$R,MATCH($B34,Baseline_Entry!$B:$B,0)),"")</f>
        <v/>
      </c>
      <c r="J34" t="str">
        <f>IFERROR(INDEX(CAT4_Current_Master!$D:$D,MATCH($B34,CAT4_Current_Master!$A:$A,0)),"")</f>
        <v/>
      </c>
      <c r="K34" t="str">
        <f t="shared" si="1"/>
        <v/>
      </c>
      <c r="L34" t="str">
        <f>IFERROR(INDEX(Baseline_Entry!$S:$S,MATCH($B34,Baseline_Entry!$B:$B,0)),"")</f>
        <v/>
      </c>
      <c r="M34" t="str">
        <f>IFERROR(INDEX(CAT4_Current_Master!$E:$E,MATCH($B34,CAT4_Current_Master!$A:$A,0)),"")</f>
        <v/>
      </c>
      <c r="N34" t="str">
        <f t="shared" si="2"/>
        <v/>
      </c>
      <c r="O34" t="str">
        <f>IFERROR(INDEX(Baseline_Entry!$T:$T,MATCH($B34,Baseline_Entry!$B:$B,0)),"")</f>
        <v/>
      </c>
      <c r="P34" t="str">
        <f>IFERROR(INDEX(CAT4_Current_Master!$F:$F,MATCH($B34,CAT4_Current_Master!$A:$A,0)),"")</f>
        <v/>
      </c>
      <c r="Q34" t="str">
        <f t="shared" si="3"/>
        <v/>
      </c>
      <c r="R34" t="str">
        <f>IFERROR(INDEX(Baseline_Entry!$U:$U,MATCH($B34,Baseline_Entry!$B:$B,0)),"")</f>
        <v/>
      </c>
      <c r="S34" t="str">
        <f>IFERROR(INDEX(CAT4_Current_Master!$G:$G,MATCH($B34,CAT4_Current_Master!$A:$A,0)),"")</f>
        <v/>
      </c>
      <c r="T34" t="str">
        <f t="shared" si="4"/>
        <v/>
      </c>
      <c r="U34" t="str">
        <f>IFERROR(INDEX(CAT4_Current_Master!$I:$I,MATCH($B34,CAT4_Current_Master!$A:$A,0)),"")</f>
        <v/>
      </c>
      <c r="V34" t="str">
        <f t="shared" si="5"/>
        <v/>
      </c>
      <c r="W34" t="str">
        <f t="shared" si="6"/>
        <v/>
      </c>
    </row>
    <row r="35" spans="1:23" x14ac:dyDescent="0.3">
      <c r="A35" t="s">
        <v>60</v>
      </c>
      <c r="B35" t="s">
        <v>133</v>
      </c>
      <c r="C35" t="s">
        <v>134</v>
      </c>
      <c r="D35" t="str">
        <f>IFERROR(INDEX(Baseline_Entry!$N:$N,MATCH($B35,Baseline_Entry!$B:$B,0)),"")</f>
        <v/>
      </c>
      <c r="E35" t="str">
        <f>IFERROR(INDEX(CAT4_Current_Master!$H:$H,MATCH($B35,CAT4_Current_Master!$A:$A,0)),"")</f>
        <v/>
      </c>
      <c r="F35" t="str">
        <f t="shared" si="0"/>
        <v/>
      </c>
      <c r="G35" t="str">
        <f>IFERROR(INDEX(Baseline_Entry!$Q:$Q,MATCH($B35,Baseline_Entry!$B:$B,0)),"")</f>
        <v/>
      </c>
      <c r="H35" t="str">
        <f>IFERROR(INDEX(CAT4_Current_Master!$C:$C,MATCH($B35,CAT4_Current_Master!$A:$A,0)),"")</f>
        <v/>
      </c>
      <c r="I35" t="str">
        <f>IFERROR(INDEX(Baseline_Entry!$R:$R,MATCH($B35,Baseline_Entry!$B:$B,0)),"")</f>
        <v/>
      </c>
      <c r="J35" t="str">
        <f>IFERROR(INDEX(CAT4_Current_Master!$D:$D,MATCH($B35,CAT4_Current_Master!$A:$A,0)),"")</f>
        <v/>
      </c>
      <c r="K35" t="str">
        <f t="shared" si="1"/>
        <v/>
      </c>
      <c r="L35" t="str">
        <f>IFERROR(INDEX(Baseline_Entry!$S:$S,MATCH($B35,Baseline_Entry!$B:$B,0)),"")</f>
        <v/>
      </c>
      <c r="M35" t="str">
        <f>IFERROR(INDEX(CAT4_Current_Master!$E:$E,MATCH($B35,CAT4_Current_Master!$A:$A,0)),"")</f>
        <v/>
      </c>
      <c r="N35" t="str">
        <f t="shared" si="2"/>
        <v/>
      </c>
      <c r="O35" t="str">
        <f>IFERROR(INDEX(Baseline_Entry!$T:$T,MATCH($B35,Baseline_Entry!$B:$B,0)),"")</f>
        <v/>
      </c>
      <c r="P35" t="str">
        <f>IFERROR(INDEX(CAT4_Current_Master!$F:$F,MATCH($B35,CAT4_Current_Master!$A:$A,0)),"")</f>
        <v/>
      </c>
      <c r="Q35" t="str">
        <f t="shared" si="3"/>
        <v/>
      </c>
      <c r="R35" t="str">
        <f>IFERROR(INDEX(Baseline_Entry!$U:$U,MATCH($B35,Baseline_Entry!$B:$B,0)),"")</f>
        <v/>
      </c>
      <c r="S35" t="str">
        <f>IFERROR(INDEX(CAT4_Current_Master!$G:$G,MATCH($B35,CAT4_Current_Master!$A:$A,0)),"")</f>
        <v/>
      </c>
      <c r="T35" t="str">
        <f t="shared" si="4"/>
        <v/>
      </c>
      <c r="U35" t="str">
        <f>IFERROR(INDEX(CAT4_Current_Master!$I:$I,MATCH($B35,CAT4_Current_Master!$A:$A,0)),"")</f>
        <v/>
      </c>
      <c r="V35" t="str">
        <f t="shared" si="5"/>
        <v/>
      </c>
      <c r="W35" t="str">
        <f t="shared" si="6"/>
        <v/>
      </c>
    </row>
    <row r="36" spans="1:23" x14ac:dyDescent="0.3">
      <c r="A36" t="s">
        <v>60</v>
      </c>
      <c r="B36" t="s">
        <v>135</v>
      </c>
      <c r="C36" t="s">
        <v>136</v>
      </c>
      <c r="D36" t="str">
        <f>IFERROR(INDEX(Baseline_Entry!$N:$N,MATCH($B36,Baseline_Entry!$B:$B,0)),"")</f>
        <v/>
      </c>
      <c r="E36" t="str">
        <f>IFERROR(INDEX(CAT4_Current_Master!$H:$H,MATCH($B36,CAT4_Current_Master!$A:$A,0)),"")</f>
        <v/>
      </c>
      <c r="F36" t="str">
        <f t="shared" si="0"/>
        <v/>
      </c>
      <c r="G36" t="str">
        <f>IFERROR(INDEX(Baseline_Entry!$Q:$Q,MATCH($B36,Baseline_Entry!$B:$B,0)),"")</f>
        <v/>
      </c>
      <c r="H36" t="str">
        <f>IFERROR(INDEX(CAT4_Current_Master!$C:$C,MATCH($B36,CAT4_Current_Master!$A:$A,0)),"")</f>
        <v/>
      </c>
      <c r="I36" t="str">
        <f>IFERROR(INDEX(Baseline_Entry!$R:$R,MATCH($B36,Baseline_Entry!$B:$B,0)),"")</f>
        <v/>
      </c>
      <c r="J36" t="str">
        <f>IFERROR(INDEX(CAT4_Current_Master!$D:$D,MATCH($B36,CAT4_Current_Master!$A:$A,0)),"")</f>
        <v/>
      </c>
      <c r="K36" t="str">
        <f t="shared" si="1"/>
        <v/>
      </c>
      <c r="L36" t="str">
        <f>IFERROR(INDEX(Baseline_Entry!$S:$S,MATCH($B36,Baseline_Entry!$B:$B,0)),"")</f>
        <v/>
      </c>
      <c r="M36" t="str">
        <f>IFERROR(INDEX(CAT4_Current_Master!$E:$E,MATCH($B36,CAT4_Current_Master!$A:$A,0)),"")</f>
        <v/>
      </c>
      <c r="N36" t="str">
        <f t="shared" si="2"/>
        <v/>
      </c>
      <c r="O36" t="str">
        <f>IFERROR(INDEX(Baseline_Entry!$T:$T,MATCH($B36,Baseline_Entry!$B:$B,0)),"")</f>
        <v/>
      </c>
      <c r="P36" t="str">
        <f>IFERROR(INDEX(CAT4_Current_Master!$F:$F,MATCH($B36,CAT4_Current_Master!$A:$A,0)),"")</f>
        <v/>
      </c>
      <c r="Q36" t="str">
        <f t="shared" si="3"/>
        <v/>
      </c>
      <c r="R36" t="str">
        <f>IFERROR(INDEX(Baseline_Entry!$U:$U,MATCH($B36,Baseline_Entry!$B:$B,0)),"")</f>
        <v/>
      </c>
      <c r="S36" t="str">
        <f>IFERROR(INDEX(CAT4_Current_Master!$G:$G,MATCH($B36,CAT4_Current_Master!$A:$A,0)),"")</f>
        <v/>
      </c>
      <c r="T36" t="str">
        <f t="shared" si="4"/>
        <v/>
      </c>
      <c r="U36" t="str">
        <f>IFERROR(INDEX(CAT4_Current_Master!$I:$I,MATCH($B36,CAT4_Current_Master!$A:$A,0)),"")</f>
        <v/>
      </c>
      <c r="V36" t="str">
        <f t="shared" si="5"/>
        <v/>
      </c>
      <c r="W36" t="str">
        <f t="shared" si="6"/>
        <v/>
      </c>
    </row>
    <row r="37" spans="1:23" x14ac:dyDescent="0.3">
      <c r="A37" t="s">
        <v>60</v>
      </c>
      <c r="B37" t="s">
        <v>137</v>
      </c>
      <c r="C37" t="s">
        <v>138</v>
      </c>
      <c r="D37" t="str">
        <f>IFERROR(INDEX(Baseline_Entry!$N:$N,MATCH($B37,Baseline_Entry!$B:$B,0)),"")</f>
        <v/>
      </c>
      <c r="E37" t="str">
        <f>IFERROR(INDEX(CAT4_Current_Master!$H:$H,MATCH($B37,CAT4_Current_Master!$A:$A,0)),"")</f>
        <v/>
      </c>
      <c r="F37" t="str">
        <f t="shared" si="0"/>
        <v/>
      </c>
      <c r="G37" t="str">
        <f>IFERROR(INDEX(Baseline_Entry!$Q:$Q,MATCH($B37,Baseline_Entry!$B:$B,0)),"")</f>
        <v/>
      </c>
      <c r="H37" t="str">
        <f>IFERROR(INDEX(CAT4_Current_Master!$C:$C,MATCH($B37,CAT4_Current_Master!$A:$A,0)),"")</f>
        <v/>
      </c>
      <c r="I37" t="str">
        <f>IFERROR(INDEX(Baseline_Entry!$R:$R,MATCH($B37,Baseline_Entry!$B:$B,0)),"")</f>
        <v/>
      </c>
      <c r="J37" t="str">
        <f>IFERROR(INDEX(CAT4_Current_Master!$D:$D,MATCH($B37,CAT4_Current_Master!$A:$A,0)),"")</f>
        <v/>
      </c>
      <c r="K37" t="str">
        <f t="shared" si="1"/>
        <v/>
      </c>
      <c r="L37" t="str">
        <f>IFERROR(INDEX(Baseline_Entry!$S:$S,MATCH($B37,Baseline_Entry!$B:$B,0)),"")</f>
        <v/>
      </c>
      <c r="M37" t="str">
        <f>IFERROR(INDEX(CAT4_Current_Master!$E:$E,MATCH($B37,CAT4_Current_Master!$A:$A,0)),"")</f>
        <v/>
      </c>
      <c r="N37" t="str">
        <f t="shared" si="2"/>
        <v/>
      </c>
      <c r="O37" t="str">
        <f>IFERROR(INDEX(Baseline_Entry!$T:$T,MATCH($B37,Baseline_Entry!$B:$B,0)),"")</f>
        <v/>
      </c>
      <c r="P37" t="str">
        <f>IFERROR(INDEX(CAT4_Current_Master!$F:$F,MATCH($B37,CAT4_Current_Master!$A:$A,0)),"")</f>
        <v/>
      </c>
      <c r="Q37" t="str">
        <f t="shared" si="3"/>
        <v/>
      </c>
      <c r="R37" t="str">
        <f>IFERROR(INDEX(Baseline_Entry!$U:$U,MATCH($B37,Baseline_Entry!$B:$B,0)),"")</f>
        <v/>
      </c>
      <c r="S37" t="str">
        <f>IFERROR(INDEX(CAT4_Current_Master!$G:$G,MATCH($B37,CAT4_Current_Master!$A:$A,0)),"")</f>
        <v/>
      </c>
      <c r="T37" t="str">
        <f t="shared" si="4"/>
        <v/>
      </c>
      <c r="U37" t="str">
        <f>IFERROR(INDEX(CAT4_Current_Master!$I:$I,MATCH($B37,CAT4_Current_Master!$A:$A,0)),"")</f>
        <v/>
      </c>
      <c r="V37" t="str">
        <f t="shared" si="5"/>
        <v/>
      </c>
      <c r="W37" t="str">
        <f t="shared" si="6"/>
        <v/>
      </c>
    </row>
    <row r="38" spans="1:23" x14ac:dyDescent="0.3">
      <c r="A38" t="s">
        <v>60</v>
      </c>
      <c r="B38" t="s">
        <v>139</v>
      </c>
      <c r="C38" t="s">
        <v>140</v>
      </c>
      <c r="D38" t="str">
        <f>IFERROR(INDEX(Baseline_Entry!$N:$N,MATCH($B38,Baseline_Entry!$B:$B,0)),"")</f>
        <v/>
      </c>
      <c r="E38" t="str">
        <f>IFERROR(INDEX(CAT4_Current_Master!$H:$H,MATCH($B38,CAT4_Current_Master!$A:$A,0)),"")</f>
        <v/>
      </c>
      <c r="F38" t="str">
        <f t="shared" si="0"/>
        <v/>
      </c>
      <c r="G38" t="str">
        <f>IFERROR(INDEX(Baseline_Entry!$Q:$Q,MATCH($B38,Baseline_Entry!$B:$B,0)),"")</f>
        <v/>
      </c>
      <c r="H38" t="str">
        <f>IFERROR(INDEX(CAT4_Current_Master!$C:$C,MATCH($B38,CAT4_Current_Master!$A:$A,0)),"")</f>
        <v/>
      </c>
      <c r="I38" t="str">
        <f>IFERROR(INDEX(Baseline_Entry!$R:$R,MATCH($B38,Baseline_Entry!$B:$B,0)),"")</f>
        <v/>
      </c>
      <c r="J38" t="str">
        <f>IFERROR(INDEX(CAT4_Current_Master!$D:$D,MATCH($B38,CAT4_Current_Master!$A:$A,0)),"")</f>
        <v/>
      </c>
      <c r="K38" t="str">
        <f t="shared" si="1"/>
        <v/>
      </c>
      <c r="L38" t="str">
        <f>IFERROR(INDEX(Baseline_Entry!$S:$S,MATCH($B38,Baseline_Entry!$B:$B,0)),"")</f>
        <v/>
      </c>
      <c r="M38" t="str">
        <f>IFERROR(INDEX(CAT4_Current_Master!$E:$E,MATCH($B38,CAT4_Current_Master!$A:$A,0)),"")</f>
        <v/>
      </c>
      <c r="N38" t="str">
        <f t="shared" si="2"/>
        <v/>
      </c>
      <c r="O38" t="str">
        <f>IFERROR(INDEX(Baseline_Entry!$T:$T,MATCH($B38,Baseline_Entry!$B:$B,0)),"")</f>
        <v/>
      </c>
      <c r="P38" t="str">
        <f>IFERROR(INDEX(CAT4_Current_Master!$F:$F,MATCH($B38,CAT4_Current_Master!$A:$A,0)),"")</f>
        <v/>
      </c>
      <c r="Q38" t="str">
        <f t="shared" si="3"/>
        <v/>
      </c>
      <c r="R38" t="str">
        <f>IFERROR(INDEX(Baseline_Entry!$U:$U,MATCH($B38,Baseline_Entry!$B:$B,0)),"")</f>
        <v/>
      </c>
      <c r="S38" t="str">
        <f>IFERROR(INDEX(CAT4_Current_Master!$G:$G,MATCH($B38,CAT4_Current_Master!$A:$A,0)),"")</f>
        <v/>
      </c>
      <c r="T38" t="str">
        <f t="shared" si="4"/>
        <v/>
      </c>
      <c r="U38" t="str">
        <f>IFERROR(INDEX(CAT4_Current_Master!$I:$I,MATCH($B38,CAT4_Current_Master!$A:$A,0)),"")</f>
        <v/>
      </c>
      <c r="V38" t="str">
        <f t="shared" si="5"/>
        <v/>
      </c>
      <c r="W38" t="str">
        <f t="shared" si="6"/>
        <v/>
      </c>
    </row>
    <row r="39" spans="1:23" x14ac:dyDescent="0.3">
      <c r="A39" t="s">
        <v>60</v>
      </c>
      <c r="B39" t="s">
        <v>141</v>
      </c>
      <c r="C39" t="s">
        <v>142</v>
      </c>
      <c r="D39" t="str">
        <f>IFERROR(INDEX(Baseline_Entry!$N:$N,MATCH($B39,Baseline_Entry!$B:$B,0)),"")</f>
        <v/>
      </c>
      <c r="E39" t="str">
        <f>IFERROR(INDEX(CAT4_Current_Master!$H:$H,MATCH($B39,CAT4_Current_Master!$A:$A,0)),"")</f>
        <v/>
      </c>
      <c r="F39" t="str">
        <f t="shared" si="0"/>
        <v/>
      </c>
      <c r="G39" t="str">
        <f>IFERROR(INDEX(Baseline_Entry!$Q:$Q,MATCH($B39,Baseline_Entry!$B:$B,0)),"")</f>
        <v/>
      </c>
      <c r="H39" t="str">
        <f>IFERROR(INDEX(CAT4_Current_Master!$C:$C,MATCH($B39,CAT4_Current_Master!$A:$A,0)),"")</f>
        <v/>
      </c>
      <c r="I39" t="str">
        <f>IFERROR(INDEX(Baseline_Entry!$R:$R,MATCH($B39,Baseline_Entry!$B:$B,0)),"")</f>
        <v/>
      </c>
      <c r="J39" t="str">
        <f>IFERROR(INDEX(CAT4_Current_Master!$D:$D,MATCH($B39,CAT4_Current_Master!$A:$A,0)),"")</f>
        <v/>
      </c>
      <c r="K39" t="str">
        <f t="shared" si="1"/>
        <v/>
      </c>
      <c r="L39" t="str">
        <f>IFERROR(INDEX(Baseline_Entry!$S:$S,MATCH($B39,Baseline_Entry!$B:$B,0)),"")</f>
        <v/>
      </c>
      <c r="M39" t="str">
        <f>IFERROR(INDEX(CAT4_Current_Master!$E:$E,MATCH($B39,CAT4_Current_Master!$A:$A,0)),"")</f>
        <v/>
      </c>
      <c r="N39" t="str">
        <f t="shared" si="2"/>
        <v/>
      </c>
      <c r="O39" t="str">
        <f>IFERROR(INDEX(Baseline_Entry!$T:$T,MATCH($B39,Baseline_Entry!$B:$B,0)),"")</f>
        <v/>
      </c>
      <c r="P39" t="str">
        <f>IFERROR(INDEX(CAT4_Current_Master!$F:$F,MATCH($B39,CAT4_Current_Master!$A:$A,0)),"")</f>
        <v/>
      </c>
      <c r="Q39" t="str">
        <f t="shared" si="3"/>
        <v/>
      </c>
      <c r="R39" t="str">
        <f>IFERROR(INDEX(Baseline_Entry!$U:$U,MATCH($B39,Baseline_Entry!$B:$B,0)),"")</f>
        <v/>
      </c>
      <c r="S39" t="str">
        <f>IFERROR(INDEX(CAT4_Current_Master!$G:$G,MATCH($B39,CAT4_Current_Master!$A:$A,0)),"")</f>
        <v/>
      </c>
      <c r="T39" t="str">
        <f t="shared" si="4"/>
        <v/>
      </c>
      <c r="U39" t="str">
        <f>IFERROR(INDEX(CAT4_Current_Master!$I:$I,MATCH($B39,CAT4_Current_Master!$A:$A,0)),"")</f>
        <v/>
      </c>
      <c r="V39" t="str">
        <f t="shared" si="5"/>
        <v/>
      </c>
      <c r="W39" t="str">
        <f t="shared" si="6"/>
        <v/>
      </c>
    </row>
    <row r="40" spans="1:23" x14ac:dyDescent="0.3">
      <c r="A40" t="s">
        <v>60</v>
      </c>
      <c r="B40" t="s">
        <v>143</v>
      </c>
      <c r="C40" t="s">
        <v>144</v>
      </c>
      <c r="D40" t="str">
        <f>IFERROR(INDEX(Baseline_Entry!$N:$N,MATCH($B40,Baseline_Entry!$B:$B,0)),"")</f>
        <v/>
      </c>
      <c r="E40" t="str">
        <f>IFERROR(INDEX(CAT4_Current_Master!$H:$H,MATCH($B40,CAT4_Current_Master!$A:$A,0)),"")</f>
        <v/>
      </c>
      <c r="F40" t="str">
        <f t="shared" si="0"/>
        <v/>
      </c>
      <c r="G40" t="str">
        <f>IFERROR(INDEX(Baseline_Entry!$Q:$Q,MATCH($B40,Baseline_Entry!$B:$B,0)),"")</f>
        <v/>
      </c>
      <c r="H40" t="str">
        <f>IFERROR(INDEX(CAT4_Current_Master!$C:$C,MATCH($B40,CAT4_Current_Master!$A:$A,0)),"")</f>
        <v/>
      </c>
      <c r="I40" t="str">
        <f>IFERROR(INDEX(Baseline_Entry!$R:$R,MATCH($B40,Baseline_Entry!$B:$B,0)),"")</f>
        <v/>
      </c>
      <c r="J40" t="str">
        <f>IFERROR(INDEX(CAT4_Current_Master!$D:$D,MATCH($B40,CAT4_Current_Master!$A:$A,0)),"")</f>
        <v/>
      </c>
      <c r="K40" t="str">
        <f t="shared" si="1"/>
        <v/>
      </c>
      <c r="L40" t="str">
        <f>IFERROR(INDEX(Baseline_Entry!$S:$S,MATCH($B40,Baseline_Entry!$B:$B,0)),"")</f>
        <v/>
      </c>
      <c r="M40" t="str">
        <f>IFERROR(INDEX(CAT4_Current_Master!$E:$E,MATCH($B40,CAT4_Current_Master!$A:$A,0)),"")</f>
        <v/>
      </c>
      <c r="N40" t="str">
        <f t="shared" si="2"/>
        <v/>
      </c>
      <c r="O40" t="str">
        <f>IFERROR(INDEX(Baseline_Entry!$T:$T,MATCH($B40,Baseline_Entry!$B:$B,0)),"")</f>
        <v/>
      </c>
      <c r="P40" t="str">
        <f>IFERROR(INDEX(CAT4_Current_Master!$F:$F,MATCH($B40,CAT4_Current_Master!$A:$A,0)),"")</f>
        <v/>
      </c>
      <c r="Q40" t="str">
        <f t="shared" si="3"/>
        <v/>
      </c>
      <c r="R40" t="str">
        <f>IFERROR(INDEX(Baseline_Entry!$U:$U,MATCH($B40,Baseline_Entry!$B:$B,0)),"")</f>
        <v/>
      </c>
      <c r="S40" t="str">
        <f>IFERROR(INDEX(CAT4_Current_Master!$G:$G,MATCH($B40,CAT4_Current_Master!$A:$A,0)),"")</f>
        <v/>
      </c>
      <c r="T40" t="str">
        <f t="shared" si="4"/>
        <v/>
      </c>
      <c r="U40" t="str">
        <f>IFERROR(INDEX(CAT4_Current_Master!$I:$I,MATCH($B40,CAT4_Current_Master!$A:$A,0)),"")</f>
        <v/>
      </c>
      <c r="V40" t="str">
        <f t="shared" si="5"/>
        <v/>
      </c>
      <c r="W40" t="str">
        <f t="shared" si="6"/>
        <v/>
      </c>
    </row>
    <row r="41" spans="1:23" x14ac:dyDescent="0.3">
      <c r="A41" t="s">
        <v>60</v>
      </c>
      <c r="B41" t="s">
        <v>145</v>
      </c>
      <c r="C41" t="s">
        <v>146</v>
      </c>
      <c r="D41" t="str">
        <f>IFERROR(INDEX(Baseline_Entry!$N:$N,MATCH($B41,Baseline_Entry!$B:$B,0)),"")</f>
        <v/>
      </c>
      <c r="E41" t="str">
        <f>IFERROR(INDEX(CAT4_Current_Master!$H:$H,MATCH($B41,CAT4_Current_Master!$A:$A,0)),"")</f>
        <v/>
      </c>
      <c r="F41" t="str">
        <f t="shared" si="0"/>
        <v/>
      </c>
      <c r="G41" t="str">
        <f>IFERROR(INDEX(Baseline_Entry!$Q:$Q,MATCH($B41,Baseline_Entry!$B:$B,0)),"")</f>
        <v/>
      </c>
      <c r="H41" t="str">
        <f>IFERROR(INDEX(CAT4_Current_Master!$C:$C,MATCH($B41,CAT4_Current_Master!$A:$A,0)),"")</f>
        <v/>
      </c>
      <c r="I41" t="str">
        <f>IFERROR(INDEX(Baseline_Entry!$R:$R,MATCH($B41,Baseline_Entry!$B:$B,0)),"")</f>
        <v/>
      </c>
      <c r="J41" t="str">
        <f>IFERROR(INDEX(CAT4_Current_Master!$D:$D,MATCH($B41,CAT4_Current_Master!$A:$A,0)),"")</f>
        <v/>
      </c>
      <c r="K41" t="str">
        <f t="shared" si="1"/>
        <v/>
      </c>
      <c r="L41" t="str">
        <f>IFERROR(INDEX(Baseline_Entry!$S:$S,MATCH($B41,Baseline_Entry!$B:$B,0)),"")</f>
        <v/>
      </c>
      <c r="M41" t="str">
        <f>IFERROR(INDEX(CAT4_Current_Master!$E:$E,MATCH($B41,CAT4_Current_Master!$A:$A,0)),"")</f>
        <v/>
      </c>
      <c r="N41" t="str">
        <f t="shared" si="2"/>
        <v/>
      </c>
      <c r="O41" t="str">
        <f>IFERROR(INDEX(Baseline_Entry!$T:$T,MATCH($B41,Baseline_Entry!$B:$B,0)),"")</f>
        <v/>
      </c>
      <c r="P41" t="str">
        <f>IFERROR(INDEX(CAT4_Current_Master!$F:$F,MATCH($B41,CAT4_Current_Master!$A:$A,0)),"")</f>
        <v/>
      </c>
      <c r="Q41" t="str">
        <f t="shared" si="3"/>
        <v/>
      </c>
      <c r="R41" t="str">
        <f>IFERROR(INDEX(Baseline_Entry!$U:$U,MATCH($B41,Baseline_Entry!$B:$B,0)),"")</f>
        <v/>
      </c>
      <c r="S41" t="str">
        <f>IFERROR(INDEX(CAT4_Current_Master!$G:$G,MATCH($B41,CAT4_Current_Master!$A:$A,0)),"")</f>
        <v/>
      </c>
      <c r="T41" t="str">
        <f t="shared" si="4"/>
        <v/>
      </c>
      <c r="U41" t="str">
        <f>IFERROR(INDEX(CAT4_Current_Master!$I:$I,MATCH($B41,CAT4_Current_Master!$A:$A,0)),"")</f>
        <v/>
      </c>
      <c r="V41" t="str">
        <f t="shared" si="5"/>
        <v/>
      </c>
      <c r="W41" t="str">
        <f t="shared" si="6"/>
        <v/>
      </c>
    </row>
    <row r="42" spans="1:23" x14ac:dyDescent="0.3">
      <c r="A42" t="s">
        <v>60</v>
      </c>
      <c r="B42" t="s">
        <v>147</v>
      </c>
      <c r="C42" t="s">
        <v>148</v>
      </c>
      <c r="D42" t="str">
        <f>IFERROR(INDEX(Baseline_Entry!$N:$N,MATCH($B42,Baseline_Entry!$B:$B,0)),"")</f>
        <v/>
      </c>
      <c r="E42" t="str">
        <f>IFERROR(INDEX(CAT4_Current_Master!$H:$H,MATCH($B42,CAT4_Current_Master!$A:$A,0)),"")</f>
        <v/>
      </c>
      <c r="F42" t="str">
        <f t="shared" si="0"/>
        <v/>
      </c>
      <c r="G42" t="str">
        <f>IFERROR(INDEX(Baseline_Entry!$Q:$Q,MATCH($B42,Baseline_Entry!$B:$B,0)),"")</f>
        <v/>
      </c>
      <c r="H42" t="str">
        <f>IFERROR(INDEX(CAT4_Current_Master!$C:$C,MATCH($B42,CAT4_Current_Master!$A:$A,0)),"")</f>
        <v/>
      </c>
      <c r="I42" t="str">
        <f>IFERROR(INDEX(Baseline_Entry!$R:$R,MATCH($B42,Baseline_Entry!$B:$B,0)),"")</f>
        <v/>
      </c>
      <c r="J42" t="str">
        <f>IFERROR(INDEX(CAT4_Current_Master!$D:$D,MATCH($B42,CAT4_Current_Master!$A:$A,0)),"")</f>
        <v/>
      </c>
      <c r="K42" t="str">
        <f t="shared" si="1"/>
        <v/>
      </c>
      <c r="L42" t="str">
        <f>IFERROR(INDEX(Baseline_Entry!$S:$S,MATCH($B42,Baseline_Entry!$B:$B,0)),"")</f>
        <v/>
      </c>
      <c r="M42" t="str">
        <f>IFERROR(INDEX(CAT4_Current_Master!$E:$E,MATCH($B42,CAT4_Current_Master!$A:$A,0)),"")</f>
        <v/>
      </c>
      <c r="N42" t="str">
        <f t="shared" si="2"/>
        <v/>
      </c>
      <c r="O42" t="str">
        <f>IFERROR(INDEX(Baseline_Entry!$T:$T,MATCH($B42,Baseline_Entry!$B:$B,0)),"")</f>
        <v/>
      </c>
      <c r="P42" t="str">
        <f>IFERROR(INDEX(CAT4_Current_Master!$F:$F,MATCH($B42,CAT4_Current_Master!$A:$A,0)),"")</f>
        <v/>
      </c>
      <c r="Q42" t="str">
        <f t="shared" si="3"/>
        <v/>
      </c>
      <c r="R42" t="str">
        <f>IFERROR(INDEX(Baseline_Entry!$U:$U,MATCH($B42,Baseline_Entry!$B:$B,0)),"")</f>
        <v/>
      </c>
      <c r="S42" t="str">
        <f>IFERROR(INDEX(CAT4_Current_Master!$G:$G,MATCH($B42,CAT4_Current_Master!$A:$A,0)),"")</f>
        <v/>
      </c>
      <c r="T42" t="str">
        <f t="shared" si="4"/>
        <v/>
      </c>
      <c r="U42" t="str">
        <f>IFERROR(INDEX(CAT4_Current_Master!$I:$I,MATCH($B42,CAT4_Current_Master!$A:$A,0)),"")</f>
        <v/>
      </c>
      <c r="V42" t="str">
        <f t="shared" si="5"/>
        <v/>
      </c>
      <c r="W42" t="str">
        <f t="shared" si="6"/>
        <v/>
      </c>
    </row>
    <row r="43" spans="1:23" x14ac:dyDescent="0.3">
      <c r="A43" t="s">
        <v>60</v>
      </c>
      <c r="B43" t="s">
        <v>149</v>
      </c>
      <c r="C43" t="s">
        <v>150</v>
      </c>
      <c r="D43" t="str">
        <f>IFERROR(INDEX(Baseline_Entry!$N:$N,MATCH($B43,Baseline_Entry!$B:$B,0)),"")</f>
        <v/>
      </c>
      <c r="E43" t="str">
        <f>IFERROR(INDEX(CAT4_Current_Master!$H:$H,MATCH($B43,CAT4_Current_Master!$A:$A,0)),"")</f>
        <v/>
      </c>
      <c r="F43" t="str">
        <f t="shared" si="0"/>
        <v/>
      </c>
      <c r="G43" t="str">
        <f>IFERROR(INDEX(Baseline_Entry!$Q:$Q,MATCH($B43,Baseline_Entry!$B:$B,0)),"")</f>
        <v/>
      </c>
      <c r="H43" t="str">
        <f>IFERROR(INDEX(CAT4_Current_Master!$C:$C,MATCH($B43,CAT4_Current_Master!$A:$A,0)),"")</f>
        <v/>
      </c>
      <c r="I43" t="str">
        <f>IFERROR(INDEX(Baseline_Entry!$R:$R,MATCH($B43,Baseline_Entry!$B:$B,0)),"")</f>
        <v/>
      </c>
      <c r="J43" t="str">
        <f>IFERROR(INDEX(CAT4_Current_Master!$D:$D,MATCH($B43,CAT4_Current_Master!$A:$A,0)),"")</f>
        <v/>
      </c>
      <c r="K43" t="str">
        <f t="shared" si="1"/>
        <v/>
      </c>
      <c r="L43" t="str">
        <f>IFERROR(INDEX(Baseline_Entry!$S:$S,MATCH($B43,Baseline_Entry!$B:$B,0)),"")</f>
        <v/>
      </c>
      <c r="M43" t="str">
        <f>IFERROR(INDEX(CAT4_Current_Master!$E:$E,MATCH($B43,CAT4_Current_Master!$A:$A,0)),"")</f>
        <v/>
      </c>
      <c r="N43" t="str">
        <f t="shared" si="2"/>
        <v/>
      </c>
      <c r="O43" t="str">
        <f>IFERROR(INDEX(Baseline_Entry!$T:$T,MATCH($B43,Baseline_Entry!$B:$B,0)),"")</f>
        <v/>
      </c>
      <c r="P43" t="str">
        <f>IFERROR(INDEX(CAT4_Current_Master!$F:$F,MATCH($B43,CAT4_Current_Master!$A:$A,0)),"")</f>
        <v/>
      </c>
      <c r="Q43" t="str">
        <f t="shared" si="3"/>
        <v/>
      </c>
      <c r="R43" t="str">
        <f>IFERROR(INDEX(Baseline_Entry!$U:$U,MATCH($B43,Baseline_Entry!$B:$B,0)),"")</f>
        <v/>
      </c>
      <c r="S43" t="str">
        <f>IFERROR(INDEX(CAT4_Current_Master!$G:$G,MATCH($B43,CAT4_Current_Master!$A:$A,0)),"")</f>
        <v/>
      </c>
      <c r="T43" t="str">
        <f t="shared" si="4"/>
        <v/>
      </c>
      <c r="U43" t="str">
        <f>IFERROR(INDEX(CAT4_Current_Master!$I:$I,MATCH($B43,CAT4_Current_Master!$A:$A,0)),"")</f>
        <v/>
      </c>
      <c r="V43" t="str">
        <f t="shared" si="5"/>
        <v/>
      </c>
      <c r="W43" t="str">
        <f t="shared" si="6"/>
        <v/>
      </c>
    </row>
    <row r="44" spans="1:23" x14ac:dyDescent="0.3">
      <c r="A44" t="s">
        <v>60</v>
      </c>
      <c r="B44" t="s">
        <v>151</v>
      </c>
      <c r="C44" t="s">
        <v>152</v>
      </c>
      <c r="D44" t="str">
        <f>IFERROR(INDEX(Baseline_Entry!$N:$N,MATCH($B44,Baseline_Entry!$B:$B,0)),"")</f>
        <v/>
      </c>
      <c r="E44" t="str">
        <f>IFERROR(INDEX(CAT4_Current_Master!$H:$H,MATCH($B44,CAT4_Current_Master!$A:$A,0)),"")</f>
        <v/>
      </c>
      <c r="F44" t="str">
        <f t="shared" si="0"/>
        <v/>
      </c>
      <c r="G44" t="str">
        <f>IFERROR(INDEX(Baseline_Entry!$Q:$Q,MATCH($B44,Baseline_Entry!$B:$B,0)),"")</f>
        <v/>
      </c>
      <c r="H44" t="str">
        <f>IFERROR(INDEX(CAT4_Current_Master!$C:$C,MATCH($B44,CAT4_Current_Master!$A:$A,0)),"")</f>
        <v/>
      </c>
      <c r="I44" t="str">
        <f>IFERROR(INDEX(Baseline_Entry!$R:$R,MATCH($B44,Baseline_Entry!$B:$B,0)),"")</f>
        <v/>
      </c>
      <c r="J44" t="str">
        <f>IFERROR(INDEX(CAT4_Current_Master!$D:$D,MATCH($B44,CAT4_Current_Master!$A:$A,0)),"")</f>
        <v/>
      </c>
      <c r="K44" t="str">
        <f t="shared" si="1"/>
        <v/>
      </c>
      <c r="L44" t="str">
        <f>IFERROR(INDEX(Baseline_Entry!$S:$S,MATCH($B44,Baseline_Entry!$B:$B,0)),"")</f>
        <v/>
      </c>
      <c r="M44" t="str">
        <f>IFERROR(INDEX(CAT4_Current_Master!$E:$E,MATCH($B44,CAT4_Current_Master!$A:$A,0)),"")</f>
        <v/>
      </c>
      <c r="N44" t="str">
        <f t="shared" si="2"/>
        <v/>
      </c>
      <c r="O44" t="str">
        <f>IFERROR(INDEX(Baseline_Entry!$T:$T,MATCH($B44,Baseline_Entry!$B:$B,0)),"")</f>
        <v/>
      </c>
      <c r="P44" t="str">
        <f>IFERROR(INDEX(CAT4_Current_Master!$F:$F,MATCH($B44,CAT4_Current_Master!$A:$A,0)),"")</f>
        <v/>
      </c>
      <c r="Q44" t="str">
        <f t="shared" si="3"/>
        <v/>
      </c>
      <c r="R44" t="str">
        <f>IFERROR(INDEX(Baseline_Entry!$U:$U,MATCH($B44,Baseline_Entry!$B:$B,0)),"")</f>
        <v/>
      </c>
      <c r="S44" t="str">
        <f>IFERROR(INDEX(CAT4_Current_Master!$G:$G,MATCH($B44,CAT4_Current_Master!$A:$A,0)),"")</f>
        <v/>
      </c>
      <c r="T44" t="str">
        <f t="shared" si="4"/>
        <v/>
      </c>
      <c r="U44" t="str">
        <f>IFERROR(INDEX(CAT4_Current_Master!$I:$I,MATCH($B44,CAT4_Current_Master!$A:$A,0)),"")</f>
        <v/>
      </c>
      <c r="V44" t="str">
        <f t="shared" si="5"/>
        <v/>
      </c>
      <c r="W44" t="str">
        <f t="shared" si="6"/>
        <v/>
      </c>
    </row>
    <row r="45" spans="1:23" x14ac:dyDescent="0.3">
      <c r="A45" t="s">
        <v>60</v>
      </c>
      <c r="B45" t="s">
        <v>153</v>
      </c>
      <c r="C45" t="s">
        <v>154</v>
      </c>
      <c r="D45" t="str">
        <f>IFERROR(INDEX(Baseline_Entry!$N:$N,MATCH($B45,Baseline_Entry!$B:$B,0)),"")</f>
        <v/>
      </c>
      <c r="E45" t="str">
        <f>IFERROR(INDEX(CAT4_Current_Master!$H:$H,MATCH($B45,CAT4_Current_Master!$A:$A,0)),"")</f>
        <v/>
      </c>
      <c r="F45" t="str">
        <f t="shared" si="0"/>
        <v/>
      </c>
      <c r="G45" t="str">
        <f>IFERROR(INDEX(Baseline_Entry!$Q:$Q,MATCH($B45,Baseline_Entry!$B:$B,0)),"")</f>
        <v/>
      </c>
      <c r="H45" t="str">
        <f>IFERROR(INDEX(CAT4_Current_Master!$C:$C,MATCH($B45,CAT4_Current_Master!$A:$A,0)),"")</f>
        <v/>
      </c>
      <c r="I45" t="str">
        <f>IFERROR(INDEX(Baseline_Entry!$R:$R,MATCH($B45,Baseline_Entry!$B:$B,0)),"")</f>
        <v/>
      </c>
      <c r="J45" t="str">
        <f>IFERROR(INDEX(CAT4_Current_Master!$D:$D,MATCH($B45,CAT4_Current_Master!$A:$A,0)),"")</f>
        <v/>
      </c>
      <c r="K45" t="str">
        <f t="shared" si="1"/>
        <v/>
      </c>
      <c r="L45" t="str">
        <f>IFERROR(INDEX(Baseline_Entry!$S:$S,MATCH($B45,Baseline_Entry!$B:$B,0)),"")</f>
        <v/>
      </c>
      <c r="M45" t="str">
        <f>IFERROR(INDEX(CAT4_Current_Master!$E:$E,MATCH($B45,CAT4_Current_Master!$A:$A,0)),"")</f>
        <v/>
      </c>
      <c r="N45" t="str">
        <f t="shared" si="2"/>
        <v/>
      </c>
      <c r="O45" t="str">
        <f>IFERROR(INDEX(Baseline_Entry!$T:$T,MATCH($B45,Baseline_Entry!$B:$B,0)),"")</f>
        <v/>
      </c>
      <c r="P45" t="str">
        <f>IFERROR(INDEX(CAT4_Current_Master!$F:$F,MATCH($B45,CAT4_Current_Master!$A:$A,0)),"")</f>
        <v/>
      </c>
      <c r="Q45" t="str">
        <f t="shared" si="3"/>
        <v/>
      </c>
      <c r="R45" t="str">
        <f>IFERROR(INDEX(Baseline_Entry!$U:$U,MATCH($B45,Baseline_Entry!$B:$B,0)),"")</f>
        <v/>
      </c>
      <c r="S45" t="str">
        <f>IFERROR(INDEX(CAT4_Current_Master!$G:$G,MATCH($B45,CAT4_Current_Master!$A:$A,0)),"")</f>
        <v/>
      </c>
      <c r="T45" t="str">
        <f t="shared" si="4"/>
        <v/>
      </c>
      <c r="U45" t="str">
        <f>IFERROR(INDEX(CAT4_Current_Master!$I:$I,MATCH($B45,CAT4_Current_Master!$A:$A,0)),"")</f>
        <v/>
      </c>
      <c r="V45" t="str">
        <f t="shared" si="5"/>
        <v/>
      </c>
      <c r="W45" t="str">
        <f t="shared" si="6"/>
        <v/>
      </c>
    </row>
    <row r="46" spans="1:23" x14ac:dyDescent="0.3">
      <c r="A46" t="s">
        <v>60</v>
      </c>
      <c r="B46" t="s">
        <v>155</v>
      </c>
      <c r="C46" t="s">
        <v>156</v>
      </c>
      <c r="D46" t="str">
        <f>IFERROR(INDEX(Baseline_Entry!$N:$N,MATCH($B46,Baseline_Entry!$B:$B,0)),"")</f>
        <v/>
      </c>
      <c r="E46" t="str">
        <f>IFERROR(INDEX(CAT4_Current_Master!$H:$H,MATCH($B46,CAT4_Current_Master!$A:$A,0)),"")</f>
        <v/>
      </c>
      <c r="F46" t="str">
        <f t="shared" si="0"/>
        <v/>
      </c>
      <c r="G46" t="str">
        <f>IFERROR(INDEX(Baseline_Entry!$Q:$Q,MATCH($B46,Baseline_Entry!$B:$B,0)),"")</f>
        <v/>
      </c>
      <c r="H46" t="str">
        <f>IFERROR(INDEX(CAT4_Current_Master!$C:$C,MATCH($B46,CAT4_Current_Master!$A:$A,0)),"")</f>
        <v/>
      </c>
      <c r="I46" t="str">
        <f>IFERROR(INDEX(Baseline_Entry!$R:$R,MATCH($B46,Baseline_Entry!$B:$B,0)),"")</f>
        <v/>
      </c>
      <c r="J46" t="str">
        <f>IFERROR(INDEX(CAT4_Current_Master!$D:$D,MATCH($B46,CAT4_Current_Master!$A:$A,0)),"")</f>
        <v/>
      </c>
      <c r="K46" t="str">
        <f t="shared" si="1"/>
        <v/>
      </c>
      <c r="L46" t="str">
        <f>IFERROR(INDEX(Baseline_Entry!$S:$S,MATCH($B46,Baseline_Entry!$B:$B,0)),"")</f>
        <v/>
      </c>
      <c r="M46" t="str">
        <f>IFERROR(INDEX(CAT4_Current_Master!$E:$E,MATCH($B46,CAT4_Current_Master!$A:$A,0)),"")</f>
        <v/>
      </c>
      <c r="N46" t="str">
        <f t="shared" si="2"/>
        <v/>
      </c>
      <c r="O46" t="str">
        <f>IFERROR(INDEX(Baseline_Entry!$T:$T,MATCH($B46,Baseline_Entry!$B:$B,0)),"")</f>
        <v/>
      </c>
      <c r="P46" t="str">
        <f>IFERROR(INDEX(CAT4_Current_Master!$F:$F,MATCH($B46,CAT4_Current_Master!$A:$A,0)),"")</f>
        <v/>
      </c>
      <c r="Q46" t="str">
        <f t="shared" si="3"/>
        <v/>
      </c>
      <c r="R46" t="str">
        <f>IFERROR(INDEX(Baseline_Entry!$U:$U,MATCH($B46,Baseline_Entry!$B:$B,0)),"")</f>
        <v/>
      </c>
      <c r="S46" t="str">
        <f>IFERROR(INDEX(CAT4_Current_Master!$G:$G,MATCH($B46,CAT4_Current_Master!$A:$A,0)),"")</f>
        <v/>
      </c>
      <c r="T46" t="str">
        <f t="shared" si="4"/>
        <v/>
      </c>
      <c r="U46" t="str">
        <f>IFERROR(INDEX(CAT4_Current_Master!$I:$I,MATCH($B46,CAT4_Current_Master!$A:$A,0)),"")</f>
        <v/>
      </c>
      <c r="V46" t="str">
        <f t="shared" si="5"/>
        <v/>
      </c>
      <c r="W46" t="str">
        <f t="shared" si="6"/>
        <v/>
      </c>
    </row>
    <row r="47" spans="1:23" x14ac:dyDescent="0.3">
      <c r="A47" t="s">
        <v>60</v>
      </c>
      <c r="B47" t="s">
        <v>157</v>
      </c>
      <c r="C47" t="s">
        <v>158</v>
      </c>
      <c r="D47" t="str">
        <f>IFERROR(INDEX(Baseline_Entry!$N:$N,MATCH($B47,Baseline_Entry!$B:$B,0)),"")</f>
        <v/>
      </c>
      <c r="E47" t="str">
        <f>IFERROR(INDEX(CAT4_Current_Master!$H:$H,MATCH($B47,CAT4_Current_Master!$A:$A,0)),"")</f>
        <v/>
      </c>
      <c r="F47" t="str">
        <f t="shared" si="0"/>
        <v/>
      </c>
      <c r="G47" t="str">
        <f>IFERROR(INDEX(Baseline_Entry!$Q:$Q,MATCH($B47,Baseline_Entry!$B:$B,0)),"")</f>
        <v/>
      </c>
      <c r="H47" t="str">
        <f>IFERROR(INDEX(CAT4_Current_Master!$C:$C,MATCH($B47,CAT4_Current_Master!$A:$A,0)),"")</f>
        <v/>
      </c>
      <c r="I47" t="str">
        <f>IFERROR(INDEX(Baseline_Entry!$R:$R,MATCH($B47,Baseline_Entry!$B:$B,0)),"")</f>
        <v/>
      </c>
      <c r="J47" t="str">
        <f>IFERROR(INDEX(CAT4_Current_Master!$D:$D,MATCH($B47,CAT4_Current_Master!$A:$A,0)),"")</f>
        <v/>
      </c>
      <c r="K47" t="str">
        <f t="shared" si="1"/>
        <v/>
      </c>
      <c r="L47" t="str">
        <f>IFERROR(INDEX(Baseline_Entry!$S:$S,MATCH($B47,Baseline_Entry!$B:$B,0)),"")</f>
        <v/>
      </c>
      <c r="M47" t="str">
        <f>IFERROR(INDEX(CAT4_Current_Master!$E:$E,MATCH($B47,CAT4_Current_Master!$A:$A,0)),"")</f>
        <v/>
      </c>
      <c r="N47" t="str">
        <f t="shared" si="2"/>
        <v/>
      </c>
      <c r="O47" t="str">
        <f>IFERROR(INDEX(Baseline_Entry!$T:$T,MATCH($B47,Baseline_Entry!$B:$B,0)),"")</f>
        <v/>
      </c>
      <c r="P47" t="str">
        <f>IFERROR(INDEX(CAT4_Current_Master!$F:$F,MATCH($B47,CAT4_Current_Master!$A:$A,0)),"")</f>
        <v/>
      </c>
      <c r="Q47" t="str">
        <f t="shared" si="3"/>
        <v/>
      </c>
      <c r="R47" t="str">
        <f>IFERROR(INDEX(Baseline_Entry!$U:$U,MATCH($B47,Baseline_Entry!$B:$B,0)),"")</f>
        <v/>
      </c>
      <c r="S47" t="str">
        <f>IFERROR(INDEX(CAT4_Current_Master!$G:$G,MATCH($B47,CAT4_Current_Master!$A:$A,0)),"")</f>
        <v/>
      </c>
      <c r="T47" t="str">
        <f t="shared" si="4"/>
        <v/>
      </c>
      <c r="U47" t="str">
        <f>IFERROR(INDEX(CAT4_Current_Master!$I:$I,MATCH($B47,CAT4_Current_Master!$A:$A,0)),"")</f>
        <v/>
      </c>
      <c r="V47" t="str">
        <f t="shared" si="5"/>
        <v/>
      </c>
      <c r="W47" t="str">
        <f t="shared" si="6"/>
        <v/>
      </c>
    </row>
    <row r="48" spans="1:23" x14ac:dyDescent="0.3">
      <c r="A48" t="s">
        <v>60</v>
      </c>
      <c r="B48" t="s">
        <v>159</v>
      </c>
      <c r="C48" t="s">
        <v>160</v>
      </c>
      <c r="D48" t="str">
        <f>IFERROR(INDEX(Baseline_Entry!$N:$N,MATCH($B48,Baseline_Entry!$B:$B,0)),"")</f>
        <v/>
      </c>
      <c r="E48" t="str">
        <f>IFERROR(INDEX(CAT4_Current_Master!$H:$H,MATCH($B48,CAT4_Current_Master!$A:$A,0)),"")</f>
        <v/>
      </c>
      <c r="F48" t="str">
        <f t="shared" si="0"/>
        <v/>
      </c>
      <c r="G48" t="str">
        <f>IFERROR(INDEX(Baseline_Entry!$Q:$Q,MATCH($B48,Baseline_Entry!$B:$B,0)),"")</f>
        <v/>
      </c>
      <c r="H48" t="str">
        <f>IFERROR(INDEX(CAT4_Current_Master!$C:$C,MATCH($B48,CAT4_Current_Master!$A:$A,0)),"")</f>
        <v/>
      </c>
      <c r="I48" t="str">
        <f>IFERROR(INDEX(Baseline_Entry!$R:$R,MATCH($B48,Baseline_Entry!$B:$B,0)),"")</f>
        <v/>
      </c>
      <c r="J48" t="str">
        <f>IFERROR(INDEX(CAT4_Current_Master!$D:$D,MATCH($B48,CAT4_Current_Master!$A:$A,0)),"")</f>
        <v/>
      </c>
      <c r="K48" t="str">
        <f t="shared" si="1"/>
        <v/>
      </c>
      <c r="L48" t="str">
        <f>IFERROR(INDEX(Baseline_Entry!$S:$S,MATCH($B48,Baseline_Entry!$B:$B,0)),"")</f>
        <v/>
      </c>
      <c r="M48" t="str">
        <f>IFERROR(INDEX(CAT4_Current_Master!$E:$E,MATCH($B48,CAT4_Current_Master!$A:$A,0)),"")</f>
        <v/>
      </c>
      <c r="N48" t="str">
        <f t="shared" si="2"/>
        <v/>
      </c>
      <c r="O48" t="str">
        <f>IFERROR(INDEX(Baseline_Entry!$T:$T,MATCH($B48,Baseline_Entry!$B:$B,0)),"")</f>
        <v/>
      </c>
      <c r="P48" t="str">
        <f>IFERROR(INDEX(CAT4_Current_Master!$F:$F,MATCH($B48,CAT4_Current_Master!$A:$A,0)),"")</f>
        <v/>
      </c>
      <c r="Q48" t="str">
        <f t="shared" si="3"/>
        <v/>
      </c>
      <c r="R48" t="str">
        <f>IFERROR(INDEX(Baseline_Entry!$U:$U,MATCH($B48,Baseline_Entry!$B:$B,0)),"")</f>
        <v/>
      </c>
      <c r="S48" t="str">
        <f>IFERROR(INDEX(CAT4_Current_Master!$G:$G,MATCH($B48,CAT4_Current_Master!$A:$A,0)),"")</f>
        <v/>
      </c>
      <c r="T48" t="str">
        <f t="shared" si="4"/>
        <v/>
      </c>
      <c r="U48" t="str">
        <f>IFERROR(INDEX(CAT4_Current_Master!$I:$I,MATCH($B48,CAT4_Current_Master!$A:$A,0)),"")</f>
        <v/>
      </c>
      <c r="V48" t="str">
        <f t="shared" si="5"/>
        <v/>
      </c>
      <c r="W48" t="str">
        <f t="shared" si="6"/>
        <v/>
      </c>
    </row>
    <row r="49" spans="1:23" x14ac:dyDescent="0.3">
      <c r="A49" t="s">
        <v>60</v>
      </c>
      <c r="B49" t="s">
        <v>161</v>
      </c>
      <c r="C49" t="s">
        <v>162</v>
      </c>
      <c r="D49" t="str">
        <f>IFERROR(INDEX(Baseline_Entry!$N:$N,MATCH($B49,Baseline_Entry!$B:$B,0)),"")</f>
        <v/>
      </c>
      <c r="E49" t="str">
        <f>IFERROR(INDEX(CAT4_Current_Master!$H:$H,MATCH($B49,CAT4_Current_Master!$A:$A,0)),"")</f>
        <v/>
      </c>
      <c r="F49" t="str">
        <f t="shared" si="0"/>
        <v/>
      </c>
      <c r="G49" t="str">
        <f>IFERROR(INDEX(Baseline_Entry!$Q:$Q,MATCH($B49,Baseline_Entry!$B:$B,0)),"")</f>
        <v/>
      </c>
      <c r="H49" t="str">
        <f>IFERROR(INDEX(CAT4_Current_Master!$C:$C,MATCH($B49,CAT4_Current_Master!$A:$A,0)),"")</f>
        <v/>
      </c>
      <c r="I49" t="str">
        <f>IFERROR(INDEX(Baseline_Entry!$R:$R,MATCH($B49,Baseline_Entry!$B:$B,0)),"")</f>
        <v/>
      </c>
      <c r="J49" t="str">
        <f>IFERROR(INDEX(CAT4_Current_Master!$D:$D,MATCH($B49,CAT4_Current_Master!$A:$A,0)),"")</f>
        <v/>
      </c>
      <c r="K49" t="str">
        <f t="shared" si="1"/>
        <v/>
      </c>
      <c r="L49" t="str">
        <f>IFERROR(INDEX(Baseline_Entry!$S:$S,MATCH($B49,Baseline_Entry!$B:$B,0)),"")</f>
        <v/>
      </c>
      <c r="M49" t="str">
        <f>IFERROR(INDEX(CAT4_Current_Master!$E:$E,MATCH($B49,CAT4_Current_Master!$A:$A,0)),"")</f>
        <v/>
      </c>
      <c r="N49" t="str">
        <f t="shared" si="2"/>
        <v/>
      </c>
      <c r="O49" t="str">
        <f>IFERROR(INDEX(Baseline_Entry!$T:$T,MATCH($B49,Baseline_Entry!$B:$B,0)),"")</f>
        <v/>
      </c>
      <c r="P49" t="str">
        <f>IFERROR(INDEX(CAT4_Current_Master!$F:$F,MATCH($B49,CAT4_Current_Master!$A:$A,0)),"")</f>
        <v/>
      </c>
      <c r="Q49" t="str">
        <f t="shared" si="3"/>
        <v/>
      </c>
      <c r="R49" t="str">
        <f>IFERROR(INDEX(Baseline_Entry!$U:$U,MATCH($B49,Baseline_Entry!$B:$B,0)),"")</f>
        <v/>
      </c>
      <c r="S49" t="str">
        <f>IFERROR(INDEX(CAT4_Current_Master!$G:$G,MATCH($B49,CAT4_Current_Master!$A:$A,0)),"")</f>
        <v/>
      </c>
      <c r="T49" t="str">
        <f t="shared" si="4"/>
        <v/>
      </c>
      <c r="U49" t="str">
        <f>IFERROR(INDEX(CAT4_Current_Master!$I:$I,MATCH($B49,CAT4_Current_Master!$A:$A,0)),"")</f>
        <v/>
      </c>
      <c r="V49" t="str">
        <f t="shared" si="5"/>
        <v/>
      </c>
      <c r="W49" t="str">
        <f t="shared" si="6"/>
        <v/>
      </c>
    </row>
    <row r="50" spans="1:23" x14ac:dyDescent="0.3">
      <c r="A50" t="s">
        <v>60</v>
      </c>
      <c r="B50" t="s">
        <v>163</v>
      </c>
      <c r="C50" t="s">
        <v>164</v>
      </c>
      <c r="D50" t="str">
        <f>IFERROR(INDEX(Baseline_Entry!$N:$N,MATCH($B50,Baseline_Entry!$B:$B,0)),"")</f>
        <v/>
      </c>
      <c r="E50" t="str">
        <f>IFERROR(INDEX(CAT4_Current_Master!$H:$H,MATCH($B50,CAT4_Current_Master!$A:$A,0)),"")</f>
        <v/>
      </c>
      <c r="F50" t="str">
        <f t="shared" si="0"/>
        <v/>
      </c>
      <c r="G50" t="str">
        <f>IFERROR(INDEX(Baseline_Entry!$Q:$Q,MATCH($B50,Baseline_Entry!$B:$B,0)),"")</f>
        <v/>
      </c>
      <c r="H50" t="str">
        <f>IFERROR(INDEX(CAT4_Current_Master!$C:$C,MATCH($B50,CAT4_Current_Master!$A:$A,0)),"")</f>
        <v/>
      </c>
      <c r="I50" t="str">
        <f>IFERROR(INDEX(Baseline_Entry!$R:$R,MATCH($B50,Baseline_Entry!$B:$B,0)),"")</f>
        <v/>
      </c>
      <c r="J50" t="str">
        <f>IFERROR(INDEX(CAT4_Current_Master!$D:$D,MATCH($B50,CAT4_Current_Master!$A:$A,0)),"")</f>
        <v/>
      </c>
      <c r="K50" t="str">
        <f t="shared" si="1"/>
        <v/>
      </c>
      <c r="L50" t="str">
        <f>IFERROR(INDEX(Baseline_Entry!$S:$S,MATCH($B50,Baseline_Entry!$B:$B,0)),"")</f>
        <v/>
      </c>
      <c r="M50" t="str">
        <f>IFERROR(INDEX(CAT4_Current_Master!$E:$E,MATCH($B50,CAT4_Current_Master!$A:$A,0)),"")</f>
        <v/>
      </c>
      <c r="N50" t="str">
        <f t="shared" si="2"/>
        <v/>
      </c>
      <c r="O50" t="str">
        <f>IFERROR(INDEX(Baseline_Entry!$T:$T,MATCH($B50,Baseline_Entry!$B:$B,0)),"")</f>
        <v/>
      </c>
      <c r="P50" t="str">
        <f>IFERROR(INDEX(CAT4_Current_Master!$F:$F,MATCH($B50,CAT4_Current_Master!$A:$A,0)),"")</f>
        <v/>
      </c>
      <c r="Q50" t="str">
        <f t="shared" si="3"/>
        <v/>
      </c>
      <c r="R50" t="str">
        <f>IFERROR(INDEX(Baseline_Entry!$U:$U,MATCH($B50,Baseline_Entry!$B:$B,0)),"")</f>
        <v/>
      </c>
      <c r="S50" t="str">
        <f>IFERROR(INDEX(CAT4_Current_Master!$G:$G,MATCH($B50,CAT4_Current_Master!$A:$A,0)),"")</f>
        <v/>
      </c>
      <c r="T50" t="str">
        <f t="shared" si="4"/>
        <v/>
      </c>
      <c r="U50" t="str">
        <f>IFERROR(INDEX(CAT4_Current_Master!$I:$I,MATCH($B50,CAT4_Current_Master!$A:$A,0)),"")</f>
        <v/>
      </c>
      <c r="V50" t="str">
        <f t="shared" si="5"/>
        <v/>
      </c>
      <c r="W50" t="str">
        <f t="shared" si="6"/>
        <v/>
      </c>
    </row>
    <row r="51" spans="1:23" x14ac:dyDescent="0.3">
      <c r="A51" t="s">
        <v>60</v>
      </c>
      <c r="B51" t="s">
        <v>165</v>
      </c>
      <c r="C51" t="s">
        <v>166</v>
      </c>
      <c r="D51" t="str">
        <f>IFERROR(INDEX(Baseline_Entry!$N:$N,MATCH($B51,Baseline_Entry!$B:$B,0)),"")</f>
        <v/>
      </c>
      <c r="E51" t="str">
        <f>IFERROR(INDEX(CAT4_Current_Master!$H:$H,MATCH($B51,CAT4_Current_Master!$A:$A,0)),"")</f>
        <v/>
      </c>
      <c r="F51" t="str">
        <f t="shared" si="0"/>
        <v/>
      </c>
      <c r="G51" t="str">
        <f>IFERROR(INDEX(Baseline_Entry!$Q:$Q,MATCH($B51,Baseline_Entry!$B:$B,0)),"")</f>
        <v/>
      </c>
      <c r="H51" t="str">
        <f>IFERROR(INDEX(CAT4_Current_Master!$C:$C,MATCH($B51,CAT4_Current_Master!$A:$A,0)),"")</f>
        <v/>
      </c>
      <c r="I51" t="str">
        <f>IFERROR(INDEX(Baseline_Entry!$R:$R,MATCH($B51,Baseline_Entry!$B:$B,0)),"")</f>
        <v/>
      </c>
      <c r="J51" t="str">
        <f>IFERROR(INDEX(CAT4_Current_Master!$D:$D,MATCH($B51,CAT4_Current_Master!$A:$A,0)),"")</f>
        <v/>
      </c>
      <c r="K51" t="str">
        <f t="shared" si="1"/>
        <v/>
      </c>
      <c r="L51" t="str">
        <f>IFERROR(INDEX(Baseline_Entry!$S:$S,MATCH($B51,Baseline_Entry!$B:$B,0)),"")</f>
        <v/>
      </c>
      <c r="M51" t="str">
        <f>IFERROR(INDEX(CAT4_Current_Master!$E:$E,MATCH($B51,CAT4_Current_Master!$A:$A,0)),"")</f>
        <v/>
      </c>
      <c r="N51" t="str">
        <f t="shared" si="2"/>
        <v/>
      </c>
      <c r="O51" t="str">
        <f>IFERROR(INDEX(Baseline_Entry!$T:$T,MATCH($B51,Baseline_Entry!$B:$B,0)),"")</f>
        <v/>
      </c>
      <c r="P51" t="str">
        <f>IFERROR(INDEX(CAT4_Current_Master!$F:$F,MATCH($B51,CAT4_Current_Master!$A:$A,0)),"")</f>
        <v/>
      </c>
      <c r="Q51" t="str">
        <f t="shared" si="3"/>
        <v/>
      </c>
      <c r="R51" t="str">
        <f>IFERROR(INDEX(Baseline_Entry!$U:$U,MATCH($B51,Baseline_Entry!$B:$B,0)),"")</f>
        <v/>
      </c>
      <c r="S51" t="str">
        <f>IFERROR(INDEX(CAT4_Current_Master!$G:$G,MATCH($B51,CAT4_Current_Master!$A:$A,0)),"")</f>
        <v/>
      </c>
      <c r="T51" t="str">
        <f t="shared" si="4"/>
        <v/>
      </c>
      <c r="U51" t="str">
        <f>IFERROR(INDEX(CAT4_Current_Master!$I:$I,MATCH($B51,CAT4_Current_Master!$A:$A,0)),"")</f>
        <v/>
      </c>
      <c r="V51" t="str">
        <f t="shared" si="5"/>
        <v/>
      </c>
      <c r="W51" t="str">
        <f t="shared" si="6"/>
        <v/>
      </c>
    </row>
    <row r="52" spans="1:23" x14ac:dyDescent="0.3">
      <c r="A52" t="s">
        <v>60</v>
      </c>
      <c r="B52" t="s">
        <v>167</v>
      </c>
      <c r="C52" t="s">
        <v>168</v>
      </c>
      <c r="D52" t="str">
        <f>IFERROR(INDEX(Baseline_Entry!$N:$N,MATCH($B52,Baseline_Entry!$B:$B,0)),"")</f>
        <v/>
      </c>
      <c r="E52" t="str">
        <f>IFERROR(INDEX(CAT4_Current_Master!$H:$H,MATCH($B52,CAT4_Current_Master!$A:$A,0)),"")</f>
        <v/>
      </c>
      <c r="F52" t="str">
        <f t="shared" si="0"/>
        <v/>
      </c>
      <c r="G52" t="str">
        <f>IFERROR(INDEX(Baseline_Entry!$Q:$Q,MATCH($B52,Baseline_Entry!$B:$B,0)),"")</f>
        <v/>
      </c>
      <c r="H52" t="str">
        <f>IFERROR(INDEX(CAT4_Current_Master!$C:$C,MATCH($B52,CAT4_Current_Master!$A:$A,0)),"")</f>
        <v/>
      </c>
      <c r="I52" t="str">
        <f>IFERROR(INDEX(Baseline_Entry!$R:$R,MATCH($B52,Baseline_Entry!$B:$B,0)),"")</f>
        <v/>
      </c>
      <c r="J52" t="str">
        <f>IFERROR(INDEX(CAT4_Current_Master!$D:$D,MATCH($B52,CAT4_Current_Master!$A:$A,0)),"")</f>
        <v/>
      </c>
      <c r="K52" t="str">
        <f t="shared" si="1"/>
        <v/>
      </c>
      <c r="L52" t="str">
        <f>IFERROR(INDEX(Baseline_Entry!$S:$S,MATCH($B52,Baseline_Entry!$B:$B,0)),"")</f>
        <v/>
      </c>
      <c r="M52" t="str">
        <f>IFERROR(INDEX(CAT4_Current_Master!$E:$E,MATCH($B52,CAT4_Current_Master!$A:$A,0)),"")</f>
        <v/>
      </c>
      <c r="N52" t="str">
        <f t="shared" si="2"/>
        <v/>
      </c>
      <c r="O52" t="str">
        <f>IFERROR(INDEX(Baseline_Entry!$T:$T,MATCH($B52,Baseline_Entry!$B:$B,0)),"")</f>
        <v/>
      </c>
      <c r="P52" t="str">
        <f>IFERROR(INDEX(CAT4_Current_Master!$F:$F,MATCH($B52,CAT4_Current_Master!$A:$A,0)),"")</f>
        <v/>
      </c>
      <c r="Q52" t="str">
        <f t="shared" si="3"/>
        <v/>
      </c>
      <c r="R52" t="str">
        <f>IFERROR(INDEX(Baseline_Entry!$U:$U,MATCH($B52,Baseline_Entry!$B:$B,0)),"")</f>
        <v/>
      </c>
      <c r="S52" t="str">
        <f>IFERROR(INDEX(CAT4_Current_Master!$G:$G,MATCH($B52,CAT4_Current_Master!$A:$A,0)),"")</f>
        <v/>
      </c>
      <c r="T52" t="str">
        <f t="shared" si="4"/>
        <v/>
      </c>
      <c r="U52" t="str">
        <f>IFERROR(INDEX(CAT4_Current_Master!$I:$I,MATCH($B52,CAT4_Current_Master!$A:$A,0)),"")</f>
        <v/>
      </c>
      <c r="V52" t="str">
        <f t="shared" si="5"/>
        <v/>
      </c>
      <c r="W52" t="str">
        <f t="shared" si="6"/>
        <v/>
      </c>
    </row>
    <row r="53" spans="1:23" x14ac:dyDescent="0.3">
      <c r="A53" t="s">
        <v>60</v>
      </c>
      <c r="B53" t="s">
        <v>169</v>
      </c>
      <c r="C53" t="s">
        <v>170</v>
      </c>
      <c r="D53" t="str">
        <f>IFERROR(INDEX(Baseline_Entry!$N:$N,MATCH($B53,Baseline_Entry!$B:$B,0)),"")</f>
        <v/>
      </c>
      <c r="E53" t="str">
        <f>IFERROR(INDEX(CAT4_Current_Master!$H:$H,MATCH($B53,CAT4_Current_Master!$A:$A,0)),"")</f>
        <v/>
      </c>
      <c r="F53" t="str">
        <f t="shared" si="0"/>
        <v/>
      </c>
      <c r="G53" t="str">
        <f>IFERROR(INDEX(Baseline_Entry!$Q:$Q,MATCH($B53,Baseline_Entry!$B:$B,0)),"")</f>
        <v/>
      </c>
      <c r="H53" t="str">
        <f>IFERROR(INDEX(CAT4_Current_Master!$C:$C,MATCH($B53,CAT4_Current_Master!$A:$A,0)),"")</f>
        <v/>
      </c>
      <c r="I53" t="str">
        <f>IFERROR(INDEX(Baseline_Entry!$R:$R,MATCH($B53,Baseline_Entry!$B:$B,0)),"")</f>
        <v/>
      </c>
      <c r="J53" t="str">
        <f>IFERROR(INDEX(CAT4_Current_Master!$D:$D,MATCH($B53,CAT4_Current_Master!$A:$A,0)),"")</f>
        <v/>
      </c>
      <c r="K53" t="str">
        <f t="shared" si="1"/>
        <v/>
      </c>
      <c r="L53" t="str">
        <f>IFERROR(INDEX(Baseline_Entry!$S:$S,MATCH($B53,Baseline_Entry!$B:$B,0)),"")</f>
        <v/>
      </c>
      <c r="M53" t="str">
        <f>IFERROR(INDEX(CAT4_Current_Master!$E:$E,MATCH($B53,CAT4_Current_Master!$A:$A,0)),"")</f>
        <v/>
      </c>
      <c r="N53" t="str">
        <f t="shared" si="2"/>
        <v/>
      </c>
      <c r="O53" t="str">
        <f>IFERROR(INDEX(Baseline_Entry!$T:$T,MATCH($B53,Baseline_Entry!$B:$B,0)),"")</f>
        <v/>
      </c>
      <c r="P53" t="str">
        <f>IFERROR(INDEX(CAT4_Current_Master!$F:$F,MATCH($B53,CAT4_Current_Master!$A:$A,0)),"")</f>
        <v/>
      </c>
      <c r="Q53" t="str">
        <f t="shared" si="3"/>
        <v/>
      </c>
      <c r="R53" t="str">
        <f>IFERROR(INDEX(Baseline_Entry!$U:$U,MATCH($B53,Baseline_Entry!$B:$B,0)),"")</f>
        <v/>
      </c>
      <c r="S53" t="str">
        <f>IFERROR(INDEX(CAT4_Current_Master!$G:$G,MATCH($B53,CAT4_Current_Master!$A:$A,0)),"")</f>
        <v/>
      </c>
      <c r="T53" t="str">
        <f t="shared" si="4"/>
        <v/>
      </c>
      <c r="U53" t="str">
        <f>IFERROR(INDEX(CAT4_Current_Master!$I:$I,MATCH($B53,CAT4_Current_Master!$A:$A,0)),"")</f>
        <v/>
      </c>
      <c r="V53" t="str">
        <f t="shared" si="5"/>
        <v/>
      </c>
      <c r="W53" t="str">
        <f t="shared" si="6"/>
        <v/>
      </c>
    </row>
    <row r="54" spans="1:23" x14ac:dyDescent="0.3">
      <c r="A54" t="s">
        <v>60</v>
      </c>
      <c r="B54" t="s">
        <v>171</v>
      </c>
      <c r="C54" t="s">
        <v>172</v>
      </c>
      <c r="D54" t="str">
        <f>IFERROR(INDEX(Baseline_Entry!$N:$N,MATCH($B54,Baseline_Entry!$B:$B,0)),"")</f>
        <v/>
      </c>
      <c r="E54" t="str">
        <f>IFERROR(INDEX(CAT4_Current_Master!$H:$H,MATCH($B54,CAT4_Current_Master!$A:$A,0)),"")</f>
        <v/>
      </c>
      <c r="F54" t="str">
        <f t="shared" si="0"/>
        <v/>
      </c>
      <c r="G54" t="str">
        <f>IFERROR(INDEX(Baseline_Entry!$Q:$Q,MATCH($B54,Baseline_Entry!$B:$B,0)),"")</f>
        <v/>
      </c>
      <c r="H54" t="str">
        <f>IFERROR(INDEX(CAT4_Current_Master!$C:$C,MATCH($B54,CAT4_Current_Master!$A:$A,0)),"")</f>
        <v/>
      </c>
      <c r="I54" t="str">
        <f>IFERROR(INDEX(Baseline_Entry!$R:$R,MATCH($B54,Baseline_Entry!$B:$B,0)),"")</f>
        <v/>
      </c>
      <c r="J54" t="str">
        <f>IFERROR(INDEX(CAT4_Current_Master!$D:$D,MATCH($B54,CAT4_Current_Master!$A:$A,0)),"")</f>
        <v/>
      </c>
      <c r="K54" t="str">
        <f t="shared" si="1"/>
        <v/>
      </c>
      <c r="L54" t="str">
        <f>IFERROR(INDEX(Baseline_Entry!$S:$S,MATCH($B54,Baseline_Entry!$B:$B,0)),"")</f>
        <v/>
      </c>
      <c r="M54" t="str">
        <f>IFERROR(INDEX(CAT4_Current_Master!$E:$E,MATCH($B54,CAT4_Current_Master!$A:$A,0)),"")</f>
        <v/>
      </c>
      <c r="N54" t="str">
        <f t="shared" si="2"/>
        <v/>
      </c>
      <c r="O54" t="str">
        <f>IFERROR(INDEX(Baseline_Entry!$T:$T,MATCH($B54,Baseline_Entry!$B:$B,0)),"")</f>
        <v/>
      </c>
      <c r="P54" t="str">
        <f>IFERROR(INDEX(CAT4_Current_Master!$F:$F,MATCH($B54,CAT4_Current_Master!$A:$A,0)),"")</f>
        <v/>
      </c>
      <c r="Q54" t="str">
        <f t="shared" si="3"/>
        <v/>
      </c>
      <c r="R54" t="str">
        <f>IFERROR(INDEX(Baseline_Entry!$U:$U,MATCH($B54,Baseline_Entry!$B:$B,0)),"")</f>
        <v/>
      </c>
      <c r="S54" t="str">
        <f>IFERROR(INDEX(CAT4_Current_Master!$G:$G,MATCH($B54,CAT4_Current_Master!$A:$A,0)),"")</f>
        <v/>
      </c>
      <c r="T54" t="str">
        <f t="shared" si="4"/>
        <v/>
      </c>
      <c r="U54" t="str">
        <f>IFERROR(INDEX(CAT4_Current_Master!$I:$I,MATCH($B54,CAT4_Current_Master!$A:$A,0)),"")</f>
        <v/>
      </c>
      <c r="V54" t="str">
        <f t="shared" si="5"/>
        <v/>
      </c>
      <c r="W54" t="str">
        <f t="shared" si="6"/>
        <v/>
      </c>
    </row>
    <row r="55" spans="1:23" x14ac:dyDescent="0.3">
      <c r="A55" t="s">
        <v>60</v>
      </c>
      <c r="B55" t="s">
        <v>173</v>
      </c>
      <c r="C55" t="s">
        <v>174</v>
      </c>
      <c r="D55" t="str">
        <f>IFERROR(INDEX(Baseline_Entry!$N:$N,MATCH($B55,Baseline_Entry!$B:$B,0)),"")</f>
        <v/>
      </c>
      <c r="E55" t="str">
        <f>IFERROR(INDEX(CAT4_Current_Master!$H:$H,MATCH($B55,CAT4_Current_Master!$A:$A,0)),"")</f>
        <v/>
      </c>
      <c r="F55" t="str">
        <f t="shared" si="0"/>
        <v/>
      </c>
      <c r="G55" t="str">
        <f>IFERROR(INDEX(Baseline_Entry!$Q:$Q,MATCH($B55,Baseline_Entry!$B:$B,0)),"")</f>
        <v/>
      </c>
      <c r="H55" t="str">
        <f>IFERROR(INDEX(CAT4_Current_Master!$C:$C,MATCH($B55,CAT4_Current_Master!$A:$A,0)),"")</f>
        <v/>
      </c>
      <c r="I55" t="str">
        <f>IFERROR(INDEX(Baseline_Entry!$R:$R,MATCH($B55,Baseline_Entry!$B:$B,0)),"")</f>
        <v/>
      </c>
      <c r="J55" t="str">
        <f>IFERROR(INDEX(CAT4_Current_Master!$D:$D,MATCH($B55,CAT4_Current_Master!$A:$A,0)),"")</f>
        <v/>
      </c>
      <c r="K55" t="str">
        <f t="shared" si="1"/>
        <v/>
      </c>
      <c r="L55" t="str">
        <f>IFERROR(INDEX(Baseline_Entry!$S:$S,MATCH($B55,Baseline_Entry!$B:$B,0)),"")</f>
        <v/>
      </c>
      <c r="M55" t="str">
        <f>IFERROR(INDEX(CAT4_Current_Master!$E:$E,MATCH($B55,CAT4_Current_Master!$A:$A,0)),"")</f>
        <v/>
      </c>
      <c r="N55" t="str">
        <f t="shared" si="2"/>
        <v/>
      </c>
      <c r="O55" t="str">
        <f>IFERROR(INDEX(Baseline_Entry!$T:$T,MATCH($B55,Baseline_Entry!$B:$B,0)),"")</f>
        <v/>
      </c>
      <c r="P55" t="str">
        <f>IFERROR(INDEX(CAT4_Current_Master!$F:$F,MATCH($B55,CAT4_Current_Master!$A:$A,0)),"")</f>
        <v/>
      </c>
      <c r="Q55" t="str">
        <f t="shared" si="3"/>
        <v/>
      </c>
      <c r="R55" t="str">
        <f>IFERROR(INDEX(Baseline_Entry!$U:$U,MATCH($B55,Baseline_Entry!$B:$B,0)),"")</f>
        <v/>
      </c>
      <c r="S55" t="str">
        <f>IFERROR(INDEX(CAT4_Current_Master!$G:$G,MATCH($B55,CAT4_Current_Master!$A:$A,0)),"")</f>
        <v/>
      </c>
      <c r="T55" t="str">
        <f t="shared" si="4"/>
        <v/>
      </c>
      <c r="U55" t="str">
        <f>IFERROR(INDEX(CAT4_Current_Master!$I:$I,MATCH($B55,CAT4_Current_Master!$A:$A,0)),"")</f>
        <v/>
      </c>
      <c r="V55" t="str">
        <f t="shared" si="5"/>
        <v/>
      </c>
      <c r="W55" t="str">
        <f t="shared" si="6"/>
        <v/>
      </c>
    </row>
    <row r="56" spans="1:23" x14ac:dyDescent="0.3">
      <c r="A56" t="s">
        <v>60</v>
      </c>
      <c r="B56" t="s">
        <v>175</v>
      </c>
      <c r="C56" t="s">
        <v>176</v>
      </c>
      <c r="D56" t="str">
        <f>IFERROR(INDEX(Baseline_Entry!$N:$N,MATCH($B56,Baseline_Entry!$B:$B,0)),"")</f>
        <v/>
      </c>
      <c r="E56" t="str">
        <f>IFERROR(INDEX(CAT4_Current_Master!$H:$H,MATCH($B56,CAT4_Current_Master!$A:$A,0)),"")</f>
        <v/>
      </c>
      <c r="F56" t="str">
        <f t="shared" si="0"/>
        <v/>
      </c>
      <c r="G56" t="str">
        <f>IFERROR(INDEX(Baseline_Entry!$Q:$Q,MATCH($B56,Baseline_Entry!$B:$B,0)),"")</f>
        <v/>
      </c>
      <c r="H56" t="str">
        <f>IFERROR(INDEX(CAT4_Current_Master!$C:$C,MATCH($B56,CAT4_Current_Master!$A:$A,0)),"")</f>
        <v/>
      </c>
      <c r="I56" t="str">
        <f>IFERROR(INDEX(Baseline_Entry!$R:$R,MATCH($B56,Baseline_Entry!$B:$B,0)),"")</f>
        <v/>
      </c>
      <c r="J56" t="str">
        <f>IFERROR(INDEX(CAT4_Current_Master!$D:$D,MATCH($B56,CAT4_Current_Master!$A:$A,0)),"")</f>
        <v/>
      </c>
      <c r="K56" t="str">
        <f t="shared" si="1"/>
        <v/>
      </c>
      <c r="L56" t="str">
        <f>IFERROR(INDEX(Baseline_Entry!$S:$S,MATCH($B56,Baseline_Entry!$B:$B,0)),"")</f>
        <v/>
      </c>
      <c r="M56" t="str">
        <f>IFERROR(INDEX(CAT4_Current_Master!$E:$E,MATCH($B56,CAT4_Current_Master!$A:$A,0)),"")</f>
        <v/>
      </c>
      <c r="N56" t="str">
        <f t="shared" si="2"/>
        <v/>
      </c>
      <c r="O56" t="str">
        <f>IFERROR(INDEX(Baseline_Entry!$T:$T,MATCH($B56,Baseline_Entry!$B:$B,0)),"")</f>
        <v/>
      </c>
      <c r="P56" t="str">
        <f>IFERROR(INDEX(CAT4_Current_Master!$F:$F,MATCH($B56,CAT4_Current_Master!$A:$A,0)),"")</f>
        <v/>
      </c>
      <c r="Q56" t="str">
        <f t="shared" si="3"/>
        <v/>
      </c>
      <c r="R56" t="str">
        <f>IFERROR(INDEX(Baseline_Entry!$U:$U,MATCH($B56,Baseline_Entry!$B:$B,0)),"")</f>
        <v/>
      </c>
      <c r="S56" t="str">
        <f>IFERROR(INDEX(CAT4_Current_Master!$G:$G,MATCH($B56,CAT4_Current_Master!$A:$A,0)),"")</f>
        <v/>
      </c>
      <c r="T56" t="str">
        <f t="shared" si="4"/>
        <v/>
      </c>
      <c r="U56" t="str">
        <f>IFERROR(INDEX(CAT4_Current_Master!$I:$I,MATCH($B56,CAT4_Current_Master!$A:$A,0)),"")</f>
        <v/>
      </c>
      <c r="V56" t="str">
        <f t="shared" si="5"/>
        <v/>
      </c>
      <c r="W56" t="str">
        <f t="shared" si="6"/>
        <v/>
      </c>
    </row>
    <row r="57" spans="1:23" x14ac:dyDescent="0.3">
      <c r="A57" t="s">
        <v>60</v>
      </c>
      <c r="B57" t="s">
        <v>177</v>
      </c>
      <c r="C57" t="s">
        <v>178</v>
      </c>
      <c r="D57" t="str">
        <f>IFERROR(INDEX(Baseline_Entry!$N:$N,MATCH($B57,Baseline_Entry!$B:$B,0)),"")</f>
        <v/>
      </c>
      <c r="E57" t="str">
        <f>IFERROR(INDEX(CAT4_Current_Master!$H:$H,MATCH($B57,CAT4_Current_Master!$A:$A,0)),"")</f>
        <v/>
      </c>
      <c r="F57" t="str">
        <f t="shared" si="0"/>
        <v/>
      </c>
      <c r="G57" t="str">
        <f>IFERROR(INDEX(Baseline_Entry!$Q:$Q,MATCH($B57,Baseline_Entry!$B:$B,0)),"")</f>
        <v/>
      </c>
      <c r="H57" t="str">
        <f>IFERROR(INDEX(CAT4_Current_Master!$C:$C,MATCH($B57,CAT4_Current_Master!$A:$A,0)),"")</f>
        <v/>
      </c>
      <c r="I57" t="str">
        <f>IFERROR(INDEX(Baseline_Entry!$R:$R,MATCH($B57,Baseline_Entry!$B:$B,0)),"")</f>
        <v/>
      </c>
      <c r="J57" t="str">
        <f>IFERROR(INDEX(CAT4_Current_Master!$D:$D,MATCH($B57,CAT4_Current_Master!$A:$A,0)),"")</f>
        <v/>
      </c>
      <c r="K57" t="str">
        <f t="shared" si="1"/>
        <v/>
      </c>
      <c r="L57" t="str">
        <f>IFERROR(INDEX(Baseline_Entry!$S:$S,MATCH($B57,Baseline_Entry!$B:$B,0)),"")</f>
        <v/>
      </c>
      <c r="M57" t="str">
        <f>IFERROR(INDEX(CAT4_Current_Master!$E:$E,MATCH($B57,CAT4_Current_Master!$A:$A,0)),"")</f>
        <v/>
      </c>
      <c r="N57" t="str">
        <f t="shared" si="2"/>
        <v/>
      </c>
      <c r="O57" t="str">
        <f>IFERROR(INDEX(Baseline_Entry!$T:$T,MATCH($B57,Baseline_Entry!$B:$B,0)),"")</f>
        <v/>
      </c>
      <c r="P57" t="str">
        <f>IFERROR(INDEX(CAT4_Current_Master!$F:$F,MATCH($B57,CAT4_Current_Master!$A:$A,0)),"")</f>
        <v/>
      </c>
      <c r="Q57" t="str">
        <f t="shared" si="3"/>
        <v/>
      </c>
      <c r="R57" t="str">
        <f>IFERROR(INDEX(Baseline_Entry!$U:$U,MATCH($B57,Baseline_Entry!$B:$B,0)),"")</f>
        <v/>
      </c>
      <c r="S57" t="str">
        <f>IFERROR(INDEX(CAT4_Current_Master!$G:$G,MATCH($B57,CAT4_Current_Master!$A:$A,0)),"")</f>
        <v/>
      </c>
      <c r="T57" t="str">
        <f t="shared" si="4"/>
        <v/>
      </c>
      <c r="U57" t="str">
        <f>IFERROR(INDEX(CAT4_Current_Master!$I:$I,MATCH($B57,CAT4_Current_Master!$A:$A,0)),"")</f>
        <v/>
      </c>
      <c r="V57" t="str">
        <f t="shared" si="5"/>
        <v/>
      </c>
      <c r="W57" t="str">
        <f t="shared" si="6"/>
        <v/>
      </c>
    </row>
    <row r="58" spans="1:23" x14ac:dyDescent="0.3">
      <c r="A58" t="s">
        <v>60</v>
      </c>
      <c r="B58" t="s">
        <v>179</v>
      </c>
      <c r="C58" t="s">
        <v>180</v>
      </c>
      <c r="D58" t="str">
        <f>IFERROR(INDEX(Baseline_Entry!$N:$N,MATCH($B58,Baseline_Entry!$B:$B,0)),"")</f>
        <v/>
      </c>
      <c r="E58" t="str">
        <f>IFERROR(INDEX(CAT4_Current_Master!$H:$H,MATCH($B58,CAT4_Current_Master!$A:$A,0)),"")</f>
        <v/>
      </c>
      <c r="F58" t="str">
        <f t="shared" si="0"/>
        <v/>
      </c>
      <c r="G58" t="str">
        <f>IFERROR(INDEX(Baseline_Entry!$Q:$Q,MATCH($B58,Baseline_Entry!$B:$B,0)),"")</f>
        <v/>
      </c>
      <c r="H58" t="str">
        <f>IFERROR(INDEX(CAT4_Current_Master!$C:$C,MATCH($B58,CAT4_Current_Master!$A:$A,0)),"")</f>
        <v/>
      </c>
      <c r="I58" t="str">
        <f>IFERROR(INDEX(Baseline_Entry!$R:$R,MATCH($B58,Baseline_Entry!$B:$B,0)),"")</f>
        <v/>
      </c>
      <c r="J58" t="str">
        <f>IFERROR(INDEX(CAT4_Current_Master!$D:$D,MATCH($B58,CAT4_Current_Master!$A:$A,0)),"")</f>
        <v/>
      </c>
      <c r="K58" t="str">
        <f t="shared" si="1"/>
        <v/>
      </c>
      <c r="L58" t="str">
        <f>IFERROR(INDEX(Baseline_Entry!$S:$S,MATCH($B58,Baseline_Entry!$B:$B,0)),"")</f>
        <v/>
      </c>
      <c r="M58" t="str">
        <f>IFERROR(INDEX(CAT4_Current_Master!$E:$E,MATCH($B58,CAT4_Current_Master!$A:$A,0)),"")</f>
        <v/>
      </c>
      <c r="N58" t="str">
        <f t="shared" si="2"/>
        <v/>
      </c>
      <c r="O58" t="str">
        <f>IFERROR(INDEX(Baseline_Entry!$T:$T,MATCH($B58,Baseline_Entry!$B:$B,0)),"")</f>
        <v/>
      </c>
      <c r="P58" t="str">
        <f>IFERROR(INDEX(CAT4_Current_Master!$F:$F,MATCH($B58,CAT4_Current_Master!$A:$A,0)),"")</f>
        <v/>
      </c>
      <c r="Q58" t="str">
        <f t="shared" si="3"/>
        <v/>
      </c>
      <c r="R58" t="str">
        <f>IFERROR(INDEX(Baseline_Entry!$U:$U,MATCH($B58,Baseline_Entry!$B:$B,0)),"")</f>
        <v/>
      </c>
      <c r="S58" t="str">
        <f>IFERROR(INDEX(CAT4_Current_Master!$G:$G,MATCH($B58,CAT4_Current_Master!$A:$A,0)),"")</f>
        <v/>
      </c>
      <c r="T58" t="str">
        <f t="shared" si="4"/>
        <v/>
      </c>
      <c r="U58" t="str">
        <f>IFERROR(INDEX(CAT4_Current_Master!$I:$I,MATCH($B58,CAT4_Current_Master!$A:$A,0)),"")</f>
        <v/>
      </c>
      <c r="V58" t="str">
        <f t="shared" si="5"/>
        <v/>
      </c>
      <c r="W58" t="str">
        <f t="shared" si="6"/>
        <v/>
      </c>
    </row>
    <row r="59" spans="1:23" x14ac:dyDescent="0.3">
      <c r="A59" t="s">
        <v>60</v>
      </c>
      <c r="B59" t="s">
        <v>181</v>
      </c>
      <c r="C59" t="s">
        <v>182</v>
      </c>
      <c r="D59" t="str">
        <f>IFERROR(INDEX(Baseline_Entry!$N:$N,MATCH($B59,Baseline_Entry!$B:$B,0)),"")</f>
        <v/>
      </c>
      <c r="E59" t="str">
        <f>IFERROR(INDEX(CAT4_Current_Master!$H:$H,MATCH($B59,CAT4_Current_Master!$A:$A,0)),"")</f>
        <v/>
      </c>
      <c r="F59" t="str">
        <f t="shared" si="0"/>
        <v/>
      </c>
      <c r="G59" t="str">
        <f>IFERROR(INDEX(Baseline_Entry!$Q:$Q,MATCH($B59,Baseline_Entry!$B:$B,0)),"")</f>
        <v/>
      </c>
      <c r="H59" t="str">
        <f>IFERROR(INDEX(CAT4_Current_Master!$C:$C,MATCH($B59,CAT4_Current_Master!$A:$A,0)),"")</f>
        <v/>
      </c>
      <c r="I59" t="str">
        <f>IFERROR(INDEX(Baseline_Entry!$R:$R,MATCH($B59,Baseline_Entry!$B:$B,0)),"")</f>
        <v/>
      </c>
      <c r="J59" t="str">
        <f>IFERROR(INDEX(CAT4_Current_Master!$D:$D,MATCH($B59,CAT4_Current_Master!$A:$A,0)),"")</f>
        <v/>
      </c>
      <c r="K59" t="str">
        <f t="shared" si="1"/>
        <v/>
      </c>
      <c r="L59" t="str">
        <f>IFERROR(INDEX(Baseline_Entry!$S:$S,MATCH($B59,Baseline_Entry!$B:$B,0)),"")</f>
        <v/>
      </c>
      <c r="M59" t="str">
        <f>IFERROR(INDEX(CAT4_Current_Master!$E:$E,MATCH($B59,CAT4_Current_Master!$A:$A,0)),"")</f>
        <v/>
      </c>
      <c r="N59" t="str">
        <f t="shared" si="2"/>
        <v/>
      </c>
      <c r="O59" t="str">
        <f>IFERROR(INDEX(Baseline_Entry!$T:$T,MATCH($B59,Baseline_Entry!$B:$B,0)),"")</f>
        <v/>
      </c>
      <c r="P59" t="str">
        <f>IFERROR(INDEX(CAT4_Current_Master!$F:$F,MATCH($B59,CAT4_Current_Master!$A:$A,0)),"")</f>
        <v/>
      </c>
      <c r="Q59" t="str">
        <f t="shared" si="3"/>
        <v/>
      </c>
      <c r="R59" t="str">
        <f>IFERROR(INDEX(Baseline_Entry!$U:$U,MATCH($B59,Baseline_Entry!$B:$B,0)),"")</f>
        <v/>
      </c>
      <c r="S59" t="str">
        <f>IFERROR(INDEX(CAT4_Current_Master!$G:$G,MATCH($B59,CAT4_Current_Master!$A:$A,0)),"")</f>
        <v/>
      </c>
      <c r="T59" t="str">
        <f t="shared" si="4"/>
        <v/>
      </c>
      <c r="U59" t="str">
        <f>IFERROR(INDEX(CAT4_Current_Master!$I:$I,MATCH($B59,CAT4_Current_Master!$A:$A,0)),"")</f>
        <v/>
      </c>
      <c r="V59" t="str">
        <f t="shared" si="5"/>
        <v/>
      </c>
      <c r="W59" t="str">
        <f t="shared" si="6"/>
        <v/>
      </c>
    </row>
    <row r="60" spans="1:23" x14ac:dyDescent="0.3">
      <c r="A60" t="s">
        <v>60</v>
      </c>
      <c r="B60" t="s">
        <v>183</v>
      </c>
      <c r="C60" t="s">
        <v>184</v>
      </c>
      <c r="D60" t="str">
        <f>IFERROR(INDEX(Baseline_Entry!$N:$N,MATCH($B60,Baseline_Entry!$B:$B,0)),"")</f>
        <v/>
      </c>
      <c r="E60" t="str">
        <f>IFERROR(INDEX(CAT4_Current_Master!$H:$H,MATCH($B60,CAT4_Current_Master!$A:$A,0)),"")</f>
        <v/>
      </c>
      <c r="F60" t="str">
        <f t="shared" si="0"/>
        <v/>
      </c>
      <c r="G60" t="str">
        <f>IFERROR(INDEX(Baseline_Entry!$Q:$Q,MATCH($B60,Baseline_Entry!$B:$B,0)),"")</f>
        <v/>
      </c>
      <c r="H60" t="str">
        <f>IFERROR(INDEX(CAT4_Current_Master!$C:$C,MATCH($B60,CAT4_Current_Master!$A:$A,0)),"")</f>
        <v/>
      </c>
      <c r="I60" t="str">
        <f>IFERROR(INDEX(Baseline_Entry!$R:$R,MATCH($B60,Baseline_Entry!$B:$B,0)),"")</f>
        <v/>
      </c>
      <c r="J60" t="str">
        <f>IFERROR(INDEX(CAT4_Current_Master!$D:$D,MATCH($B60,CAT4_Current_Master!$A:$A,0)),"")</f>
        <v/>
      </c>
      <c r="K60" t="str">
        <f t="shared" si="1"/>
        <v/>
      </c>
      <c r="L60" t="str">
        <f>IFERROR(INDEX(Baseline_Entry!$S:$S,MATCH($B60,Baseline_Entry!$B:$B,0)),"")</f>
        <v/>
      </c>
      <c r="M60" t="str">
        <f>IFERROR(INDEX(CAT4_Current_Master!$E:$E,MATCH($B60,CAT4_Current_Master!$A:$A,0)),"")</f>
        <v/>
      </c>
      <c r="N60" t="str">
        <f t="shared" si="2"/>
        <v/>
      </c>
      <c r="O60" t="str">
        <f>IFERROR(INDEX(Baseline_Entry!$T:$T,MATCH($B60,Baseline_Entry!$B:$B,0)),"")</f>
        <v/>
      </c>
      <c r="P60" t="str">
        <f>IFERROR(INDEX(CAT4_Current_Master!$F:$F,MATCH($B60,CAT4_Current_Master!$A:$A,0)),"")</f>
        <v/>
      </c>
      <c r="Q60" t="str">
        <f t="shared" si="3"/>
        <v/>
      </c>
      <c r="R60" t="str">
        <f>IFERROR(INDEX(Baseline_Entry!$U:$U,MATCH($B60,Baseline_Entry!$B:$B,0)),"")</f>
        <v/>
      </c>
      <c r="S60" t="str">
        <f>IFERROR(INDEX(CAT4_Current_Master!$G:$G,MATCH($B60,CAT4_Current_Master!$A:$A,0)),"")</f>
        <v/>
      </c>
      <c r="T60" t="str">
        <f t="shared" si="4"/>
        <v/>
      </c>
      <c r="U60" t="str">
        <f>IFERROR(INDEX(CAT4_Current_Master!$I:$I,MATCH($B60,CAT4_Current_Master!$A:$A,0)),"")</f>
        <v/>
      </c>
      <c r="V60" t="str">
        <f t="shared" si="5"/>
        <v/>
      </c>
      <c r="W60" t="str">
        <f t="shared" si="6"/>
        <v/>
      </c>
    </row>
    <row r="61" spans="1:23" x14ac:dyDescent="0.3">
      <c r="A61" t="s">
        <v>185</v>
      </c>
      <c r="B61" t="s">
        <v>186</v>
      </c>
      <c r="C61" t="s">
        <v>187</v>
      </c>
      <c r="D61">
        <f>IFERROR(INDEX(Baseline_Entry!$N:$N,MATCH($B61,Baseline_Entry!$B:$B,0)),"")</f>
        <v>105</v>
      </c>
      <c r="E61">
        <f>IFERROR(INDEX(CAT4_Current_Master!$H:$H,MATCH($B61,CAT4_Current_Master!$A:$A,0)),"")</f>
        <v>105</v>
      </c>
      <c r="F61">
        <f t="shared" si="0"/>
        <v>0</v>
      </c>
      <c r="G61" t="str">
        <f>IFERROR(INDEX(Baseline_Entry!$Q:$Q,MATCH($B61,Baseline_Entry!$B:$B,0)),"")</f>
        <v>Moderate spatial bias</v>
      </c>
      <c r="H61" t="str">
        <f>IFERROR(INDEX(CAT4_Current_Master!$C:$C,MATCH($B61,CAT4_Current_Master!$A:$A,0)),"")</f>
        <v>Moderate spatial bias</v>
      </c>
      <c r="I61">
        <f>IFERROR(INDEX(Baseline_Entry!$R:$R,MATCH($B61,Baseline_Entry!$B:$B,0)),"")</f>
        <v>86</v>
      </c>
      <c r="J61">
        <f>IFERROR(INDEX(CAT4_Current_Master!$D:$D,MATCH($B61,CAT4_Current_Master!$A:$A,0)),"")</f>
        <v>86</v>
      </c>
      <c r="K61">
        <f t="shared" si="1"/>
        <v>0</v>
      </c>
      <c r="L61">
        <f>IFERROR(INDEX(Baseline_Entry!$S:$S,MATCH($B61,Baseline_Entry!$B:$B,0)),"")</f>
        <v>116</v>
      </c>
      <c r="M61">
        <f>IFERROR(INDEX(CAT4_Current_Master!$E:$E,MATCH($B61,CAT4_Current_Master!$A:$A,0)),"")</f>
        <v>116</v>
      </c>
      <c r="N61">
        <f t="shared" si="2"/>
        <v>0</v>
      </c>
      <c r="O61">
        <f>IFERROR(INDEX(Baseline_Entry!$T:$T,MATCH($B61,Baseline_Entry!$B:$B,0)),"")</f>
        <v>111</v>
      </c>
      <c r="P61">
        <f>IFERROR(INDEX(CAT4_Current_Master!$F:$F,MATCH($B61,CAT4_Current_Master!$A:$A,0)),"")</f>
        <v>111</v>
      </c>
      <c r="Q61">
        <f t="shared" si="3"/>
        <v>0</v>
      </c>
      <c r="R61">
        <f>IFERROR(INDEX(Baseline_Entry!$U:$U,MATCH($B61,Baseline_Entry!$B:$B,0)),"")</f>
        <v>107</v>
      </c>
      <c r="S61">
        <f>IFERROR(INDEX(CAT4_Current_Master!$G:$G,MATCH($B61,CAT4_Current_Master!$A:$A,0)),"")</f>
        <v>107</v>
      </c>
      <c r="T61">
        <f t="shared" si="4"/>
        <v>0</v>
      </c>
      <c r="U61" t="str">
        <f>IFERROR(INDEX(CAT4_Current_Master!$I:$I,MATCH($B61,CAT4_Current_Master!$A:$A,0)),"")</f>
        <v>G12</v>
      </c>
      <c r="V61" t="str">
        <f t="shared" si="5"/>
        <v>Quantitative strength</v>
      </c>
      <c r="W61" t="str">
        <f t="shared" si="6"/>
        <v>Highest current domain is quantitative reasoning, suggesting strong numerical and structured problem-solving potential.</v>
      </c>
    </row>
    <row r="62" spans="1:23" x14ac:dyDescent="0.3">
      <c r="A62" t="s">
        <v>185</v>
      </c>
      <c r="B62" t="s">
        <v>190</v>
      </c>
      <c r="C62" t="s">
        <v>191</v>
      </c>
      <c r="D62">
        <f>IFERROR(INDEX(Baseline_Entry!$N:$N,MATCH($B62,Baseline_Entry!$B:$B,0)),"")</f>
        <v>107</v>
      </c>
      <c r="E62">
        <f>IFERROR(INDEX(CAT4_Current_Master!$H:$H,MATCH($B62,CAT4_Current_Master!$A:$A,0)),"")</f>
        <v>107</v>
      </c>
      <c r="F62">
        <f t="shared" si="0"/>
        <v>0</v>
      </c>
      <c r="G62" t="str">
        <f>IFERROR(INDEX(Baseline_Entry!$Q:$Q,MATCH($B62,Baseline_Entry!$B:$B,0)),"")</f>
        <v>Extreme spatial bias</v>
      </c>
      <c r="H62" t="str">
        <f>IFERROR(INDEX(CAT4_Current_Master!$C:$C,MATCH($B62,CAT4_Current_Master!$A:$A,0)),"")</f>
        <v>Extreme spatial bias</v>
      </c>
      <c r="I62">
        <f>IFERROR(INDEX(Baseline_Entry!$R:$R,MATCH($B62,Baseline_Entry!$B:$B,0)),"")</f>
        <v>75</v>
      </c>
      <c r="J62">
        <f>IFERROR(INDEX(CAT4_Current_Master!$D:$D,MATCH($B62,CAT4_Current_Master!$A:$A,0)),"")</f>
        <v>75</v>
      </c>
      <c r="K62">
        <f t="shared" si="1"/>
        <v>0</v>
      </c>
      <c r="L62">
        <f>IFERROR(INDEX(Baseline_Entry!$S:$S,MATCH($B62,Baseline_Entry!$B:$B,0)),"")</f>
        <v>112</v>
      </c>
      <c r="M62">
        <f>IFERROR(INDEX(CAT4_Current_Master!$E:$E,MATCH($B62,CAT4_Current_Master!$A:$A,0)),"")</f>
        <v>112</v>
      </c>
      <c r="N62">
        <f t="shared" si="2"/>
        <v>0</v>
      </c>
      <c r="O62">
        <f>IFERROR(INDEX(Baseline_Entry!$T:$T,MATCH($B62,Baseline_Entry!$B:$B,0)),"")</f>
        <v>121</v>
      </c>
      <c r="P62">
        <f>IFERROR(INDEX(CAT4_Current_Master!$F:$F,MATCH($B62,CAT4_Current_Master!$A:$A,0)),"")</f>
        <v>121</v>
      </c>
      <c r="Q62">
        <f t="shared" si="3"/>
        <v>0</v>
      </c>
      <c r="R62">
        <f>IFERROR(INDEX(Baseline_Entry!$U:$U,MATCH($B62,Baseline_Entry!$B:$B,0)),"")</f>
        <v>118</v>
      </c>
      <c r="S62">
        <f>IFERROR(INDEX(CAT4_Current_Master!$G:$G,MATCH($B62,CAT4_Current_Master!$A:$A,0)),"")</f>
        <v>118</v>
      </c>
      <c r="T62">
        <f t="shared" si="4"/>
        <v>0</v>
      </c>
      <c r="U62" t="str">
        <f>IFERROR(INDEX(CAT4_Current_Master!$I:$I,MATCH($B62,CAT4_Current_Master!$A:$A,0)),"")</f>
        <v>G12</v>
      </c>
      <c r="V62" t="str">
        <f t="shared" si="5"/>
        <v>Analytical / Abstract thinker</v>
      </c>
      <c r="W62" t="str">
        <f t="shared" si="6"/>
        <v>Strong non-verbal reasoning supported by quantitative strength; well aligned with advanced analytical and STEM-rich tasks.</v>
      </c>
    </row>
    <row r="63" spans="1:23" x14ac:dyDescent="0.3">
      <c r="A63" t="s">
        <v>185</v>
      </c>
      <c r="B63" t="s">
        <v>192</v>
      </c>
      <c r="C63" t="s">
        <v>193</v>
      </c>
      <c r="D63">
        <f>IFERROR(INDEX(Baseline_Entry!$N:$N,MATCH($B63,Baseline_Entry!$B:$B,0)),"")</f>
        <v>93</v>
      </c>
      <c r="E63">
        <f>IFERROR(INDEX(CAT4_Current_Master!$H:$H,MATCH($B63,CAT4_Current_Master!$A:$A,0)),"")</f>
        <v>93</v>
      </c>
      <c r="F63">
        <f t="shared" si="0"/>
        <v>0</v>
      </c>
      <c r="G63" t="str">
        <f>IFERROR(INDEX(Baseline_Entry!$Q:$Q,MATCH($B63,Baseline_Entry!$B:$B,0)),"")</f>
        <v>No bias</v>
      </c>
      <c r="H63" t="str">
        <f>IFERROR(INDEX(CAT4_Current_Master!$C:$C,MATCH($B63,CAT4_Current_Master!$A:$A,0)),"")</f>
        <v>No bias</v>
      </c>
      <c r="I63">
        <f>IFERROR(INDEX(Baseline_Entry!$R:$R,MATCH($B63,Baseline_Entry!$B:$B,0)),"")</f>
        <v>85</v>
      </c>
      <c r="J63">
        <f>IFERROR(INDEX(CAT4_Current_Master!$D:$D,MATCH($B63,CAT4_Current_Master!$A:$A,0)),"")</f>
        <v>85</v>
      </c>
      <c r="K63">
        <f t="shared" si="1"/>
        <v>0</v>
      </c>
      <c r="L63">
        <f>IFERROR(INDEX(Baseline_Entry!$S:$S,MATCH($B63,Baseline_Entry!$B:$B,0)),"")</f>
        <v>101</v>
      </c>
      <c r="M63">
        <f>IFERROR(INDEX(CAT4_Current_Master!$E:$E,MATCH($B63,CAT4_Current_Master!$A:$A,0)),"")</f>
        <v>101</v>
      </c>
      <c r="N63">
        <f t="shared" si="2"/>
        <v>0</v>
      </c>
      <c r="O63">
        <f>IFERROR(INDEX(Baseline_Entry!$T:$T,MATCH($B63,Baseline_Entry!$B:$B,0)),"")</f>
        <v>93</v>
      </c>
      <c r="P63">
        <f>IFERROR(INDEX(CAT4_Current_Master!$F:$F,MATCH($B63,CAT4_Current_Master!$A:$A,0)),"")</f>
        <v>93</v>
      </c>
      <c r="Q63">
        <f t="shared" si="3"/>
        <v>0</v>
      </c>
      <c r="R63">
        <f>IFERROR(INDEX(Baseline_Entry!$U:$U,MATCH($B63,Baseline_Entry!$B:$B,0)),"")</f>
        <v>94</v>
      </c>
      <c r="S63">
        <f>IFERROR(INDEX(CAT4_Current_Master!$G:$G,MATCH($B63,CAT4_Current_Master!$A:$A,0)),"")</f>
        <v>94</v>
      </c>
      <c r="T63">
        <f t="shared" si="4"/>
        <v>0</v>
      </c>
      <c r="U63" t="str">
        <f>IFERROR(INDEX(CAT4_Current_Master!$I:$I,MATCH($B63,CAT4_Current_Master!$A:$A,0)),"")</f>
        <v>G12</v>
      </c>
      <c r="V63" t="str">
        <f t="shared" si="5"/>
        <v>Quantitative strength</v>
      </c>
      <c r="W63" t="str">
        <f t="shared" si="6"/>
        <v>Highest current domain is quantitative reasoning, suggesting strong numerical and structured problem-solving potential.</v>
      </c>
    </row>
    <row r="64" spans="1:23" x14ac:dyDescent="0.3">
      <c r="A64" t="s">
        <v>185</v>
      </c>
      <c r="B64" t="s">
        <v>194</v>
      </c>
      <c r="C64" t="s">
        <v>195</v>
      </c>
      <c r="D64">
        <f>IFERROR(INDEX(Baseline_Entry!$N:$N,MATCH($B64,Baseline_Entry!$B:$B,0)),"")</f>
        <v>96</v>
      </c>
      <c r="E64">
        <f>IFERROR(INDEX(CAT4_Current_Master!$H:$H,MATCH($B64,CAT4_Current_Master!$A:$A,0)),"")</f>
        <v>96</v>
      </c>
      <c r="F64">
        <f t="shared" si="0"/>
        <v>0</v>
      </c>
      <c r="G64" t="str">
        <f>IFERROR(INDEX(Baseline_Entry!$Q:$Q,MATCH($B64,Baseline_Entry!$B:$B,0)),"")</f>
        <v>Mild spatial bias</v>
      </c>
      <c r="H64" t="str">
        <f>IFERROR(INDEX(CAT4_Current_Master!$C:$C,MATCH($B64,CAT4_Current_Master!$A:$A,0)),"")</f>
        <v>Mild spatial bias</v>
      </c>
      <c r="I64">
        <f>IFERROR(INDEX(Baseline_Entry!$R:$R,MATCH($B64,Baseline_Entry!$B:$B,0)),"")</f>
        <v>75</v>
      </c>
      <c r="J64">
        <f>IFERROR(INDEX(CAT4_Current_Master!$D:$D,MATCH($B64,CAT4_Current_Master!$A:$A,0)),"")</f>
        <v>75</v>
      </c>
      <c r="K64">
        <f t="shared" si="1"/>
        <v>0</v>
      </c>
      <c r="L64">
        <f>IFERROR(INDEX(Baseline_Entry!$S:$S,MATCH($B64,Baseline_Entry!$B:$B,0)),"")</f>
        <v>122</v>
      </c>
      <c r="M64">
        <f>IFERROR(INDEX(CAT4_Current_Master!$E:$E,MATCH($B64,CAT4_Current_Master!$A:$A,0)),"")</f>
        <v>122</v>
      </c>
      <c r="N64">
        <f t="shared" si="2"/>
        <v>0</v>
      </c>
      <c r="O64">
        <f>IFERROR(INDEX(Baseline_Entry!$T:$T,MATCH($B64,Baseline_Entry!$B:$B,0)),"")</f>
        <v>93</v>
      </c>
      <c r="P64">
        <f>IFERROR(INDEX(CAT4_Current_Master!$F:$F,MATCH($B64,CAT4_Current_Master!$A:$A,0)),"")</f>
        <v>93</v>
      </c>
      <c r="Q64">
        <f t="shared" si="3"/>
        <v>0</v>
      </c>
      <c r="R64">
        <f>IFERROR(INDEX(Baseline_Entry!$U:$U,MATCH($B64,Baseline_Entry!$B:$B,0)),"")</f>
        <v>92</v>
      </c>
      <c r="S64">
        <f>IFERROR(INDEX(CAT4_Current_Master!$G:$G,MATCH($B64,CAT4_Current_Master!$A:$A,0)),"")</f>
        <v>92</v>
      </c>
      <c r="T64">
        <f t="shared" si="4"/>
        <v>0</v>
      </c>
      <c r="U64" t="str">
        <f>IFERROR(INDEX(CAT4_Current_Master!$I:$I,MATCH($B64,CAT4_Current_Master!$A:$A,0)),"")</f>
        <v>G12</v>
      </c>
      <c r="V64" t="str">
        <f t="shared" si="5"/>
        <v>Quantitative strength</v>
      </c>
      <c r="W64" t="str">
        <f t="shared" si="6"/>
        <v>Highest current domain is quantitative reasoning, suggesting strong numerical and structured problem-solving potential.</v>
      </c>
    </row>
    <row r="65" spans="1:23" x14ac:dyDescent="0.3">
      <c r="A65" t="s">
        <v>185</v>
      </c>
      <c r="B65" t="s">
        <v>196</v>
      </c>
      <c r="C65" t="s">
        <v>197</v>
      </c>
      <c r="D65">
        <f>IFERROR(INDEX(Baseline_Entry!$N:$N,MATCH($B65,Baseline_Entry!$B:$B,0)),"")</f>
        <v>96</v>
      </c>
      <c r="E65">
        <f>IFERROR(INDEX(CAT4_Current_Master!$H:$H,MATCH($B65,CAT4_Current_Master!$A:$A,0)),"")</f>
        <v>96</v>
      </c>
      <c r="F65">
        <f t="shared" si="0"/>
        <v>0</v>
      </c>
      <c r="G65" t="str">
        <f>IFERROR(INDEX(Baseline_Entry!$Q:$Q,MATCH($B65,Baseline_Entry!$B:$B,0)),"")</f>
        <v>Moderate spatial bias</v>
      </c>
      <c r="H65" t="str">
        <f>IFERROR(INDEX(CAT4_Current_Master!$C:$C,MATCH($B65,CAT4_Current_Master!$A:$A,0)),"")</f>
        <v>Moderate spatial bias</v>
      </c>
      <c r="I65">
        <f>IFERROR(INDEX(Baseline_Entry!$R:$R,MATCH($B65,Baseline_Entry!$B:$B,0)),"")</f>
        <v>75</v>
      </c>
      <c r="J65">
        <f>IFERROR(INDEX(CAT4_Current_Master!$D:$D,MATCH($B65,CAT4_Current_Master!$A:$A,0)),"")</f>
        <v>75</v>
      </c>
      <c r="K65">
        <f t="shared" si="1"/>
        <v>0</v>
      </c>
      <c r="L65">
        <f>IFERROR(INDEX(Baseline_Entry!$S:$S,MATCH($B65,Baseline_Entry!$B:$B,0)),"")</f>
        <v>116</v>
      </c>
      <c r="M65">
        <f>IFERROR(INDEX(CAT4_Current_Master!$E:$E,MATCH($B65,CAT4_Current_Master!$A:$A,0)),"")</f>
        <v>116</v>
      </c>
      <c r="N65">
        <f t="shared" si="2"/>
        <v>0</v>
      </c>
      <c r="O65">
        <f>IFERROR(INDEX(Baseline_Entry!$T:$T,MATCH($B65,Baseline_Entry!$B:$B,0)),"")</f>
        <v>91</v>
      </c>
      <c r="P65">
        <f>IFERROR(INDEX(CAT4_Current_Master!$F:$F,MATCH($B65,CAT4_Current_Master!$A:$A,0)),"")</f>
        <v>91</v>
      </c>
      <c r="Q65">
        <f t="shared" si="3"/>
        <v>0</v>
      </c>
      <c r="R65">
        <f>IFERROR(INDEX(Baseline_Entry!$U:$U,MATCH($B65,Baseline_Entry!$B:$B,0)),"")</f>
        <v>102</v>
      </c>
      <c r="S65">
        <f>IFERROR(INDEX(CAT4_Current_Master!$G:$G,MATCH($B65,CAT4_Current_Master!$A:$A,0)),"")</f>
        <v>102</v>
      </c>
      <c r="T65">
        <f t="shared" si="4"/>
        <v>0</v>
      </c>
      <c r="U65" t="str">
        <f>IFERROR(INDEX(CAT4_Current_Master!$I:$I,MATCH($B65,CAT4_Current_Master!$A:$A,0)),"")</f>
        <v>G12</v>
      </c>
      <c r="V65" t="str">
        <f t="shared" si="5"/>
        <v>Quantitative strength</v>
      </c>
      <c r="W65" t="str">
        <f t="shared" si="6"/>
        <v>Highest current domain is quantitative reasoning, suggesting strong numerical and structured problem-solving potential.</v>
      </c>
    </row>
    <row r="66" spans="1:23" x14ac:dyDescent="0.3">
      <c r="A66" t="s">
        <v>185</v>
      </c>
      <c r="B66" t="s">
        <v>198</v>
      </c>
      <c r="C66" t="s">
        <v>199</v>
      </c>
      <c r="D66">
        <f>IFERROR(INDEX(Baseline_Entry!$N:$N,MATCH($B66,Baseline_Entry!$B:$B,0)),"")</f>
        <v>99</v>
      </c>
      <c r="E66">
        <f>IFERROR(INDEX(CAT4_Current_Master!$H:$H,MATCH($B66,CAT4_Current_Master!$A:$A,0)),"")</f>
        <v>99</v>
      </c>
      <c r="F66">
        <f t="shared" ref="F66:F129" si="7">IF(OR(D66="",E66=""),"",E66-D66)</f>
        <v>0</v>
      </c>
      <c r="G66" t="str">
        <f>IFERROR(INDEX(Baseline_Entry!$Q:$Q,MATCH($B66,Baseline_Entry!$B:$B,0)),"")</f>
        <v>Mild verbal bias</v>
      </c>
      <c r="H66" t="str">
        <f>IFERROR(INDEX(CAT4_Current_Master!$C:$C,MATCH($B66,CAT4_Current_Master!$A:$A,0)),"")</f>
        <v>Mild verbal bias</v>
      </c>
      <c r="I66">
        <f>IFERROR(INDEX(Baseline_Entry!$R:$R,MATCH($B66,Baseline_Entry!$B:$B,0)),"")</f>
        <v>104</v>
      </c>
      <c r="J66">
        <f>IFERROR(INDEX(CAT4_Current_Master!$D:$D,MATCH($B66,CAT4_Current_Master!$A:$A,0)),"")</f>
        <v>104</v>
      </c>
      <c r="K66">
        <f t="shared" ref="K66:K129" si="8">IF(OR(I66="",J66=""),"",J66-I66)</f>
        <v>0</v>
      </c>
      <c r="L66">
        <f>IFERROR(INDEX(Baseline_Entry!$S:$S,MATCH($B66,Baseline_Entry!$B:$B,0)),"")</f>
        <v>95</v>
      </c>
      <c r="M66">
        <f>IFERROR(INDEX(CAT4_Current_Master!$E:$E,MATCH($B66,CAT4_Current_Master!$A:$A,0)),"")</f>
        <v>95</v>
      </c>
      <c r="N66">
        <f t="shared" ref="N66:N129" si="9">IF(OR(L66="",M66=""),"",M66-L66)</f>
        <v>0</v>
      </c>
      <c r="O66">
        <f>IFERROR(INDEX(Baseline_Entry!$T:$T,MATCH($B66,Baseline_Entry!$B:$B,0)),"")</f>
        <v>102</v>
      </c>
      <c r="P66">
        <f>IFERROR(INDEX(CAT4_Current_Master!$F:$F,MATCH($B66,CAT4_Current_Master!$A:$A,0)),"")</f>
        <v>102</v>
      </c>
      <c r="Q66">
        <f t="shared" ref="Q66:Q129" si="10">IF(OR(O66="",P66=""),"",P66-O66)</f>
        <v>0</v>
      </c>
      <c r="R66">
        <f>IFERROR(INDEX(Baseline_Entry!$U:$U,MATCH($B66,Baseline_Entry!$B:$B,0)),"")</f>
        <v>96</v>
      </c>
      <c r="S66">
        <f>IFERROR(INDEX(CAT4_Current_Master!$G:$G,MATCH($B66,CAT4_Current_Master!$A:$A,0)),"")</f>
        <v>96</v>
      </c>
      <c r="T66">
        <f t="shared" ref="T66:T129" si="11">IF(OR(R66="",S66=""),"",S66-R66)</f>
        <v>0</v>
      </c>
      <c r="U66" t="str">
        <f>IFERROR(INDEX(CAT4_Current_Master!$I:$I,MATCH($B66,CAT4_Current_Master!$A:$A,0)),"")</f>
        <v>G12</v>
      </c>
      <c r="V66" t="str">
        <f t="shared" ref="V66:V129" si="12">IF(COUNT(J66,M66,P66,S66)&lt;4,"",IF(MAX(J66,M66,P66,S66)-MIN(J66,M66,P66,S66)&lt;=7,"Balanced profile",IF(AND(P66=MAX(J66,M66,P66,S66),M66&gt;=100),"Analytical / Abstract thinker",IF(M66=MAX(J66,M66,P66,S66),"Quantitative strength",IF(J66=MAX(J66,M66,P66,S66),"Verbal strength",IF(S66=MAX(J66,M66,P66,S66),"Spatial strength","Mixed profile"))))))</f>
        <v>Verbal strength</v>
      </c>
      <c r="W66" t="str">
        <f t="shared" ref="W66:W129" si="13">IF(V66="","",IF(V66="Balanced profile","Balanced cognitive pattern across the four CAT4 domains.",IF(V66="Analytical / Abstract thinker","Strong non-verbal reasoning supported by quantitative strength; well aligned with advanced analytical and STEM-rich tasks.",IF(V66="Quantitative strength","Highest current domain is quantitative reasoning, suggesting strong numerical and structured problem-solving potential.",IF(V66="Verbal strength","Highest current domain is verbal reasoning, suggesting strength in language-rich, discussion-rich, and evidence-based tasks.",IF(V66="Spatial strength","Highest current domain is spatial reasoning, suggesting strength in visualisation, modelling, and design tasks.","Mixed cognitive pattern requiring differentiated instruction."))))))</f>
        <v>Highest current domain is verbal reasoning, suggesting strength in language-rich, discussion-rich, and evidence-based tasks.</v>
      </c>
    </row>
    <row r="67" spans="1:23" x14ac:dyDescent="0.3">
      <c r="A67" t="s">
        <v>185</v>
      </c>
      <c r="B67" t="s">
        <v>200</v>
      </c>
      <c r="C67" t="s">
        <v>201</v>
      </c>
      <c r="D67">
        <f>IFERROR(INDEX(Baseline_Entry!$N:$N,MATCH($B67,Baseline_Entry!$B:$B,0)),"")</f>
        <v>95</v>
      </c>
      <c r="E67">
        <f>IFERROR(INDEX(CAT4_Current_Master!$H:$H,MATCH($B67,CAT4_Current_Master!$A:$A,0)),"")</f>
        <v>95</v>
      </c>
      <c r="F67">
        <f t="shared" si="7"/>
        <v>0</v>
      </c>
      <c r="G67" t="str">
        <f>IFERROR(INDEX(Baseline_Entry!$Q:$Q,MATCH($B67,Baseline_Entry!$B:$B,0)),"")</f>
        <v>No bias</v>
      </c>
      <c r="H67" t="str">
        <f>IFERROR(INDEX(CAT4_Current_Master!$C:$C,MATCH($B67,CAT4_Current_Master!$A:$A,0)),"")</f>
        <v>No bias</v>
      </c>
      <c r="I67">
        <f>IFERROR(INDEX(Baseline_Entry!$R:$R,MATCH($B67,Baseline_Entry!$B:$B,0)),"")</f>
        <v>77</v>
      </c>
      <c r="J67">
        <f>IFERROR(INDEX(CAT4_Current_Master!$D:$D,MATCH($B67,CAT4_Current_Master!$A:$A,0)),"")</f>
        <v>77</v>
      </c>
      <c r="K67">
        <f t="shared" si="8"/>
        <v>0</v>
      </c>
      <c r="L67">
        <f>IFERROR(INDEX(Baseline_Entry!$S:$S,MATCH($B67,Baseline_Entry!$B:$B,0)),"")</f>
        <v>110</v>
      </c>
      <c r="M67">
        <f>IFERROR(INDEX(CAT4_Current_Master!$E:$E,MATCH($B67,CAT4_Current_Master!$A:$A,0)),"")</f>
        <v>110</v>
      </c>
      <c r="N67">
        <f t="shared" si="9"/>
        <v>0</v>
      </c>
      <c r="O67">
        <f>IFERROR(INDEX(Baseline_Entry!$T:$T,MATCH($B67,Baseline_Entry!$B:$B,0)),"")</f>
        <v>105</v>
      </c>
      <c r="P67">
        <f>IFERROR(INDEX(CAT4_Current_Master!$F:$F,MATCH($B67,CAT4_Current_Master!$A:$A,0)),"")</f>
        <v>105</v>
      </c>
      <c r="Q67">
        <f t="shared" si="10"/>
        <v>0</v>
      </c>
      <c r="R67">
        <f>IFERROR(INDEX(Baseline_Entry!$U:$U,MATCH($B67,Baseline_Entry!$B:$B,0)),"")</f>
        <v>86</v>
      </c>
      <c r="S67">
        <f>IFERROR(INDEX(CAT4_Current_Master!$G:$G,MATCH($B67,CAT4_Current_Master!$A:$A,0)),"")</f>
        <v>86</v>
      </c>
      <c r="T67">
        <f t="shared" si="11"/>
        <v>0</v>
      </c>
      <c r="U67" t="str">
        <f>IFERROR(INDEX(CAT4_Current_Master!$I:$I,MATCH($B67,CAT4_Current_Master!$A:$A,0)),"")</f>
        <v>G12</v>
      </c>
      <c r="V67" t="str">
        <f t="shared" si="12"/>
        <v>Quantitative strength</v>
      </c>
      <c r="W67" t="str">
        <f t="shared" si="13"/>
        <v>Highest current domain is quantitative reasoning, suggesting strong numerical and structured problem-solving potential.</v>
      </c>
    </row>
    <row r="68" spans="1:23" x14ac:dyDescent="0.3">
      <c r="A68" t="s">
        <v>185</v>
      </c>
      <c r="B68" t="s">
        <v>202</v>
      </c>
      <c r="C68" t="s">
        <v>203</v>
      </c>
      <c r="D68">
        <f>IFERROR(INDEX(Baseline_Entry!$N:$N,MATCH($B68,Baseline_Entry!$B:$B,0)),"")</f>
        <v>104</v>
      </c>
      <c r="E68">
        <f>IFERROR(INDEX(CAT4_Current_Master!$H:$H,MATCH($B68,CAT4_Current_Master!$A:$A,0)),"")</f>
        <v>104</v>
      </c>
      <c r="F68">
        <f t="shared" si="7"/>
        <v>0</v>
      </c>
      <c r="G68" t="str">
        <f>IFERROR(INDEX(Baseline_Entry!$Q:$Q,MATCH($B68,Baseline_Entry!$B:$B,0)),"")</f>
        <v>Mild spatial bias</v>
      </c>
      <c r="H68" t="str">
        <f>IFERROR(INDEX(CAT4_Current_Master!$C:$C,MATCH($B68,CAT4_Current_Master!$A:$A,0)),"")</f>
        <v>Mild spatial bias</v>
      </c>
      <c r="I68">
        <f>IFERROR(INDEX(Baseline_Entry!$R:$R,MATCH($B68,Baseline_Entry!$B:$B,0)),"")</f>
        <v>93</v>
      </c>
      <c r="J68">
        <f>IFERROR(INDEX(CAT4_Current_Master!$D:$D,MATCH($B68,CAT4_Current_Master!$A:$A,0)),"")</f>
        <v>93</v>
      </c>
      <c r="K68">
        <f t="shared" si="8"/>
        <v>0</v>
      </c>
      <c r="L68">
        <f>IFERROR(INDEX(Baseline_Entry!$S:$S,MATCH($B68,Baseline_Entry!$B:$B,0)),"")</f>
        <v>111</v>
      </c>
      <c r="M68">
        <f>IFERROR(INDEX(CAT4_Current_Master!$E:$E,MATCH($B68,CAT4_Current_Master!$A:$A,0)),"")</f>
        <v>111</v>
      </c>
      <c r="N68">
        <f t="shared" si="9"/>
        <v>0</v>
      </c>
      <c r="O68">
        <f>IFERROR(INDEX(Baseline_Entry!$T:$T,MATCH($B68,Baseline_Entry!$B:$B,0)),"")</f>
        <v>109</v>
      </c>
      <c r="P68">
        <f>IFERROR(INDEX(CAT4_Current_Master!$F:$F,MATCH($B68,CAT4_Current_Master!$A:$A,0)),"")</f>
        <v>109</v>
      </c>
      <c r="Q68">
        <f t="shared" si="10"/>
        <v>0</v>
      </c>
      <c r="R68">
        <f>IFERROR(INDEX(Baseline_Entry!$U:$U,MATCH($B68,Baseline_Entry!$B:$B,0)),"")</f>
        <v>104</v>
      </c>
      <c r="S68">
        <f>IFERROR(INDEX(CAT4_Current_Master!$G:$G,MATCH($B68,CAT4_Current_Master!$A:$A,0)),"")</f>
        <v>104</v>
      </c>
      <c r="T68">
        <f t="shared" si="11"/>
        <v>0</v>
      </c>
      <c r="U68" t="str">
        <f>IFERROR(INDEX(CAT4_Current_Master!$I:$I,MATCH($B68,CAT4_Current_Master!$A:$A,0)),"")</f>
        <v>G12</v>
      </c>
      <c r="V68" t="str">
        <f t="shared" si="12"/>
        <v>Quantitative strength</v>
      </c>
      <c r="W68" t="str">
        <f t="shared" si="13"/>
        <v>Highest current domain is quantitative reasoning, suggesting strong numerical and structured problem-solving potential.</v>
      </c>
    </row>
    <row r="69" spans="1:23" x14ac:dyDescent="0.3">
      <c r="A69" t="s">
        <v>185</v>
      </c>
      <c r="B69" t="s">
        <v>204</v>
      </c>
      <c r="C69" t="s">
        <v>205</v>
      </c>
      <c r="D69">
        <f>IFERROR(INDEX(Baseline_Entry!$N:$N,MATCH($B69,Baseline_Entry!$B:$B,0)),"")</f>
        <v>93</v>
      </c>
      <c r="E69">
        <f>IFERROR(INDEX(CAT4_Current_Master!$H:$H,MATCH($B69,CAT4_Current_Master!$A:$A,0)),"")</f>
        <v>93</v>
      </c>
      <c r="F69">
        <f t="shared" si="7"/>
        <v>0</v>
      </c>
      <c r="G69" t="str">
        <f>IFERROR(INDEX(Baseline_Entry!$Q:$Q,MATCH($B69,Baseline_Entry!$B:$B,0)),"")</f>
        <v>Moderate spatial bias</v>
      </c>
      <c r="H69" t="str">
        <f>IFERROR(INDEX(CAT4_Current_Master!$C:$C,MATCH($B69,CAT4_Current_Master!$A:$A,0)),"")</f>
        <v>Moderate spatial bias</v>
      </c>
      <c r="I69">
        <f>IFERROR(INDEX(Baseline_Entry!$R:$R,MATCH($B69,Baseline_Entry!$B:$B,0)),"")</f>
        <v>69</v>
      </c>
      <c r="J69">
        <f>IFERROR(INDEX(CAT4_Current_Master!$D:$D,MATCH($B69,CAT4_Current_Master!$A:$A,0)),"")</f>
        <v>69</v>
      </c>
      <c r="K69">
        <f t="shared" si="8"/>
        <v>0</v>
      </c>
      <c r="L69">
        <f>IFERROR(INDEX(Baseline_Entry!$S:$S,MATCH($B69,Baseline_Entry!$B:$B,0)),"")</f>
        <v>106</v>
      </c>
      <c r="M69">
        <f>IFERROR(INDEX(CAT4_Current_Master!$E:$E,MATCH($B69,CAT4_Current_Master!$A:$A,0)),"")</f>
        <v>106</v>
      </c>
      <c r="N69">
        <f t="shared" si="9"/>
        <v>0</v>
      </c>
      <c r="O69">
        <f>IFERROR(INDEX(Baseline_Entry!$T:$T,MATCH($B69,Baseline_Entry!$B:$B,0)),"")</f>
        <v>102</v>
      </c>
      <c r="P69">
        <f>IFERROR(INDEX(CAT4_Current_Master!$F:$F,MATCH($B69,CAT4_Current_Master!$A:$A,0)),"")</f>
        <v>102</v>
      </c>
      <c r="Q69">
        <f t="shared" si="10"/>
        <v>0</v>
      </c>
      <c r="R69">
        <f>IFERROR(INDEX(Baseline_Entry!$U:$U,MATCH($B69,Baseline_Entry!$B:$B,0)),"")</f>
        <v>94</v>
      </c>
      <c r="S69">
        <f>IFERROR(INDEX(CAT4_Current_Master!$G:$G,MATCH($B69,CAT4_Current_Master!$A:$A,0)),"")</f>
        <v>94</v>
      </c>
      <c r="T69">
        <f t="shared" si="11"/>
        <v>0</v>
      </c>
      <c r="U69" t="str">
        <f>IFERROR(INDEX(CAT4_Current_Master!$I:$I,MATCH($B69,CAT4_Current_Master!$A:$A,0)),"")</f>
        <v>G12</v>
      </c>
      <c r="V69" t="str">
        <f t="shared" si="12"/>
        <v>Quantitative strength</v>
      </c>
      <c r="W69" t="str">
        <f t="shared" si="13"/>
        <v>Highest current domain is quantitative reasoning, suggesting strong numerical and structured problem-solving potential.</v>
      </c>
    </row>
    <row r="70" spans="1:23" x14ac:dyDescent="0.3">
      <c r="A70" t="s">
        <v>185</v>
      </c>
      <c r="B70" t="s">
        <v>206</v>
      </c>
      <c r="C70" t="s">
        <v>207</v>
      </c>
      <c r="D70">
        <f>IFERROR(INDEX(Baseline_Entry!$N:$N,MATCH($B70,Baseline_Entry!$B:$B,0)),"")</f>
        <v>101</v>
      </c>
      <c r="E70">
        <f>IFERROR(INDEX(CAT4_Current_Master!$H:$H,MATCH($B70,CAT4_Current_Master!$A:$A,0)),"")</f>
        <v>101</v>
      </c>
      <c r="F70">
        <f t="shared" si="7"/>
        <v>0</v>
      </c>
      <c r="G70" t="str">
        <f>IFERROR(INDEX(Baseline_Entry!$Q:$Q,MATCH($B70,Baseline_Entry!$B:$B,0)),"")</f>
        <v>No bias</v>
      </c>
      <c r="H70" t="str">
        <f>IFERROR(INDEX(CAT4_Current_Master!$C:$C,MATCH($B70,CAT4_Current_Master!$A:$A,0)),"")</f>
        <v>No bias</v>
      </c>
      <c r="I70">
        <f>IFERROR(INDEX(Baseline_Entry!$R:$R,MATCH($B70,Baseline_Entry!$B:$B,0)),"")</f>
        <v>96</v>
      </c>
      <c r="J70">
        <f>IFERROR(INDEX(CAT4_Current_Master!$D:$D,MATCH($B70,CAT4_Current_Master!$A:$A,0)),"")</f>
        <v>96</v>
      </c>
      <c r="K70">
        <f t="shared" si="8"/>
        <v>0</v>
      </c>
      <c r="L70">
        <f>IFERROR(INDEX(Baseline_Entry!$S:$S,MATCH($B70,Baseline_Entry!$B:$B,0)),"")</f>
        <v>100</v>
      </c>
      <c r="M70">
        <f>IFERROR(INDEX(CAT4_Current_Master!$E:$E,MATCH($B70,CAT4_Current_Master!$A:$A,0)),"")</f>
        <v>100</v>
      </c>
      <c r="N70">
        <f t="shared" si="9"/>
        <v>0</v>
      </c>
      <c r="O70">
        <f>IFERROR(INDEX(Baseline_Entry!$T:$T,MATCH($B70,Baseline_Entry!$B:$B,0)),"")</f>
        <v>107</v>
      </c>
      <c r="P70">
        <f>IFERROR(INDEX(CAT4_Current_Master!$F:$F,MATCH($B70,CAT4_Current_Master!$A:$A,0)),"")</f>
        <v>107</v>
      </c>
      <c r="Q70">
        <f t="shared" si="10"/>
        <v>0</v>
      </c>
      <c r="R70">
        <f>IFERROR(INDEX(Baseline_Entry!$U:$U,MATCH($B70,Baseline_Entry!$B:$B,0)),"")</f>
        <v>99</v>
      </c>
      <c r="S70">
        <f>IFERROR(INDEX(CAT4_Current_Master!$G:$G,MATCH($B70,CAT4_Current_Master!$A:$A,0)),"")</f>
        <v>99</v>
      </c>
      <c r="T70">
        <f t="shared" si="11"/>
        <v>0</v>
      </c>
      <c r="U70" t="str">
        <f>IFERROR(INDEX(CAT4_Current_Master!$I:$I,MATCH($B70,CAT4_Current_Master!$A:$A,0)),"")</f>
        <v>G12</v>
      </c>
      <c r="V70" t="str">
        <f t="shared" si="12"/>
        <v>Analytical / Abstract thinker</v>
      </c>
      <c r="W70" t="str">
        <f t="shared" si="13"/>
        <v>Strong non-verbal reasoning supported by quantitative strength; well aligned with advanced analytical and STEM-rich tasks.</v>
      </c>
    </row>
    <row r="71" spans="1:23" x14ac:dyDescent="0.3">
      <c r="A71" t="s">
        <v>185</v>
      </c>
      <c r="B71" t="s">
        <v>208</v>
      </c>
      <c r="C71" t="s">
        <v>209</v>
      </c>
      <c r="D71">
        <f>IFERROR(INDEX(Baseline_Entry!$N:$N,MATCH($B71,Baseline_Entry!$B:$B,0)),"")</f>
        <v>103</v>
      </c>
      <c r="E71">
        <f>IFERROR(INDEX(CAT4_Current_Master!$H:$H,MATCH($B71,CAT4_Current_Master!$A:$A,0)),"")</f>
        <v>103</v>
      </c>
      <c r="F71">
        <f t="shared" si="7"/>
        <v>0</v>
      </c>
      <c r="G71" t="str">
        <f>IFERROR(INDEX(Baseline_Entry!$Q:$Q,MATCH($B71,Baseline_Entry!$B:$B,0)),"")</f>
        <v>Moderate spatial bias</v>
      </c>
      <c r="H71" t="str">
        <f>IFERROR(INDEX(CAT4_Current_Master!$C:$C,MATCH($B71,CAT4_Current_Master!$A:$A,0)),"")</f>
        <v>Moderate spatial bias</v>
      </c>
      <c r="I71">
        <f>IFERROR(INDEX(Baseline_Entry!$R:$R,MATCH($B71,Baseline_Entry!$B:$B,0)),"")</f>
        <v>83</v>
      </c>
      <c r="J71">
        <f>IFERROR(INDEX(CAT4_Current_Master!$D:$D,MATCH($B71,CAT4_Current_Master!$A:$A,0)),"")</f>
        <v>83</v>
      </c>
      <c r="K71">
        <f t="shared" si="8"/>
        <v>0</v>
      </c>
      <c r="L71">
        <f>IFERROR(INDEX(Baseline_Entry!$S:$S,MATCH($B71,Baseline_Entry!$B:$B,0)),"")</f>
        <v>118</v>
      </c>
      <c r="M71">
        <f>IFERROR(INDEX(CAT4_Current_Master!$E:$E,MATCH($B71,CAT4_Current_Master!$A:$A,0)),"")</f>
        <v>118</v>
      </c>
      <c r="N71">
        <f t="shared" si="9"/>
        <v>0</v>
      </c>
      <c r="O71">
        <f>IFERROR(INDEX(Baseline_Entry!$T:$T,MATCH($B71,Baseline_Entry!$B:$B,0)),"")</f>
        <v>106</v>
      </c>
      <c r="P71">
        <f>IFERROR(INDEX(CAT4_Current_Master!$F:$F,MATCH($B71,CAT4_Current_Master!$A:$A,0)),"")</f>
        <v>106</v>
      </c>
      <c r="Q71">
        <f t="shared" si="10"/>
        <v>0</v>
      </c>
      <c r="R71">
        <f>IFERROR(INDEX(Baseline_Entry!$U:$U,MATCH($B71,Baseline_Entry!$B:$B,0)),"")</f>
        <v>106</v>
      </c>
      <c r="S71">
        <f>IFERROR(INDEX(CAT4_Current_Master!$G:$G,MATCH($B71,CAT4_Current_Master!$A:$A,0)),"")</f>
        <v>106</v>
      </c>
      <c r="T71">
        <f t="shared" si="11"/>
        <v>0</v>
      </c>
      <c r="U71" t="str">
        <f>IFERROR(INDEX(CAT4_Current_Master!$I:$I,MATCH($B71,CAT4_Current_Master!$A:$A,0)),"")</f>
        <v>G12</v>
      </c>
      <c r="V71" t="str">
        <f t="shared" si="12"/>
        <v>Quantitative strength</v>
      </c>
      <c r="W71" t="str">
        <f t="shared" si="13"/>
        <v>Highest current domain is quantitative reasoning, suggesting strong numerical and structured problem-solving potential.</v>
      </c>
    </row>
    <row r="72" spans="1:23" x14ac:dyDescent="0.3">
      <c r="A72" t="s">
        <v>185</v>
      </c>
      <c r="B72" t="s">
        <v>210</v>
      </c>
      <c r="C72" t="s">
        <v>211</v>
      </c>
      <c r="D72">
        <f>IFERROR(INDEX(Baseline_Entry!$N:$N,MATCH($B72,Baseline_Entry!$B:$B,0)),"")</f>
        <v>112</v>
      </c>
      <c r="E72">
        <f>IFERROR(INDEX(CAT4_Current_Master!$H:$H,MATCH($B72,CAT4_Current_Master!$A:$A,0)),"")</f>
        <v>112</v>
      </c>
      <c r="F72">
        <f t="shared" si="7"/>
        <v>0</v>
      </c>
      <c r="G72" t="str">
        <f>IFERROR(INDEX(Baseline_Entry!$Q:$Q,MATCH($B72,Baseline_Entry!$B:$B,0)),"")</f>
        <v>Extreme spatial bias</v>
      </c>
      <c r="H72" t="str">
        <f>IFERROR(INDEX(CAT4_Current_Master!$C:$C,MATCH($B72,CAT4_Current_Master!$A:$A,0)),"")</f>
        <v>Extreme spatial bias</v>
      </c>
      <c r="I72">
        <f>IFERROR(INDEX(Baseline_Entry!$R:$R,MATCH($B72,Baseline_Entry!$B:$B,0)),"")</f>
        <v>74</v>
      </c>
      <c r="J72">
        <f>IFERROR(INDEX(CAT4_Current_Master!$D:$D,MATCH($B72,CAT4_Current_Master!$A:$A,0)),"")</f>
        <v>74</v>
      </c>
      <c r="K72">
        <f t="shared" si="8"/>
        <v>0</v>
      </c>
      <c r="L72">
        <f>IFERROR(INDEX(Baseline_Entry!$S:$S,MATCH($B72,Baseline_Entry!$B:$B,0)),"")</f>
        <v>127</v>
      </c>
      <c r="M72">
        <f>IFERROR(INDEX(CAT4_Current_Master!$E:$E,MATCH($B72,CAT4_Current_Master!$A:$A,0)),"")</f>
        <v>127</v>
      </c>
      <c r="N72">
        <f t="shared" si="9"/>
        <v>0</v>
      </c>
      <c r="O72">
        <f>IFERROR(INDEX(Baseline_Entry!$T:$T,MATCH($B72,Baseline_Entry!$B:$B,0)),"")</f>
        <v>135</v>
      </c>
      <c r="P72">
        <f>IFERROR(INDEX(CAT4_Current_Master!$F:$F,MATCH($B72,CAT4_Current_Master!$A:$A,0)),"")</f>
        <v>135</v>
      </c>
      <c r="Q72">
        <f t="shared" si="10"/>
        <v>0</v>
      </c>
      <c r="R72">
        <f>IFERROR(INDEX(Baseline_Entry!$U:$U,MATCH($B72,Baseline_Entry!$B:$B,0)),"")</f>
        <v>111</v>
      </c>
      <c r="S72">
        <f>IFERROR(INDEX(CAT4_Current_Master!$G:$G,MATCH($B72,CAT4_Current_Master!$A:$A,0)),"")</f>
        <v>111</v>
      </c>
      <c r="T72">
        <f t="shared" si="11"/>
        <v>0</v>
      </c>
      <c r="U72" t="str">
        <f>IFERROR(INDEX(CAT4_Current_Master!$I:$I,MATCH($B72,CAT4_Current_Master!$A:$A,0)),"")</f>
        <v>G12</v>
      </c>
      <c r="V72" t="str">
        <f t="shared" si="12"/>
        <v>Analytical / Abstract thinker</v>
      </c>
      <c r="W72" t="str">
        <f t="shared" si="13"/>
        <v>Strong non-verbal reasoning supported by quantitative strength; well aligned with advanced analytical and STEM-rich tasks.</v>
      </c>
    </row>
    <row r="73" spans="1:23" x14ac:dyDescent="0.3">
      <c r="A73" t="s">
        <v>185</v>
      </c>
      <c r="B73" t="s">
        <v>212</v>
      </c>
      <c r="C73" t="s">
        <v>213</v>
      </c>
      <c r="D73">
        <f>IFERROR(INDEX(Baseline_Entry!$N:$N,MATCH($B73,Baseline_Entry!$B:$B,0)),"")</f>
        <v>101</v>
      </c>
      <c r="E73">
        <f>IFERROR(INDEX(CAT4_Current_Master!$H:$H,MATCH($B73,CAT4_Current_Master!$A:$A,0)),"")</f>
        <v>101</v>
      </c>
      <c r="F73">
        <f t="shared" si="7"/>
        <v>0</v>
      </c>
      <c r="G73" t="str">
        <f>IFERROR(INDEX(Baseline_Entry!$Q:$Q,MATCH($B73,Baseline_Entry!$B:$B,0)),"")</f>
        <v>Extreme spatial bias</v>
      </c>
      <c r="H73" t="str">
        <f>IFERROR(INDEX(CAT4_Current_Master!$C:$C,MATCH($B73,CAT4_Current_Master!$A:$A,0)),"")</f>
        <v>Extreme spatial bias</v>
      </c>
      <c r="I73">
        <f>IFERROR(INDEX(Baseline_Entry!$R:$R,MATCH($B73,Baseline_Entry!$B:$B,0)),"")</f>
        <v>75</v>
      </c>
      <c r="J73">
        <f>IFERROR(INDEX(CAT4_Current_Master!$D:$D,MATCH($B73,CAT4_Current_Master!$A:$A,0)),"")</f>
        <v>75</v>
      </c>
      <c r="K73">
        <f t="shared" si="8"/>
        <v>0</v>
      </c>
      <c r="L73">
        <f>IFERROR(INDEX(Baseline_Entry!$S:$S,MATCH($B73,Baseline_Entry!$B:$B,0)),"")</f>
        <v>114</v>
      </c>
      <c r="M73">
        <f>IFERROR(INDEX(CAT4_Current_Master!$E:$E,MATCH($B73,CAT4_Current_Master!$A:$A,0)),"")</f>
        <v>114</v>
      </c>
      <c r="N73">
        <f t="shared" si="9"/>
        <v>0</v>
      </c>
      <c r="O73">
        <f>IFERROR(INDEX(Baseline_Entry!$T:$T,MATCH($B73,Baseline_Entry!$B:$B,0)),"")</f>
        <v>98</v>
      </c>
      <c r="P73">
        <f>IFERROR(INDEX(CAT4_Current_Master!$F:$F,MATCH($B73,CAT4_Current_Master!$A:$A,0)),"")</f>
        <v>98</v>
      </c>
      <c r="Q73">
        <f t="shared" si="10"/>
        <v>0</v>
      </c>
      <c r="R73">
        <f>IFERROR(INDEX(Baseline_Entry!$U:$U,MATCH($B73,Baseline_Entry!$B:$B,0)),"")</f>
        <v>116</v>
      </c>
      <c r="S73">
        <f>IFERROR(INDEX(CAT4_Current_Master!$G:$G,MATCH($B73,CAT4_Current_Master!$A:$A,0)),"")</f>
        <v>116</v>
      </c>
      <c r="T73">
        <f t="shared" si="11"/>
        <v>0</v>
      </c>
      <c r="U73" t="str">
        <f>IFERROR(INDEX(CAT4_Current_Master!$I:$I,MATCH($B73,CAT4_Current_Master!$A:$A,0)),"")</f>
        <v>G12</v>
      </c>
      <c r="V73" t="str">
        <f t="shared" si="12"/>
        <v>Spatial strength</v>
      </c>
      <c r="W73" t="str">
        <f t="shared" si="13"/>
        <v>Highest current domain is spatial reasoning, suggesting strength in visualisation, modelling, and design tasks.</v>
      </c>
    </row>
    <row r="74" spans="1:23" x14ac:dyDescent="0.3">
      <c r="A74" t="s">
        <v>185</v>
      </c>
      <c r="B74" t="s">
        <v>214</v>
      </c>
      <c r="C74" t="s">
        <v>215</v>
      </c>
      <c r="D74">
        <f>IFERROR(INDEX(Baseline_Entry!$N:$N,MATCH($B74,Baseline_Entry!$B:$B,0)),"")</f>
        <v>108</v>
      </c>
      <c r="E74">
        <f>IFERROR(INDEX(CAT4_Current_Master!$H:$H,MATCH($B74,CAT4_Current_Master!$A:$A,0)),"")</f>
        <v>108</v>
      </c>
      <c r="F74">
        <f t="shared" si="7"/>
        <v>0</v>
      </c>
      <c r="G74" t="str">
        <f>IFERROR(INDEX(Baseline_Entry!$Q:$Q,MATCH($B74,Baseline_Entry!$B:$B,0)),"")</f>
        <v>Extreme spatial bias</v>
      </c>
      <c r="H74" t="str">
        <f>IFERROR(INDEX(CAT4_Current_Master!$C:$C,MATCH($B74,CAT4_Current_Master!$A:$A,0)),"")</f>
        <v>Extreme spatial bias</v>
      </c>
      <c r="I74">
        <f>IFERROR(INDEX(Baseline_Entry!$R:$R,MATCH($B74,Baseline_Entry!$B:$B,0)),"")</f>
        <v>91</v>
      </c>
      <c r="J74">
        <f>IFERROR(INDEX(CAT4_Current_Master!$D:$D,MATCH($B74,CAT4_Current_Master!$A:$A,0)),"")</f>
        <v>91</v>
      </c>
      <c r="K74">
        <f t="shared" si="8"/>
        <v>0</v>
      </c>
      <c r="L74">
        <f>IFERROR(INDEX(Baseline_Entry!$S:$S,MATCH($B74,Baseline_Entry!$B:$B,0)),"")</f>
        <v>112</v>
      </c>
      <c r="M74">
        <f>IFERROR(INDEX(CAT4_Current_Master!$E:$E,MATCH($B74,CAT4_Current_Master!$A:$A,0)),"")</f>
        <v>112</v>
      </c>
      <c r="N74">
        <f t="shared" si="9"/>
        <v>0</v>
      </c>
      <c r="O74">
        <f>IFERROR(INDEX(Baseline_Entry!$T:$T,MATCH($B74,Baseline_Entry!$B:$B,0)),"")</f>
        <v>107</v>
      </c>
      <c r="P74">
        <f>IFERROR(INDEX(CAT4_Current_Master!$F:$F,MATCH($B74,CAT4_Current_Master!$A:$A,0)),"")</f>
        <v>107</v>
      </c>
      <c r="Q74">
        <f t="shared" si="10"/>
        <v>0</v>
      </c>
      <c r="R74">
        <f>IFERROR(INDEX(Baseline_Entry!$U:$U,MATCH($B74,Baseline_Entry!$B:$B,0)),"")</f>
        <v>122</v>
      </c>
      <c r="S74">
        <f>IFERROR(INDEX(CAT4_Current_Master!$G:$G,MATCH($B74,CAT4_Current_Master!$A:$A,0)),"")</f>
        <v>122</v>
      </c>
      <c r="T74">
        <f t="shared" si="11"/>
        <v>0</v>
      </c>
      <c r="U74" t="str">
        <f>IFERROR(INDEX(CAT4_Current_Master!$I:$I,MATCH($B74,CAT4_Current_Master!$A:$A,0)),"")</f>
        <v>G12</v>
      </c>
      <c r="V74" t="str">
        <f t="shared" si="12"/>
        <v>Spatial strength</v>
      </c>
      <c r="W74" t="str">
        <f t="shared" si="13"/>
        <v>Highest current domain is spatial reasoning, suggesting strength in visualisation, modelling, and design tasks.</v>
      </c>
    </row>
    <row r="75" spans="1:23" x14ac:dyDescent="0.3">
      <c r="A75" t="s">
        <v>185</v>
      </c>
      <c r="B75" t="s">
        <v>216</v>
      </c>
      <c r="C75" t="s">
        <v>217</v>
      </c>
      <c r="D75">
        <f>IFERROR(INDEX(Baseline_Entry!$N:$N,MATCH($B75,Baseline_Entry!$B:$B,0)),"")</f>
        <v>85</v>
      </c>
      <c r="E75">
        <f>IFERROR(INDEX(CAT4_Current_Master!$H:$H,MATCH($B75,CAT4_Current_Master!$A:$A,0)),"")</f>
        <v>85</v>
      </c>
      <c r="F75">
        <f t="shared" si="7"/>
        <v>0</v>
      </c>
      <c r="G75" t="str">
        <f>IFERROR(INDEX(Baseline_Entry!$Q:$Q,MATCH($B75,Baseline_Entry!$B:$B,0)),"")</f>
        <v>No bias</v>
      </c>
      <c r="H75" t="str">
        <f>IFERROR(INDEX(CAT4_Current_Master!$C:$C,MATCH($B75,CAT4_Current_Master!$A:$A,0)),"")</f>
        <v>No bias</v>
      </c>
      <c r="I75">
        <f>IFERROR(INDEX(Baseline_Entry!$R:$R,MATCH($B75,Baseline_Entry!$B:$B,0)),"")</f>
        <v>80</v>
      </c>
      <c r="J75">
        <f>IFERROR(INDEX(CAT4_Current_Master!$D:$D,MATCH($B75,CAT4_Current_Master!$A:$A,0)),"")</f>
        <v>80</v>
      </c>
      <c r="K75">
        <f t="shared" si="8"/>
        <v>0</v>
      </c>
      <c r="L75">
        <f>IFERROR(INDEX(Baseline_Entry!$S:$S,MATCH($B75,Baseline_Entry!$B:$B,0)),"")</f>
        <v>91</v>
      </c>
      <c r="M75">
        <f>IFERROR(INDEX(CAT4_Current_Master!$E:$E,MATCH($B75,CAT4_Current_Master!$A:$A,0)),"")</f>
        <v>91</v>
      </c>
      <c r="N75">
        <f t="shared" si="9"/>
        <v>0</v>
      </c>
      <c r="O75">
        <f>IFERROR(INDEX(Baseline_Entry!$T:$T,MATCH($B75,Baseline_Entry!$B:$B,0)),"")</f>
        <v>82</v>
      </c>
      <c r="P75">
        <f>IFERROR(INDEX(CAT4_Current_Master!$F:$F,MATCH($B75,CAT4_Current_Master!$A:$A,0)),"")</f>
        <v>82</v>
      </c>
      <c r="Q75">
        <f t="shared" si="10"/>
        <v>0</v>
      </c>
      <c r="R75">
        <f>IFERROR(INDEX(Baseline_Entry!$U:$U,MATCH($B75,Baseline_Entry!$B:$B,0)),"")</f>
        <v>88</v>
      </c>
      <c r="S75">
        <f>IFERROR(INDEX(CAT4_Current_Master!$G:$G,MATCH($B75,CAT4_Current_Master!$A:$A,0)),"")</f>
        <v>88</v>
      </c>
      <c r="T75">
        <f t="shared" si="11"/>
        <v>0</v>
      </c>
      <c r="U75" t="str">
        <f>IFERROR(INDEX(CAT4_Current_Master!$I:$I,MATCH($B75,CAT4_Current_Master!$A:$A,0)),"")</f>
        <v>G12</v>
      </c>
      <c r="V75" t="str">
        <f t="shared" si="12"/>
        <v>Quantitative strength</v>
      </c>
      <c r="W75" t="str">
        <f t="shared" si="13"/>
        <v>Highest current domain is quantitative reasoning, suggesting strong numerical and structured problem-solving potential.</v>
      </c>
    </row>
    <row r="76" spans="1:23" x14ac:dyDescent="0.3">
      <c r="A76" t="s">
        <v>185</v>
      </c>
      <c r="B76" t="s">
        <v>218</v>
      </c>
      <c r="C76" t="s">
        <v>219</v>
      </c>
      <c r="D76">
        <f>IFERROR(INDEX(Baseline_Entry!$N:$N,MATCH($B76,Baseline_Entry!$B:$B,0)),"")</f>
        <v>112</v>
      </c>
      <c r="E76">
        <f>IFERROR(INDEX(CAT4_Current_Master!$H:$H,MATCH($B76,CAT4_Current_Master!$A:$A,0)),"")</f>
        <v>112</v>
      </c>
      <c r="F76">
        <f t="shared" si="7"/>
        <v>0</v>
      </c>
      <c r="G76" t="str">
        <f>IFERROR(INDEX(Baseline_Entry!$Q:$Q,MATCH($B76,Baseline_Entry!$B:$B,0)),"")</f>
        <v>No bias</v>
      </c>
      <c r="H76" t="str">
        <f>IFERROR(INDEX(CAT4_Current_Master!$C:$C,MATCH($B76,CAT4_Current_Master!$A:$A,0)),"")</f>
        <v>No bias</v>
      </c>
      <c r="I76">
        <f>IFERROR(INDEX(Baseline_Entry!$R:$R,MATCH($B76,Baseline_Entry!$B:$B,0)),"")</f>
        <v>108</v>
      </c>
      <c r="J76">
        <f>IFERROR(INDEX(CAT4_Current_Master!$D:$D,MATCH($B76,CAT4_Current_Master!$A:$A,0)),"")</f>
        <v>108</v>
      </c>
      <c r="K76">
        <f t="shared" si="8"/>
        <v>0</v>
      </c>
      <c r="L76">
        <f>IFERROR(INDEX(Baseline_Entry!$S:$S,MATCH($B76,Baseline_Entry!$B:$B,0)),"")</f>
        <v>125</v>
      </c>
      <c r="M76">
        <f>IFERROR(INDEX(CAT4_Current_Master!$E:$E,MATCH($B76,CAT4_Current_Master!$A:$A,0)),"")</f>
        <v>125</v>
      </c>
      <c r="N76">
        <f t="shared" si="9"/>
        <v>0</v>
      </c>
      <c r="O76">
        <f>IFERROR(INDEX(Baseline_Entry!$T:$T,MATCH($B76,Baseline_Entry!$B:$B,0)),"")</f>
        <v>105</v>
      </c>
      <c r="P76">
        <f>IFERROR(INDEX(CAT4_Current_Master!$F:$F,MATCH($B76,CAT4_Current_Master!$A:$A,0)),"")</f>
        <v>105</v>
      </c>
      <c r="Q76">
        <f t="shared" si="10"/>
        <v>0</v>
      </c>
      <c r="R76">
        <f>IFERROR(INDEX(Baseline_Entry!$U:$U,MATCH($B76,Baseline_Entry!$B:$B,0)),"")</f>
        <v>111</v>
      </c>
      <c r="S76">
        <f>IFERROR(INDEX(CAT4_Current_Master!$G:$G,MATCH($B76,CAT4_Current_Master!$A:$A,0)),"")</f>
        <v>111</v>
      </c>
      <c r="T76">
        <f t="shared" si="11"/>
        <v>0</v>
      </c>
      <c r="U76" t="str">
        <f>IFERROR(INDEX(CAT4_Current_Master!$I:$I,MATCH($B76,CAT4_Current_Master!$A:$A,0)),"")</f>
        <v>G12</v>
      </c>
      <c r="V76" t="str">
        <f t="shared" si="12"/>
        <v>Quantitative strength</v>
      </c>
      <c r="W76" t="str">
        <f t="shared" si="13"/>
        <v>Highest current domain is quantitative reasoning, suggesting strong numerical and structured problem-solving potential.</v>
      </c>
    </row>
    <row r="77" spans="1:23" x14ac:dyDescent="0.3">
      <c r="A77" t="s">
        <v>185</v>
      </c>
      <c r="B77" t="s">
        <v>220</v>
      </c>
      <c r="C77" t="s">
        <v>221</v>
      </c>
      <c r="D77">
        <f>IFERROR(INDEX(Baseline_Entry!$N:$N,MATCH($B77,Baseline_Entry!$B:$B,0)),"")</f>
        <v>107</v>
      </c>
      <c r="E77">
        <f>IFERROR(INDEX(CAT4_Current_Master!$H:$H,MATCH($B77,CAT4_Current_Master!$A:$A,0)),"")</f>
        <v>107</v>
      </c>
      <c r="F77">
        <f t="shared" si="7"/>
        <v>0</v>
      </c>
      <c r="G77" t="str">
        <f>IFERROR(INDEX(Baseline_Entry!$Q:$Q,MATCH($B77,Baseline_Entry!$B:$B,0)),"")</f>
        <v>No bias</v>
      </c>
      <c r="H77" t="str">
        <f>IFERROR(INDEX(CAT4_Current_Master!$C:$C,MATCH($B77,CAT4_Current_Master!$A:$A,0)),"")</f>
        <v>No bias</v>
      </c>
      <c r="I77">
        <f>IFERROR(INDEX(Baseline_Entry!$R:$R,MATCH($B77,Baseline_Entry!$B:$B,0)),"")</f>
        <v>101</v>
      </c>
      <c r="J77">
        <f>IFERROR(INDEX(CAT4_Current_Master!$D:$D,MATCH($B77,CAT4_Current_Master!$A:$A,0)),"")</f>
        <v>101</v>
      </c>
      <c r="K77">
        <f t="shared" si="8"/>
        <v>0</v>
      </c>
      <c r="L77">
        <f>IFERROR(INDEX(Baseline_Entry!$S:$S,MATCH($B77,Baseline_Entry!$B:$B,0)),"")</f>
        <v>110</v>
      </c>
      <c r="M77">
        <f>IFERROR(INDEX(CAT4_Current_Master!$E:$E,MATCH($B77,CAT4_Current_Master!$A:$A,0)),"")</f>
        <v>110</v>
      </c>
      <c r="N77">
        <f t="shared" si="9"/>
        <v>0</v>
      </c>
      <c r="O77">
        <f>IFERROR(INDEX(Baseline_Entry!$T:$T,MATCH($B77,Baseline_Entry!$B:$B,0)),"")</f>
        <v>116</v>
      </c>
      <c r="P77">
        <f>IFERROR(INDEX(CAT4_Current_Master!$F:$F,MATCH($B77,CAT4_Current_Master!$A:$A,0)),"")</f>
        <v>116</v>
      </c>
      <c r="Q77">
        <f t="shared" si="10"/>
        <v>0</v>
      </c>
      <c r="R77">
        <f>IFERROR(INDEX(Baseline_Entry!$U:$U,MATCH($B77,Baseline_Entry!$B:$B,0)),"")</f>
        <v>100</v>
      </c>
      <c r="S77">
        <f>IFERROR(INDEX(CAT4_Current_Master!$G:$G,MATCH($B77,CAT4_Current_Master!$A:$A,0)),"")</f>
        <v>100</v>
      </c>
      <c r="T77">
        <f t="shared" si="11"/>
        <v>0</v>
      </c>
      <c r="U77" t="str">
        <f>IFERROR(INDEX(CAT4_Current_Master!$I:$I,MATCH($B77,CAT4_Current_Master!$A:$A,0)),"")</f>
        <v>G12</v>
      </c>
      <c r="V77" t="str">
        <f t="shared" si="12"/>
        <v>Analytical / Abstract thinker</v>
      </c>
      <c r="W77" t="str">
        <f t="shared" si="13"/>
        <v>Strong non-verbal reasoning supported by quantitative strength; well aligned with advanced analytical and STEM-rich tasks.</v>
      </c>
    </row>
    <row r="78" spans="1:23" x14ac:dyDescent="0.3">
      <c r="A78" t="s">
        <v>185</v>
      </c>
      <c r="B78" t="s">
        <v>222</v>
      </c>
      <c r="C78" t="s">
        <v>223</v>
      </c>
      <c r="D78">
        <f>IFERROR(INDEX(Baseline_Entry!$N:$N,MATCH($B78,Baseline_Entry!$B:$B,0)),"")</f>
        <v>99</v>
      </c>
      <c r="E78">
        <f>IFERROR(INDEX(CAT4_Current_Master!$H:$H,MATCH($B78,CAT4_Current_Master!$A:$A,0)),"")</f>
        <v>99</v>
      </c>
      <c r="F78">
        <f t="shared" si="7"/>
        <v>0</v>
      </c>
      <c r="G78" t="str">
        <f>IFERROR(INDEX(Baseline_Entry!$Q:$Q,MATCH($B78,Baseline_Entry!$B:$B,0)),"")</f>
        <v>Extreme spatial bias</v>
      </c>
      <c r="H78" t="str">
        <f>IFERROR(INDEX(CAT4_Current_Master!$C:$C,MATCH($B78,CAT4_Current_Master!$A:$A,0)),"")</f>
        <v>Extreme spatial bias</v>
      </c>
      <c r="I78">
        <f>IFERROR(INDEX(Baseline_Entry!$R:$R,MATCH($B78,Baseline_Entry!$B:$B,0)),"")</f>
        <v>81</v>
      </c>
      <c r="J78">
        <f>IFERROR(INDEX(CAT4_Current_Master!$D:$D,MATCH($B78,CAT4_Current_Master!$A:$A,0)),"")</f>
        <v>81</v>
      </c>
      <c r="K78">
        <f t="shared" si="8"/>
        <v>0</v>
      </c>
      <c r="L78">
        <f>IFERROR(INDEX(Baseline_Entry!$S:$S,MATCH($B78,Baseline_Entry!$B:$B,0)),"")</f>
        <v>93</v>
      </c>
      <c r="M78">
        <f>IFERROR(INDEX(CAT4_Current_Master!$E:$E,MATCH($B78,CAT4_Current_Master!$A:$A,0)),"")</f>
        <v>93</v>
      </c>
      <c r="N78">
        <f t="shared" si="9"/>
        <v>0</v>
      </c>
      <c r="O78">
        <f>IFERROR(INDEX(Baseline_Entry!$T:$T,MATCH($B78,Baseline_Entry!$B:$B,0)),"")</f>
        <v>115</v>
      </c>
      <c r="P78">
        <f>IFERROR(INDEX(CAT4_Current_Master!$F:$F,MATCH($B78,CAT4_Current_Master!$A:$A,0)),"")</f>
        <v>115</v>
      </c>
      <c r="Q78">
        <f t="shared" si="10"/>
        <v>0</v>
      </c>
      <c r="R78">
        <f>IFERROR(INDEX(Baseline_Entry!$U:$U,MATCH($B78,Baseline_Entry!$B:$B,0)),"")</f>
        <v>105</v>
      </c>
      <c r="S78">
        <f>IFERROR(INDEX(CAT4_Current_Master!$G:$G,MATCH($B78,CAT4_Current_Master!$A:$A,0)),"")</f>
        <v>105</v>
      </c>
      <c r="T78">
        <f t="shared" si="11"/>
        <v>0</v>
      </c>
      <c r="U78" t="str">
        <f>IFERROR(INDEX(CAT4_Current_Master!$I:$I,MATCH($B78,CAT4_Current_Master!$A:$A,0)),"")</f>
        <v>G12</v>
      </c>
      <c r="V78" t="str">
        <f t="shared" si="12"/>
        <v>Mixed profile</v>
      </c>
      <c r="W78" t="str">
        <f t="shared" si="13"/>
        <v>Mixed cognitive pattern requiring differentiated instruction.</v>
      </c>
    </row>
    <row r="79" spans="1:23" x14ac:dyDescent="0.3">
      <c r="A79" t="s">
        <v>185</v>
      </c>
      <c r="B79" t="s">
        <v>224</v>
      </c>
      <c r="C79" t="s">
        <v>225</v>
      </c>
      <c r="D79">
        <f>IFERROR(INDEX(Baseline_Entry!$N:$N,MATCH($B79,Baseline_Entry!$B:$B,0)),"")</f>
        <v>96</v>
      </c>
      <c r="E79">
        <f>IFERROR(INDEX(CAT4_Current_Master!$H:$H,MATCH($B79,CAT4_Current_Master!$A:$A,0)),"")</f>
        <v>96</v>
      </c>
      <c r="F79">
        <f t="shared" si="7"/>
        <v>0</v>
      </c>
      <c r="G79" t="str">
        <f>IFERROR(INDEX(Baseline_Entry!$Q:$Q,MATCH($B79,Baseline_Entry!$B:$B,0)),"")</f>
        <v>Moderate spatial bias</v>
      </c>
      <c r="H79" t="str">
        <f>IFERROR(INDEX(CAT4_Current_Master!$C:$C,MATCH($B79,CAT4_Current_Master!$A:$A,0)),"")</f>
        <v>Moderate spatial bias</v>
      </c>
      <c r="I79">
        <f>IFERROR(INDEX(Baseline_Entry!$R:$R,MATCH($B79,Baseline_Entry!$B:$B,0)),"")</f>
        <v>76</v>
      </c>
      <c r="J79">
        <f>IFERROR(INDEX(CAT4_Current_Master!$D:$D,MATCH($B79,CAT4_Current_Master!$A:$A,0)),"")</f>
        <v>76</v>
      </c>
      <c r="K79">
        <f t="shared" si="8"/>
        <v>0</v>
      </c>
      <c r="L79">
        <f>IFERROR(INDEX(Baseline_Entry!$S:$S,MATCH($B79,Baseline_Entry!$B:$B,0)),"")</f>
        <v>113</v>
      </c>
      <c r="M79">
        <f>IFERROR(INDEX(CAT4_Current_Master!$E:$E,MATCH($B79,CAT4_Current_Master!$A:$A,0)),"")</f>
        <v>113</v>
      </c>
      <c r="N79">
        <f t="shared" si="9"/>
        <v>0</v>
      </c>
      <c r="O79">
        <f>IFERROR(INDEX(Baseline_Entry!$T:$T,MATCH($B79,Baseline_Entry!$B:$B,0)),"")</f>
        <v>94</v>
      </c>
      <c r="P79">
        <f>IFERROR(INDEX(CAT4_Current_Master!$F:$F,MATCH($B79,CAT4_Current_Master!$A:$A,0)),"")</f>
        <v>94</v>
      </c>
      <c r="Q79">
        <f t="shared" si="10"/>
        <v>0</v>
      </c>
      <c r="R79">
        <f>IFERROR(INDEX(Baseline_Entry!$U:$U,MATCH($B79,Baseline_Entry!$B:$B,0)),"")</f>
        <v>100</v>
      </c>
      <c r="S79">
        <f>IFERROR(INDEX(CAT4_Current_Master!$G:$G,MATCH($B79,CAT4_Current_Master!$A:$A,0)),"")</f>
        <v>100</v>
      </c>
      <c r="T79">
        <f t="shared" si="11"/>
        <v>0</v>
      </c>
      <c r="U79" t="str">
        <f>IFERROR(INDEX(CAT4_Current_Master!$I:$I,MATCH($B79,CAT4_Current_Master!$A:$A,0)),"")</f>
        <v>G12</v>
      </c>
      <c r="V79" t="str">
        <f t="shared" si="12"/>
        <v>Quantitative strength</v>
      </c>
      <c r="W79" t="str">
        <f t="shared" si="13"/>
        <v>Highest current domain is quantitative reasoning, suggesting strong numerical and structured problem-solving potential.</v>
      </c>
    </row>
    <row r="80" spans="1:23" x14ac:dyDescent="0.3">
      <c r="A80" t="s">
        <v>185</v>
      </c>
      <c r="B80" t="s">
        <v>226</v>
      </c>
      <c r="C80" t="s">
        <v>227</v>
      </c>
      <c r="D80">
        <f>IFERROR(INDEX(Baseline_Entry!$N:$N,MATCH($B80,Baseline_Entry!$B:$B,0)),"")</f>
        <v>90</v>
      </c>
      <c r="E80">
        <f>IFERROR(INDEX(CAT4_Current_Master!$H:$H,MATCH($B80,CAT4_Current_Master!$A:$A,0)),"")</f>
        <v>90</v>
      </c>
      <c r="F80">
        <f t="shared" si="7"/>
        <v>0</v>
      </c>
      <c r="G80" t="str">
        <f>IFERROR(INDEX(Baseline_Entry!$Q:$Q,MATCH($B80,Baseline_Entry!$B:$B,0)),"")</f>
        <v>No bias</v>
      </c>
      <c r="H80" t="str">
        <f>IFERROR(INDEX(CAT4_Current_Master!$C:$C,MATCH($B80,CAT4_Current_Master!$A:$A,0)),"")</f>
        <v>No bias</v>
      </c>
      <c r="I80">
        <f>IFERROR(INDEX(Baseline_Entry!$R:$R,MATCH($B80,Baseline_Entry!$B:$B,0)),"")</f>
        <v>86</v>
      </c>
      <c r="J80">
        <f>IFERROR(INDEX(CAT4_Current_Master!$D:$D,MATCH($B80,CAT4_Current_Master!$A:$A,0)),"")</f>
        <v>86</v>
      </c>
      <c r="K80">
        <f t="shared" si="8"/>
        <v>0</v>
      </c>
      <c r="L80">
        <f>IFERROR(INDEX(Baseline_Entry!$S:$S,MATCH($B80,Baseline_Entry!$B:$B,0)),"")</f>
        <v>101</v>
      </c>
      <c r="M80">
        <f>IFERROR(INDEX(CAT4_Current_Master!$E:$E,MATCH($B80,CAT4_Current_Master!$A:$A,0)),"")</f>
        <v>101</v>
      </c>
      <c r="N80">
        <f t="shared" si="9"/>
        <v>0</v>
      </c>
      <c r="O80">
        <f>IFERROR(INDEX(Baseline_Entry!$T:$T,MATCH($B80,Baseline_Entry!$B:$B,0)),"")</f>
        <v>86</v>
      </c>
      <c r="P80">
        <f>IFERROR(INDEX(CAT4_Current_Master!$F:$F,MATCH($B80,CAT4_Current_Master!$A:$A,0)),"")</f>
        <v>86</v>
      </c>
      <c r="Q80">
        <f t="shared" si="10"/>
        <v>0</v>
      </c>
      <c r="R80">
        <f>IFERROR(INDEX(Baseline_Entry!$U:$U,MATCH($B80,Baseline_Entry!$B:$B,0)),"")</f>
        <v>86</v>
      </c>
      <c r="S80">
        <f>IFERROR(INDEX(CAT4_Current_Master!$G:$G,MATCH($B80,CAT4_Current_Master!$A:$A,0)),"")</f>
        <v>86</v>
      </c>
      <c r="T80">
        <f t="shared" si="11"/>
        <v>0</v>
      </c>
      <c r="U80" t="str">
        <f>IFERROR(INDEX(CAT4_Current_Master!$I:$I,MATCH($B80,CAT4_Current_Master!$A:$A,0)),"")</f>
        <v>G12</v>
      </c>
      <c r="V80" t="str">
        <f t="shared" si="12"/>
        <v>Quantitative strength</v>
      </c>
      <c r="W80" t="str">
        <f t="shared" si="13"/>
        <v>Highest current domain is quantitative reasoning, suggesting strong numerical and structured problem-solving potential.</v>
      </c>
    </row>
    <row r="81" spans="1:23" x14ac:dyDescent="0.3">
      <c r="A81" t="s">
        <v>185</v>
      </c>
      <c r="B81" t="s">
        <v>228</v>
      </c>
      <c r="C81" t="s">
        <v>229</v>
      </c>
      <c r="D81">
        <f>IFERROR(INDEX(Baseline_Entry!$N:$N,MATCH($B81,Baseline_Entry!$B:$B,0)),"")</f>
        <v>96</v>
      </c>
      <c r="E81">
        <f>IFERROR(INDEX(CAT4_Current_Master!$H:$H,MATCH($B81,CAT4_Current_Master!$A:$A,0)),"")</f>
        <v>96</v>
      </c>
      <c r="F81">
        <f t="shared" si="7"/>
        <v>0</v>
      </c>
      <c r="G81" t="str">
        <f>IFERROR(INDEX(Baseline_Entry!$Q:$Q,MATCH($B81,Baseline_Entry!$B:$B,0)),"")</f>
        <v>Mild spatial bias</v>
      </c>
      <c r="H81" t="str">
        <f>IFERROR(INDEX(CAT4_Current_Master!$C:$C,MATCH($B81,CAT4_Current_Master!$A:$A,0)),"")</f>
        <v>Mild spatial bias</v>
      </c>
      <c r="I81">
        <f>IFERROR(INDEX(Baseline_Entry!$R:$R,MATCH($B81,Baseline_Entry!$B:$B,0)),"")</f>
        <v>86</v>
      </c>
      <c r="J81">
        <f>IFERROR(INDEX(CAT4_Current_Master!$D:$D,MATCH($B81,CAT4_Current_Master!$A:$A,0)),"")</f>
        <v>86</v>
      </c>
      <c r="K81">
        <f t="shared" si="8"/>
        <v>0</v>
      </c>
      <c r="L81">
        <f>IFERROR(INDEX(Baseline_Entry!$S:$S,MATCH($B81,Baseline_Entry!$B:$B,0)),"")</f>
        <v>100</v>
      </c>
      <c r="M81">
        <f>IFERROR(INDEX(CAT4_Current_Master!$E:$E,MATCH($B81,CAT4_Current_Master!$A:$A,0)),"")</f>
        <v>100</v>
      </c>
      <c r="N81">
        <f t="shared" si="9"/>
        <v>0</v>
      </c>
      <c r="O81">
        <f>IFERROR(INDEX(Baseline_Entry!$T:$T,MATCH($B81,Baseline_Entry!$B:$B,0)),"")</f>
        <v>100</v>
      </c>
      <c r="P81">
        <f>IFERROR(INDEX(CAT4_Current_Master!$F:$F,MATCH($B81,CAT4_Current_Master!$A:$A,0)),"")</f>
        <v>100</v>
      </c>
      <c r="Q81">
        <f t="shared" si="10"/>
        <v>0</v>
      </c>
      <c r="R81">
        <f>IFERROR(INDEX(Baseline_Entry!$U:$U,MATCH($B81,Baseline_Entry!$B:$B,0)),"")</f>
        <v>98</v>
      </c>
      <c r="S81">
        <f>IFERROR(INDEX(CAT4_Current_Master!$G:$G,MATCH($B81,CAT4_Current_Master!$A:$A,0)),"")</f>
        <v>98</v>
      </c>
      <c r="T81">
        <f t="shared" si="11"/>
        <v>0</v>
      </c>
      <c r="U81" t="str">
        <f>IFERROR(INDEX(CAT4_Current_Master!$I:$I,MATCH($B81,CAT4_Current_Master!$A:$A,0)),"")</f>
        <v>G12</v>
      </c>
      <c r="V81" t="str">
        <f t="shared" si="12"/>
        <v>Analytical / Abstract thinker</v>
      </c>
      <c r="W81" t="str">
        <f t="shared" si="13"/>
        <v>Strong non-verbal reasoning supported by quantitative strength; well aligned with advanced analytical and STEM-rich tasks.</v>
      </c>
    </row>
    <row r="82" spans="1:23" x14ac:dyDescent="0.3">
      <c r="A82" t="s">
        <v>185</v>
      </c>
      <c r="B82" t="s">
        <v>230</v>
      </c>
      <c r="C82" t="s">
        <v>231</v>
      </c>
      <c r="D82">
        <f>IFERROR(INDEX(Baseline_Entry!$N:$N,MATCH($B82,Baseline_Entry!$B:$B,0)),"")</f>
        <v>86</v>
      </c>
      <c r="E82">
        <f>IFERROR(INDEX(CAT4_Current_Master!$H:$H,MATCH($B82,CAT4_Current_Master!$A:$A,0)),"")</f>
        <v>86</v>
      </c>
      <c r="F82">
        <f t="shared" si="7"/>
        <v>0</v>
      </c>
      <c r="G82" t="str">
        <f>IFERROR(INDEX(Baseline_Entry!$Q:$Q,MATCH($B82,Baseline_Entry!$B:$B,0)),"")</f>
        <v>No bias</v>
      </c>
      <c r="H82" t="str">
        <f>IFERROR(INDEX(CAT4_Current_Master!$C:$C,MATCH($B82,CAT4_Current_Master!$A:$A,0)),"")</f>
        <v>No bias</v>
      </c>
      <c r="I82">
        <f>IFERROR(INDEX(Baseline_Entry!$R:$R,MATCH($B82,Baseline_Entry!$B:$B,0)),"")</f>
        <v>77</v>
      </c>
      <c r="J82">
        <f>IFERROR(INDEX(CAT4_Current_Master!$D:$D,MATCH($B82,CAT4_Current_Master!$A:$A,0)),"")</f>
        <v>77</v>
      </c>
      <c r="K82">
        <f t="shared" si="8"/>
        <v>0</v>
      </c>
      <c r="L82">
        <f>IFERROR(INDEX(Baseline_Entry!$S:$S,MATCH($B82,Baseline_Entry!$B:$B,0)),"")</f>
        <v>96</v>
      </c>
      <c r="M82">
        <f>IFERROR(INDEX(CAT4_Current_Master!$E:$E,MATCH($B82,CAT4_Current_Master!$A:$A,0)),"")</f>
        <v>96</v>
      </c>
      <c r="N82">
        <f t="shared" si="9"/>
        <v>0</v>
      </c>
      <c r="O82">
        <f>IFERROR(INDEX(Baseline_Entry!$T:$T,MATCH($B82,Baseline_Entry!$B:$B,0)),"")</f>
        <v>86</v>
      </c>
      <c r="P82">
        <f>IFERROR(INDEX(CAT4_Current_Master!$F:$F,MATCH($B82,CAT4_Current_Master!$A:$A,0)),"")</f>
        <v>86</v>
      </c>
      <c r="Q82">
        <f t="shared" si="10"/>
        <v>0</v>
      </c>
      <c r="R82">
        <f>IFERROR(INDEX(Baseline_Entry!$U:$U,MATCH($B82,Baseline_Entry!$B:$B,0)),"")</f>
        <v>86</v>
      </c>
      <c r="S82">
        <f>IFERROR(INDEX(CAT4_Current_Master!$G:$G,MATCH($B82,CAT4_Current_Master!$A:$A,0)),"")</f>
        <v>86</v>
      </c>
      <c r="T82">
        <f t="shared" si="11"/>
        <v>0</v>
      </c>
      <c r="U82" t="str">
        <f>IFERROR(INDEX(CAT4_Current_Master!$I:$I,MATCH($B82,CAT4_Current_Master!$A:$A,0)),"")</f>
        <v>G12</v>
      </c>
      <c r="V82" t="str">
        <f t="shared" si="12"/>
        <v>Quantitative strength</v>
      </c>
      <c r="W82" t="str">
        <f t="shared" si="13"/>
        <v>Highest current domain is quantitative reasoning, suggesting strong numerical and structured problem-solving potential.</v>
      </c>
    </row>
    <row r="83" spans="1:23" x14ac:dyDescent="0.3">
      <c r="A83" t="s">
        <v>185</v>
      </c>
      <c r="B83" t="s">
        <v>232</v>
      </c>
      <c r="C83" t="s">
        <v>233</v>
      </c>
      <c r="D83">
        <f>IFERROR(INDEX(Baseline_Entry!$N:$N,MATCH($B83,Baseline_Entry!$B:$B,0)),"")</f>
        <v>84</v>
      </c>
      <c r="E83">
        <f>IFERROR(INDEX(CAT4_Current_Master!$H:$H,MATCH($B83,CAT4_Current_Master!$A:$A,0)),"")</f>
        <v>84</v>
      </c>
      <c r="F83">
        <f t="shared" si="7"/>
        <v>0</v>
      </c>
      <c r="G83" t="str">
        <f>IFERROR(INDEX(Baseline_Entry!$Q:$Q,MATCH($B83,Baseline_Entry!$B:$B,0)),"")</f>
        <v>No bias</v>
      </c>
      <c r="H83" t="str">
        <f>IFERROR(INDEX(CAT4_Current_Master!$C:$C,MATCH($B83,CAT4_Current_Master!$A:$A,0)),"")</f>
        <v>No bias</v>
      </c>
      <c r="I83">
        <f>IFERROR(INDEX(Baseline_Entry!$R:$R,MATCH($B83,Baseline_Entry!$B:$B,0)),"")</f>
        <v>73</v>
      </c>
      <c r="J83">
        <f>IFERROR(INDEX(CAT4_Current_Master!$D:$D,MATCH($B83,CAT4_Current_Master!$A:$A,0)),"")</f>
        <v>73</v>
      </c>
      <c r="K83">
        <f t="shared" si="8"/>
        <v>0</v>
      </c>
      <c r="L83">
        <f>IFERROR(INDEX(Baseline_Entry!$S:$S,MATCH($B83,Baseline_Entry!$B:$B,0)),"")</f>
        <v>101</v>
      </c>
      <c r="M83">
        <f>IFERROR(INDEX(CAT4_Current_Master!$E:$E,MATCH($B83,CAT4_Current_Master!$A:$A,0)),"")</f>
        <v>101</v>
      </c>
      <c r="N83">
        <f t="shared" si="9"/>
        <v>0</v>
      </c>
      <c r="O83">
        <f>IFERROR(INDEX(Baseline_Entry!$T:$T,MATCH($B83,Baseline_Entry!$B:$B,0)),"")</f>
        <v>82</v>
      </c>
      <c r="P83">
        <f>IFERROR(INDEX(CAT4_Current_Master!$F:$F,MATCH($B83,CAT4_Current_Master!$A:$A,0)),"")</f>
        <v>82</v>
      </c>
      <c r="Q83">
        <f t="shared" si="10"/>
        <v>0</v>
      </c>
      <c r="R83">
        <f>IFERROR(INDEX(Baseline_Entry!$U:$U,MATCH($B83,Baseline_Entry!$B:$B,0)),"")</f>
        <v>80</v>
      </c>
      <c r="S83">
        <f>IFERROR(INDEX(CAT4_Current_Master!$G:$G,MATCH($B83,CAT4_Current_Master!$A:$A,0)),"")</f>
        <v>80</v>
      </c>
      <c r="T83">
        <f t="shared" si="11"/>
        <v>0</v>
      </c>
      <c r="U83" t="str">
        <f>IFERROR(INDEX(CAT4_Current_Master!$I:$I,MATCH($B83,CAT4_Current_Master!$A:$A,0)),"")</f>
        <v>G12</v>
      </c>
      <c r="V83" t="str">
        <f t="shared" si="12"/>
        <v>Quantitative strength</v>
      </c>
      <c r="W83" t="str">
        <f t="shared" si="13"/>
        <v>Highest current domain is quantitative reasoning, suggesting strong numerical and structured problem-solving potential.</v>
      </c>
    </row>
    <row r="84" spans="1:23" x14ac:dyDescent="0.3">
      <c r="A84" t="s">
        <v>185</v>
      </c>
      <c r="B84" t="s">
        <v>234</v>
      </c>
      <c r="C84" t="s">
        <v>235</v>
      </c>
      <c r="D84">
        <f>IFERROR(INDEX(Baseline_Entry!$N:$N,MATCH($B84,Baseline_Entry!$B:$B,0)),"")</f>
        <v>97</v>
      </c>
      <c r="E84">
        <f>IFERROR(INDEX(CAT4_Current_Master!$H:$H,MATCH($B84,CAT4_Current_Master!$A:$A,0)),"")</f>
        <v>97</v>
      </c>
      <c r="F84">
        <f t="shared" si="7"/>
        <v>0</v>
      </c>
      <c r="G84" t="str">
        <f>IFERROR(INDEX(Baseline_Entry!$Q:$Q,MATCH($B84,Baseline_Entry!$B:$B,0)),"")</f>
        <v>Mild spatial bias</v>
      </c>
      <c r="H84" t="str">
        <f>IFERROR(INDEX(CAT4_Current_Master!$C:$C,MATCH($B84,CAT4_Current_Master!$A:$A,0)),"")</f>
        <v>Mild spatial bias</v>
      </c>
      <c r="I84">
        <f>IFERROR(INDEX(Baseline_Entry!$R:$R,MATCH($B84,Baseline_Entry!$B:$B,0)),"")</f>
        <v>76</v>
      </c>
      <c r="J84">
        <f>IFERROR(INDEX(CAT4_Current_Master!$D:$D,MATCH($B84,CAT4_Current_Master!$A:$A,0)),"")</f>
        <v>76</v>
      </c>
      <c r="K84">
        <f t="shared" si="8"/>
        <v>0</v>
      </c>
      <c r="L84">
        <f>IFERROR(INDEX(Baseline_Entry!$S:$S,MATCH($B84,Baseline_Entry!$B:$B,0)),"")</f>
        <v>106</v>
      </c>
      <c r="M84">
        <f>IFERROR(INDEX(CAT4_Current_Master!$E:$E,MATCH($B84,CAT4_Current_Master!$A:$A,0)),"")</f>
        <v>106</v>
      </c>
      <c r="N84">
        <f t="shared" si="9"/>
        <v>0</v>
      </c>
      <c r="O84">
        <f>IFERROR(INDEX(Baseline_Entry!$T:$T,MATCH($B84,Baseline_Entry!$B:$B,0)),"")</f>
        <v>112</v>
      </c>
      <c r="P84">
        <f>IFERROR(INDEX(CAT4_Current_Master!$F:$F,MATCH($B84,CAT4_Current_Master!$A:$A,0)),"")</f>
        <v>112</v>
      </c>
      <c r="Q84">
        <f t="shared" si="10"/>
        <v>0</v>
      </c>
      <c r="R84">
        <f>IFERROR(INDEX(Baseline_Entry!$U:$U,MATCH($B84,Baseline_Entry!$B:$B,0)),"")</f>
        <v>92</v>
      </c>
      <c r="S84">
        <f>IFERROR(INDEX(CAT4_Current_Master!$G:$G,MATCH($B84,CAT4_Current_Master!$A:$A,0)),"")</f>
        <v>92</v>
      </c>
      <c r="T84">
        <f t="shared" si="11"/>
        <v>0</v>
      </c>
      <c r="U84" t="str">
        <f>IFERROR(INDEX(CAT4_Current_Master!$I:$I,MATCH($B84,CAT4_Current_Master!$A:$A,0)),"")</f>
        <v>G12</v>
      </c>
      <c r="V84" t="str">
        <f t="shared" si="12"/>
        <v>Analytical / Abstract thinker</v>
      </c>
      <c r="W84" t="str">
        <f t="shared" si="13"/>
        <v>Strong non-verbal reasoning supported by quantitative strength; well aligned with advanced analytical and STEM-rich tasks.</v>
      </c>
    </row>
    <row r="85" spans="1:23" x14ac:dyDescent="0.3">
      <c r="A85" t="s">
        <v>185</v>
      </c>
      <c r="B85" t="s">
        <v>236</v>
      </c>
      <c r="C85" t="s">
        <v>237</v>
      </c>
      <c r="D85">
        <f>IFERROR(INDEX(Baseline_Entry!$N:$N,MATCH($B85,Baseline_Entry!$B:$B,0)),"")</f>
        <v>96</v>
      </c>
      <c r="E85">
        <f>IFERROR(INDEX(CAT4_Current_Master!$H:$H,MATCH($B85,CAT4_Current_Master!$A:$A,0)),"")</f>
        <v>96</v>
      </c>
      <c r="F85">
        <f t="shared" si="7"/>
        <v>0</v>
      </c>
      <c r="G85" t="str">
        <f>IFERROR(INDEX(Baseline_Entry!$Q:$Q,MATCH($B85,Baseline_Entry!$B:$B,0)),"")</f>
        <v>Mild spatial bias</v>
      </c>
      <c r="H85" t="str">
        <f>IFERROR(INDEX(CAT4_Current_Master!$C:$C,MATCH($B85,CAT4_Current_Master!$A:$A,0)),"")</f>
        <v>Mild spatial bias</v>
      </c>
      <c r="I85">
        <f>IFERROR(INDEX(Baseline_Entry!$R:$R,MATCH($B85,Baseline_Entry!$B:$B,0)),"")</f>
        <v>86</v>
      </c>
      <c r="J85">
        <f>IFERROR(INDEX(CAT4_Current_Master!$D:$D,MATCH($B85,CAT4_Current_Master!$A:$A,0)),"")</f>
        <v>86</v>
      </c>
      <c r="K85">
        <f t="shared" si="8"/>
        <v>0</v>
      </c>
      <c r="L85">
        <f>IFERROR(INDEX(Baseline_Entry!$S:$S,MATCH($B85,Baseline_Entry!$B:$B,0)),"")</f>
        <v>91</v>
      </c>
      <c r="M85">
        <f>IFERROR(INDEX(CAT4_Current_Master!$E:$E,MATCH($B85,CAT4_Current_Master!$A:$A,0)),"")</f>
        <v>91</v>
      </c>
      <c r="N85">
        <f t="shared" si="9"/>
        <v>0</v>
      </c>
      <c r="O85">
        <f>IFERROR(INDEX(Baseline_Entry!$T:$T,MATCH($B85,Baseline_Entry!$B:$B,0)),"")</f>
        <v>107</v>
      </c>
      <c r="P85">
        <f>IFERROR(INDEX(CAT4_Current_Master!$F:$F,MATCH($B85,CAT4_Current_Master!$A:$A,0)),"")</f>
        <v>107</v>
      </c>
      <c r="Q85">
        <f t="shared" si="10"/>
        <v>0</v>
      </c>
      <c r="R85">
        <f>IFERROR(INDEX(Baseline_Entry!$U:$U,MATCH($B85,Baseline_Entry!$B:$B,0)),"")</f>
        <v>98</v>
      </c>
      <c r="S85">
        <f>IFERROR(INDEX(CAT4_Current_Master!$G:$G,MATCH($B85,CAT4_Current_Master!$A:$A,0)),"")</f>
        <v>98</v>
      </c>
      <c r="T85">
        <f t="shared" si="11"/>
        <v>0</v>
      </c>
      <c r="U85" t="str">
        <f>IFERROR(INDEX(CAT4_Current_Master!$I:$I,MATCH($B85,CAT4_Current_Master!$A:$A,0)),"")</f>
        <v>G12</v>
      </c>
      <c r="V85" t="str">
        <f t="shared" si="12"/>
        <v>Mixed profile</v>
      </c>
      <c r="W85" t="str">
        <f t="shared" si="13"/>
        <v>Mixed cognitive pattern requiring differentiated instruction.</v>
      </c>
    </row>
    <row r="86" spans="1:23" x14ac:dyDescent="0.3">
      <c r="A86" t="s">
        <v>185</v>
      </c>
      <c r="B86" t="s">
        <v>238</v>
      </c>
      <c r="C86" t="s">
        <v>239</v>
      </c>
      <c r="D86">
        <f>IFERROR(INDEX(Baseline_Entry!$N:$N,MATCH($B86,Baseline_Entry!$B:$B,0)),"")</f>
        <v>93</v>
      </c>
      <c r="E86">
        <f>IFERROR(INDEX(CAT4_Current_Master!$H:$H,MATCH($B86,CAT4_Current_Master!$A:$A,0)),"")</f>
        <v>93</v>
      </c>
      <c r="F86">
        <f t="shared" si="7"/>
        <v>0</v>
      </c>
      <c r="G86" t="str">
        <f>IFERROR(INDEX(Baseline_Entry!$Q:$Q,MATCH($B86,Baseline_Entry!$B:$B,0)),"")</f>
        <v>Extreme spatial bias</v>
      </c>
      <c r="H86" t="str">
        <f>IFERROR(INDEX(CAT4_Current_Master!$C:$C,MATCH($B86,CAT4_Current_Master!$A:$A,0)),"")</f>
        <v>Extreme spatial bias</v>
      </c>
      <c r="I86">
        <f>IFERROR(INDEX(Baseline_Entry!$R:$R,MATCH($B86,Baseline_Entry!$B:$B,0)),"")</f>
        <v>71</v>
      </c>
      <c r="J86">
        <f>IFERROR(INDEX(CAT4_Current_Master!$D:$D,MATCH($B86,CAT4_Current_Master!$A:$A,0)),"")</f>
        <v>71</v>
      </c>
      <c r="K86">
        <f t="shared" si="8"/>
        <v>0</v>
      </c>
      <c r="L86">
        <f>IFERROR(INDEX(Baseline_Entry!$S:$S,MATCH($B86,Baseline_Entry!$B:$B,0)),"")</f>
        <v>107</v>
      </c>
      <c r="M86">
        <f>IFERROR(INDEX(CAT4_Current_Master!$E:$E,MATCH($B86,CAT4_Current_Master!$A:$A,0)),"")</f>
        <v>107</v>
      </c>
      <c r="N86">
        <f t="shared" si="9"/>
        <v>0</v>
      </c>
      <c r="O86">
        <f>IFERROR(INDEX(Baseline_Entry!$T:$T,MATCH($B86,Baseline_Entry!$B:$B,0)),"")</f>
        <v>91</v>
      </c>
      <c r="P86">
        <f>IFERROR(INDEX(CAT4_Current_Master!$F:$F,MATCH($B86,CAT4_Current_Master!$A:$A,0)),"")</f>
        <v>91</v>
      </c>
      <c r="Q86">
        <f t="shared" si="10"/>
        <v>0</v>
      </c>
      <c r="R86">
        <f>IFERROR(INDEX(Baseline_Entry!$U:$U,MATCH($B86,Baseline_Entry!$B:$B,0)),"")</f>
        <v>102</v>
      </c>
      <c r="S86">
        <f>IFERROR(INDEX(CAT4_Current_Master!$G:$G,MATCH($B86,CAT4_Current_Master!$A:$A,0)),"")</f>
        <v>102</v>
      </c>
      <c r="T86">
        <f t="shared" si="11"/>
        <v>0</v>
      </c>
      <c r="U86" t="str">
        <f>IFERROR(INDEX(CAT4_Current_Master!$I:$I,MATCH($B86,CAT4_Current_Master!$A:$A,0)),"")</f>
        <v>G12</v>
      </c>
      <c r="V86" t="str">
        <f t="shared" si="12"/>
        <v>Quantitative strength</v>
      </c>
      <c r="W86" t="str">
        <f t="shared" si="13"/>
        <v>Highest current domain is quantitative reasoning, suggesting strong numerical and structured problem-solving potential.</v>
      </c>
    </row>
    <row r="87" spans="1:23" x14ac:dyDescent="0.3">
      <c r="A87" t="s">
        <v>185</v>
      </c>
      <c r="B87" t="s">
        <v>240</v>
      </c>
      <c r="C87" t="s">
        <v>241</v>
      </c>
      <c r="D87">
        <f>IFERROR(INDEX(Baseline_Entry!$N:$N,MATCH($B87,Baseline_Entry!$B:$B,0)),"")</f>
        <v>109</v>
      </c>
      <c r="E87">
        <f>IFERROR(INDEX(CAT4_Current_Master!$H:$H,MATCH($B87,CAT4_Current_Master!$A:$A,0)),"")</f>
        <v>109</v>
      </c>
      <c r="F87">
        <f t="shared" si="7"/>
        <v>0</v>
      </c>
      <c r="G87" t="str">
        <f>IFERROR(INDEX(Baseline_Entry!$Q:$Q,MATCH($B87,Baseline_Entry!$B:$B,0)),"")</f>
        <v>Extreme spatial bias</v>
      </c>
      <c r="H87" t="str">
        <f>IFERROR(INDEX(CAT4_Current_Master!$C:$C,MATCH($B87,CAT4_Current_Master!$A:$A,0)),"")</f>
        <v>Extreme spatial bias</v>
      </c>
      <c r="I87">
        <f>IFERROR(INDEX(Baseline_Entry!$R:$R,MATCH($B87,Baseline_Entry!$B:$B,0)),"")</f>
        <v>86</v>
      </c>
      <c r="J87">
        <f>IFERROR(INDEX(CAT4_Current_Master!$D:$D,MATCH($B87,CAT4_Current_Master!$A:$A,0)),"")</f>
        <v>86</v>
      </c>
      <c r="K87">
        <f t="shared" si="8"/>
        <v>0</v>
      </c>
      <c r="L87">
        <f>IFERROR(INDEX(Baseline_Entry!$S:$S,MATCH($B87,Baseline_Entry!$B:$B,0)),"")</f>
        <v>114</v>
      </c>
      <c r="M87">
        <f>IFERROR(INDEX(CAT4_Current_Master!$E:$E,MATCH($B87,CAT4_Current_Master!$A:$A,0)),"")</f>
        <v>114</v>
      </c>
      <c r="N87">
        <f t="shared" si="9"/>
        <v>0</v>
      </c>
      <c r="O87">
        <f>IFERROR(INDEX(Baseline_Entry!$T:$T,MATCH($B87,Baseline_Entry!$B:$B,0)),"")</f>
        <v>111</v>
      </c>
      <c r="P87">
        <f>IFERROR(INDEX(CAT4_Current_Master!$F:$F,MATCH($B87,CAT4_Current_Master!$A:$A,0)),"")</f>
        <v>111</v>
      </c>
      <c r="Q87">
        <f t="shared" si="10"/>
        <v>0</v>
      </c>
      <c r="R87">
        <f>IFERROR(INDEX(Baseline_Entry!$U:$U,MATCH($B87,Baseline_Entry!$B:$B,0)),"")</f>
        <v>125</v>
      </c>
      <c r="S87">
        <f>IFERROR(INDEX(CAT4_Current_Master!$G:$G,MATCH($B87,CAT4_Current_Master!$A:$A,0)),"")</f>
        <v>125</v>
      </c>
      <c r="T87">
        <f t="shared" si="11"/>
        <v>0</v>
      </c>
      <c r="U87" t="str">
        <f>IFERROR(INDEX(CAT4_Current_Master!$I:$I,MATCH($B87,CAT4_Current_Master!$A:$A,0)),"")</f>
        <v>G12</v>
      </c>
      <c r="V87" t="str">
        <f t="shared" si="12"/>
        <v>Spatial strength</v>
      </c>
      <c r="W87" t="str">
        <f t="shared" si="13"/>
        <v>Highest current domain is spatial reasoning, suggesting strength in visualisation, modelling, and design tasks.</v>
      </c>
    </row>
    <row r="88" spans="1:23" x14ac:dyDescent="0.3">
      <c r="A88" t="s">
        <v>185</v>
      </c>
      <c r="B88" t="s">
        <v>242</v>
      </c>
      <c r="C88" t="s">
        <v>243</v>
      </c>
      <c r="D88">
        <f>IFERROR(INDEX(Baseline_Entry!$N:$N,MATCH($B88,Baseline_Entry!$B:$B,0)),"")</f>
        <v>116</v>
      </c>
      <c r="E88">
        <f>IFERROR(INDEX(CAT4_Current_Master!$H:$H,MATCH($B88,CAT4_Current_Master!$A:$A,0)),"")</f>
        <v>116</v>
      </c>
      <c r="F88">
        <f t="shared" si="7"/>
        <v>0</v>
      </c>
      <c r="G88" t="str">
        <f>IFERROR(INDEX(Baseline_Entry!$Q:$Q,MATCH($B88,Baseline_Entry!$B:$B,0)),"")</f>
        <v>No bias</v>
      </c>
      <c r="H88" t="str">
        <f>IFERROR(INDEX(CAT4_Current_Master!$C:$C,MATCH($B88,CAT4_Current_Master!$A:$A,0)),"")</f>
        <v>No bias</v>
      </c>
      <c r="I88">
        <f>IFERROR(INDEX(Baseline_Entry!$R:$R,MATCH($B88,Baseline_Entry!$B:$B,0)),"")</f>
        <v>114</v>
      </c>
      <c r="J88">
        <f>IFERROR(INDEX(CAT4_Current_Master!$D:$D,MATCH($B88,CAT4_Current_Master!$A:$A,0)),"")</f>
        <v>114</v>
      </c>
      <c r="K88">
        <f t="shared" si="8"/>
        <v>0</v>
      </c>
      <c r="L88">
        <f>IFERROR(INDEX(Baseline_Entry!$S:$S,MATCH($B88,Baseline_Entry!$B:$B,0)),"")</f>
        <v>117</v>
      </c>
      <c r="M88">
        <f>IFERROR(INDEX(CAT4_Current_Master!$E:$E,MATCH($B88,CAT4_Current_Master!$A:$A,0)),"")</f>
        <v>117</v>
      </c>
      <c r="N88">
        <f t="shared" si="9"/>
        <v>0</v>
      </c>
      <c r="O88">
        <f>IFERROR(INDEX(Baseline_Entry!$T:$T,MATCH($B88,Baseline_Entry!$B:$B,0)),"")</f>
        <v>126</v>
      </c>
      <c r="P88">
        <f>IFERROR(INDEX(CAT4_Current_Master!$F:$F,MATCH($B88,CAT4_Current_Master!$A:$A,0)),"")</f>
        <v>126</v>
      </c>
      <c r="Q88">
        <f t="shared" si="10"/>
        <v>0</v>
      </c>
      <c r="R88">
        <f>IFERROR(INDEX(Baseline_Entry!$U:$U,MATCH($B88,Baseline_Entry!$B:$B,0)),"")</f>
        <v>107</v>
      </c>
      <c r="S88">
        <f>IFERROR(INDEX(CAT4_Current_Master!$G:$G,MATCH($B88,CAT4_Current_Master!$A:$A,0)),"")</f>
        <v>107</v>
      </c>
      <c r="T88">
        <f t="shared" si="11"/>
        <v>0</v>
      </c>
      <c r="U88" t="str">
        <f>IFERROR(INDEX(CAT4_Current_Master!$I:$I,MATCH($B88,CAT4_Current_Master!$A:$A,0)),"")</f>
        <v>G12</v>
      </c>
      <c r="V88" t="str">
        <f t="shared" si="12"/>
        <v>Analytical / Abstract thinker</v>
      </c>
      <c r="W88" t="str">
        <f t="shared" si="13"/>
        <v>Strong non-verbal reasoning supported by quantitative strength; well aligned with advanced analytical and STEM-rich tasks.</v>
      </c>
    </row>
    <row r="89" spans="1:23" x14ac:dyDescent="0.3">
      <c r="A89" t="s">
        <v>185</v>
      </c>
      <c r="B89" t="s">
        <v>244</v>
      </c>
      <c r="C89" t="s">
        <v>245</v>
      </c>
      <c r="D89">
        <f>IFERROR(INDEX(Baseline_Entry!$N:$N,MATCH($B89,Baseline_Entry!$B:$B,0)),"")</f>
        <v>101</v>
      </c>
      <c r="E89">
        <f>IFERROR(INDEX(CAT4_Current_Master!$H:$H,MATCH($B89,CAT4_Current_Master!$A:$A,0)),"")</f>
        <v>101</v>
      </c>
      <c r="F89">
        <f t="shared" si="7"/>
        <v>0</v>
      </c>
      <c r="G89" t="str">
        <f>IFERROR(INDEX(Baseline_Entry!$Q:$Q,MATCH($B89,Baseline_Entry!$B:$B,0)),"")</f>
        <v>No bias</v>
      </c>
      <c r="H89" t="str">
        <f>IFERROR(INDEX(CAT4_Current_Master!$C:$C,MATCH($B89,CAT4_Current_Master!$A:$A,0)),"")</f>
        <v>No bias</v>
      </c>
      <c r="I89">
        <f>IFERROR(INDEX(Baseline_Entry!$R:$R,MATCH($B89,Baseline_Entry!$B:$B,0)),"")</f>
        <v>95</v>
      </c>
      <c r="J89">
        <f>IFERROR(INDEX(CAT4_Current_Master!$D:$D,MATCH($B89,CAT4_Current_Master!$A:$A,0)),"")</f>
        <v>95</v>
      </c>
      <c r="K89">
        <f t="shared" si="8"/>
        <v>0</v>
      </c>
      <c r="L89">
        <f>IFERROR(INDEX(Baseline_Entry!$S:$S,MATCH($B89,Baseline_Entry!$B:$B,0)),"")</f>
        <v>113</v>
      </c>
      <c r="M89">
        <f>IFERROR(INDEX(CAT4_Current_Master!$E:$E,MATCH($B89,CAT4_Current_Master!$A:$A,0)),"")</f>
        <v>113</v>
      </c>
      <c r="N89">
        <f t="shared" si="9"/>
        <v>0</v>
      </c>
      <c r="O89">
        <f>IFERROR(INDEX(Baseline_Entry!$T:$T,MATCH($B89,Baseline_Entry!$B:$B,0)),"")</f>
        <v>102</v>
      </c>
      <c r="P89">
        <f>IFERROR(INDEX(CAT4_Current_Master!$F:$F,MATCH($B89,CAT4_Current_Master!$A:$A,0)),"")</f>
        <v>102</v>
      </c>
      <c r="Q89">
        <f t="shared" si="10"/>
        <v>0</v>
      </c>
      <c r="R89">
        <f>IFERROR(INDEX(Baseline_Entry!$U:$U,MATCH($B89,Baseline_Entry!$B:$B,0)),"")</f>
        <v>94</v>
      </c>
      <c r="S89">
        <f>IFERROR(INDEX(CAT4_Current_Master!$G:$G,MATCH($B89,CAT4_Current_Master!$A:$A,0)),"")</f>
        <v>94</v>
      </c>
      <c r="T89">
        <f t="shared" si="11"/>
        <v>0</v>
      </c>
      <c r="U89" t="str">
        <f>IFERROR(INDEX(CAT4_Current_Master!$I:$I,MATCH($B89,CAT4_Current_Master!$A:$A,0)),"")</f>
        <v>G12</v>
      </c>
      <c r="V89" t="str">
        <f t="shared" si="12"/>
        <v>Quantitative strength</v>
      </c>
      <c r="W89" t="str">
        <f t="shared" si="13"/>
        <v>Highest current domain is quantitative reasoning, suggesting strong numerical and structured problem-solving potential.</v>
      </c>
    </row>
    <row r="90" spans="1:23" x14ac:dyDescent="0.3">
      <c r="A90" t="s">
        <v>185</v>
      </c>
      <c r="B90" t="s">
        <v>246</v>
      </c>
      <c r="C90" t="s">
        <v>247</v>
      </c>
      <c r="D90">
        <f>IFERROR(INDEX(Baseline_Entry!$N:$N,MATCH($B90,Baseline_Entry!$B:$B,0)),"")</f>
        <v>92</v>
      </c>
      <c r="E90">
        <f>IFERROR(INDEX(CAT4_Current_Master!$H:$H,MATCH($B90,CAT4_Current_Master!$A:$A,0)),"")</f>
        <v>92</v>
      </c>
      <c r="F90">
        <f t="shared" si="7"/>
        <v>0</v>
      </c>
      <c r="G90" t="str">
        <f>IFERROR(INDEX(Baseline_Entry!$Q:$Q,MATCH($B90,Baseline_Entry!$B:$B,0)),"")</f>
        <v>Moderate spatial bias</v>
      </c>
      <c r="H90" t="str">
        <f>IFERROR(INDEX(CAT4_Current_Master!$C:$C,MATCH($B90,CAT4_Current_Master!$A:$A,0)),"")</f>
        <v>Moderate spatial bias</v>
      </c>
      <c r="I90">
        <f>IFERROR(INDEX(Baseline_Entry!$R:$R,MATCH($B90,Baseline_Entry!$B:$B,0)),"")</f>
        <v>70</v>
      </c>
      <c r="J90">
        <f>IFERROR(INDEX(CAT4_Current_Master!$D:$D,MATCH($B90,CAT4_Current_Master!$A:$A,0)),"")</f>
        <v>70</v>
      </c>
      <c r="K90">
        <f t="shared" si="8"/>
        <v>0</v>
      </c>
      <c r="L90">
        <f>IFERROR(INDEX(Baseline_Entry!$S:$S,MATCH($B90,Baseline_Entry!$B:$B,0)),"")</f>
        <v>102</v>
      </c>
      <c r="M90">
        <f>IFERROR(INDEX(CAT4_Current_Master!$E:$E,MATCH($B90,CAT4_Current_Master!$A:$A,0)),"")</f>
        <v>102</v>
      </c>
      <c r="N90">
        <f t="shared" si="9"/>
        <v>0</v>
      </c>
      <c r="O90">
        <f>IFERROR(INDEX(Baseline_Entry!$T:$T,MATCH($B90,Baseline_Entry!$B:$B,0)),"")</f>
        <v>100</v>
      </c>
      <c r="P90">
        <f>IFERROR(INDEX(CAT4_Current_Master!$F:$F,MATCH($B90,CAT4_Current_Master!$A:$A,0)),"")</f>
        <v>100</v>
      </c>
      <c r="Q90">
        <f t="shared" si="10"/>
        <v>0</v>
      </c>
      <c r="R90">
        <f>IFERROR(INDEX(Baseline_Entry!$U:$U,MATCH($B90,Baseline_Entry!$B:$B,0)),"")</f>
        <v>96</v>
      </c>
      <c r="S90">
        <f>IFERROR(INDEX(CAT4_Current_Master!$G:$G,MATCH($B90,CAT4_Current_Master!$A:$A,0)),"")</f>
        <v>96</v>
      </c>
      <c r="T90">
        <f t="shared" si="11"/>
        <v>0</v>
      </c>
      <c r="U90" t="str">
        <f>IFERROR(INDEX(CAT4_Current_Master!$I:$I,MATCH($B90,CAT4_Current_Master!$A:$A,0)),"")</f>
        <v>G12</v>
      </c>
      <c r="V90" t="str">
        <f t="shared" si="12"/>
        <v>Quantitative strength</v>
      </c>
      <c r="W90" t="str">
        <f t="shared" si="13"/>
        <v>Highest current domain is quantitative reasoning, suggesting strong numerical and structured problem-solving potential.</v>
      </c>
    </row>
    <row r="91" spans="1:23" x14ac:dyDescent="0.3">
      <c r="A91" t="s">
        <v>185</v>
      </c>
      <c r="B91" t="s">
        <v>248</v>
      </c>
      <c r="C91" t="s">
        <v>249</v>
      </c>
      <c r="D91">
        <f>IFERROR(INDEX(Baseline_Entry!$N:$N,MATCH($B91,Baseline_Entry!$B:$B,0)),"")</f>
        <v>107</v>
      </c>
      <c r="E91">
        <f>IFERROR(INDEX(CAT4_Current_Master!$H:$H,MATCH($B91,CAT4_Current_Master!$A:$A,0)),"")</f>
        <v>107</v>
      </c>
      <c r="F91">
        <f t="shared" si="7"/>
        <v>0</v>
      </c>
      <c r="G91" t="str">
        <f>IFERROR(INDEX(Baseline_Entry!$Q:$Q,MATCH($B91,Baseline_Entry!$B:$B,0)),"")</f>
        <v>Mild spatial bias</v>
      </c>
      <c r="H91" t="str">
        <f>IFERROR(INDEX(CAT4_Current_Master!$C:$C,MATCH($B91,CAT4_Current_Master!$A:$A,0)),"")</f>
        <v>Mild spatial bias</v>
      </c>
      <c r="I91">
        <f>IFERROR(INDEX(Baseline_Entry!$R:$R,MATCH($B91,Baseline_Entry!$B:$B,0)),"")</f>
        <v>96</v>
      </c>
      <c r="J91">
        <f>IFERROR(INDEX(CAT4_Current_Master!$D:$D,MATCH($B91,CAT4_Current_Master!$A:$A,0)),"")</f>
        <v>96</v>
      </c>
      <c r="K91">
        <f t="shared" si="8"/>
        <v>0</v>
      </c>
      <c r="L91">
        <f>IFERROR(INDEX(Baseline_Entry!$S:$S,MATCH($B91,Baseline_Entry!$B:$B,0)),"")</f>
        <v>121</v>
      </c>
      <c r="M91">
        <f>IFERROR(INDEX(CAT4_Current_Master!$E:$E,MATCH($B91,CAT4_Current_Master!$A:$A,0)),"")</f>
        <v>121</v>
      </c>
      <c r="N91">
        <f t="shared" si="9"/>
        <v>0</v>
      </c>
      <c r="O91">
        <f>IFERROR(INDEX(Baseline_Entry!$T:$T,MATCH($B91,Baseline_Entry!$B:$B,0)),"")</f>
        <v>103</v>
      </c>
      <c r="P91">
        <f>IFERROR(INDEX(CAT4_Current_Master!$F:$F,MATCH($B91,CAT4_Current_Master!$A:$A,0)),"")</f>
        <v>103</v>
      </c>
      <c r="Q91">
        <f t="shared" si="10"/>
        <v>0</v>
      </c>
      <c r="R91">
        <f>IFERROR(INDEX(Baseline_Entry!$U:$U,MATCH($B91,Baseline_Entry!$B:$B,0)),"")</f>
        <v>109</v>
      </c>
      <c r="S91">
        <f>IFERROR(INDEX(CAT4_Current_Master!$G:$G,MATCH($B91,CAT4_Current_Master!$A:$A,0)),"")</f>
        <v>109</v>
      </c>
      <c r="T91">
        <f t="shared" si="11"/>
        <v>0</v>
      </c>
      <c r="U91" t="str">
        <f>IFERROR(INDEX(CAT4_Current_Master!$I:$I,MATCH($B91,CAT4_Current_Master!$A:$A,0)),"")</f>
        <v>G12</v>
      </c>
      <c r="V91" t="str">
        <f t="shared" si="12"/>
        <v>Quantitative strength</v>
      </c>
      <c r="W91" t="str">
        <f t="shared" si="13"/>
        <v>Highest current domain is quantitative reasoning, suggesting strong numerical and structured problem-solving potential.</v>
      </c>
    </row>
    <row r="92" spans="1:23" x14ac:dyDescent="0.3">
      <c r="A92" t="s">
        <v>185</v>
      </c>
      <c r="B92" t="s">
        <v>250</v>
      </c>
      <c r="C92" t="s">
        <v>251</v>
      </c>
      <c r="D92">
        <f>IFERROR(INDEX(Baseline_Entry!$N:$N,MATCH($B92,Baseline_Entry!$B:$B,0)),"")</f>
        <v>101</v>
      </c>
      <c r="E92">
        <f>IFERROR(INDEX(CAT4_Current_Master!$H:$H,MATCH($B92,CAT4_Current_Master!$A:$A,0)),"")</f>
        <v>101</v>
      </c>
      <c r="F92">
        <f t="shared" si="7"/>
        <v>0</v>
      </c>
      <c r="G92" t="str">
        <f>IFERROR(INDEX(Baseline_Entry!$Q:$Q,MATCH($B92,Baseline_Entry!$B:$B,0)),"")</f>
        <v>Moderate spatial bias</v>
      </c>
      <c r="H92" t="str">
        <f>IFERROR(INDEX(CAT4_Current_Master!$C:$C,MATCH($B92,CAT4_Current_Master!$A:$A,0)),"")</f>
        <v>Moderate spatial bias</v>
      </c>
      <c r="I92">
        <f>IFERROR(INDEX(Baseline_Entry!$R:$R,MATCH($B92,Baseline_Entry!$B:$B,0)),"")</f>
        <v>85</v>
      </c>
      <c r="J92">
        <f>IFERROR(INDEX(CAT4_Current_Master!$D:$D,MATCH($B92,CAT4_Current_Master!$A:$A,0)),"")</f>
        <v>85</v>
      </c>
      <c r="K92">
        <f t="shared" si="8"/>
        <v>0</v>
      </c>
      <c r="L92">
        <f>IFERROR(INDEX(Baseline_Entry!$S:$S,MATCH($B92,Baseline_Entry!$B:$B,0)),"")</f>
        <v>101</v>
      </c>
      <c r="M92">
        <f>IFERROR(INDEX(CAT4_Current_Master!$E:$E,MATCH($B92,CAT4_Current_Master!$A:$A,0)),"")</f>
        <v>101</v>
      </c>
      <c r="N92">
        <f t="shared" si="9"/>
        <v>0</v>
      </c>
      <c r="O92">
        <f>IFERROR(INDEX(Baseline_Entry!$T:$T,MATCH($B92,Baseline_Entry!$B:$B,0)),"")</f>
        <v>113</v>
      </c>
      <c r="P92">
        <f>IFERROR(INDEX(CAT4_Current_Master!$F:$F,MATCH($B92,CAT4_Current_Master!$A:$A,0)),"")</f>
        <v>113</v>
      </c>
      <c r="Q92">
        <f t="shared" si="10"/>
        <v>0</v>
      </c>
      <c r="R92">
        <f>IFERROR(INDEX(Baseline_Entry!$U:$U,MATCH($B92,Baseline_Entry!$B:$B,0)),"")</f>
        <v>105</v>
      </c>
      <c r="S92">
        <f>IFERROR(INDEX(CAT4_Current_Master!$G:$G,MATCH($B92,CAT4_Current_Master!$A:$A,0)),"")</f>
        <v>105</v>
      </c>
      <c r="T92">
        <f t="shared" si="11"/>
        <v>0</v>
      </c>
      <c r="U92" t="str">
        <f>IFERROR(INDEX(CAT4_Current_Master!$I:$I,MATCH($B92,CAT4_Current_Master!$A:$A,0)),"")</f>
        <v>G12</v>
      </c>
      <c r="V92" t="str">
        <f t="shared" si="12"/>
        <v>Analytical / Abstract thinker</v>
      </c>
      <c r="W92" t="str">
        <f t="shared" si="13"/>
        <v>Strong non-verbal reasoning supported by quantitative strength; well aligned with advanced analytical and STEM-rich tasks.</v>
      </c>
    </row>
    <row r="93" spans="1:23" x14ac:dyDescent="0.3">
      <c r="A93" t="s">
        <v>185</v>
      </c>
      <c r="B93" t="s">
        <v>252</v>
      </c>
      <c r="C93" t="s">
        <v>253</v>
      </c>
      <c r="D93">
        <f>IFERROR(INDEX(Baseline_Entry!$N:$N,MATCH($B93,Baseline_Entry!$B:$B,0)),"")</f>
        <v>95</v>
      </c>
      <c r="E93">
        <f>IFERROR(INDEX(CAT4_Current_Master!$H:$H,MATCH($B93,CAT4_Current_Master!$A:$A,0)),"")</f>
        <v>95</v>
      </c>
      <c r="F93">
        <f t="shared" si="7"/>
        <v>0</v>
      </c>
      <c r="G93" t="str">
        <f>IFERROR(INDEX(Baseline_Entry!$Q:$Q,MATCH($B93,Baseline_Entry!$B:$B,0)),"")</f>
        <v>Moderate spatial bias</v>
      </c>
      <c r="H93" t="str">
        <f>IFERROR(INDEX(CAT4_Current_Master!$C:$C,MATCH($B93,CAT4_Current_Master!$A:$A,0)),"")</f>
        <v>Moderate spatial bias</v>
      </c>
      <c r="I93">
        <f>IFERROR(INDEX(Baseline_Entry!$R:$R,MATCH($B93,Baseline_Entry!$B:$B,0)),"")</f>
        <v>71</v>
      </c>
      <c r="J93">
        <f>IFERROR(INDEX(CAT4_Current_Master!$D:$D,MATCH($B93,CAT4_Current_Master!$A:$A,0)),"")</f>
        <v>71</v>
      </c>
      <c r="K93">
        <f t="shared" si="8"/>
        <v>0</v>
      </c>
      <c r="L93">
        <f>IFERROR(INDEX(Baseline_Entry!$S:$S,MATCH($B93,Baseline_Entry!$B:$B,0)),"")</f>
        <v>116</v>
      </c>
      <c r="M93">
        <f>IFERROR(INDEX(CAT4_Current_Master!$E:$E,MATCH($B93,CAT4_Current_Master!$A:$A,0)),"")</f>
        <v>116</v>
      </c>
      <c r="N93">
        <f t="shared" si="9"/>
        <v>0</v>
      </c>
      <c r="O93">
        <f>IFERROR(INDEX(Baseline_Entry!$T:$T,MATCH($B93,Baseline_Entry!$B:$B,0)),"")</f>
        <v>96</v>
      </c>
      <c r="P93">
        <f>IFERROR(INDEX(CAT4_Current_Master!$F:$F,MATCH($B93,CAT4_Current_Master!$A:$A,0)),"")</f>
        <v>96</v>
      </c>
      <c r="Q93">
        <f t="shared" si="10"/>
        <v>0</v>
      </c>
      <c r="R93">
        <f>IFERROR(INDEX(Baseline_Entry!$U:$U,MATCH($B93,Baseline_Entry!$B:$B,0)),"")</f>
        <v>96</v>
      </c>
      <c r="S93">
        <f>IFERROR(INDEX(CAT4_Current_Master!$G:$G,MATCH($B93,CAT4_Current_Master!$A:$A,0)),"")</f>
        <v>96</v>
      </c>
      <c r="T93">
        <f t="shared" si="11"/>
        <v>0</v>
      </c>
      <c r="U93" t="str">
        <f>IFERROR(INDEX(CAT4_Current_Master!$I:$I,MATCH($B93,CAT4_Current_Master!$A:$A,0)),"")</f>
        <v>G12</v>
      </c>
      <c r="V93" t="str">
        <f t="shared" si="12"/>
        <v>Quantitative strength</v>
      </c>
      <c r="W93" t="str">
        <f t="shared" si="13"/>
        <v>Highest current domain is quantitative reasoning, suggesting strong numerical and structured problem-solving potential.</v>
      </c>
    </row>
    <row r="94" spans="1:23" x14ac:dyDescent="0.3">
      <c r="A94" t="s">
        <v>185</v>
      </c>
      <c r="B94" t="s">
        <v>254</v>
      </c>
      <c r="C94" t="s">
        <v>255</v>
      </c>
      <c r="D94">
        <f>IFERROR(INDEX(Baseline_Entry!$N:$N,MATCH($B94,Baseline_Entry!$B:$B,0)),"")</f>
        <v>83</v>
      </c>
      <c r="E94">
        <f>IFERROR(INDEX(CAT4_Current_Master!$H:$H,MATCH($B94,CAT4_Current_Master!$A:$A,0)),"")</f>
        <v>83</v>
      </c>
      <c r="F94">
        <f t="shared" si="7"/>
        <v>0</v>
      </c>
      <c r="G94" t="str">
        <f>IFERROR(INDEX(Baseline_Entry!$Q:$Q,MATCH($B94,Baseline_Entry!$B:$B,0)),"")</f>
        <v>Mild spatial bias</v>
      </c>
      <c r="H94" t="str">
        <f>IFERROR(INDEX(CAT4_Current_Master!$C:$C,MATCH($B94,CAT4_Current_Master!$A:$A,0)),"")</f>
        <v>Mild spatial bias</v>
      </c>
      <c r="I94">
        <f>IFERROR(INDEX(Baseline_Entry!$R:$R,MATCH($B94,Baseline_Entry!$B:$B,0)),"")</f>
        <v>71</v>
      </c>
      <c r="J94">
        <f>IFERROR(INDEX(CAT4_Current_Master!$D:$D,MATCH($B94,CAT4_Current_Master!$A:$A,0)),"")</f>
        <v>71</v>
      </c>
      <c r="K94">
        <f t="shared" si="8"/>
        <v>0</v>
      </c>
      <c r="L94">
        <f>IFERROR(INDEX(Baseline_Entry!$S:$S,MATCH($B94,Baseline_Entry!$B:$B,0)),"")</f>
        <v>101</v>
      </c>
      <c r="M94">
        <f>IFERROR(INDEX(CAT4_Current_Master!$E:$E,MATCH($B94,CAT4_Current_Master!$A:$A,0)),"")</f>
        <v>101</v>
      </c>
      <c r="N94">
        <f t="shared" si="9"/>
        <v>0</v>
      </c>
      <c r="O94">
        <f>IFERROR(INDEX(Baseline_Entry!$T:$T,MATCH($B94,Baseline_Entry!$B:$B,0)),"")</f>
        <v>74</v>
      </c>
      <c r="P94">
        <f>IFERROR(INDEX(CAT4_Current_Master!$F:$F,MATCH($B94,CAT4_Current_Master!$A:$A,0)),"")</f>
        <v>74</v>
      </c>
      <c r="Q94">
        <f t="shared" si="10"/>
        <v>0</v>
      </c>
      <c r="R94">
        <f>IFERROR(INDEX(Baseline_Entry!$U:$U,MATCH($B94,Baseline_Entry!$B:$B,0)),"")</f>
        <v>84</v>
      </c>
      <c r="S94">
        <f>IFERROR(INDEX(CAT4_Current_Master!$G:$G,MATCH($B94,CAT4_Current_Master!$A:$A,0)),"")</f>
        <v>84</v>
      </c>
      <c r="T94">
        <f t="shared" si="11"/>
        <v>0</v>
      </c>
      <c r="U94" t="str">
        <f>IFERROR(INDEX(CAT4_Current_Master!$I:$I,MATCH($B94,CAT4_Current_Master!$A:$A,0)),"")</f>
        <v>G12</v>
      </c>
      <c r="V94" t="str">
        <f t="shared" si="12"/>
        <v>Quantitative strength</v>
      </c>
      <c r="W94" t="str">
        <f t="shared" si="13"/>
        <v>Highest current domain is quantitative reasoning, suggesting strong numerical and structured problem-solving potential.</v>
      </c>
    </row>
    <row r="95" spans="1:23" x14ac:dyDescent="0.3">
      <c r="A95" t="s">
        <v>185</v>
      </c>
      <c r="B95" t="s">
        <v>256</v>
      </c>
      <c r="C95" t="s">
        <v>257</v>
      </c>
      <c r="D95">
        <f>IFERROR(INDEX(Baseline_Entry!$N:$N,MATCH($B95,Baseline_Entry!$B:$B,0)),"")</f>
        <v>94</v>
      </c>
      <c r="E95">
        <f>IFERROR(INDEX(CAT4_Current_Master!$H:$H,MATCH($B95,CAT4_Current_Master!$A:$A,0)),"")</f>
        <v>94</v>
      </c>
      <c r="F95">
        <f t="shared" si="7"/>
        <v>0</v>
      </c>
      <c r="G95" t="str">
        <f>IFERROR(INDEX(Baseline_Entry!$Q:$Q,MATCH($B95,Baseline_Entry!$B:$B,0)),"")</f>
        <v>Moderate spatial bias</v>
      </c>
      <c r="H95" t="str">
        <f>IFERROR(INDEX(CAT4_Current_Master!$C:$C,MATCH($B95,CAT4_Current_Master!$A:$A,0)),"")</f>
        <v>Moderate spatial bias</v>
      </c>
      <c r="I95">
        <f>IFERROR(INDEX(Baseline_Entry!$R:$R,MATCH($B95,Baseline_Entry!$B:$B,0)),"")</f>
        <v>76</v>
      </c>
      <c r="J95">
        <f>IFERROR(INDEX(CAT4_Current_Master!$D:$D,MATCH($B95,CAT4_Current_Master!$A:$A,0)),"")</f>
        <v>76</v>
      </c>
      <c r="K95">
        <f t="shared" si="8"/>
        <v>0</v>
      </c>
      <c r="L95">
        <f>IFERROR(INDEX(Baseline_Entry!$S:$S,MATCH($B95,Baseline_Entry!$B:$B,0)),"")</f>
        <v>99</v>
      </c>
      <c r="M95">
        <f>IFERROR(INDEX(CAT4_Current_Master!$E:$E,MATCH($B95,CAT4_Current_Master!$A:$A,0)),"")</f>
        <v>99</v>
      </c>
      <c r="N95">
        <f t="shared" si="9"/>
        <v>0</v>
      </c>
      <c r="O95">
        <f>IFERROR(INDEX(Baseline_Entry!$T:$T,MATCH($B95,Baseline_Entry!$B:$B,0)),"")</f>
        <v>101</v>
      </c>
      <c r="P95">
        <f>IFERROR(INDEX(CAT4_Current_Master!$F:$F,MATCH($B95,CAT4_Current_Master!$A:$A,0)),"")</f>
        <v>101</v>
      </c>
      <c r="Q95">
        <f t="shared" si="10"/>
        <v>0</v>
      </c>
      <c r="R95">
        <f>IFERROR(INDEX(Baseline_Entry!$U:$U,MATCH($B95,Baseline_Entry!$B:$B,0)),"")</f>
        <v>100</v>
      </c>
      <c r="S95">
        <f>IFERROR(INDEX(CAT4_Current_Master!$G:$G,MATCH($B95,CAT4_Current_Master!$A:$A,0)),"")</f>
        <v>100</v>
      </c>
      <c r="T95">
        <f t="shared" si="11"/>
        <v>0</v>
      </c>
      <c r="U95" t="str">
        <f>IFERROR(INDEX(CAT4_Current_Master!$I:$I,MATCH($B95,CAT4_Current_Master!$A:$A,0)),"")</f>
        <v>G12</v>
      </c>
      <c r="V95" t="str">
        <f t="shared" si="12"/>
        <v>Mixed profile</v>
      </c>
      <c r="W95" t="str">
        <f t="shared" si="13"/>
        <v>Mixed cognitive pattern requiring differentiated instruction.</v>
      </c>
    </row>
    <row r="96" spans="1:23" x14ac:dyDescent="0.3">
      <c r="A96" t="s">
        <v>185</v>
      </c>
      <c r="B96" t="s">
        <v>258</v>
      </c>
      <c r="C96" t="s">
        <v>259</v>
      </c>
      <c r="D96">
        <f>IFERROR(INDEX(Baseline_Entry!$N:$N,MATCH($B96,Baseline_Entry!$B:$B,0)),"")</f>
        <v>96</v>
      </c>
      <c r="E96">
        <f>IFERROR(INDEX(CAT4_Current_Master!$H:$H,MATCH($B96,CAT4_Current_Master!$A:$A,0)),"")</f>
        <v>96</v>
      </c>
      <c r="F96">
        <f t="shared" si="7"/>
        <v>0</v>
      </c>
      <c r="G96" t="str">
        <f>IFERROR(INDEX(Baseline_Entry!$Q:$Q,MATCH($B96,Baseline_Entry!$B:$B,0)),"")</f>
        <v>Extreme spatial bias</v>
      </c>
      <c r="H96" t="str">
        <f>IFERROR(INDEX(CAT4_Current_Master!$C:$C,MATCH($B96,CAT4_Current_Master!$A:$A,0)),"")</f>
        <v>Extreme spatial bias</v>
      </c>
      <c r="I96">
        <f>IFERROR(INDEX(Baseline_Entry!$R:$R,MATCH($B96,Baseline_Entry!$B:$B,0)),"")</f>
        <v>65</v>
      </c>
      <c r="J96">
        <f>IFERROR(INDEX(CAT4_Current_Master!$D:$D,MATCH($B96,CAT4_Current_Master!$A:$A,0)),"")</f>
        <v>65</v>
      </c>
      <c r="K96">
        <f t="shared" si="8"/>
        <v>0</v>
      </c>
      <c r="L96">
        <f>IFERROR(INDEX(Baseline_Entry!$S:$S,MATCH($B96,Baseline_Entry!$B:$B,0)),"")</f>
        <v>109</v>
      </c>
      <c r="M96">
        <f>IFERROR(INDEX(CAT4_Current_Master!$E:$E,MATCH($B96,CAT4_Current_Master!$A:$A,0)),"")</f>
        <v>109</v>
      </c>
      <c r="N96">
        <f t="shared" si="9"/>
        <v>0</v>
      </c>
      <c r="O96">
        <f>IFERROR(INDEX(Baseline_Entry!$T:$T,MATCH($B96,Baseline_Entry!$B:$B,0)),"")</f>
        <v>100</v>
      </c>
      <c r="P96">
        <f>IFERROR(INDEX(CAT4_Current_Master!$F:$F,MATCH($B96,CAT4_Current_Master!$A:$A,0)),"")</f>
        <v>100</v>
      </c>
      <c r="Q96">
        <f t="shared" si="10"/>
        <v>0</v>
      </c>
      <c r="R96">
        <f>IFERROR(INDEX(Baseline_Entry!$U:$U,MATCH($B96,Baseline_Entry!$B:$B,0)),"")</f>
        <v>111</v>
      </c>
      <c r="S96">
        <f>IFERROR(INDEX(CAT4_Current_Master!$G:$G,MATCH($B96,CAT4_Current_Master!$A:$A,0)),"")</f>
        <v>111</v>
      </c>
      <c r="T96">
        <f t="shared" si="11"/>
        <v>0</v>
      </c>
      <c r="U96" t="str">
        <f>IFERROR(INDEX(CAT4_Current_Master!$I:$I,MATCH($B96,CAT4_Current_Master!$A:$A,0)),"")</f>
        <v>G12</v>
      </c>
      <c r="V96" t="str">
        <f t="shared" si="12"/>
        <v>Spatial strength</v>
      </c>
      <c r="W96" t="str">
        <f t="shared" si="13"/>
        <v>Highest current domain is spatial reasoning, suggesting strength in visualisation, modelling, and design tasks.</v>
      </c>
    </row>
    <row r="97" spans="1:23" x14ac:dyDescent="0.3">
      <c r="A97" t="s">
        <v>185</v>
      </c>
      <c r="B97" t="s">
        <v>260</v>
      </c>
      <c r="C97" t="s">
        <v>261</v>
      </c>
      <c r="D97">
        <f>IFERROR(INDEX(Baseline_Entry!$N:$N,MATCH($B97,Baseline_Entry!$B:$B,0)),"")</f>
        <v>93</v>
      </c>
      <c r="E97">
        <f>IFERROR(INDEX(CAT4_Current_Master!$H:$H,MATCH($B97,CAT4_Current_Master!$A:$A,0)),"")</f>
        <v>93</v>
      </c>
      <c r="F97">
        <f t="shared" si="7"/>
        <v>0</v>
      </c>
      <c r="G97" t="str">
        <f>IFERROR(INDEX(Baseline_Entry!$Q:$Q,MATCH($B97,Baseline_Entry!$B:$B,0)),"")</f>
        <v>Mild spatial bias</v>
      </c>
      <c r="H97" t="str">
        <f>IFERROR(INDEX(CAT4_Current_Master!$C:$C,MATCH($B97,CAT4_Current_Master!$A:$A,0)),"")</f>
        <v>Mild spatial bias</v>
      </c>
      <c r="I97">
        <f>IFERROR(INDEX(Baseline_Entry!$R:$R,MATCH($B97,Baseline_Entry!$B:$B,0)),"")</f>
        <v>75</v>
      </c>
      <c r="J97">
        <f>IFERROR(INDEX(CAT4_Current_Master!$D:$D,MATCH($B97,CAT4_Current_Master!$A:$A,0)),"")</f>
        <v>75</v>
      </c>
      <c r="K97">
        <f t="shared" si="8"/>
        <v>0</v>
      </c>
      <c r="L97">
        <f>IFERROR(INDEX(Baseline_Entry!$S:$S,MATCH($B97,Baseline_Entry!$B:$B,0)),"")</f>
        <v>103</v>
      </c>
      <c r="M97">
        <f>IFERROR(INDEX(CAT4_Current_Master!$E:$E,MATCH($B97,CAT4_Current_Master!$A:$A,0)),"")</f>
        <v>103</v>
      </c>
      <c r="N97">
        <f t="shared" si="9"/>
        <v>0</v>
      </c>
      <c r="O97">
        <f>IFERROR(INDEX(Baseline_Entry!$T:$T,MATCH($B97,Baseline_Entry!$B:$B,0)),"")</f>
        <v>98</v>
      </c>
      <c r="P97">
        <f>IFERROR(INDEX(CAT4_Current_Master!$F:$F,MATCH($B97,CAT4_Current_Master!$A:$A,0)),"")</f>
        <v>98</v>
      </c>
      <c r="Q97">
        <f t="shared" si="10"/>
        <v>0</v>
      </c>
      <c r="R97">
        <f>IFERROR(INDEX(Baseline_Entry!$U:$U,MATCH($B97,Baseline_Entry!$B:$B,0)),"")</f>
        <v>94</v>
      </c>
      <c r="S97">
        <f>IFERROR(INDEX(CAT4_Current_Master!$G:$G,MATCH($B97,CAT4_Current_Master!$A:$A,0)),"")</f>
        <v>94</v>
      </c>
      <c r="T97">
        <f t="shared" si="11"/>
        <v>0</v>
      </c>
      <c r="U97" t="str">
        <f>IFERROR(INDEX(CAT4_Current_Master!$I:$I,MATCH($B97,CAT4_Current_Master!$A:$A,0)),"")</f>
        <v>G12</v>
      </c>
      <c r="V97" t="str">
        <f t="shared" si="12"/>
        <v>Quantitative strength</v>
      </c>
      <c r="W97" t="str">
        <f t="shared" si="13"/>
        <v>Highest current domain is quantitative reasoning, suggesting strong numerical and structured problem-solving potential.</v>
      </c>
    </row>
    <row r="98" spans="1:23" x14ac:dyDescent="0.3">
      <c r="A98" t="s">
        <v>185</v>
      </c>
      <c r="B98" t="s">
        <v>262</v>
      </c>
      <c r="C98" t="s">
        <v>263</v>
      </c>
      <c r="D98">
        <f>IFERROR(INDEX(Baseline_Entry!$N:$N,MATCH($B98,Baseline_Entry!$B:$B,0)),"")</f>
        <v>100</v>
      </c>
      <c r="E98">
        <f>IFERROR(INDEX(CAT4_Current_Master!$H:$H,MATCH($B98,CAT4_Current_Master!$A:$A,0)),"")</f>
        <v>100</v>
      </c>
      <c r="F98">
        <f t="shared" si="7"/>
        <v>0</v>
      </c>
      <c r="G98" t="str">
        <f>IFERROR(INDEX(Baseline_Entry!$Q:$Q,MATCH($B98,Baseline_Entry!$B:$B,0)),"")</f>
        <v>No bias</v>
      </c>
      <c r="H98" t="str">
        <f>IFERROR(INDEX(CAT4_Current_Master!$C:$C,MATCH($B98,CAT4_Current_Master!$A:$A,0)),"")</f>
        <v>No bias</v>
      </c>
      <c r="I98">
        <f>IFERROR(INDEX(Baseline_Entry!$R:$R,MATCH($B98,Baseline_Entry!$B:$B,0)),"")</f>
        <v>91</v>
      </c>
      <c r="J98">
        <f>IFERROR(INDEX(CAT4_Current_Master!$D:$D,MATCH($B98,CAT4_Current_Master!$A:$A,0)),"")</f>
        <v>91</v>
      </c>
      <c r="K98">
        <f t="shared" si="8"/>
        <v>0</v>
      </c>
      <c r="L98">
        <f>IFERROR(INDEX(Baseline_Entry!$S:$S,MATCH($B98,Baseline_Entry!$B:$B,0)),"")</f>
        <v>109</v>
      </c>
      <c r="M98">
        <f>IFERROR(INDEX(CAT4_Current_Master!$E:$E,MATCH($B98,CAT4_Current_Master!$A:$A,0)),"")</f>
        <v>109</v>
      </c>
      <c r="N98">
        <f t="shared" si="9"/>
        <v>0</v>
      </c>
      <c r="O98">
        <f>IFERROR(INDEX(Baseline_Entry!$T:$T,MATCH($B98,Baseline_Entry!$B:$B,0)),"")</f>
        <v>96</v>
      </c>
      <c r="P98">
        <f>IFERROR(INDEX(CAT4_Current_Master!$F:$F,MATCH($B98,CAT4_Current_Master!$A:$A,0)),"")</f>
        <v>96</v>
      </c>
      <c r="Q98">
        <f t="shared" si="10"/>
        <v>0</v>
      </c>
      <c r="R98">
        <f>IFERROR(INDEX(Baseline_Entry!$U:$U,MATCH($B98,Baseline_Entry!$B:$B,0)),"")</f>
        <v>102</v>
      </c>
      <c r="S98">
        <f>IFERROR(INDEX(CAT4_Current_Master!$G:$G,MATCH($B98,CAT4_Current_Master!$A:$A,0)),"")</f>
        <v>102</v>
      </c>
      <c r="T98">
        <f t="shared" si="11"/>
        <v>0</v>
      </c>
      <c r="U98" t="str">
        <f>IFERROR(INDEX(CAT4_Current_Master!$I:$I,MATCH($B98,CAT4_Current_Master!$A:$A,0)),"")</f>
        <v>G12</v>
      </c>
      <c r="V98" t="str">
        <f t="shared" si="12"/>
        <v>Quantitative strength</v>
      </c>
      <c r="W98" t="str">
        <f t="shared" si="13"/>
        <v>Highest current domain is quantitative reasoning, suggesting strong numerical and structured problem-solving potential.</v>
      </c>
    </row>
    <row r="99" spans="1:23" x14ac:dyDescent="0.3">
      <c r="A99" t="s">
        <v>185</v>
      </c>
      <c r="B99" t="s">
        <v>264</v>
      </c>
      <c r="C99" t="s">
        <v>265</v>
      </c>
      <c r="D99">
        <f>IFERROR(INDEX(Baseline_Entry!$N:$N,MATCH($B99,Baseline_Entry!$B:$B,0)),"")</f>
        <v>86</v>
      </c>
      <c r="E99">
        <f>IFERROR(INDEX(CAT4_Current_Master!$H:$H,MATCH($B99,CAT4_Current_Master!$A:$A,0)),"")</f>
        <v>86</v>
      </c>
      <c r="F99">
        <f t="shared" si="7"/>
        <v>0</v>
      </c>
      <c r="G99" t="str">
        <f>IFERROR(INDEX(Baseline_Entry!$Q:$Q,MATCH($B99,Baseline_Entry!$B:$B,0)),"")</f>
        <v>Mild spatial bias</v>
      </c>
      <c r="H99" t="str">
        <f>IFERROR(INDEX(CAT4_Current_Master!$C:$C,MATCH($B99,CAT4_Current_Master!$A:$A,0)),"")</f>
        <v>Mild spatial bias</v>
      </c>
      <c r="I99">
        <f>IFERROR(INDEX(Baseline_Entry!$R:$R,MATCH($B99,Baseline_Entry!$B:$B,0)),"")</f>
        <v>76</v>
      </c>
      <c r="J99">
        <f>IFERROR(INDEX(CAT4_Current_Master!$D:$D,MATCH($B99,CAT4_Current_Master!$A:$A,0)),"")</f>
        <v>76</v>
      </c>
      <c r="K99">
        <f t="shared" si="8"/>
        <v>0</v>
      </c>
      <c r="L99">
        <f>IFERROR(INDEX(Baseline_Entry!$S:$S,MATCH($B99,Baseline_Entry!$B:$B,0)),"")</f>
        <v>86</v>
      </c>
      <c r="M99">
        <f>IFERROR(INDEX(CAT4_Current_Master!$E:$E,MATCH($B99,CAT4_Current_Master!$A:$A,0)),"")</f>
        <v>86</v>
      </c>
      <c r="N99">
        <f t="shared" si="9"/>
        <v>0</v>
      </c>
      <c r="O99">
        <f>IFERROR(INDEX(Baseline_Entry!$T:$T,MATCH($B99,Baseline_Entry!$B:$B,0)),"")</f>
        <v>89</v>
      </c>
      <c r="P99">
        <f>IFERROR(INDEX(CAT4_Current_Master!$F:$F,MATCH($B99,CAT4_Current_Master!$A:$A,0)),"")</f>
        <v>89</v>
      </c>
      <c r="Q99">
        <f t="shared" si="10"/>
        <v>0</v>
      </c>
      <c r="R99">
        <f>IFERROR(INDEX(Baseline_Entry!$U:$U,MATCH($B99,Baseline_Entry!$B:$B,0)),"")</f>
        <v>92</v>
      </c>
      <c r="S99">
        <f>IFERROR(INDEX(CAT4_Current_Master!$G:$G,MATCH($B99,CAT4_Current_Master!$A:$A,0)),"")</f>
        <v>92</v>
      </c>
      <c r="T99">
        <f t="shared" si="11"/>
        <v>0</v>
      </c>
      <c r="U99" t="str">
        <f>IFERROR(INDEX(CAT4_Current_Master!$I:$I,MATCH($B99,CAT4_Current_Master!$A:$A,0)),"")</f>
        <v>G12</v>
      </c>
      <c r="V99" t="str">
        <f t="shared" si="12"/>
        <v>Spatial strength</v>
      </c>
      <c r="W99" t="str">
        <f t="shared" si="13"/>
        <v>Highest current domain is spatial reasoning, suggesting strength in visualisation, modelling, and design tasks.</v>
      </c>
    </row>
    <row r="100" spans="1:23" x14ac:dyDescent="0.3">
      <c r="A100" t="s">
        <v>185</v>
      </c>
      <c r="B100" t="s">
        <v>266</v>
      </c>
      <c r="C100" t="s">
        <v>267</v>
      </c>
      <c r="D100">
        <f>IFERROR(INDEX(Baseline_Entry!$N:$N,MATCH($B100,Baseline_Entry!$B:$B,0)),"")</f>
        <v>105</v>
      </c>
      <c r="E100">
        <f>IFERROR(INDEX(CAT4_Current_Master!$H:$H,MATCH($B100,CAT4_Current_Master!$A:$A,0)),"")</f>
        <v>105</v>
      </c>
      <c r="F100">
        <f t="shared" si="7"/>
        <v>0</v>
      </c>
      <c r="G100" t="str">
        <f>IFERROR(INDEX(Baseline_Entry!$Q:$Q,MATCH($B100,Baseline_Entry!$B:$B,0)),"")</f>
        <v>Moderate spatial bias</v>
      </c>
      <c r="H100" t="str">
        <f>IFERROR(INDEX(CAT4_Current_Master!$C:$C,MATCH($B100,CAT4_Current_Master!$A:$A,0)),"")</f>
        <v>Moderate spatial bias</v>
      </c>
      <c r="I100">
        <f>IFERROR(INDEX(Baseline_Entry!$R:$R,MATCH($B100,Baseline_Entry!$B:$B,0)),"")</f>
        <v>95</v>
      </c>
      <c r="J100">
        <f>IFERROR(INDEX(CAT4_Current_Master!$D:$D,MATCH($B100,CAT4_Current_Master!$A:$A,0)),"")</f>
        <v>95</v>
      </c>
      <c r="K100">
        <f t="shared" si="8"/>
        <v>0</v>
      </c>
      <c r="L100">
        <f>IFERROR(INDEX(Baseline_Entry!$S:$S,MATCH($B100,Baseline_Entry!$B:$B,0)),"")</f>
        <v>103</v>
      </c>
      <c r="M100">
        <f>IFERROR(INDEX(CAT4_Current_Master!$E:$E,MATCH($B100,CAT4_Current_Master!$A:$A,0)),"")</f>
        <v>103</v>
      </c>
      <c r="N100">
        <f t="shared" si="9"/>
        <v>0</v>
      </c>
      <c r="O100">
        <f>IFERROR(INDEX(Baseline_Entry!$T:$T,MATCH($B100,Baseline_Entry!$B:$B,0)),"")</f>
        <v>105</v>
      </c>
      <c r="P100">
        <f>IFERROR(INDEX(CAT4_Current_Master!$F:$F,MATCH($B100,CAT4_Current_Master!$A:$A,0)),"")</f>
        <v>105</v>
      </c>
      <c r="Q100">
        <f t="shared" si="10"/>
        <v>0</v>
      </c>
      <c r="R100">
        <f>IFERROR(INDEX(Baseline_Entry!$U:$U,MATCH($B100,Baseline_Entry!$B:$B,0)),"")</f>
        <v>116</v>
      </c>
      <c r="S100">
        <f>IFERROR(INDEX(CAT4_Current_Master!$G:$G,MATCH($B100,CAT4_Current_Master!$A:$A,0)),"")</f>
        <v>116</v>
      </c>
      <c r="T100">
        <f t="shared" si="11"/>
        <v>0</v>
      </c>
      <c r="U100" t="str">
        <f>IFERROR(INDEX(CAT4_Current_Master!$I:$I,MATCH($B100,CAT4_Current_Master!$A:$A,0)),"")</f>
        <v>G12</v>
      </c>
      <c r="V100" t="str">
        <f t="shared" si="12"/>
        <v>Spatial strength</v>
      </c>
      <c r="W100" t="str">
        <f t="shared" si="13"/>
        <v>Highest current domain is spatial reasoning, suggesting strength in visualisation, modelling, and design tasks.</v>
      </c>
    </row>
    <row r="101" spans="1:23" x14ac:dyDescent="0.3">
      <c r="A101" t="s">
        <v>185</v>
      </c>
      <c r="B101" t="s">
        <v>268</v>
      </c>
      <c r="C101" t="s">
        <v>269</v>
      </c>
      <c r="D101">
        <f>IFERROR(INDEX(Baseline_Entry!$N:$N,MATCH($B101,Baseline_Entry!$B:$B,0)),"")</f>
        <v>99</v>
      </c>
      <c r="E101">
        <f>IFERROR(INDEX(CAT4_Current_Master!$H:$H,MATCH($B101,CAT4_Current_Master!$A:$A,0)),"")</f>
        <v>99</v>
      </c>
      <c r="F101">
        <f t="shared" si="7"/>
        <v>0</v>
      </c>
      <c r="G101" t="str">
        <f>IFERROR(INDEX(Baseline_Entry!$Q:$Q,MATCH($B101,Baseline_Entry!$B:$B,0)),"")</f>
        <v>Moderate spatial bias</v>
      </c>
      <c r="H101" t="str">
        <f>IFERROR(INDEX(CAT4_Current_Master!$C:$C,MATCH($B101,CAT4_Current_Master!$A:$A,0)),"")</f>
        <v>Moderate spatial bias</v>
      </c>
      <c r="I101">
        <f>IFERROR(INDEX(Baseline_Entry!$R:$R,MATCH($B101,Baseline_Entry!$B:$B,0)),"")</f>
        <v>65</v>
      </c>
      <c r="J101">
        <f>IFERROR(INDEX(CAT4_Current_Master!$D:$D,MATCH($B101,CAT4_Current_Master!$A:$A,0)),"")</f>
        <v>65</v>
      </c>
      <c r="K101">
        <f t="shared" si="8"/>
        <v>0</v>
      </c>
      <c r="L101">
        <f>IFERROR(INDEX(Baseline_Entry!$S:$S,MATCH($B101,Baseline_Entry!$B:$B,0)),"")</f>
        <v>116</v>
      </c>
      <c r="M101">
        <f>IFERROR(INDEX(CAT4_Current_Master!$E:$E,MATCH($B101,CAT4_Current_Master!$A:$A,0)),"")</f>
        <v>116</v>
      </c>
      <c r="N101">
        <f t="shared" si="9"/>
        <v>0</v>
      </c>
      <c r="O101">
        <f>IFERROR(INDEX(Baseline_Entry!$T:$T,MATCH($B101,Baseline_Entry!$B:$B,0)),"")</f>
        <v>117</v>
      </c>
      <c r="P101">
        <f>IFERROR(INDEX(CAT4_Current_Master!$F:$F,MATCH($B101,CAT4_Current_Master!$A:$A,0)),"")</f>
        <v>117</v>
      </c>
      <c r="Q101">
        <f t="shared" si="10"/>
        <v>0</v>
      </c>
      <c r="R101">
        <f>IFERROR(INDEX(Baseline_Entry!$U:$U,MATCH($B101,Baseline_Entry!$B:$B,0)),"")</f>
        <v>96</v>
      </c>
      <c r="S101">
        <f>IFERROR(INDEX(CAT4_Current_Master!$G:$G,MATCH($B101,CAT4_Current_Master!$A:$A,0)),"")</f>
        <v>96</v>
      </c>
      <c r="T101">
        <f t="shared" si="11"/>
        <v>0</v>
      </c>
      <c r="U101" t="str">
        <f>IFERROR(INDEX(CAT4_Current_Master!$I:$I,MATCH($B101,CAT4_Current_Master!$A:$A,0)),"")</f>
        <v>G12</v>
      </c>
      <c r="V101" t="str">
        <f t="shared" si="12"/>
        <v>Analytical / Abstract thinker</v>
      </c>
      <c r="W101" t="str">
        <f t="shared" si="13"/>
        <v>Strong non-verbal reasoning supported by quantitative strength; well aligned with advanced analytical and STEM-rich tasks.</v>
      </c>
    </row>
    <row r="102" spans="1:23" x14ac:dyDescent="0.3">
      <c r="A102" t="s">
        <v>185</v>
      </c>
      <c r="B102" t="s">
        <v>270</v>
      </c>
      <c r="C102" t="s">
        <v>271</v>
      </c>
      <c r="D102">
        <f>IFERROR(INDEX(Baseline_Entry!$N:$N,MATCH($B102,Baseline_Entry!$B:$B,0)),"")</f>
        <v>93</v>
      </c>
      <c r="E102">
        <f>IFERROR(INDEX(CAT4_Current_Master!$H:$H,MATCH($B102,CAT4_Current_Master!$A:$A,0)),"")</f>
        <v>93</v>
      </c>
      <c r="F102">
        <f t="shared" si="7"/>
        <v>0</v>
      </c>
      <c r="G102" t="str">
        <f>IFERROR(INDEX(Baseline_Entry!$Q:$Q,MATCH($B102,Baseline_Entry!$B:$B,0)),"")</f>
        <v>Mild spatial bias</v>
      </c>
      <c r="H102" t="str">
        <f>IFERROR(INDEX(CAT4_Current_Master!$C:$C,MATCH($B102,CAT4_Current_Master!$A:$A,0)),"")</f>
        <v>Mild spatial bias</v>
      </c>
      <c r="I102">
        <f>IFERROR(INDEX(Baseline_Entry!$R:$R,MATCH($B102,Baseline_Entry!$B:$B,0)),"")</f>
        <v>74</v>
      </c>
      <c r="J102">
        <f>IFERROR(INDEX(CAT4_Current_Master!$D:$D,MATCH($B102,CAT4_Current_Master!$A:$A,0)),"")</f>
        <v>74</v>
      </c>
      <c r="K102">
        <f t="shared" si="8"/>
        <v>0</v>
      </c>
      <c r="L102">
        <f>IFERROR(INDEX(Baseline_Entry!$S:$S,MATCH($B102,Baseline_Entry!$B:$B,0)),"")</f>
        <v>108</v>
      </c>
      <c r="M102">
        <f>IFERROR(INDEX(CAT4_Current_Master!$E:$E,MATCH($B102,CAT4_Current_Master!$A:$A,0)),"")</f>
        <v>108</v>
      </c>
      <c r="N102">
        <f t="shared" si="9"/>
        <v>0</v>
      </c>
      <c r="O102">
        <f>IFERROR(INDEX(Baseline_Entry!$T:$T,MATCH($B102,Baseline_Entry!$B:$B,0)),"")</f>
        <v>93</v>
      </c>
      <c r="P102">
        <f>IFERROR(INDEX(CAT4_Current_Master!$F:$F,MATCH($B102,CAT4_Current_Master!$A:$A,0)),"")</f>
        <v>93</v>
      </c>
      <c r="Q102">
        <f t="shared" si="10"/>
        <v>0</v>
      </c>
      <c r="R102">
        <f>IFERROR(INDEX(Baseline_Entry!$U:$U,MATCH($B102,Baseline_Entry!$B:$B,0)),"")</f>
        <v>96</v>
      </c>
      <c r="S102">
        <f>IFERROR(INDEX(CAT4_Current_Master!$G:$G,MATCH($B102,CAT4_Current_Master!$A:$A,0)),"")</f>
        <v>96</v>
      </c>
      <c r="T102">
        <f t="shared" si="11"/>
        <v>0</v>
      </c>
      <c r="U102" t="str">
        <f>IFERROR(INDEX(CAT4_Current_Master!$I:$I,MATCH($B102,CAT4_Current_Master!$A:$A,0)),"")</f>
        <v>G12</v>
      </c>
      <c r="V102" t="str">
        <f t="shared" si="12"/>
        <v>Quantitative strength</v>
      </c>
      <c r="W102" t="str">
        <f t="shared" si="13"/>
        <v>Highest current domain is quantitative reasoning, suggesting strong numerical and structured problem-solving potential.</v>
      </c>
    </row>
    <row r="103" spans="1:23" x14ac:dyDescent="0.3">
      <c r="A103" t="s">
        <v>185</v>
      </c>
      <c r="B103" t="s">
        <v>272</v>
      </c>
      <c r="C103" t="s">
        <v>273</v>
      </c>
      <c r="D103">
        <f>IFERROR(INDEX(Baseline_Entry!$N:$N,MATCH($B103,Baseline_Entry!$B:$B,0)),"")</f>
        <v>103</v>
      </c>
      <c r="E103">
        <f>IFERROR(INDEX(CAT4_Current_Master!$H:$H,MATCH($B103,CAT4_Current_Master!$A:$A,0)),"")</f>
        <v>103</v>
      </c>
      <c r="F103">
        <f t="shared" si="7"/>
        <v>0</v>
      </c>
      <c r="G103" t="str">
        <f>IFERROR(INDEX(Baseline_Entry!$Q:$Q,MATCH($B103,Baseline_Entry!$B:$B,0)),"")</f>
        <v>Extreme spatial bias</v>
      </c>
      <c r="H103" t="str">
        <f>IFERROR(INDEX(CAT4_Current_Master!$C:$C,MATCH($B103,CAT4_Current_Master!$A:$A,0)),"")</f>
        <v>Extreme spatial bias</v>
      </c>
      <c r="I103">
        <f>IFERROR(INDEX(Baseline_Entry!$R:$R,MATCH($B103,Baseline_Entry!$B:$B,0)),"")</f>
        <v>80</v>
      </c>
      <c r="J103">
        <f>IFERROR(INDEX(CAT4_Current_Master!$D:$D,MATCH($B103,CAT4_Current_Master!$A:$A,0)),"")</f>
        <v>80</v>
      </c>
      <c r="K103">
        <f t="shared" si="8"/>
        <v>0</v>
      </c>
      <c r="L103">
        <f>IFERROR(INDEX(Baseline_Entry!$S:$S,MATCH($B103,Baseline_Entry!$B:$B,0)),"")</f>
        <v>124</v>
      </c>
      <c r="M103">
        <f>IFERROR(INDEX(CAT4_Current_Master!$E:$E,MATCH($B103,CAT4_Current_Master!$A:$A,0)),"")</f>
        <v>124</v>
      </c>
      <c r="N103">
        <f t="shared" si="9"/>
        <v>0</v>
      </c>
      <c r="O103">
        <f>IFERROR(INDEX(Baseline_Entry!$T:$T,MATCH($B103,Baseline_Entry!$B:$B,0)),"")</f>
        <v>102</v>
      </c>
      <c r="P103">
        <f>IFERROR(INDEX(CAT4_Current_Master!$F:$F,MATCH($B103,CAT4_Current_Master!$A:$A,0)),"")</f>
        <v>102</v>
      </c>
      <c r="Q103">
        <f t="shared" si="10"/>
        <v>0</v>
      </c>
      <c r="R103">
        <f>IFERROR(INDEX(Baseline_Entry!$U:$U,MATCH($B103,Baseline_Entry!$B:$B,0)),"")</f>
        <v>105</v>
      </c>
      <c r="S103">
        <f>IFERROR(INDEX(CAT4_Current_Master!$G:$G,MATCH($B103,CAT4_Current_Master!$A:$A,0)),"")</f>
        <v>105</v>
      </c>
      <c r="T103">
        <f t="shared" si="11"/>
        <v>0</v>
      </c>
      <c r="U103" t="str">
        <f>IFERROR(INDEX(CAT4_Current_Master!$I:$I,MATCH($B103,CAT4_Current_Master!$A:$A,0)),"")</f>
        <v>G12</v>
      </c>
      <c r="V103" t="str">
        <f t="shared" si="12"/>
        <v>Quantitative strength</v>
      </c>
      <c r="W103" t="str">
        <f t="shared" si="13"/>
        <v>Highest current domain is quantitative reasoning, suggesting strong numerical and structured problem-solving potential.</v>
      </c>
    </row>
    <row r="104" spans="1:23" x14ac:dyDescent="0.3">
      <c r="A104" t="s">
        <v>185</v>
      </c>
      <c r="B104" t="s">
        <v>274</v>
      </c>
      <c r="C104" t="s">
        <v>275</v>
      </c>
      <c r="D104">
        <f>IFERROR(INDEX(Baseline_Entry!$N:$N,MATCH($B104,Baseline_Entry!$B:$B,0)),"")</f>
        <v>85</v>
      </c>
      <c r="E104">
        <f>IFERROR(INDEX(CAT4_Current_Master!$H:$H,MATCH($B104,CAT4_Current_Master!$A:$A,0)),"")</f>
        <v>85</v>
      </c>
      <c r="F104">
        <f t="shared" si="7"/>
        <v>0</v>
      </c>
      <c r="G104" t="str">
        <f>IFERROR(INDEX(Baseline_Entry!$Q:$Q,MATCH($B104,Baseline_Entry!$B:$B,0)),"")</f>
        <v>No bias</v>
      </c>
      <c r="H104" t="str">
        <f>IFERROR(INDEX(CAT4_Current_Master!$C:$C,MATCH($B104,CAT4_Current_Master!$A:$A,0)),"")</f>
        <v>No bias</v>
      </c>
      <c r="I104">
        <f>IFERROR(INDEX(Baseline_Entry!$R:$R,MATCH($B104,Baseline_Entry!$B:$B,0)),"")</f>
        <v>89</v>
      </c>
      <c r="J104">
        <f>IFERROR(INDEX(CAT4_Current_Master!$D:$D,MATCH($B104,CAT4_Current_Master!$A:$A,0)),"")</f>
        <v>89</v>
      </c>
      <c r="K104">
        <f t="shared" si="8"/>
        <v>0</v>
      </c>
      <c r="L104">
        <f>IFERROR(INDEX(Baseline_Entry!$S:$S,MATCH($B104,Baseline_Entry!$B:$B,0)),"")</f>
        <v>88</v>
      </c>
      <c r="M104">
        <f>IFERROR(INDEX(CAT4_Current_Master!$E:$E,MATCH($B104,CAT4_Current_Master!$A:$A,0)),"")</f>
        <v>88</v>
      </c>
      <c r="N104">
        <f t="shared" si="9"/>
        <v>0</v>
      </c>
      <c r="O104">
        <f>IFERROR(INDEX(Baseline_Entry!$T:$T,MATCH($B104,Baseline_Entry!$B:$B,0)),"")</f>
        <v>80</v>
      </c>
      <c r="P104">
        <f>IFERROR(INDEX(CAT4_Current_Master!$F:$F,MATCH($B104,CAT4_Current_Master!$A:$A,0)),"")</f>
        <v>80</v>
      </c>
      <c r="Q104">
        <f t="shared" si="10"/>
        <v>0</v>
      </c>
      <c r="R104">
        <f>IFERROR(INDEX(Baseline_Entry!$U:$U,MATCH($B104,Baseline_Entry!$B:$B,0)),"")</f>
        <v>84</v>
      </c>
      <c r="S104">
        <f>IFERROR(INDEX(CAT4_Current_Master!$G:$G,MATCH($B104,CAT4_Current_Master!$A:$A,0)),"")</f>
        <v>84</v>
      </c>
      <c r="T104">
        <f t="shared" si="11"/>
        <v>0</v>
      </c>
      <c r="U104" t="str">
        <f>IFERROR(INDEX(CAT4_Current_Master!$I:$I,MATCH($B104,CAT4_Current_Master!$A:$A,0)),"")</f>
        <v>G12</v>
      </c>
      <c r="V104" t="str">
        <f t="shared" si="12"/>
        <v>Verbal strength</v>
      </c>
      <c r="W104" t="str">
        <f t="shared" si="13"/>
        <v>Highest current domain is verbal reasoning, suggesting strength in language-rich, discussion-rich, and evidence-based tasks.</v>
      </c>
    </row>
    <row r="105" spans="1:23" x14ac:dyDescent="0.3">
      <c r="A105" t="s">
        <v>185</v>
      </c>
      <c r="B105" t="s">
        <v>276</v>
      </c>
      <c r="C105" t="s">
        <v>277</v>
      </c>
      <c r="D105">
        <f>IFERROR(INDEX(Baseline_Entry!$N:$N,MATCH($B105,Baseline_Entry!$B:$B,0)),"")</f>
        <v>76</v>
      </c>
      <c r="E105">
        <f>IFERROR(INDEX(CAT4_Current_Master!$H:$H,MATCH($B105,CAT4_Current_Master!$A:$A,0)),"")</f>
        <v>76</v>
      </c>
      <c r="F105">
        <f t="shared" si="7"/>
        <v>0</v>
      </c>
      <c r="G105" t="str">
        <f>IFERROR(INDEX(Baseline_Entry!$Q:$Q,MATCH($B105,Baseline_Entry!$B:$B,0)),"")</f>
        <v>Mild spatial bias</v>
      </c>
      <c r="H105" t="str">
        <f>IFERROR(INDEX(CAT4_Current_Master!$C:$C,MATCH($B105,CAT4_Current_Master!$A:$A,0)),"")</f>
        <v>Mild spatial bias</v>
      </c>
      <c r="I105">
        <f>IFERROR(INDEX(Baseline_Entry!$R:$R,MATCH($B105,Baseline_Entry!$B:$B,0)),"")</f>
        <v>65</v>
      </c>
      <c r="J105">
        <f>IFERROR(INDEX(CAT4_Current_Master!$D:$D,MATCH($B105,CAT4_Current_Master!$A:$A,0)),"")</f>
        <v>65</v>
      </c>
      <c r="K105">
        <f t="shared" si="8"/>
        <v>0</v>
      </c>
      <c r="L105">
        <f>IFERROR(INDEX(Baseline_Entry!$S:$S,MATCH($B105,Baseline_Entry!$B:$B,0)),"")</f>
        <v>82</v>
      </c>
      <c r="M105">
        <f>IFERROR(INDEX(CAT4_Current_Master!$E:$E,MATCH($B105,CAT4_Current_Master!$A:$A,0)),"")</f>
        <v>82</v>
      </c>
      <c r="N105">
        <f t="shared" si="9"/>
        <v>0</v>
      </c>
      <c r="O105">
        <f>IFERROR(INDEX(Baseline_Entry!$T:$T,MATCH($B105,Baseline_Entry!$B:$B,0)),"")</f>
        <v>69</v>
      </c>
      <c r="P105">
        <f>IFERROR(INDEX(CAT4_Current_Master!$F:$F,MATCH($B105,CAT4_Current_Master!$A:$A,0)),"")</f>
        <v>69</v>
      </c>
      <c r="Q105">
        <f t="shared" si="10"/>
        <v>0</v>
      </c>
      <c r="R105">
        <f>IFERROR(INDEX(Baseline_Entry!$U:$U,MATCH($B105,Baseline_Entry!$B:$B,0)),"")</f>
        <v>88</v>
      </c>
      <c r="S105">
        <f>IFERROR(INDEX(CAT4_Current_Master!$G:$G,MATCH($B105,CAT4_Current_Master!$A:$A,0)),"")</f>
        <v>88</v>
      </c>
      <c r="T105">
        <f t="shared" si="11"/>
        <v>0</v>
      </c>
      <c r="U105" t="str">
        <f>IFERROR(INDEX(CAT4_Current_Master!$I:$I,MATCH($B105,CAT4_Current_Master!$A:$A,0)),"")</f>
        <v>G12</v>
      </c>
      <c r="V105" t="str">
        <f t="shared" si="12"/>
        <v>Spatial strength</v>
      </c>
      <c r="W105" t="str">
        <f t="shared" si="13"/>
        <v>Highest current domain is spatial reasoning, suggesting strength in visualisation, modelling, and design tasks.</v>
      </c>
    </row>
    <row r="106" spans="1:23" x14ac:dyDescent="0.3">
      <c r="A106" t="s">
        <v>185</v>
      </c>
      <c r="B106" t="s">
        <v>278</v>
      </c>
      <c r="C106" t="s">
        <v>279</v>
      </c>
      <c r="D106">
        <f>IFERROR(INDEX(Baseline_Entry!$N:$N,MATCH($B106,Baseline_Entry!$B:$B,0)),"")</f>
        <v>110</v>
      </c>
      <c r="E106">
        <f>IFERROR(INDEX(CAT4_Current_Master!$H:$H,MATCH($B106,CAT4_Current_Master!$A:$A,0)),"")</f>
        <v>110</v>
      </c>
      <c r="F106">
        <f t="shared" si="7"/>
        <v>0</v>
      </c>
      <c r="G106" t="str">
        <f>IFERROR(INDEX(Baseline_Entry!$Q:$Q,MATCH($B106,Baseline_Entry!$B:$B,0)),"")</f>
        <v>Mild spatial bias</v>
      </c>
      <c r="H106" t="str">
        <f>IFERROR(INDEX(CAT4_Current_Master!$C:$C,MATCH($B106,CAT4_Current_Master!$A:$A,0)),"")</f>
        <v>Mild spatial bias</v>
      </c>
      <c r="I106">
        <f>IFERROR(INDEX(Baseline_Entry!$R:$R,MATCH($B106,Baseline_Entry!$B:$B,0)),"")</f>
        <v>92</v>
      </c>
      <c r="J106">
        <f>IFERROR(INDEX(CAT4_Current_Master!$D:$D,MATCH($B106,CAT4_Current_Master!$A:$A,0)),"")</f>
        <v>92</v>
      </c>
      <c r="K106">
        <f t="shared" si="8"/>
        <v>0</v>
      </c>
      <c r="L106">
        <f>IFERROR(INDEX(Baseline_Entry!$S:$S,MATCH($B106,Baseline_Entry!$B:$B,0)),"")</f>
        <v>126</v>
      </c>
      <c r="M106">
        <f>IFERROR(INDEX(CAT4_Current_Master!$E:$E,MATCH($B106,CAT4_Current_Master!$A:$A,0)),"")</f>
        <v>126</v>
      </c>
      <c r="N106">
        <f t="shared" si="9"/>
        <v>0</v>
      </c>
      <c r="O106">
        <f>IFERROR(INDEX(Baseline_Entry!$T:$T,MATCH($B106,Baseline_Entry!$B:$B,0)),"")</f>
        <v>113</v>
      </c>
      <c r="P106">
        <f>IFERROR(INDEX(CAT4_Current_Master!$F:$F,MATCH($B106,CAT4_Current_Master!$A:$A,0)),"")</f>
        <v>113</v>
      </c>
      <c r="Q106">
        <f t="shared" si="10"/>
        <v>0</v>
      </c>
      <c r="R106">
        <f>IFERROR(INDEX(Baseline_Entry!$U:$U,MATCH($B106,Baseline_Entry!$B:$B,0)),"")</f>
        <v>109</v>
      </c>
      <c r="S106">
        <f>IFERROR(INDEX(CAT4_Current_Master!$G:$G,MATCH($B106,CAT4_Current_Master!$A:$A,0)),"")</f>
        <v>109</v>
      </c>
      <c r="T106">
        <f t="shared" si="11"/>
        <v>0</v>
      </c>
      <c r="U106" t="str">
        <f>IFERROR(INDEX(CAT4_Current_Master!$I:$I,MATCH($B106,CAT4_Current_Master!$A:$A,0)),"")</f>
        <v>G12</v>
      </c>
      <c r="V106" t="str">
        <f t="shared" si="12"/>
        <v>Quantitative strength</v>
      </c>
      <c r="W106" t="str">
        <f t="shared" si="13"/>
        <v>Highest current domain is quantitative reasoning, suggesting strong numerical and structured problem-solving potential.</v>
      </c>
    </row>
    <row r="107" spans="1:23" x14ac:dyDescent="0.3">
      <c r="A107" t="s">
        <v>185</v>
      </c>
      <c r="B107" t="s">
        <v>280</v>
      </c>
      <c r="C107" t="s">
        <v>281</v>
      </c>
      <c r="D107">
        <f>IFERROR(INDEX(Baseline_Entry!$N:$N,MATCH($B107,Baseline_Entry!$B:$B,0)),"")</f>
        <v>100</v>
      </c>
      <c r="E107">
        <f>IFERROR(INDEX(CAT4_Current_Master!$H:$H,MATCH($B107,CAT4_Current_Master!$A:$A,0)),"")</f>
        <v>100</v>
      </c>
      <c r="F107">
        <f t="shared" si="7"/>
        <v>0</v>
      </c>
      <c r="G107" t="str">
        <f>IFERROR(INDEX(Baseline_Entry!$Q:$Q,MATCH($B107,Baseline_Entry!$B:$B,0)),"")</f>
        <v>No bias</v>
      </c>
      <c r="H107" t="str">
        <f>IFERROR(INDEX(CAT4_Current_Master!$C:$C,MATCH($B107,CAT4_Current_Master!$A:$A,0)),"")</f>
        <v>No bias</v>
      </c>
      <c r="I107">
        <f>IFERROR(INDEX(Baseline_Entry!$R:$R,MATCH($B107,Baseline_Entry!$B:$B,0)),"")</f>
        <v>87</v>
      </c>
      <c r="J107">
        <f>IFERROR(INDEX(CAT4_Current_Master!$D:$D,MATCH($B107,CAT4_Current_Master!$A:$A,0)),"")</f>
        <v>87</v>
      </c>
      <c r="K107">
        <f t="shared" si="8"/>
        <v>0</v>
      </c>
      <c r="L107">
        <f>IFERROR(INDEX(Baseline_Entry!$S:$S,MATCH($B107,Baseline_Entry!$B:$B,0)),"")</f>
        <v>107</v>
      </c>
      <c r="M107">
        <f>IFERROR(INDEX(CAT4_Current_Master!$E:$E,MATCH($B107,CAT4_Current_Master!$A:$A,0)),"")</f>
        <v>107</v>
      </c>
      <c r="N107">
        <f t="shared" si="9"/>
        <v>0</v>
      </c>
      <c r="O107">
        <f>IFERROR(INDEX(Baseline_Entry!$T:$T,MATCH($B107,Baseline_Entry!$B:$B,0)),"")</f>
        <v>115</v>
      </c>
      <c r="P107">
        <f>IFERROR(INDEX(CAT4_Current_Master!$F:$F,MATCH($B107,CAT4_Current_Master!$A:$A,0)),"")</f>
        <v>115</v>
      </c>
      <c r="Q107">
        <f t="shared" si="10"/>
        <v>0</v>
      </c>
      <c r="R107">
        <f>IFERROR(INDEX(Baseline_Entry!$U:$U,MATCH($B107,Baseline_Entry!$B:$B,0)),"")</f>
        <v>92</v>
      </c>
      <c r="S107">
        <f>IFERROR(INDEX(CAT4_Current_Master!$G:$G,MATCH($B107,CAT4_Current_Master!$A:$A,0)),"")</f>
        <v>92</v>
      </c>
      <c r="T107">
        <f t="shared" si="11"/>
        <v>0</v>
      </c>
      <c r="U107" t="str">
        <f>IFERROR(INDEX(CAT4_Current_Master!$I:$I,MATCH($B107,CAT4_Current_Master!$A:$A,0)),"")</f>
        <v>G12</v>
      </c>
      <c r="V107" t="str">
        <f t="shared" si="12"/>
        <v>Analytical / Abstract thinker</v>
      </c>
      <c r="W107" t="str">
        <f t="shared" si="13"/>
        <v>Strong non-verbal reasoning supported by quantitative strength; well aligned with advanced analytical and STEM-rich tasks.</v>
      </c>
    </row>
    <row r="108" spans="1:23" x14ac:dyDescent="0.3">
      <c r="A108" t="s">
        <v>185</v>
      </c>
      <c r="B108" t="s">
        <v>282</v>
      </c>
      <c r="C108" t="s">
        <v>283</v>
      </c>
      <c r="D108">
        <f>IFERROR(INDEX(Baseline_Entry!$N:$N,MATCH($B108,Baseline_Entry!$B:$B,0)),"")</f>
        <v>101</v>
      </c>
      <c r="E108">
        <f>IFERROR(INDEX(CAT4_Current_Master!$H:$H,MATCH($B108,CAT4_Current_Master!$A:$A,0)),"")</f>
        <v>101</v>
      </c>
      <c r="F108">
        <f t="shared" si="7"/>
        <v>0</v>
      </c>
      <c r="G108" t="str">
        <f>IFERROR(INDEX(Baseline_Entry!$Q:$Q,MATCH($B108,Baseline_Entry!$B:$B,0)),"")</f>
        <v>Extreme spatial bias</v>
      </c>
      <c r="H108" t="str">
        <f>IFERROR(INDEX(CAT4_Current_Master!$C:$C,MATCH($B108,CAT4_Current_Master!$A:$A,0)),"")</f>
        <v>Extreme spatial bias</v>
      </c>
      <c r="I108">
        <f>IFERROR(INDEX(Baseline_Entry!$R:$R,MATCH($B108,Baseline_Entry!$B:$B,0)),"")</f>
        <v>80</v>
      </c>
      <c r="J108">
        <f>IFERROR(INDEX(CAT4_Current_Master!$D:$D,MATCH($B108,CAT4_Current_Master!$A:$A,0)),"")</f>
        <v>80</v>
      </c>
      <c r="K108">
        <f t="shared" si="8"/>
        <v>0</v>
      </c>
      <c r="L108">
        <f>IFERROR(INDEX(Baseline_Entry!$S:$S,MATCH($B108,Baseline_Entry!$B:$B,0)),"")</f>
        <v>105</v>
      </c>
      <c r="M108">
        <f>IFERROR(INDEX(CAT4_Current_Master!$E:$E,MATCH($B108,CAT4_Current_Master!$A:$A,0)),"")</f>
        <v>105</v>
      </c>
      <c r="N108">
        <f t="shared" si="9"/>
        <v>0</v>
      </c>
      <c r="O108">
        <f>IFERROR(INDEX(Baseline_Entry!$T:$T,MATCH($B108,Baseline_Entry!$B:$B,0)),"")</f>
        <v>113</v>
      </c>
      <c r="P108">
        <f>IFERROR(INDEX(CAT4_Current_Master!$F:$F,MATCH($B108,CAT4_Current_Master!$A:$A,0)),"")</f>
        <v>113</v>
      </c>
      <c r="Q108">
        <f t="shared" si="10"/>
        <v>0</v>
      </c>
      <c r="R108">
        <f>IFERROR(INDEX(Baseline_Entry!$U:$U,MATCH($B108,Baseline_Entry!$B:$B,0)),"")</f>
        <v>107</v>
      </c>
      <c r="S108">
        <f>IFERROR(INDEX(CAT4_Current_Master!$G:$G,MATCH($B108,CAT4_Current_Master!$A:$A,0)),"")</f>
        <v>107</v>
      </c>
      <c r="T108">
        <f t="shared" si="11"/>
        <v>0</v>
      </c>
      <c r="U108" t="str">
        <f>IFERROR(INDEX(CAT4_Current_Master!$I:$I,MATCH($B108,CAT4_Current_Master!$A:$A,0)),"")</f>
        <v>G12</v>
      </c>
      <c r="V108" t="str">
        <f t="shared" si="12"/>
        <v>Analytical / Abstract thinker</v>
      </c>
      <c r="W108" t="str">
        <f t="shared" si="13"/>
        <v>Strong non-verbal reasoning supported by quantitative strength; well aligned with advanced analytical and STEM-rich tasks.</v>
      </c>
    </row>
    <row r="109" spans="1:23" x14ac:dyDescent="0.3">
      <c r="A109" t="s">
        <v>185</v>
      </c>
      <c r="B109" t="s">
        <v>284</v>
      </c>
      <c r="C109" t="s">
        <v>285</v>
      </c>
      <c r="D109">
        <f>IFERROR(INDEX(Baseline_Entry!$N:$N,MATCH($B109,Baseline_Entry!$B:$B,0)),"")</f>
        <v>97</v>
      </c>
      <c r="E109">
        <f>IFERROR(INDEX(CAT4_Current_Master!$H:$H,MATCH($B109,CAT4_Current_Master!$A:$A,0)),"")</f>
        <v>97</v>
      </c>
      <c r="F109">
        <f t="shared" si="7"/>
        <v>0</v>
      </c>
      <c r="G109" t="str">
        <f>IFERROR(INDEX(Baseline_Entry!$Q:$Q,MATCH($B109,Baseline_Entry!$B:$B,0)),"")</f>
        <v>Moderate spatial bias</v>
      </c>
      <c r="H109" t="str">
        <f>IFERROR(INDEX(CAT4_Current_Master!$C:$C,MATCH($B109,CAT4_Current_Master!$A:$A,0)),"")</f>
        <v>Moderate spatial bias</v>
      </c>
      <c r="I109">
        <f>IFERROR(INDEX(Baseline_Entry!$R:$R,MATCH($B109,Baseline_Entry!$B:$B,0)),"")</f>
        <v>79</v>
      </c>
      <c r="J109">
        <f>IFERROR(INDEX(CAT4_Current_Master!$D:$D,MATCH($B109,CAT4_Current_Master!$A:$A,0)),"")</f>
        <v>79</v>
      </c>
      <c r="K109">
        <f t="shared" si="8"/>
        <v>0</v>
      </c>
      <c r="L109">
        <f>IFERROR(INDEX(Baseline_Entry!$S:$S,MATCH($B109,Baseline_Entry!$B:$B,0)),"")</f>
        <v>114</v>
      </c>
      <c r="M109">
        <f>IFERROR(INDEX(CAT4_Current_Master!$E:$E,MATCH($B109,CAT4_Current_Master!$A:$A,0)),"")</f>
        <v>114</v>
      </c>
      <c r="N109">
        <f t="shared" si="9"/>
        <v>0</v>
      </c>
      <c r="O109">
        <f>IFERROR(INDEX(Baseline_Entry!$T:$T,MATCH($B109,Baseline_Entry!$B:$B,0)),"")</f>
        <v>93</v>
      </c>
      <c r="P109">
        <f>IFERROR(INDEX(CAT4_Current_Master!$F:$F,MATCH($B109,CAT4_Current_Master!$A:$A,0)),"")</f>
        <v>93</v>
      </c>
      <c r="Q109">
        <f t="shared" si="10"/>
        <v>0</v>
      </c>
      <c r="R109">
        <f>IFERROR(INDEX(Baseline_Entry!$U:$U,MATCH($B109,Baseline_Entry!$B:$B,0)),"")</f>
        <v>100</v>
      </c>
      <c r="S109">
        <f>IFERROR(INDEX(CAT4_Current_Master!$G:$G,MATCH($B109,CAT4_Current_Master!$A:$A,0)),"")</f>
        <v>100</v>
      </c>
      <c r="T109">
        <f t="shared" si="11"/>
        <v>0</v>
      </c>
      <c r="U109" t="str">
        <f>IFERROR(INDEX(CAT4_Current_Master!$I:$I,MATCH($B109,CAT4_Current_Master!$A:$A,0)),"")</f>
        <v>G12</v>
      </c>
      <c r="V109" t="str">
        <f t="shared" si="12"/>
        <v>Quantitative strength</v>
      </c>
      <c r="W109" t="str">
        <f t="shared" si="13"/>
        <v>Highest current domain is quantitative reasoning, suggesting strong numerical and structured problem-solving potential.</v>
      </c>
    </row>
    <row r="110" spans="1:23" x14ac:dyDescent="0.3">
      <c r="A110" t="s">
        <v>185</v>
      </c>
      <c r="B110" t="s">
        <v>286</v>
      </c>
      <c r="C110" t="s">
        <v>287</v>
      </c>
      <c r="D110">
        <f>IFERROR(INDEX(Baseline_Entry!$N:$N,MATCH($B110,Baseline_Entry!$B:$B,0)),"")</f>
        <v>92</v>
      </c>
      <c r="E110">
        <f>IFERROR(INDEX(CAT4_Current_Master!$H:$H,MATCH($B110,CAT4_Current_Master!$A:$A,0)),"")</f>
        <v>92</v>
      </c>
      <c r="F110">
        <f t="shared" si="7"/>
        <v>0</v>
      </c>
      <c r="G110" t="str">
        <f>IFERROR(INDEX(Baseline_Entry!$Q:$Q,MATCH($B110,Baseline_Entry!$B:$B,0)),"")</f>
        <v>Moderate spatial bias</v>
      </c>
      <c r="H110" t="str">
        <f>IFERROR(INDEX(CAT4_Current_Master!$C:$C,MATCH($B110,CAT4_Current_Master!$A:$A,0)),"")</f>
        <v>Moderate spatial bias</v>
      </c>
      <c r="I110">
        <f>IFERROR(INDEX(Baseline_Entry!$R:$R,MATCH($B110,Baseline_Entry!$B:$B,0)),"")</f>
        <v>75</v>
      </c>
      <c r="J110">
        <f>IFERROR(INDEX(CAT4_Current_Master!$D:$D,MATCH($B110,CAT4_Current_Master!$A:$A,0)),"")</f>
        <v>75</v>
      </c>
      <c r="K110">
        <f t="shared" si="8"/>
        <v>0</v>
      </c>
      <c r="L110">
        <f>IFERROR(INDEX(Baseline_Entry!$S:$S,MATCH($B110,Baseline_Entry!$B:$B,0)),"")</f>
        <v>105</v>
      </c>
      <c r="M110">
        <f>IFERROR(INDEX(CAT4_Current_Master!$E:$E,MATCH($B110,CAT4_Current_Master!$A:$A,0)),"")</f>
        <v>105</v>
      </c>
      <c r="N110">
        <f t="shared" si="9"/>
        <v>0</v>
      </c>
      <c r="O110">
        <f>IFERROR(INDEX(Baseline_Entry!$T:$T,MATCH($B110,Baseline_Entry!$B:$B,0)),"")</f>
        <v>86</v>
      </c>
      <c r="P110">
        <f>IFERROR(INDEX(CAT4_Current_Master!$F:$F,MATCH($B110,CAT4_Current_Master!$A:$A,0)),"")</f>
        <v>86</v>
      </c>
      <c r="Q110">
        <f t="shared" si="10"/>
        <v>0</v>
      </c>
      <c r="R110">
        <f>IFERROR(INDEX(Baseline_Entry!$U:$U,MATCH($B110,Baseline_Entry!$B:$B,0)),"")</f>
        <v>100</v>
      </c>
      <c r="S110">
        <f>IFERROR(INDEX(CAT4_Current_Master!$G:$G,MATCH($B110,CAT4_Current_Master!$A:$A,0)),"")</f>
        <v>100</v>
      </c>
      <c r="T110">
        <f t="shared" si="11"/>
        <v>0</v>
      </c>
      <c r="U110" t="str">
        <f>IFERROR(INDEX(CAT4_Current_Master!$I:$I,MATCH($B110,CAT4_Current_Master!$A:$A,0)),"")</f>
        <v>G12</v>
      </c>
      <c r="V110" t="str">
        <f t="shared" si="12"/>
        <v>Quantitative strength</v>
      </c>
      <c r="W110" t="str">
        <f t="shared" si="13"/>
        <v>Highest current domain is quantitative reasoning, suggesting strong numerical and structured problem-solving potential.</v>
      </c>
    </row>
    <row r="111" spans="1:23" x14ac:dyDescent="0.3">
      <c r="A111" t="s">
        <v>185</v>
      </c>
      <c r="B111" t="s">
        <v>288</v>
      </c>
      <c r="C111" t="s">
        <v>289</v>
      </c>
      <c r="D111">
        <f>IFERROR(INDEX(Baseline_Entry!$N:$N,MATCH($B111,Baseline_Entry!$B:$B,0)),"")</f>
        <v>103</v>
      </c>
      <c r="E111">
        <f>IFERROR(INDEX(CAT4_Current_Master!$H:$H,MATCH($B111,CAT4_Current_Master!$A:$A,0)),"")</f>
        <v>103</v>
      </c>
      <c r="F111">
        <f t="shared" si="7"/>
        <v>0</v>
      </c>
      <c r="G111" t="str">
        <f>IFERROR(INDEX(Baseline_Entry!$Q:$Q,MATCH($B111,Baseline_Entry!$B:$B,0)),"")</f>
        <v>Mild spatial bias</v>
      </c>
      <c r="H111" t="str">
        <f>IFERROR(INDEX(CAT4_Current_Master!$C:$C,MATCH($B111,CAT4_Current_Master!$A:$A,0)),"")</f>
        <v>Mild spatial bias</v>
      </c>
      <c r="I111">
        <f>IFERROR(INDEX(Baseline_Entry!$R:$R,MATCH($B111,Baseline_Entry!$B:$B,0)),"")</f>
        <v>85</v>
      </c>
      <c r="J111">
        <f>IFERROR(INDEX(CAT4_Current_Master!$D:$D,MATCH($B111,CAT4_Current_Master!$A:$A,0)),"")</f>
        <v>85</v>
      </c>
      <c r="K111">
        <f t="shared" si="8"/>
        <v>0</v>
      </c>
      <c r="L111">
        <f>IFERROR(INDEX(Baseline_Entry!$S:$S,MATCH($B111,Baseline_Entry!$B:$B,0)),"")</f>
        <v>116</v>
      </c>
      <c r="M111">
        <f>IFERROR(INDEX(CAT4_Current_Master!$E:$E,MATCH($B111,CAT4_Current_Master!$A:$A,0)),"")</f>
        <v>116</v>
      </c>
      <c r="N111">
        <f t="shared" si="9"/>
        <v>0</v>
      </c>
      <c r="O111">
        <f>IFERROR(INDEX(Baseline_Entry!$T:$T,MATCH($B111,Baseline_Entry!$B:$B,0)),"")</f>
        <v>111</v>
      </c>
      <c r="P111">
        <f>IFERROR(INDEX(CAT4_Current_Master!$F:$F,MATCH($B111,CAT4_Current_Master!$A:$A,0)),"")</f>
        <v>111</v>
      </c>
      <c r="Q111">
        <f t="shared" si="10"/>
        <v>0</v>
      </c>
      <c r="R111">
        <f>IFERROR(INDEX(Baseline_Entry!$U:$U,MATCH($B111,Baseline_Entry!$B:$B,0)),"")</f>
        <v>98</v>
      </c>
      <c r="S111">
        <f>IFERROR(INDEX(CAT4_Current_Master!$G:$G,MATCH($B111,CAT4_Current_Master!$A:$A,0)),"")</f>
        <v>98</v>
      </c>
      <c r="T111">
        <f t="shared" si="11"/>
        <v>0</v>
      </c>
      <c r="U111" t="str">
        <f>IFERROR(INDEX(CAT4_Current_Master!$I:$I,MATCH($B111,CAT4_Current_Master!$A:$A,0)),"")</f>
        <v>G12</v>
      </c>
      <c r="V111" t="str">
        <f t="shared" si="12"/>
        <v>Quantitative strength</v>
      </c>
      <c r="W111" t="str">
        <f t="shared" si="13"/>
        <v>Highest current domain is quantitative reasoning, suggesting strong numerical and structured problem-solving potential.</v>
      </c>
    </row>
    <row r="112" spans="1:23" x14ac:dyDescent="0.3">
      <c r="A112" t="s">
        <v>185</v>
      </c>
      <c r="B112" t="s">
        <v>290</v>
      </c>
      <c r="C112" t="s">
        <v>291</v>
      </c>
      <c r="D112">
        <f>IFERROR(INDEX(Baseline_Entry!$N:$N,MATCH($B112,Baseline_Entry!$B:$B,0)),"")</f>
        <v>103</v>
      </c>
      <c r="E112">
        <f>IFERROR(INDEX(CAT4_Current_Master!$H:$H,MATCH($B112,CAT4_Current_Master!$A:$A,0)),"")</f>
        <v>103</v>
      </c>
      <c r="F112">
        <f t="shared" si="7"/>
        <v>0</v>
      </c>
      <c r="G112" t="str">
        <f>IFERROR(INDEX(Baseline_Entry!$Q:$Q,MATCH($B112,Baseline_Entry!$B:$B,0)),"")</f>
        <v>No bias</v>
      </c>
      <c r="H112" t="str">
        <f>IFERROR(INDEX(CAT4_Current_Master!$C:$C,MATCH($B112,CAT4_Current_Master!$A:$A,0)),"")</f>
        <v>No bias</v>
      </c>
      <c r="I112">
        <f>IFERROR(INDEX(Baseline_Entry!$R:$R,MATCH($B112,Baseline_Entry!$B:$B,0)),"")</f>
        <v>94</v>
      </c>
      <c r="J112">
        <f>IFERROR(INDEX(CAT4_Current_Master!$D:$D,MATCH($B112,CAT4_Current_Master!$A:$A,0)),"")</f>
        <v>94</v>
      </c>
      <c r="K112">
        <f t="shared" si="8"/>
        <v>0</v>
      </c>
      <c r="L112">
        <f>IFERROR(INDEX(Baseline_Entry!$S:$S,MATCH($B112,Baseline_Entry!$B:$B,0)),"")</f>
        <v>116</v>
      </c>
      <c r="M112">
        <f>IFERROR(INDEX(CAT4_Current_Master!$E:$E,MATCH($B112,CAT4_Current_Master!$A:$A,0)),"")</f>
        <v>116</v>
      </c>
      <c r="N112">
        <f t="shared" si="9"/>
        <v>0</v>
      </c>
      <c r="O112">
        <f>IFERROR(INDEX(Baseline_Entry!$T:$T,MATCH($B112,Baseline_Entry!$B:$B,0)),"")</f>
        <v>100</v>
      </c>
      <c r="P112">
        <f>IFERROR(INDEX(CAT4_Current_Master!$F:$F,MATCH($B112,CAT4_Current_Master!$A:$A,0)),"")</f>
        <v>100</v>
      </c>
      <c r="Q112">
        <f t="shared" si="10"/>
        <v>0</v>
      </c>
      <c r="R112">
        <f>IFERROR(INDEX(Baseline_Entry!$U:$U,MATCH($B112,Baseline_Entry!$B:$B,0)),"")</f>
        <v>100</v>
      </c>
      <c r="S112">
        <f>IFERROR(INDEX(CAT4_Current_Master!$G:$G,MATCH($B112,CAT4_Current_Master!$A:$A,0)),"")</f>
        <v>100</v>
      </c>
      <c r="T112">
        <f t="shared" si="11"/>
        <v>0</v>
      </c>
      <c r="U112" t="str">
        <f>IFERROR(INDEX(CAT4_Current_Master!$I:$I,MATCH($B112,CAT4_Current_Master!$A:$A,0)),"")</f>
        <v>G12</v>
      </c>
      <c r="V112" t="str">
        <f t="shared" si="12"/>
        <v>Quantitative strength</v>
      </c>
      <c r="W112" t="str">
        <f t="shared" si="13"/>
        <v>Highest current domain is quantitative reasoning, suggesting strong numerical and structured problem-solving potential.</v>
      </c>
    </row>
    <row r="113" spans="1:23" x14ac:dyDescent="0.3">
      <c r="A113" t="s">
        <v>185</v>
      </c>
      <c r="B113" t="s">
        <v>292</v>
      </c>
      <c r="C113" t="s">
        <v>293</v>
      </c>
      <c r="D113">
        <f>IFERROR(INDEX(Baseline_Entry!$N:$N,MATCH($B113,Baseline_Entry!$B:$B,0)),"")</f>
        <v>84</v>
      </c>
      <c r="E113">
        <f>IFERROR(INDEX(CAT4_Current_Master!$H:$H,MATCH($B113,CAT4_Current_Master!$A:$A,0)),"")</f>
        <v>84</v>
      </c>
      <c r="F113">
        <f t="shared" si="7"/>
        <v>0</v>
      </c>
      <c r="G113" t="str">
        <f>IFERROR(INDEX(Baseline_Entry!$Q:$Q,MATCH($B113,Baseline_Entry!$B:$B,0)),"")</f>
        <v>No bias</v>
      </c>
      <c r="H113" t="str">
        <f>IFERROR(INDEX(CAT4_Current_Master!$C:$C,MATCH($B113,CAT4_Current_Master!$A:$A,0)),"")</f>
        <v>No bias</v>
      </c>
      <c r="I113">
        <f>IFERROR(INDEX(Baseline_Entry!$R:$R,MATCH($B113,Baseline_Entry!$B:$B,0)),"")</f>
        <v>75</v>
      </c>
      <c r="J113">
        <f>IFERROR(INDEX(CAT4_Current_Master!$D:$D,MATCH($B113,CAT4_Current_Master!$A:$A,0)),"")</f>
        <v>75</v>
      </c>
      <c r="K113">
        <f t="shared" si="8"/>
        <v>0</v>
      </c>
      <c r="L113">
        <f>IFERROR(INDEX(Baseline_Entry!$S:$S,MATCH($B113,Baseline_Entry!$B:$B,0)),"")</f>
        <v>86</v>
      </c>
      <c r="M113">
        <f>IFERROR(INDEX(CAT4_Current_Master!$E:$E,MATCH($B113,CAT4_Current_Master!$A:$A,0)),"")</f>
        <v>86</v>
      </c>
      <c r="N113">
        <f t="shared" si="9"/>
        <v>0</v>
      </c>
      <c r="O113">
        <f>IFERROR(INDEX(Baseline_Entry!$T:$T,MATCH($B113,Baseline_Entry!$B:$B,0)),"")</f>
        <v>102</v>
      </c>
      <c r="P113">
        <f>IFERROR(INDEX(CAT4_Current_Master!$F:$F,MATCH($B113,CAT4_Current_Master!$A:$A,0)),"")</f>
        <v>102</v>
      </c>
      <c r="Q113">
        <f t="shared" si="10"/>
        <v>0</v>
      </c>
      <c r="R113">
        <f>IFERROR(INDEX(Baseline_Entry!$U:$U,MATCH($B113,Baseline_Entry!$B:$B,0)),"")</f>
        <v>73</v>
      </c>
      <c r="S113">
        <f>IFERROR(INDEX(CAT4_Current_Master!$G:$G,MATCH($B113,CAT4_Current_Master!$A:$A,0)),"")</f>
        <v>73</v>
      </c>
      <c r="T113">
        <f t="shared" si="11"/>
        <v>0</v>
      </c>
      <c r="U113" t="str">
        <f>IFERROR(INDEX(CAT4_Current_Master!$I:$I,MATCH($B113,CAT4_Current_Master!$A:$A,0)),"")</f>
        <v>G12</v>
      </c>
      <c r="V113" t="str">
        <f t="shared" si="12"/>
        <v>Mixed profile</v>
      </c>
      <c r="W113" t="str">
        <f t="shared" si="13"/>
        <v>Mixed cognitive pattern requiring differentiated instruction.</v>
      </c>
    </row>
    <row r="114" spans="1:23" x14ac:dyDescent="0.3">
      <c r="A114" t="s">
        <v>185</v>
      </c>
      <c r="B114" t="s">
        <v>294</v>
      </c>
      <c r="C114" t="s">
        <v>295</v>
      </c>
      <c r="D114">
        <f>IFERROR(INDEX(Baseline_Entry!$N:$N,MATCH($B114,Baseline_Entry!$B:$B,0)),"")</f>
        <v>107</v>
      </c>
      <c r="E114">
        <f>IFERROR(INDEX(CAT4_Current_Master!$H:$H,MATCH($B114,CAT4_Current_Master!$A:$A,0)),"")</f>
        <v>107</v>
      </c>
      <c r="F114">
        <f t="shared" si="7"/>
        <v>0</v>
      </c>
      <c r="G114" t="str">
        <f>IFERROR(INDEX(Baseline_Entry!$Q:$Q,MATCH($B114,Baseline_Entry!$B:$B,0)),"")</f>
        <v>No bias</v>
      </c>
      <c r="H114" t="str">
        <f>IFERROR(INDEX(CAT4_Current_Master!$C:$C,MATCH($B114,CAT4_Current_Master!$A:$A,0)),"")</f>
        <v>No bias</v>
      </c>
      <c r="I114">
        <f>IFERROR(INDEX(Baseline_Entry!$R:$R,MATCH($B114,Baseline_Entry!$B:$B,0)),"")</f>
        <v>94</v>
      </c>
      <c r="J114">
        <f>IFERROR(INDEX(CAT4_Current_Master!$D:$D,MATCH($B114,CAT4_Current_Master!$A:$A,0)),"")</f>
        <v>94</v>
      </c>
      <c r="K114">
        <f t="shared" si="8"/>
        <v>0</v>
      </c>
      <c r="L114">
        <f>IFERROR(INDEX(Baseline_Entry!$S:$S,MATCH($B114,Baseline_Entry!$B:$B,0)),"")</f>
        <v>130</v>
      </c>
      <c r="M114">
        <f>IFERROR(INDEX(CAT4_Current_Master!$E:$E,MATCH($B114,CAT4_Current_Master!$A:$A,0)),"")</f>
        <v>130</v>
      </c>
      <c r="N114">
        <f t="shared" si="9"/>
        <v>0</v>
      </c>
      <c r="O114">
        <f>IFERROR(INDEX(Baseline_Entry!$T:$T,MATCH($B114,Baseline_Entry!$B:$B,0)),"")</f>
        <v>106</v>
      </c>
      <c r="P114">
        <f>IFERROR(INDEX(CAT4_Current_Master!$F:$F,MATCH($B114,CAT4_Current_Master!$A:$A,0)),"")</f>
        <v>106</v>
      </c>
      <c r="Q114">
        <f t="shared" si="10"/>
        <v>0</v>
      </c>
      <c r="R114">
        <f>IFERROR(INDEX(Baseline_Entry!$U:$U,MATCH($B114,Baseline_Entry!$B:$B,0)),"")</f>
        <v>98</v>
      </c>
      <c r="S114">
        <f>IFERROR(INDEX(CAT4_Current_Master!$G:$G,MATCH($B114,CAT4_Current_Master!$A:$A,0)),"")</f>
        <v>98</v>
      </c>
      <c r="T114">
        <f t="shared" si="11"/>
        <v>0</v>
      </c>
      <c r="U114" t="str">
        <f>IFERROR(INDEX(CAT4_Current_Master!$I:$I,MATCH($B114,CAT4_Current_Master!$A:$A,0)),"")</f>
        <v>G12</v>
      </c>
      <c r="V114" t="str">
        <f t="shared" si="12"/>
        <v>Quantitative strength</v>
      </c>
      <c r="W114" t="str">
        <f t="shared" si="13"/>
        <v>Highest current domain is quantitative reasoning, suggesting strong numerical and structured problem-solving potential.</v>
      </c>
    </row>
    <row r="115" spans="1:23" x14ac:dyDescent="0.3">
      <c r="A115" t="s">
        <v>185</v>
      </c>
      <c r="B115" t="s">
        <v>296</v>
      </c>
      <c r="C115" t="s">
        <v>297</v>
      </c>
      <c r="D115">
        <f>IFERROR(INDEX(Baseline_Entry!$N:$N,MATCH($B115,Baseline_Entry!$B:$B,0)),"")</f>
        <v>102</v>
      </c>
      <c r="E115">
        <f>IFERROR(INDEX(CAT4_Current_Master!$H:$H,MATCH($B115,CAT4_Current_Master!$A:$A,0)),"")</f>
        <v>102</v>
      </c>
      <c r="F115">
        <f t="shared" si="7"/>
        <v>0</v>
      </c>
      <c r="G115" t="str">
        <f>IFERROR(INDEX(Baseline_Entry!$Q:$Q,MATCH($B115,Baseline_Entry!$B:$B,0)),"")</f>
        <v>Mild spatial bias</v>
      </c>
      <c r="H115" t="str">
        <f>IFERROR(INDEX(CAT4_Current_Master!$C:$C,MATCH($B115,CAT4_Current_Master!$A:$A,0)),"")</f>
        <v>Mild spatial bias</v>
      </c>
      <c r="I115">
        <f>IFERROR(INDEX(Baseline_Entry!$R:$R,MATCH($B115,Baseline_Entry!$B:$B,0)),"")</f>
        <v>89</v>
      </c>
      <c r="J115">
        <f>IFERROR(INDEX(CAT4_Current_Master!$D:$D,MATCH($B115,CAT4_Current_Master!$A:$A,0)),"")</f>
        <v>89</v>
      </c>
      <c r="K115">
        <f t="shared" si="8"/>
        <v>0</v>
      </c>
      <c r="L115">
        <f>IFERROR(INDEX(Baseline_Entry!$S:$S,MATCH($B115,Baseline_Entry!$B:$B,0)),"")</f>
        <v>118</v>
      </c>
      <c r="M115">
        <f>IFERROR(INDEX(CAT4_Current_Master!$E:$E,MATCH($B115,CAT4_Current_Master!$A:$A,0)),"")</f>
        <v>118</v>
      </c>
      <c r="N115">
        <f t="shared" si="9"/>
        <v>0</v>
      </c>
      <c r="O115">
        <f>IFERROR(INDEX(Baseline_Entry!$T:$T,MATCH($B115,Baseline_Entry!$B:$B,0)),"")</f>
        <v>98</v>
      </c>
      <c r="P115">
        <f>IFERROR(INDEX(CAT4_Current_Master!$F:$F,MATCH($B115,CAT4_Current_Master!$A:$A,0)),"")</f>
        <v>98</v>
      </c>
      <c r="Q115">
        <f t="shared" si="10"/>
        <v>0</v>
      </c>
      <c r="R115">
        <f>IFERROR(INDEX(Baseline_Entry!$U:$U,MATCH($B115,Baseline_Entry!$B:$B,0)),"")</f>
        <v>104</v>
      </c>
      <c r="S115">
        <f>IFERROR(INDEX(CAT4_Current_Master!$G:$G,MATCH($B115,CAT4_Current_Master!$A:$A,0)),"")</f>
        <v>104</v>
      </c>
      <c r="T115">
        <f t="shared" si="11"/>
        <v>0</v>
      </c>
      <c r="U115" t="str">
        <f>IFERROR(INDEX(CAT4_Current_Master!$I:$I,MATCH($B115,CAT4_Current_Master!$A:$A,0)),"")</f>
        <v>G12</v>
      </c>
      <c r="V115" t="str">
        <f t="shared" si="12"/>
        <v>Quantitative strength</v>
      </c>
      <c r="W115" t="str">
        <f t="shared" si="13"/>
        <v>Highest current domain is quantitative reasoning, suggesting strong numerical and structured problem-solving potential.</v>
      </c>
    </row>
    <row r="116" spans="1:23" x14ac:dyDescent="0.3">
      <c r="A116" t="s">
        <v>298</v>
      </c>
      <c r="B116" t="s">
        <v>299</v>
      </c>
      <c r="C116" t="s">
        <v>300</v>
      </c>
      <c r="D116">
        <f>IFERROR(INDEX(Baseline_Entry!$N:$N,MATCH($B116,Baseline_Entry!$B:$B,0)),"")</f>
        <v>103</v>
      </c>
      <c r="E116">
        <f>IFERROR(INDEX(CAT4_Current_Master!$H:$H,MATCH($B116,CAT4_Current_Master!$A:$A,0)),"")</f>
        <v>103</v>
      </c>
      <c r="F116">
        <f t="shared" si="7"/>
        <v>0</v>
      </c>
      <c r="G116" t="str">
        <f>IFERROR(INDEX(Baseline_Entry!$Q:$Q,MATCH($B116,Baseline_Entry!$B:$B,0)),"")</f>
        <v>Mild spatial bias</v>
      </c>
      <c r="H116" t="str">
        <f>IFERROR(INDEX(CAT4_Current_Master!$C:$C,MATCH($B116,CAT4_Current_Master!$A:$A,0)),"")</f>
        <v>Mild spatial bias</v>
      </c>
      <c r="I116">
        <f>IFERROR(INDEX(Baseline_Entry!$R:$R,MATCH($B116,Baseline_Entry!$B:$B,0)),"")</f>
        <v>86</v>
      </c>
      <c r="J116">
        <f>IFERROR(INDEX(CAT4_Current_Master!$D:$D,MATCH($B116,CAT4_Current_Master!$A:$A,0)),"")</f>
        <v>86</v>
      </c>
      <c r="K116">
        <f t="shared" si="8"/>
        <v>0</v>
      </c>
      <c r="L116">
        <f>IFERROR(INDEX(Baseline_Entry!$S:$S,MATCH($B116,Baseline_Entry!$B:$B,0)),"")</f>
        <v>114</v>
      </c>
      <c r="M116">
        <f>IFERROR(INDEX(CAT4_Current_Master!$E:$E,MATCH($B116,CAT4_Current_Master!$A:$A,0)),"")</f>
        <v>114</v>
      </c>
      <c r="N116">
        <f t="shared" si="9"/>
        <v>0</v>
      </c>
      <c r="O116">
        <f>IFERROR(INDEX(Baseline_Entry!$T:$T,MATCH($B116,Baseline_Entry!$B:$B,0)),"")</f>
        <v>108</v>
      </c>
      <c r="P116">
        <f>IFERROR(INDEX(CAT4_Current_Master!$F:$F,MATCH($B116,CAT4_Current_Master!$A:$A,0)),"")</f>
        <v>108</v>
      </c>
      <c r="Q116">
        <f t="shared" si="10"/>
        <v>0</v>
      </c>
      <c r="R116">
        <f>IFERROR(INDEX(Baseline_Entry!$U:$U,MATCH($B116,Baseline_Entry!$B:$B,0)),"")</f>
        <v>102</v>
      </c>
      <c r="S116">
        <f>IFERROR(INDEX(CAT4_Current_Master!$G:$G,MATCH($B116,CAT4_Current_Master!$A:$A,0)),"")</f>
        <v>102</v>
      </c>
      <c r="T116">
        <f t="shared" si="11"/>
        <v>0</v>
      </c>
      <c r="U116" t="str">
        <f>IFERROR(INDEX(CAT4_Current_Master!$I:$I,MATCH($B116,CAT4_Current_Master!$A:$A,0)),"")</f>
        <v>G11</v>
      </c>
      <c r="V116" t="str">
        <f t="shared" si="12"/>
        <v>Quantitative strength</v>
      </c>
      <c r="W116" t="str">
        <f t="shared" si="13"/>
        <v>Highest current domain is quantitative reasoning, suggesting strong numerical and structured problem-solving potential.</v>
      </c>
    </row>
    <row r="117" spans="1:23" x14ac:dyDescent="0.3">
      <c r="A117" t="s">
        <v>298</v>
      </c>
      <c r="B117" t="s">
        <v>303</v>
      </c>
      <c r="C117" t="s">
        <v>304</v>
      </c>
      <c r="D117">
        <f>IFERROR(INDEX(Baseline_Entry!$N:$N,MATCH($B117,Baseline_Entry!$B:$B,0)),"")</f>
        <v>99</v>
      </c>
      <c r="E117">
        <f>IFERROR(INDEX(CAT4_Current_Master!$H:$H,MATCH($B117,CAT4_Current_Master!$A:$A,0)),"")</f>
        <v>99</v>
      </c>
      <c r="F117">
        <f t="shared" si="7"/>
        <v>0</v>
      </c>
      <c r="G117" t="str">
        <f>IFERROR(INDEX(Baseline_Entry!$Q:$Q,MATCH($B117,Baseline_Entry!$B:$B,0)),"")</f>
        <v>Extreme spatial bias</v>
      </c>
      <c r="H117" t="str">
        <f>IFERROR(INDEX(CAT4_Current_Master!$C:$C,MATCH($B117,CAT4_Current_Master!$A:$A,0)),"")</f>
        <v>Extreme spatial bias</v>
      </c>
      <c r="I117">
        <f>IFERROR(INDEX(Baseline_Entry!$R:$R,MATCH($B117,Baseline_Entry!$B:$B,0)),"")</f>
        <v>68</v>
      </c>
      <c r="J117">
        <f>IFERROR(INDEX(CAT4_Current_Master!$D:$D,MATCH($B117,CAT4_Current_Master!$A:$A,0)),"")</f>
        <v>68</v>
      </c>
      <c r="K117">
        <f t="shared" si="8"/>
        <v>0</v>
      </c>
      <c r="L117">
        <f>IFERROR(INDEX(Baseline_Entry!$S:$S,MATCH($B117,Baseline_Entry!$B:$B,0)),"")</f>
        <v>103</v>
      </c>
      <c r="M117">
        <f>IFERROR(INDEX(CAT4_Current_Master!$E:$E,MATCH($B117,CAT4_Current_Master!$A:$A,0)),"")</f>
        <v>103</v>
      </c>
      <c r="N117">
        <f t="shared" si="9"/>
        <v>0</v>
      </c>
      <c r="O117">
        <f>IFERROR(INDEX(Baseline_Entry!$T:$T,MATCH($B117,Baseline_Entry!$B:$B,0)),"")</f>
        <v>119</v>
      </c>
      <c r="P117">
        <f>IFERROR(INDEX(CAT4_Current_Master!$F:$F,MATCH($B117,CAT4_Current_Master!$A:$A,0)),"")</f>
        <v>119</v>
      </c>
      <c r="Q117">
        <f t="shared" si="10"/>
        <v>0</v>
      </c>
      <c r="R117">
        <f>IFERROR(INDEX(Baseline_Entry!$U:$U,MATCH($B117,Baseline_Entry!$B:$B,0)),"")</f>
        <v>104</v>
      </c>
      <c r="S117">
        <f>IFERROR(INDEX(CAT4_Current_Master!$G:$G,MATCH($B117,CAT4_Current_Master!$A:$A,0)),"")</f>
        <v>104</v>
      </c>
      <c r="T117">
        <f t="shared" si="11"/>
        <v>0</v>
      </c>
      <c r="U117" t="str">
        <f>IFERROR(INDEX(CAT4_Current_Master!$I:$I,MATCH($B117,CAT4_Current_Master!$A:$A,0)),"")</f>
        <v>G11</v>
      </c>
      <c r="V117" t="str">
        <f t="shared" si="12"/>
        <v>Analytical / Abstract thinker</v>
      </c>
      <c r="W117" t="str">
        <f t="shared" si="13"/>
        <v>Strong non-verbal reasoning supported by quantitative strength; well aligned with advanced analytical and STEM-rich tasks.</v>
      </c>
    </row>
    <row r="118" spans="1:23" x14ac:dyDescent="0.3">
      <c r="A118" t="s">
        <v>298</v>
      </c>
      <c r="B118" t="s">
        <v>305</v>
      </c>
      <c r="C118" t="s">
        <v>306</v>
      </c>
      <c r="D118">
        <f>IFERROR(INDEX(Baseline_Entry!$N:$N,MATCH($B118,Baseline_Entry!$B:$B,0)),"")</f>
        <v>104</v>
      </c>
      <c r="E118">
        <f>IFERROR(INDEX(CAT4_Current_Master!$H:$H,MATCH($B118,CAT4_Current_Master!$A:$A,0)),"")</f>
        <v>104</v>
      </c>
      <c r="F118">
        <f t="shared" si="7"/>
        <v>0</v>
      </c>
      <c r="G118" t="str">
        <f>IFERROR(INDEX(Baseline_Entry!$Q:$Q,MATCH($B118,Baseline_Entry!$B:$B,0)),"")</f>
        <v>No bias</v>
      </c>
      <c r="H118" t="str">
        <f>IFERROR(INDEX(CAT4_Current_Master!$C:$C,MATCH($B118,CAT4_Current_Master!$A:$A,0)),"")</f>
        <v>No bias</v>
      </c>
      <c r="I118">
        <f>IFERROR(INDEX(Baseline_Entry!$R:$R,MATCH($B118,Baseline_Entry!$B:$B,0)),"")</f>
        <v>109</v>
      </c>
      <c r="J118">
        <f>IFERROR(INDEX(CAT4_Current_Master!$D:$D,MATCH($B118,CAT4_Current_Master!$A:$A,0)),"")</f>
        <v>109</v>
      </c>
      <c r="K118">
        <f t="shared" si="8"/>
        <v>0</v>
      </c>
      <c r="L118">
        <f>IFERROR(INDEX(Baseline_Entry!$S:$S,MATCH($B118,Baseline_Entry!$B:$B,0)),"")</f>
        <v>103</v>
      </c>
      <c r="M118">
        <f>IFERROR(INDEX(CAT4_Current_Master!$E:$E,MATCH($B118,CAT4_Current_Master!$A:$A,0)),"")</f>
        <v>103</v>
      </c>
      <c r="N118">
        <f t="shared" si="9"/>
        <v>0</v>
      </c>
      <c r="O118">
        <f>IFERROR(INDEX(Baseline_Entry!$T:$T,MATCH($B118,Baseline_Entry!$B:$B,0)),"")</f>
        <v>105</v>
      </c>
      <c r="P118">
        <f>IFERROR(INDEX(CAT4_Current_Master!$F:$F,MATCH($B118,CAT4_Current_Master!$A:$A,0)),"")</f>
        <v>105</v>
      </c>
      <c r="Q118">
        <f t="shared" si="10"/>
        <v>0</v>
      </c>
      <c r="R118">
        <f>IFERROR(INDEX(Baseline_Entry!$U:$U,MATCH($B118,Baseline_Entry!$B:$B,0)),"")</f>
        <v>100</v>
      </c>
      <c r="S118">
        <f>IFERROR(INDEX(CAT4_Current_Master!$G:$G,MATCH($B118,CAT4_Current_Master!$A:$A,0)),"")</f>
        <v>100</v>
      </c>
      <c r="T118">
        <f t="shared" si="11"/>
        <v>0</v>
      </c>
      <c r="U118" t="str">
        <f>IFERROR(INDEX(CAT4_Current_Master!$I:$I,MATCH($B118,CAT4_Current_Master!$A:$A,0)),"")</f>
        <v>G11</v>
      </c>
      <c r="V118" t="str">
        <f t="shared" si="12"/>
        <v>Verbal strength</v>
      </c>
      <c r="W118" t="str">
        <f t="shared" si="13"/>
        <v>Highest current domain is verbal reasoning, suggesting strength in language-rich, discussion-rich, and evidence-based tasks.</v>
      </c>
    </row>
    <row r="119" spans="1:23" x14ac:dyDescent="0.3">
      <c r="A119" t="s">
        <v>298</v>
      </c>
      <c r="B119" t="s">
        <v>307</v>
      </c>
      <c r="C119" t="s">
        <v>308</v>
      </c>
      <c r="D119">
        <f>IFERROR(INDEX(Baseline_Entry!$N:$N,MATCH($B119,Baseline_Entry!$B:$B,0)),"")</f>
        <v>97</v>
      </c>
      <c r="E119">
        <f>IFERROR(INDEX(CAT4_Current_Master!$H:$H,MATCH($B119,CAT4_Current_Master!$A:$A,0)),"")</f>
        <v>97</v>
      </c>
      <c r="F119">
        <f t="shared" si="7"/>
        <v>0</v>
      </c>
      <c r="G119" t="str">
        <f>IFERROR(INDEX(Baseline_Entry!$Q:$Q,MATCH($B119,Baseline_Entry!$B:$B,0)),"")</f>
        <v>Extreme spatial bias</v>
      </c>
      <c r="H119" t="str">
        <f>IFERROR(INDEX(CAT4_Current_Master!$C:$C,MATCH($B119,CAT4_Current_Master!$A:$A,0)),"")</f>
        <v>Extreme spatial bias</v>
      </c>
      <c r="I119">
        <f>IFERROR(INDEX(Baseline_Entry!$R:$R,MATCH($B119,Baseline_Entry!$B:$B,0)),"")</f>
        <v>75</v>
      </c>
      <c r="J119">
        <f>IFERROR(INDEX(CAT4_Current_Master!$D:$D,MATCH($B119,CAT4_Current_Master!$A:$A,0)),"")</f>
        <v>75</v>
      </c>
      <c r="K119">
        <f t="shared" si="8"/>
        <v>0</v>
      </c>
      <c r="L119">
        <f>IFERROR(INDEX(Baseline_Entry!$S:$S,MATCH($B119,Baseline_Entry!$B:$B,0)),"")</f>
        <v>114</v>
      </c>
      <c r="M119">
        <f>IFERROR(INDEX(CAT4_Current_Master!$E:$E,MATCH($B119,CAT4_Current_Master!$A:$A,0)),"")</f>
        <v>114</v>
      </c>
      <c r="N119">
        <f t="shared" si="9"/>
        <v>0</v>
      </c>
      <c r="O119">
        <f>IFERROR(INDEX(Baseline_Entry!$T:$T,MATCH($B119,Baseline_Entry!$B:$B,0)),"")</f>
        <v>94</v>
      </c>
      <c r="P119">
        <f>IFERROR(INDEX(CAT4_Current_Master!$F:$F,MATCH($B119,CAT4_Current_Master!$A:$A,0)),"")</f>
        <v>94</v>
      </c>
      <c r="Q119">
        <f t="shared" si="10"/>
        <v>0</v>
      </c>
      <c r="R119">
        <f>IFERROR(INDEX(Baseline_Entry!$U:$U,MATCH($B119,Baseline_Entry!$B:$B,0)),"")</f>
        <v>104</v>
      </c>
      <c r="S119">
        <f>IFERROR(INDEX(CAT4_Current_Master!$G:$G,MATCH($B119,CAT4_Current_Master!$A:$A,0)),"")</f>
        <v>104</v>
      </c>
      <c r="T119">
        <f t="shared" si="11"/>
        <v>0</v>
      </c>
      <c r="U119" t="str">
        <f>IFERROR(INDEX(CAT4_Current_Master!$I:$I,MATCH($B119,CAT4_Current_Master!$A:$A,0)),"")</f>
        <v>G11</v>
      </c>
      <c r="V119" t="str">
        <f t="shared" si="12"/>
        <v>Quantitative strength</v>
      </c>
      <c r="W119" t="str">
        <f t="shared" si="13"/>
        <v>Highest current domain is quantitative reasoning, suggesting strong numerical and structured problem-solving potential.</v>
      </c>
    </row>
    <row r="120" spans="1:23" x14ac:dyDescent="0.3">
      <c r="A120" t="s">
        <v>298</v>
      </c>
      <c r="B120" t="s">
        <v>309</v>
      </c>
      <c r="C120" t="s">
        <v>310</v>
      </c>
      <c r="D120">
        <f>IFERROR(INDEX(Baseline_Entry!$N:$N,MATCH($B120,Baseline_Entry!$B:$B,0)),"")</f>
        <v>100</v>
      </c>
      <c r="E120">
        <f>IFERROR(INDEX(CAT4_Current_Master!$H:$H,MATCH($B120,CAT4_Current_Master!$A:$A,0)),"")</f>
        <v>100</v>
      </c>
      <c r="F120">
        <f t="shared" si="7"/>
        <v>0</v>
      </c>
      <c r="G120" t="str">
        <f>IFERROR(INDEX(Baseline_Entry!$Q:$Q,MATCH($B120,Baseline_Entry!$B:$B,0)),"")</f>
        <v>Moderate spatial bias</v>
      </c>
      <c r="H120" t="str">
        <f>IFERROR(INDEX(CAT4_Current_Master!$C:$C,MATCH($B120,CAT4_Current_Master!$A:$A,0)),"")</f>
        <v>Moderate spatial bias</v>
      </c>
      <c r="I120">
        <f>IFERROR(INDEX(Baseline_Entry!$R:$R,MATCH($B120,Baseline_Entry!$B:$B,0)),"")</f>
        <v>86</v>
      </c>
      <c r="J120">
        <f>IFERROR(INDEX(CAT4_Current_Master!$D:$D,MATCH($B120,CAT4_Current_Master!$A:$A,0)),"")</f>
        <v>86</v>
      </c>
      <c r="K120">
        <f t="shared" si="8"/>
        <v>0</v>
      </c>
      <c r="L120">
        <f>IFERROR(INDEX(Baseline_Entry!$S:$S,MATCH($B120,Baseline_Entry!$B:$B,0)),"")</f>
        <v>103</v>
      </c>
      <c r="M120">
        <f>IFERROR(INDEX(CAT4_Current_Master!$E:$E,MATCH($B120,CAT4_Current_Master!$A:$A,0)),"")</f>
        <v>103</v>
      </c>
      <c r="N120">
        <f t="shared" si="9"/>
        <v>0</v>
      </c>
      <c r="O120">
        <f>IFERROR(INDEX(Baseline_Entry!$T:$T,MATCH($B120,Baseline_Entry!$B:$B,0)),"")</f>
        <v>108</v>
      </c>
      <c r="P120">
        <f>IFERROR(INDEX(CAT4_Current_Master!$F:$F,MATCH($B120,CAT4_Current_Master!$A:$A,0)),"")</f>
        <v>108</v>
      </c>
      <c r="Q120">
        <f t="shared" si="10"/>
        <v>0</v>
      </c>
      <c r="R120">
        <f>IFERROR(INDEX(Baseline_Entry!$U:$U,MATCH($B120,Baseline_Entry!$B:$B,0)),"")</f>
        <v>104</v>
      </c>
      <c r="S120">
        <f>IFERROR(INDEX(CAT4_Current_Master!$G:$G,MATCH($B120,CAT4_Current_Master!$A:$A,0)),"")</f>
        <v>104</v>
      </c>
      <c r="T120">
        <f t="shared" si="11"/>
        <v>0</v>
      </c>
      <c r="U120" t="str">
        <f>IFERROR(INDEX(CAT4_Current_Master!$I:$I,MATCH($B120,CAT4_Current_Master!$A:$A,0)),"")</f>
        <v>G11</v>
      </c>
      <c r="V120" t="str">
        <f t="shared" si="12"/>
        <v>Analytical / Abstract thinker</v>
      </c>
      <c r="W120" t="str">
        <f t="shared" si="13"/>
        <v>Strong non-verbal reasoning supported by quantitative strength; well aligned with advanced analytical and STEM-rich tasks.</v>
      </c>
    </row>
    <row r="121" spans="1:23" x14ac:dyDescent="0.3">
      <c r="A121" t="s">
        <v>298</v>
      </c>
      <c r="B121" t="s">
        <v>311</v>
      </c>
      <c r="C121" t="s">
        <v>312</v>
      </c>
      <c r="D121">
        <f>IFERROR(INDEX(Baseline_Entry!$N:$N,MATCH($B121,Baseline_Entry!$B:$B,0)),"")</f>
        <v>98</v>
      </c>
      <c r="E121">
        <f>IFERROR(INDEX(CAT4_Current_Master!$H:$H,MATCH($B121,CAT4_Current_Master!$A:$A,0)),"")</f>
        <v>98</v>
      </c>
      <c r="F121">
        <f t="shared" si="7"/>
        <v>0</v>
      </c>
      <c r="G121" t="str">
        <f>IFERROR(INDEX(Baseline_Entry!$Q:$Q,MATCH($B121,Baseline_Entry!$B:$B,0)),"")</f>
        <v>Extreme spatial bias</v>
      </c>
      <c r="H121" t="str">
        <f>IFERROR(INDEX(CAT4_Current_Master!$C:$C,MATCH($B121,CAT4_Current_Master!$A:$A,0)),"")</f>
        <v>Extreme spatial bias</v>
      </c>
      <c r="I121">
        <f>IFERROR(INDEX(Baseline_Entry!$R:$R,MATCH($B121,Baseline_Entry!$B:$B,0)),"")</f>
        <v>80</v>
      </c>
      <c r="J121">
        <f>IFERROR(INDEX(CAT4_Current_Master!$D:$D,MATCH($B121,CAT4_Current_Master!$A:$A,0)),"")</f>
        <v>80</v>
      </c>
      <c r="K121">
        <f t="shared" si="8"/>
        <v>0</v>
      </c>
      <c r="L121">
        <f>IFERROR(INDEX(Baseline_Entry!$S:$S,MATCH($B121,Baseline_Entry!$B:$B,0)),"")</f>
        <v>106</v>
      </c>
      <c r="M121">
        <f>IFERROR(INDEX(CAT4_Current_Master!$E:$E,MATCH($B121,CAT4_Current_Master!$A:$A,0)),"")</f>
        <v>106</v>
      </c>
      <c r="N121">
        <f t="shared" si="9"/>
        <v>0</v>
      </c>
      <c r="O121">
        <f>IFERROR(INDEX(Baseline_Entry!$T:$T,MATCH($B121,Baseline_Entry!$B:$B,0)),"")</f>
        <v>101</v>
      </c>
      <c r="P121">
        <f>IFERROR(INDEX(CAT4_Current_Master!$F:$F,MATCH($B121,CAT4_Current_Master!$A:$A,0)),"")</f>
        <v>101</v>
      </c>
      <c r="Q121">
        <f t="shared" si="10"/>
        <v>0</v>
      </c>
      <c r="R121">
        <f>IFERROR(INDEX(Baseline_Entry!$U:$U,MATCH($B121,Baseline_Entry!$B:$B,0)),"")</f>
        <v>105</v>
      </c>
      <c r="S121">
        <f>IFERROR(INDEX(CAT4_Current_Master!$G:$G,MATCH($B121,CAT4_Current_Master!$A:$A,0)),"")</f>
        <v>105</v>
      </c>
      <c r="T121">
        <f t="shared" si="11"/>
        <v>0</v>
      </c>
      <c r="U121" t="str">
        <f>IFERROR(INDEX(CAT4_Current_Master!$I:$I,MATCH($B121,CAT4_Current_Master!$A:$A,0)),"")</f>
        <v>G11</v>
      </c>
      <c r="V121" t="str">
        <f t="shared" si="12"/>
        <v>Quantitative strength</v>
      </c>
      <c r="W121" t="str">
        <f t="shared" si="13"/>
        <v>Highest current domain is quantitative reasoning, suggesting strong numerical and structured problem-solving potential.</v>
      </c>
    </row>
    <row r="122" spans="1:23" x14ac:dyDescent="0.3">
      <c r="A122" t="s">
        <v>298</v>
      </c>
      <c r="B122" t="s">
        <v>313</v>
      </c>
      <c r="C122" t="s">
        <v>314</v>
      </c>
      <c r="D122">
        <f>IFERROR(INDEX(Baseline_Entry!$N:$N,MATCH($B122,Baseline_Entry!$B:$B,0)),"")</f>
        <v>92</v>
      </c>
      <c r="E122">
        <f>IFERROR(INDEX(CAT4_Current_Master!$H:$H,MATCH($B122,CAT4_Current_Master!$A:$A,0)),"")</f>
        <v>92</v>
      </c>
      <c r="F122">
        <f t="shared" si="7"/>
        <v>0</v>
      </c>
      <c r="G122" t="str">
        <f>IFERROR(INDEX(Baseline_Entry!$Q:$Q,MATCH($B122,Baseline_Entry!$B:$B,0)),"")</f>
        <v>Moderate spatial bias</v>
      </c>
      <c r="H122" t="str">
        <f>IFERROR(INDEX(CAT4_Current_Master!$C:$C,MATCH($B122,CAT4_Current_Master!$A:$A,0)),"")</f>
        <v>Moderate spatial bias</v>
      </c>
      <c r="I122">
        <f>IFERROR(INDEX(Baseline_Entry!$R:$R,MATCH($B122,Baseline_Entry!$B:$B,0)),"")</f>
        <v>78</v>
      </c>
      <c r="J122">
        <f>IFERROR(INDEX(CAT4_Current_Master!$D:$D,MATCH($B122,CAT4_Current_Master!$A:$A,0)),"")</f>
        <v>78</v>
      </c>
      <c r="K122">
        <f t="shared" si="8"/>
        <v>0</v>
      </c>
      <c r="L122">
        <f>IFERROR(INDEX(Baseline_Entry!$S:$S,MATCH($B122,Baseline_Entry!$B:$B,0)),"")</f>
        <v>98</v>
      </c>
      <c r="M122">
        <f>IFERROR(INDEX(CAT4_Current_Master!$E:$E,MATCH($B122,CAT4_Current_Master!$A:$A,0)),"")</f>
        <v>98</v>
      </c>
      <c r="N122">
        <f t="shared" si="9"/>
        <v>0</v>
      </c>
      <c r="O122">
        <f>IFERROR(INDEX(Baseline_Entry!$T:$T,MATCH($B122,Baseline_Entry!$B:$B,0)),"")</f>
        <v>92</v>
      </c>
      <c r="P122">
        <f>IFERROR(INDEX(CAT4_Current_Master!$F:$F,MATCH($B122,CAT4_Current_Master!$A:$A,0)),"")</f>
        <v>92</v>
      </c>
      <c r="Q122">
        <f t="shared" si="10"/>
        <v>0</v>
      </c>
      <c r="R122">
        <f>IFERROR(INDEX(Baseline_Entry!$U:$U,MATCH($B122,Baseline_Entry!$B:$B,0)),"")</f>
        <v>100</v>
      </c>
      <c r="S122">
        <f>IFERROR(INDEX(CAT4_Current_Master!$G:$G,MATCH($B122,CAT4_Current_Master!$A:$A,0)),"")</f>
        <v>100</v>
      </c>
      <c r="T122">
        <f t="shared" si="11"/>
        <v>0</v>
      </c>
      <c r="U122" t="str">
        <f>IFERROR(INDEX(CAT4_Current_Master!$I:$I,MATCH($B122,CAT4_Current_Master!$A:$A,0)),"")</f>
        <v>G11</v>
      </c>
      <c r="V122" t="str">
        <f t="shared" si="12"/>
        <v>Spatial strength</v>
      </c>
      <c r="W122" t="str">
        <f t="shared" si="13"/>
        <v>Highest current domain is spatial reasoning, suggesting strength in visualisation, modelling, and design tasks.</v>
      </c>
    </row>
    <row r="123" spans="1:23" x14ac:dyDescent="0.3">
      <c r="A123" t="s">
        <v>298</v>
      </c>
      <c r="B123" t="s">
        <v>315</v>
      </c>
      <c r="C123" t="s">
        <v>316</v>
      </c>
      <c r="D123">
        <f>IFERROR(INDEX(Baseline_Entry!$N:$N,MATCH($B123,Baseline_Entry!$B:$B,0)),"")</f>
        <v>96</v>
      </c>
      <c r="E123">
        <f>IFERROR(INDEX(CAT4_Current_Master!$H:$H,MATCH($B123,CAT4_Current_Master!$A:$A,0)),"")</f>
        <v>96</v>
      </c>
      <c r="F123">
        <f t="shared" si="7"/>
        <v>0</v>
      </c>
      <c r="G123" t="str">
        <f>IFERROR(INDEX(Baseline_Entry!$Q:$Q,MATCH($B123,Baseline_Entry!$B:$B,0)),"")</f>
        <v>No bias</v>
      </c>
      <c r="H123" t="str">
        <f>IFERROR(INDEX(CAT4_Current_Master!$C:$C,MATCH($B123,CAT4_Current_Master!$A:$A,0)),"")</f>
        <v>No bias</v>
      </c>
      <c r="I123">
        <f>IFERROR(INDEX(Baseline_Entry!$R:$R,MATCH($B123,Baseline_Entry!$B:$B,0)),"")</f>
        <v>89</v>
      </c>
      <c r="J123">
        <f>IFERROR(INDEX(CAT4_Current_Master!$D:$D,MATCH($B123,CAT4_Current_Master!$A:$A,0)),"")</f>
        <v>89</v>
      </c>
      <c r="K123">
        <f t="shared" si="8"/>
        <v>0</v>
      </c>
      <c r="L123">
        <f>IFERROR(INDEX(Baseline_Entry!$S:$S,MATCH($B123,Baseline_Entry!$B:$B,0)),"")</f>
        <v>100</v>
      </c>
      <c r="M123">
        <f>IFERROR(INDEX(CAT4_Current_Master!$E:$E,MATCH($B123,CAT4_Current_Master!$A:$A,0)),"")</f>
        <v>100</v>
      </c>
      <c r="N123">
        <f t="shared" si="9"/>
        <v>0</v>
      </c>
      <c r="O123">
        <f>IFERROR(INDEX(Baseline_Entry!$T:$T,MATCH($B123,Baseline_Entry!$B:$B,0)),"")</f>
        <v>92</v>
      </c>
      <c r="P123">
        <f>IFERROR(INDEX(CAT4_Current_Master!$F:$F,MATCH($B123,CAT4_Current_Master!$A:$A,0)),"")</f>
        <v>92</v>
      </c>
      <c r="Q123">
        <f t="shared" si="10"/>
        <v>0</v>
      </c>
      <c r="R123">
        <f>IFERROR(INDEX(Baseline_Entry!$U:$U,MATCH($B123,Baseline_Entry!$B:$B,0)),"")</f>
        <v>102</v>
      </c>
      <c r="S123">
        <f>IFERROR(INDEX(CAT4_Current_Master!$G:$G,MATCH($B123,CAT4_Current_Master!$A:$A,0)),"")</f>
        <v>102</v>
      </c>
      <c r="T123">
        <f t="shared" si="11"/>
        <v>0</v>
      </c>
      <c r="U123" t="str">
        <f>IFERROR(INDEX(CAT4_Current_Master!$I:$I,MATCH($B123,CAT4_Current_Master!$A:$A,0)),"")</f>
        <v>G11</v>
      </c>
      <c r="V123" t="str">
        <f t="shared" si="12"/>
        <v>Spatial strength</v>
      </c>
      <c r="W123" t="str">
        <f t="shared" si="13"/>
        <v>Highest current domain is spatial reasoning, suggesting strength in visualisation, modelling, and design tasks.</v>
      </c>
    </row>
    <row r="124" spans="1:23" x14ac:dyDescent="0.3">
      <c r="A124" t="s">
        <v>298</v>
      </c>
      <c r="B124" t="s">
        <v>317</v>
      </c>
      <c r="C124" t="s">
        <v>318</v>
      </c>
      <c r="D124">
        <f>IFERROR(INDEX(Baseline_Entry!$N:$N,MATCH($B124,Baseline_Entry!$B:$B,0)),"")</f>
        <v>102</v>
      </c>
      <c r="E124">
        <f>IFERROR(INDEX(CAT4_Current_Master!$H:$H,MATCH($B124,CAT4_Current_Master!$A:$A,0)),"")</f>
        <v>102</v>
      </c>
      <c r="F124">
        <f t="shared" si="7"/>
        <v>0</v>
      </c>
      <c r="G124" t="str">
        <f>IFERROR(INDEX(Baseline_Entry!$Q:$Q,MATCH($B124,Baseline_Entry!$B:$B,0)),"")</f>
        <v>Moderate spatial bias</v>
      </c>
      <c r="H124" t="str">
        <f>IFERROR(INDEX(CAT4_Current_Master!$C:$C,MATCH($B124,CAT4_Current_Master!$A:$A,0)),"")</f>
        <v>Moderate spatial bias</v>
      </c>
      <c r="I124">
        <f>IFERROR(INDEX(Baseline_Entry!$R:$R,MATCH($B124,Baseline_Entry!$B:$B,0)),"")</f>
        <v>83</v>
      </c>
      <c r="J124">
        <f>IFERROR(INDEX(CAT4_Current_Master!$D:$D,MATCH($B124,CAT4_Current_Master!$A:$A,0)),"")</f>
        <v>83</v>
      </c>
      <c r="K124">
        <f t="shared" si="8"/>
        <v>0</v>
      </c>
      <c r="L124">
        <f>IFERROR(INDEX(Baseline_Entry!$S:$S,MATCH($B124,Baseline_Entry!$B:$B,0)),"")</f>
        <v>106</v>
      </c>
      <c r="M124">
        <f>IFERROR(INDEX(CAT4_Current_Master!$E:$E,MATCH($B124,CAT4_Current_Master!$A:$A,0)),"")</f>
        <v>106</v>
      </c>
      <c r="N124">
        <f t="shared" si="9"/>
        <v>0</v>
      </c>
      <c r="O124">
        <f>IFERROR(INDEX(Baseline_Entry!$T:$T,MATCH($B124,Baseline_Entry!$B:$B,0)),"")</f>
        <v>110</v>
      </c>
      <c r="P124">
        <f>IFERROR(INDEX(CAT4_Current_Master!$F:$F,MATCH($B124,CAT4_Current_Master!$A:$A,0)),"")</f>
        <v>110</v>
      </c>
      <c r="Q124">
        <f t="shared" si="10"/>
        <v>0</v>
      </c>
      <c r="R124">
        <f>IFERROR(INDEX(Baseline_Entry!$U:$U,MATCH($B124,Baseline_Entry!$B:$B,0)),"")</f>
        <v>107</v>
      </c>
      <c r="S124">
        <f>IFERROR(INDEX(CAT4_Current_Master!$G:$G,MATCH($B124,CAT4_Current_Master!$A:$A,0)),"")</f>
        <v>107</v>
      </c>
      <c r="T124">
        <f t="shared" si="11"/>
        <v>0</v>
      </c>
      <c r="U124" t="str">
        <f>IFERROR(INDEX(CAT4_Current_Master!$I:$I,MATCH($B124,CAT4_Current_Master!$A:$A,0)),"")</f>
        <v>G11</v>
      </c>
      <c r="V124" t="str">
        <f t="shared" si="12"/>
        <v>Analytical / Abstract thinker</v>
      </c>
      <c r="W124" t="str">
        <f t="shared" si="13"/>
        <v>Strong non-verbal reasoning supported by quantitative strength; well aligned with advanced analytical and STEM-rich tasks.</v>
      </c>
    </row>
    <row r="125" spans="1:23" x14ac:dyDescent="0.3">
      <c r="A125" t="s">
        <v>298</v>
      </c>
      <c r="B125" t="s">
        <v>319</v>
      </c>
      <c r="C125" t="s">
        <v>320</v>
      </c>
      <c r="D125">
        <f>IFERROR(INDEX(Baseline_Entry!$N:$N,MATCH($B125,Baseline_Entry!$B:$B,0)),"")</f>
        <v>100</v>
      </c>
      <c r="E125">
        <f>IFERROR(INDEX(CAT4_Current_Master!$H:$H,MATCH($B125,CAT4_Current_Master!$A:$A,0)),"")</f>
        <v>100</v>
      </c>
      <c r="F125">
        <f t="shared" si="7"/>
        <v>0</v>
      </c>
      <c r="G125" t="str">
        <f>IFERROR(INDEX(Baseline_Entry!$Q:$Q,MATCH($B125,Baseline_Entry!$B:$B,0)),"")</f>
        <v>No bias</v>
      </c>
      <c r="H125" t="str">
        <f>IFERROR(INDEX(CAT4_Current_Master!$C:$C,MATCH($B125,CAT4_Current_Master!$A:$A,0)),"")</f>
        <v>No bias</v>
      </c>
      <c r="I125">
        <f>IFERROR(INDEX(Baseline_Entry!$R:$R,MATCH($B125,Baseline_Entry!$B:$B,0)),"")</f>
        <v>95</v>
      </c>
      <c r="J125">
        <f>IFERROR(INDEX(CAT4_Current_Master!$D:$D,MATCH($B125,CAT4_Current_Master!$A:$A,0)),"")</f>
        <v>95</v>
      </c>
      <c r="K125">
        <f t="shared" si="8"/>
        <v>0</v>
      </c>
      <c r="L125">
        <f>IFERROR(INDEX(Baseline_Entry!$S:$S,MATCH($B125,Baseline_Entry!$B:$B,0)),"")</f>
        <v>106</v>
      </c>
      <c r="M125">
        <f>IFERROR(INDEX(CAT4_Current_Master!$E:$E,MATCH($B125,CAT4_Current_Master!$A:$A,0)),"")</f>
        <v>106</v>
      </c>
      <c r="N125">
        <f t="shared" si="9"/>
        <v>0</v>
      </c>
      <c r="O125">
        <f>IFERROR(INDEX(Baseline_Entry!$T:$T,MATCH($B125,Baseline_Entry!$B:$B,0)),"")</f>
        <v>101</v>
      </c>
      <c r="P125">
        <f>IFERROR(INDEX(CAT4_Current_Master!$F:$F,MATCH($B125,CAT4_Current_Master!$A:$A,0)),"")</f>
        <v>101</v>
      </c>
      <c r="Q125">
        <f t="shared" si="10"/>
        <v>0</v>
      </c>
      <c r="R125">
        <f>IFERROR(INDEX(Baseline_Entry!$U:$U,MATCH($B125,Baseline_Entry!$B:$B,0)),"")</f>
        <v>97</v>
      </c>
      <c r="S125">
        <f>IFERROR(INDEX(CAT4_Current_Master!$G:$G,MATCH($B125,CAT4_Current_Master!$A:$A,0)),"")</f>
        <v>97</v>
      </c>
      <c r="T125">
        <f t="shared" si="11"/>
        <v>0</v>
      </c>
      <c r="U125" t="str">
        <f>IFERROR(INDEX(CAT4_Current_Master!$I:$I,MATCH($B125,CAT4_Current_Master!$A:$A,0)),"")</f>
        <v>G11</v>
      </c>
      <c r="V125" t="str">
        <f t="shared" si="12"/>
        <v>Quantitative strength</v>
      </c>
      <c r="W125" t="str">
        <f t="shared" si="13"/>
        <v>Highest current domain is quantitative reasoning, suggesting strong numerical and structured problem-solving potential.</v>
      </c>
    </row>
    <row r="126" spans="1:23" x14ac:dyDescent="0.3">
      <c r="A126" t="s">
        <v>298</v>
      </c>
      <c r="B126" t="s">
        <v>321</v>
      </c>
      <c r="C126" t="s">
        <v>322</v>
      </c>
      <c r="D126">
        <f>IFERROR(INDEX(Baseline_Entry!$N:$N,MATCH($B126,Baseline_Entry!$B:$B,0)),"")</f>
        <v>110</v>
      </c>
      <c r="E126">
        <f>IFERROR(INDEX(CAT4_Current_Master!$H:$H,MATCH($B126,CAT4_Current_Master!$A:$A,0)),"")</f>
        <v>110</v>
      </c>
      <c r="F126">
        <f t="shared" si="7"/>
        <v>0</v>
      </c>
      <c r="G126" t="str">
        <f>IFERROR(INDEX(Baseline_Entry!$Q:$Q,MATCH($B126,Baseline_Entry!$B:$B,0)),"")</f>
        <v>No bias</v>
      </c>
      <c r="H126" t="str">
        <f>IFERROR(INDEX(CAT4_Current_Master!$C:$C,MATCH($B126,CAT4_Current_Master!$A:$A,0)),"")</f>
        <v>No bias</v>
      </c>
      <c r="I126">
        <f>IFERROR(INDEX(Baseline_Entry!$R:$R,MATCH($B126,Baseline_Entry!$B:$B,0)),"")</f>
        <v>98</v>
      </c>
      <c r="J126">
        <f>IFERROR(INDEX(CAT4_Current_Master!$D:$D,MATCH($B126,CAT4_Current_Master!$A:$A,0)),"")</f>
        <v>98</v>
      </c>
      <c r="K126">
        <f t="shared" si="8"/>
        <v>0</v>
      </c>
      <c r="L126">
        <f>IFERROR(INDEX(Baseline_Entry!$S:$S,MATCH($B126,Baseline_Entry!$B:$B,0)),"")</f>
        <v>128</v>
      </c>
      <c r="M126">
        <f>IFERROR(INDEX(CAT4_Current_Master!$E:$E,MATCH($B126,CAT4_Current_Master!$A:$A,0)),"")</f>
        <v>128</v>
      </c>
      <c r="N126">
        <f t="shared" si="9"/>
        <v>0</v>
      </c>
      <c r="O126">
        <f>IFERROR(INDEX(Baseline_Entry!$T:$T,MATCH($B126,Baseline_Entry!$B:$B,0)),"")</f>
        <v>119</v>
      </c>
      <c r="P126">
        <f>IFERROR(INDEX(CAT4_Current_Master!$F:$F,MATCH($B126,CAT4_Current_Master!$A:$A,0)),"")</f>
        <v>119</v>
      </c>
      <c r="Q126">
        <f t="shared" si="10"/>
        <v>0</v>
      </c>
      <c r="R126">
        <f>IFERROR(INDEX(Baseline_Entry!$U:$U,MATCH($B126,Baseline_Entry!$B:$B,0)),"")</f>
        <v>95</v>
      </c>
      <c r="S126">
        <f>IFERROR(INDEX(CAT4_Current_Master!$G:$G,MATCH($B126,CAT4_Current_Master!$A:$A,0)),"")</f>
        <v>95</v>
      </c>
      <c r="T126">
        <f t="shared" si="11"/>
        <v>0</v>
      </c>
      <c r="U126" t="str">
        <f>IFERROR(INDEX(CAT4_Current_Master!$I:$I,MATCH($B126,CAT4_Current_Master!$A:$A,0)),"")</f>
        <v>G11</v>
      </c>
      <c r="V126" t="str">
        <f t="shared" si="12"/>
        <v>Quantitative strength</v>
      </c>
      <c r="W126" t="str">
        <f t="shared" si="13"/>
        <v>Highest current domain is quantitative reasoning, suggesting strong numerical and structured problem-solving potential.</v>
      </c>
    </row>
    <row r="127" spans="1:23" x14ac:dyDescent="0.3">
      <c r="A127" t="s">
        <v>298</v>
      </c>
      <c r="B127" t="s">
        <v>323</v>
      </c>
      <c r="C127" t="s">
        <v>324</v>
      </c>
      <c r="D127">
        <f>IFERROR(INDEX(Baseline_Entry!$N:$N,MATCH($B127,Baseline_Entry!$B:$B,0)),"")</f>
        <v>91</v>
      </c>
      <c r="E127">
        <f>IFERROR(INDEX(CAT4_Current_Master!$H:$H,MATCH($B127,CAT4_Current_Master!$A:$A,0)),"")</f>
        <v>91</v>
      </c>
      <c r="F127">
        <f t="shared" si="7"/>
        <v>0</v>
      </c>
      <c r="G127" t="str">
        <f>IFERROR(INDEX(Baseline_Entry!$Q:$Q,MATCH($B127,Baseline_Entry!$B:$B,0)),"")</f>
        <v>No bias</v>
      </c>
      <c r="H127" t="str">
        <f>IFERROR(INDEX(CAT4_Current_Master!$C:$C,MATCH($B127,CAT4_Current_Master!$A:$A,0)),"")</f>
        <v>No bias</v>
      </c>
      <c r="I127">
        <f>IFERROR(INDEX(Baseline_Entry!$R:$R,MATCH($B127,Baseline_Entry!$B:$B,0)),"")</f>
        <v>78</v>
      </c>
      <c r="J127">
        <f>IFERROR(INDEX(CAT4_Current_Master!$D:$D,MATCH($B127,CAT4_Current_Master!$A:$A,0)),"")</f>
        <v>78</v>
      </c>
      <c r="K127">
        <f t="shared" si="8"/>
        <v>0</v>
      </c>
      <c r="L127">
        <f>IFERROR(INDEX(Baseline_Entry!$S:$S,MATCH($B127,Baseline_Entry!$B:$B,0)),"")</f>
        <v>92</v>
      </c>
      <c r="M127">
        <f>IFERROR(INDEX(CAT4_Current_Master!$E:$E,MATCH($B127,CAT4_Current_Master!$A:$A,0)),"")</f>
        <v>92</v>
      </c>
      <c r="N127">
        <f t="shared" si="9"/>
        <v>0</v>
      </c>
      <c r="O127">
        <f>IFERROR(INDEX(Baseline_Entry!$T:$T,MATCH($B127,Baseline_Entry!$B:$B,0)),"")</f>
        <v>112</v>
      </c>
      <c r="P127">
        <f>IFERROR(INDEX(CAT4_Current_Master!$F:$F,MATCH($B127,CAT4_Current_Master!$A:$A,0)),"")</f>
        <v>112</v>
      </c>
      <c r="Q127">
        <f t="shared" si="10"/>
        <v>0</v>
      </c>
      <c r="R127">
        <f>IFERROR(INDEX(Baseline_Entry!$U:$U,MATCH($B127,Baseline_Entry!$B:$B,0)),"")</f>
        <v>80</v>
      </c>
      <c r="S127">
        <f>IFERROR(INDEX(CAT4_Current_Master!$G:$G,MATCH($B127,CAT4_Current_Master!$A:$A,0)),"")</f>
        <v>80</v>
      </c>
      <c r="T127">
        <f t="shared" si="11"/>
        <v>0</v>
      </c>
      <c r="U127" t="str">
        <f>IFERROR(INDEX(CAT4_Current_Master!$I:$I,MATCH($B127,CAT4_Current_Master!$A:$A,0)),"")</f>
        <v>G11</v>
      </c>
      <c r="V127" t="str">
        <f t="shared" si="12"/>
        <v>Mixed profile</v>
      </c>
      <c r="W127" t="str">
        <f t="shared" si="13"/>
        <v>Mixed cognitive pattern requiring differentiated instruction.</v>
      </c>
    </row>
    <row r="128" spans="1:23" x14ac:dyDescent="0.3">
      <c r="A128" t="s">
        <v>298</v>
      </c>
      <c r="B128" t="s">
        <v>325</v>
      </c>
      <c r="C128" t="s">
        <v>326</v>
      </c>
      <c r="D128">
        <f>IFERROR(INDEX(Baseline_Entry!$N:$N,MATCH($B128,Baseline_Entry!$B:$B,0)),"")</f>
        <v>101</v>
      </c>
      <c r="E128">
        <f>IFERROR(INDEX(CAT4_Current_Master!$H:$H,MATCH($B128,CAT4_Current_Master!$A:$A,0)),"")</f>
        <v>101</v>
      </c>
      <c r="F128">
        <f t="shared" si="7"/>
        <v>0</v>
      </c>
      <c r="G128" t="str">
        <f>IFERROR(INDEX(Baseline_Entry!$Q:$Q,MATCH($B128,Baseline_Entry!$B:$B,0)),"")</f>
        <v>Mild spatial bias</v>
      </c>
      <c r="H128" t="str">
        <f>IFERROR(INDEX(CAT4_Current_Master!$C:$C,MATCH($B128,CAT4_Current_Master!$A:$A,0)),"")</f>
        <v>Mild spatial bias</v>
      </c>
      <c r="I128">
        <f>IFERROR(INDEX(Baseline_Entry!$R:$R,MATCH($B128,Baseline_Entry!$B:$B,0)),"")</f>
        <v>82</v>
      </c>
      <c r="J128">
        <f>IFERROR(INDEX(CAT4_Current_Master!$D:$D,MATCH($B128,CAT4_Current_Master!$A:$A,0)),"")</f>
        <v>82</v>
      </c>
      <c r="K128">
        <f t="shared" si="8"/>
        <v>0</v>
      </c>
      <c r="L128">
        <f>IFERROR(INDEX(Baseline_Entry!$S:$S,MATCH($B128,Baseline_Entry!$B:$B,0)),"")</f>
        <v>114</v>
      </c>
      <c r="M128">
        <f>IFERROR(INDEX(CAT4_Current_Master!$E:$E,MATCH($B128,CAT4_Current_Master!$A:$A,0)),"")</f>
        <v>114</v>
      </c>
      <c r="N128">
        <f t="shared" si="9"/>
        <v>0</v>
      </c>
      <c r="O128">
        <f>IFERROR(INDEX(Baseline_Entry!$T:$T,MATCH($B128,Baseline_Entry!$B:$B,0)),"")</f>
        <v>105</v>
      </c>
      <c r="P128">
        <f>IFERROR(INDEX(CAT4_Current_Master!$F:$F,MATCH($B128,CAT4_Current_Master!$A:$A,0)),"")</f>
        <v>105</v>
      </c>
      <c r="Q128">
        <f t="shared" si="10"/>
        <v>0</v>
      </c>
      <c r="R128">
        <f>IFERROR(INDEX(Baseline_Entry!$U:$U,MATCH($B128,Baseline_Entry!$B:$B,0)),"")</f>
        <v>102</v>
      </c>
      <c r="S128">
        <f>IFERROR(INDEX(CAT4_Current_Master!$G:$G,MATCH($B128,CAT4_Current_Master!$A:$A,0)),"")</f>
        <v>102</v>
      </c>
      <c r="T128">
        <f t="shared" si="11"/>
        <v>0</v>
      </c>
      <c r="U128" t="str">
        <f>IFERROR(INDEX(CAT4_Current_Master!$I:$I,MATCH($B128,CAT4_Current_Master!$A:$A,0)),"")</f>
        <v>G11</v>
      </c>
      <c r="V128" t="str">
        <f t="shared" si="12"/>
        <v>Quantitative strength</v>
      </c>
      <c r="W128" t="str">
        <f t="shared" si="13"/>
        <v>Highest current domain is quantitative reasoning, suggesting strong numerical and structured problem-solving potential.</v>
      </c>
    </row>
    <row r="129" spans="1:23" x14ac:dyDescent="0.3">
      <c r="A129" t="s">
        <v>298</v>
      </c>
      <c r="B129" t="s">
        <v>327</v>
      </c>
      <c r="C129" t="s">
        <v>328</v>
      </c>
      <c r="D129">
        <f>IFERROR(INDEX(Baseline_Entry!$N:$N,MATCH($B129,Baseline_Entry!$B:$B,0)),"")</f>
        <v>98</v>
      </c>
      <c r="E129">
        <f>IFERROR(INDEX(CAT4_Current_Master!$H:$H,MATCH($B129,CAT4_Current_Master!$A:$A,0)),"")</f>
        <v>98</v>
      </c>
      <c r="F129">
        <f t="shared" si="7"/>
        <v>0</v>
      </c>
      <c r="G129" t="str">
        <f>IFERROR(INDEX(Baseline_Entry!$Q:$Q,MATCH($B129,Baseline_Entry!$B:$B,0)),"")</f>
        <v>Mild spatial bias</v>
      </c>
      <c r="H129" t="str">
        <f>IFERROR(INDEX(CAT4_Current_Master!$C:$C,MATCH($B129,CAT4_Current_Master!$A:$A,0)),"")</f>
        <v>Mild spatial bias</v>
      </c>
      <c r="I129">
        <f>IFERROR(INDEX(Baseline_Entry!$R:$R,MATCH($B129,Baseline_Entry!$B:$B,0)),"")</f>
        <v>83</v>
      </c>
      <c r="J129">
        <f>IFERROR(INDEX(CAT4_Current_Master!$D:$D,MATCH($B129,CAT4_Current_Master!$A:$A,0)),"")</f>
        <v>83</v>
      </c>
      <c r="K129">
        <f t="shared" si="8"/>
        <v>0</v>
      </c>
      <c r="L129">
        <f>IFERROR(INDEX(Baseline_Entry!$S:$S,MATCH($B129,Baseline_Entry!$B:$B,0)),"")</f>
        <v>103</v>
      </c>
      <c r="M129">
        <f>IFERROR(INDEX(CAT4_Current_Master!$E:$E,MATCH($B129,CAT4_Current_Master!$A:$A,0)),"")</f>
        <v>103</v>
      </c>
      <c r="N129">
        <f t="shared" si="9"/>
        <v>0</v>
      </c>
      <c r="O129">
        <f>IFERROR(INDEX(Baseline_Entry!$T:$T,MATCH($B129,Baseline_Entry!$B:$B,0)),"")</f>
        <v>108</v>
      </c>
      <c r="P129">
        <f>IFERROR(INDEX(CAT4_Current_Master!$F:$F,MATCH($B129,CAT4_Current_Master!$A:$A,0)),"")</f>
        <v>108</v>
      </c>
      <c r="Q129">
        <f t="shared" si="10"/>
        <v>0</v>
      </c>
      <c r="R129">
        <f>IFERROR(INDEX(Baseline_Entry!$U:$U,MATCH($B129,Baseline_Entry!$B:$B,0)),"")</f>
        <v>98</v>
      </c>
      <c r="S129">
        <f>IFERROR(INDEX(CAT4_Current_Master!$G:$G,MATCH($B129,CAT4_Current_Master!$A:$A,0)),"")</f>
        <v>98</v>
      </c>
      <c r="T129">
        <f t="shared" si="11"/>
        <v>0</v>
      </c>
      <c r="U129" t="str">
        <f>IFERROR(INDEX(CAT4_Current_Master!$I:$I,MATCH($B129,CAT4_Current_Master!$A:$A,0)),"")</f>
        <v>G11</v>
      </c>
      <c r="V129" t="str">
        <f t="shared" si="12"/>
        <v>Analytical / Abstract thinker</v>
      </c>
      <c r="W129" t="str">
        <f t="shared" si="13"/>
        <v>Strong non-verbal reasoning supported by quantitative strength; well aligned with advanced analytical and STEM-rich tasks.</v>
      </c>
    </row>
    <row r="130" spans="1:23" x14ac:dyDescent="0.3">
      <c r="A130" t="s">
        <v>298</v>
      </c>
      <c r="B130" t="s">
        <v>329</v>
      </c>
      <c r="C130" t="s">
        <v>330</v>
      </c>
      <c r="D130">
        <f>IFERROR(INDEX(Baseline_Entry!$N:$N,MATCH($B130,Baseline_Entry!$B:$B,0)),"")</f>
        <v>98</v>
      </c>
      <c r="E130">
        <f>IFERROR(INDEX(CAT4_Current_Master!$H:$H,MATCH($B130,CAT4_Current_Master!$A:$A,0)),"")</f>
        <v>98</v>
      </c>
      <c r="F130">
        <f t="shared" ref="F130:F193" si="14">IF(OR(D130="",E130=""),"",E130-D130)</f>
        <v>0</v>
      </c>
      <c r="G130" t="str">
        <f>IFERROR(INDEX(Baseline_Entry!$Q:$Q,MATCH($B130,Baseline_Entry!$B:$B,0)),"")</f>
        <v>Extreme spatial bias</v>
      </c>
      <c r="H130" t="str">
        <f>IFERROR(INDEX(CAT4_Current_Master!$C:$C,MATCH($B130,CAT4_Current_Master!$A:$A,0)),"")</f>
        <v>Extreme spatial bias</v>
      </c>
      <c r="I130">
        <f>IFERROR(INDEX(Baseline_Entry!$R:$R,MATCH($B130,Baseline_Entry!$B:$B,0)),"")</f>
        <v>80</v>
      </c>
      <c r="J130">
        <f>IFERROR(INDEX(CAT4_Current_Master!$D:$D,MATCH($B130,CAT4_Current_Master!$A:$A,0)),"")</f>
        <v>80</v>
      </c>
      <c r="K130">
        <f t="shared" ref="K130:K193" si="15">IF(OR(I130="",J130=""),"",J130-I130)</f>
        <v>0</v>
      </c>
      <c r="L130">
        <f>IFERROR(INDEX(Baseline_Entry!$S:$S,MATCH($B130,Baseline_Entry!$B:$B,0)),"")</f>
        <v>106</v>
      </c>
      <c r="M130">
        <f>IFERROR(INDEX(CAT4_Current_Master!$E:$E,MATCH($B130,CAT4_Current_Master!$A:$A,0)),"")</f>
        <v>106</v>
      </c>
      <c r="N130">
        <f t="shared" ref="N130:N193" si="16">IF(OR(L130="",M130=""),"",M130-L130)</f>
        <v>0</v>
      </c>
      <c r="O130">
        <f>IFERROR(INDEX(Baseline_Entry!$T:$T,MATCH($B130,Baseline_Entry!$B:$B,0)),"")</f>
        <v>90</v>
      </c>
      <c r="P130">
        <f>IFERROR(INDEX(CAT4_Current_Master!$F:$F,MATCH($B130,CAT4_Current_Master!$A:$A,0)),"")</f>
        <v>90</v>
      </c>
      <c r="Q130">
        <f t="shared" ref="Q130:Q193" si="17">IF(OR(O130="",P130=""),"",P130-O130)</f>
        <v>0</v>
      </c>
      <c r="R130">
        <f>IFERROR(INDEX(Baseline_Entry!$U:$U,MATCH($B130,Baseline_Entry!$B:$B,0)),"")</f>
        <v>114</v>
      </c>
      <c r="S130">
        <f>IFERROR(INDEX(CAT4_Current_Master!$G:$G,MATCH($B130,CAT4_Current_Master!$A:$A,0)),"")</f>
        <v>114</v>
      </c>
      <c r="T130">
        <f t="shared" ref="T130:T193" si="18">IF(OR(R130="",S130=""),"",S130-R130)</f>
        <v>0</v>
      </c>
      <c r="U130" t="str">
        <f>IFERROR(INDEX(CAT4_Current_Master!$I:$I,MATCH($B130,CAT4_Current_Master!$A:$A,0)),"")</f>
        <v>G11</v>
      </c>
      <c r="V130" t="str">
        <f t="shared" ref="V130:V193" si="19">IF(COUNT(J130,M130,P130,S130)&lt;4,"",IF(MAX(J130,M130,P130,S130)-MIN(J130,M130,P130,S130)&lt;=7,"Balanced profile",IF(AND(P130=MAX(J130,M130,P130,S130),M130&gt;=100),"Analytical / Abstract thinker",IF(M130=MAX(J130,M130,P130,S130),"Quantitative strength",IF(J130=MAX(J130,M130,P130,S130),"Verbal strength",IF(S130=MAX(J130,M130,P130,S130),"Spatial strength","Mixed profile"))))))</f>
        <v>Spatial strength</v>
      </c>
      <c r="W130" t="str">
        <f t="shared" ref="W130:W193" si="20">IF(V130="","",IF(V130="Balanced profile","Balanced cognitive pattern across the four CAT4 domains.",IF(V130="Analytical / Abstract thinker","Strong non-verbal reasoning supported by quantitative strength; well aligned with advanced analytical and STEM-rich tasks.",IF(V130="Quantitative strength","Highest current domain is quantitative reasoning, suggesting strong numerical and structured problem-solving potential.",IF(V130="Verbal strength","Highest current domain is verbal reasoning, suggesting strength in language-rich, discussion-rich, and evidence-based tasks.",IF(V130="Spatial strength","Highest current domain is spatial reasoning, suggesting strength in visualisation, modelling, and design tasks.","Mixed cognitive pattern requiring differentiated instruction."))))))</f>
        <v>Highest current domain is spatial reasoning, suggesting strength in visualisation, modelling, and design tasks.</v>
      </c>
    </row>
    <row r="131" spans="1:23" x14ac:dyDescent="0.3">
      <c r="A131" t="s">
        <v>298</v>
      </c>
      <c r="B131" t="s">
        <v>331</v>
      </c>
      <c r="C131" t="s">
        <v>332</v>
      </c>
      <c r="D131">
        <f>IFERROR(INDEX(Baseline_Entry!$N:$N,MATCH($B131,Baseline_Entry!$B:$B,0)),"")</f>
        <v>90</v>
      </c>
      <c r="E131">
        <f>IFERROR(INDEX(CAT4_Current_Master!$H:$H,MATCH($B131,CAT4_Current_Master!$A:$A,0)),"")</f>
        <v>90</v>
      </c>
      <c r="F131">
        <f t="shared" si="14"/>
        <v>0</v>
      </c>
      <c r="G131" t="str">
        <f>IFERROR(INDEX(Baseline_Entry!$Q:$Q,MATCH($B131,Baseline_Entry!$B:$B,0)),"")</f>
        <v>No bias</v>
      </c>
      <c r="H131" t="str">
        <f>IFERROR(INDEX(CAT4_Current_Master!$C:$C,MATCH($B131,CAT4_Current_Master!$A:$A,0)),"")</f>
        <v>No bias</v>
      </c>
      <c r="I131">
        <f>IFERROR(INDEX(Baseline_Entry!$R:$R,MATCH($B131,Baseline_Entry!$B:$B,0)),"")</f>
        <v>76</v>
      </c>
      <c r="J131">
        <f>IFERROR(INDEX(CAT4_Current_Master!$D:$D,MATCH($B131,CAT4_Current_Master!$A:$A,0)),"")</f>
        <v>76</v>
      </c>
      <c r="K131">
        <f t="shared" si="15"/>
        <v>0</v>
      </c>
      <c r="L131">
        <f>IFERROR(INDEX(Baseline_Entry!$S:$S,MATCH($B131,Baseline_Entry!$B:$B,0)),"")</f>
        <v>105</v>
      </c>
      <c r="M131">
        <f>IFERROR(INDEX(CAT4_Current_Master!$E:$E,MATCH($B131,CAT4_Current_Master!$A:$A,0)),"")</f>
        <v>105</v>
      </c>
      <c r="N131">
        <f t="shared" si="16"/>
        <v>0</v>
      </c>
      <c r="O131">
        <f>IFERROR(INDEX(Baseline_Entry!$T:$T,MATCH($B131,Baseline_Entry!$B:$B,0)),"")</f>
        <v>106</v>
      </c>
      <c r="P131">
        <f>IFERROR(INDEX(CAT4_Current_Master!$F:$F,MATCH($B131,CAT4_Current_Master!$A:$A,0)),"")</f>
        <v>106</v>
      </c>
      <c r="Q131">
        <f t="shared" si="17"/>
        <v>0</v>
      </c>
      <c r="R131">
        <f>IFERROR(INDEX(Baseline_Entry!$U:$U,MATCH($B131,Baseline_Entry!$B:$B,0)),"")</f>
        <v>72</v>
      </c>
      <c r="S131">
        <f>IFERROR(INDEX(CAT4_Current_Master!$G:$G,MATCH($B131,CAT4_Current_Master!$A:$A,0)),"")</f>
        <v>72</v>
      </c>
      <c r="T131">
        <f t="shared" si="18"/>
        <v>0</v>
      </c>
      <c r="U131" t="str">
        <f>IFERROR(INDEX(CAT4_Current_Master!$I:$I,MATCH($B131,CAT4_Current_Master!$A:$A,0)),"")</f>
        <v>G11</v>
      </c>
      <c r="V131" t="str">
        <f t="shared" si="19"/>
        <v>Analytical / Abstract thinker</v>
      </c>
      <c r="W131" t="str">
        <f t="shared" si="20"/>
        <v>Strong non-verbal reasoning supported by quantitative strength; well aligned with advanced analytical and STEM-rich tasks.</v>
      </c>
    </row>
    <row r="132" spans="1:23" x14ac:dyDescent="0.3">
      <c r="A132" t="s">
        <v>298</v>
      </c>
      <c r="B132" t="s">
        <v>333</v>
      </c>
      <c r="C132" t="s">
        <v>334</v>
      </c>
      <c r="D132">
        <f>IFERROR(INDEX(Baseline_Entry!$N:$N,MATCH($B132,Baseline_Entry!$B:$B,0)),"")</f>
        <v>98</v>
      </c>
      <c r="E132">
        <f>IFERROR(INDEX(CAT4_Current_Master!$H:$H,MATCH($B132,CAT4_Current_Master!$A:$A,0)),"")</f>
        <v>98</v>
      </c>
      <c r="F132">
        <f t="shared" si="14"/>
        <v>0</v>
      </c>
      <c r="G132" t="str">
        <f>IFERROR(INDEX(Baseline_Entry!$Q:$Q,MATCH($B132,Baseline_Entry!$B:$B,0)),"")</f>
        <v>Moderate spatial bias</v>
      </c>
      <c r="H132" t="str">
        <f>IFERROR(INDEX(CAT4_Current_Master!$C:$C,MATCH($B132,CAT4_Current_Master!$A:$A,0)),"")</f>
        <v>Moderate spatial bias</v>
      </c>
      <c r="I132">
        <f>IFERROR(INDEX(Baseline_Entry!$R:$R,MATCH($B132,Baseline_Entry!$B:$B,0)),"")</f>
        <v>75</v>
      </c>
      <c r="J132">
        <f>IFERROR(INDEX(CAT4_Current_Master!$D:$D,MATCH($B132,CAT4_Current_Master!$A:$A,0)),"")</f>
        <v>75</v>
      </c>
      <c r="K132">
        <f t="shared" si="15"/>
        <v>0</v>
      </c>
      <c r="L132">
        <f>IFERROR(INDEX(Baseline_Entry!$S:$S,MATCH($B132,Baseline_Entry!$B:$B,0)),"")</f>
        <v>118</v>
      </c>
      <c r="M132">
        <f>IFERROR(INDEX(CAT4_Current_Master!$E:$E,MATCH($B132,CAT4_Current_Master!$A:$A,0)),"")</f>
        <v>118</v>
      </c>
      <c r="N132">
        <f t="shared" si="16"/>
        <v>0</v>
      </c>
      <c r="O132">
        <f>IFERROR(INDEX(Baseline_Entry!$T:$T,MATCH($B132,Baseline_Entry!$B:$B,0)),"")</f>
        <v>95</v>
      </c>
      <c r="P132">
        <f>IFERROR(INDEX(CAT4_Current_Master!$F:$F,MATCH($B132,CAT4_Current_Master!$A:$A,0)),"")</f>
        <v>95</v>
      </c>
      <c r="Q132">
        <f t="shared" si="17"/>
        <v>0</v>
      </c>
      <c r="R132">
        <f>IFERROR(INDEX(Baseline_Entry!$U:$U,MATCH($B132,Baseline_Entry!$B:$B,0)),"")</f>
        <v>102</v>
      </c>
      <c r="S132">
        <f>IFERROR(INDEX(CAT4_Current_Master!$G:$G,MATCH($B132,CAT4_Current_Master!$A:$A,0)),"")</f>
        <v>102</v>
      </c>
      <c r="T132">
        <f t="shared" si="18"/>
        <v>0</v>
      </c>
      <c r="U132" t="str">
        <f>IFERROR(INDEX(CAT4_Current_Master!$I:$I,MATCH($B132,CAT4_Current_Master!$A:$A,0)),"")</f>
        <v>G11</v>
      </c>
      <c r="V132" t="str">
        <f t="shared" si="19"/>
        <v>Quantitative strength</v>
      </c>
      <c r="W132" t="str">
        <f t="shared" si="20"/>
        <v>Highest current domain is quantitative reasoning, suggesting strong numerical and structured problem-solving potential.</v>
      </c>
    </row>
    <row r="133" spans="1:23" x14ac:dyDescent="0.3">
      <c r="A133" t="s">
        <v>298</v>
      </c>
      <c r="B133" t="s">
        <v>335</v>
      </c>
      <c r="C133" t="s">
        <v>336</v>
      </c>
      <c r="D133">
        <f>IFERROR(INDEX(Baseline_Entry!$N:$N,MATCH($B133,Baseline_Entry!$B:$B,0)),"")</f>
        <v>92</v>
      </c>
      <c r="E133">
        <f>IFERROR(INDEX(CAT4_Current_Master!$H:$H,MATCH($B133,CAT4_Current_Master!$A:$A,0)),"")</f>
        <v>92</v>
      </c>
      <c r="F133">
        <f t="shared" si="14"/>
        <v>0</v>
      </c>
      <c r="G133" t="str">
        <f>IFERROR(INDEX(Baseline_Entry!$Q:$Q,MATCH($B133,Baseline_Entry!$B:$B,0)),"")</f>
        <v>No bias</v>
      </c>
      <c r="H133" t="str">
        <f>IFERROR(INDEX(CAT4_Current_Master!$C:$C,MATCH($B133,CAT4_Current_Master!$A:$A,0)),"")</f>
        <v>No bias</v>
      </c>
      <c r="I133">
        <f>IFERROR(INDEX(Baseline_Entry!$R:$R,MATCH($B133,Baseline_Entry!$B:$B,0)),"")</f>
        <v>82</v>
      </c>
      <c r="J133">
        <f>IFERROR(INDEX(CAT4_Current_Master!$D:$D,MATCH($B133,CAT4_Current_Master!$A:$A,0)),"")</f>
        <v>82</v>
      </c>
      <c r="K133">
        <f t="shared" si="15"/>
        <v>0</v>
      </c>
      <c r="L133">
        <f>IFERROR(INDEX(Baseline_Entry!$S:$S,MATCH($B133,Baseline_Entry!$B:$B,0)),"")</f>
        <v>103</v>
      </c>
      <c r="M133">
        <f>IFERROR(INDEX(CAT4_Current_Master!$E:$E,MATCH($B133,CAT4_Current_Master!$A:$A,0)),"")</f>
        <v>103</v>
      </c>
      <c r="N133">
        <f t="shared" si="16"/>
        <v>0</v>
      </c>
      <c r="O133">
        <f>IFERROR(INDEX(Baseline_Entry!$T:$T,MATCH($B133,Baseline_Entry!$B:$B,0)),"")</f>
        <v>88</v>
      </c>
      <c r="P133">
        <f>IFERROR(INDEX(CAT4_Current_Master!$F:$F,MATCH($B133,CAT4_Current_Master!$A:$A,0)),"")</f>
        <v>88</v>
      </c>
      <c r="Q133">
        <f t="shared" si="17"/>
        <v>0</v>
      </c>
      <c r="R133">
        <f>IFERROR(INDEX(Baseline_Entry!$U:$U,MATCH($B133,Baseline_Entry!$B:$B,0)),"")</f>
        <v>95</v>
      </c>
      <c r="S133">
        <f>IFERROR(INDEX(CAT4_Current_Master!$G:$G,MATCH($B133,CAT4_Current_Master!$A:$A,0)),"")</f>
        <v>95</v>
      </c>
      <c r="T133">
        <f t="shared" si="18"/>
        <v>0</v>
      </c>
      <c r="U133" t="str">
        <f>IFERROR(INDEX(CAT4_Current_Master!$I:$I,MATCH($B133,CAT4_Current_Master!$A:$A,0)),"")</f>
        <v>G11</v>
      </c>
      <c r="V133" t="str">
        <f t="shared" si="19"/>
        <v>Quantitative strength</v>
      </c>
      <c r="W133" t="str">
        <f t="shared" si="20"/>
        <v>Highest current domain is quantitative reasoning, suggesting strong numerical and structured problem-solving potential.</v>
      </c>
    </row>
    <row r="134" spans="1:23" x14ac:dyDescent="0.3">
      <c r="A134" t="s">
        <v>298</v>
      </c>
      <c r="B134" t="s">
        <v>337</v>
      </c>
      <c r="C134" t="s">
        <v>338</v>
      </c>
      <c r="D134">
        <f>IFERROR(INDEX(Baseline_Entry!$N:$N,MATCH($B134,Baseline_Entry!$B:$B,0)),"")</f>
        <v>92</v>
      </c>
      <c r="E134">
        <f>IFERROR(INDEX(CAT4_Current_Master!$H:$H,MATCH($B134,CAT4_Current_Master!$A:$A,0)),"")</f>
        <v>92</v>
      </c>
      <c r="F134">
        <f t="shared" si="14"/>
        <v>0</v>
      </c>
      <c r="G134" t="str">
        <f>IFERROR(INDEX(Baseline_Entry!$Q:$Q,MATCH($B134,Baseline_Entry!$B:$B,0)),"")</f>
        <v>Moderate spatial bias</v>
      </c>
      <c r="H134" t="str">
        <f>IFERROR(INDEX(CAT4_Current_Master!$C:$C,MATCH($B134,CAT4_Current_Master!$A:$A,0)),"")</f>
        <v>Moderate spatial bias</v>
      </c>
      <c r="I134">
        <f>IFERROR(INDEX(Baseline_Entry!$R:$R,MATCH($B134,Baseline_Entry!$B:$B,0)),"")</f>
        <v>76</v>
      </c>
      <c r="J134">
        <f>IFERROR(INDEX(CAT4_Current_Master!$D:$D,MATCH($B134,CAT4_Current_Master!$A:$A,0)),"")</f>
        <v>76</v>
      </c>
      <c r="K134">
        <f t="shared" si="15"/>
        <v>0</v>
      </c>
      <c r="L134">
        <f>IFERROR(INDEX(Baseline_Entry!$S:$S,MATCH($B134,Baseline_Entry!$B:$B,0)),"")</f>
        <v>103</v>
      </c>
      <c r="M134">
        <f>IFERROR(INDEX(CAT4_Current_Master!$E:$E,MATCH($B134,CAT4_Current_Master!$A:$A,0)),"")</f>
        <v>103</v>
      </c>
      <c r="N134">
        <f t="shared" si="16"/>
        <v>0</v>
      </c>
      <c r="O134">
        <f>IFERROR(INDEX(Baseline_Entry!$T:$T,MATCH($B134,Baseline_Entry!$B:$B,0)),"")</f>
        <v>90</v>
      </c>
      <c r="P134">
        <f>IFERROR(INDEX(CAT4_Current_Master!$F:$F,MATCH($B134,CAT4_Current_Master!$A:$A,0)),"")</f>
        <v>90</v>
      </c>
      <c r="Q134">
        <f t="shared" si="17"/>
        <v>0</v>
      </c>
      <c r="R134">
        <f>IFERROR(INDEX(Baseline_Entry!$U:$U,MATCH($B134,Baseline_Entry!$B:$B,0)),"")</f>
        <v>97</v>
      </c>
      <c r="S134">
        <f>IFERROR(INDEX(CAT4_Current_Master!$G:$G,MATCH($B134,CAT4_Current_Master!$A:$A,0)),"")</f>
        <v>97</v>
      </c>
      <c r="T134">
        <f t="shared" si="18"/>
        <v>0</v>
      </c>
      <c r="U134" t="str">
        <f>IFERROR(INDEX(CAT4_Current_Master!$I:$I,MATCH($B134,CAT4_Current_Master!$A:$A,0)),"")</f>
        <v>G11</v>
      </c>
      <c r="V134" t="str">
        <f t="shared" si="19"/>
        <v>Quantitative strength</v>
      </c>
      <c r="W134" t="str">
        <f t="shared" si="20"/>
        <v>Highest current domain is quantitative reasoning, suggesting strong numerical and structured problem-solving potential.</v>
      </c>
    </row>
    <row r="135" spans="1:23" x14ac:dyDescent="0.3">
      <c r="A135" t="s">
        <v>298</v>
      </c>
      <c r="B135" t="s">
        <v>339</v>
      </c>
      <c r="C135" t="s">
        <v>340</v>
      </c>
      <c r="D135">
        <f>IFERROR(INDEX(Baseline_Entry!$N:$N,MATCH($B135,Baseline_Entry!$B:$B,0)),"")</f>
        <v>101</v>
      </c>
      <c r="E135">
        <f>IFERROR(INDEX(CAT4_Current_Master!$H:$H,MATCH($B135,CAT4_Current_Master!$A:$A,0)),"")</f>
        <v>101</v>
      </c>
      <c r="F135">
        <f t="shared" si="14"/>
        <v>0</v>
      </c>
      <c r="G135" t="str">
        <f>IFERROR(INDEX(Baseline_Entry!$Q:$Q,MATCH($B135,Baseline_Entry!$B:$B,0)),"")</f>
        <v>No bias</v>
      </c>
      <c r="H135" t="str">
        <f>IFERROR(INDEX(CAT4_Current_Master!$C:$C,MATCH($B135,CAT4_Current_Master!$A:$A,0)),"")</f>
        <v>No bias</v>
      </c>
      <c r="I135">
        <f>IFERROR(INDEX(Baseline_Entry!$R:$R,MATCH($B135,Baseline_Entry!$B:$B,0)),"")</f>
        <v>95</v>
      </c>
      <c r="J135">
        <f>IFERROR(INDEX(CAT4_Current_Master!$D:$D,MATCH($B135,CAT4_Current_Master!$A:$A,0)),"")</f>
        <v>95</v>
      </c>
      <c r="K135">
        <f t="shared" si="15"/>
        <v>0</v>
      </c>
      <c r="L135">
        <f>IFERROR(INDEX(Baseline_Entry!$S:$S,MATCH($B135,Baseline_Entry!$B:$B,0)),"")</f>
        <v>100</v>
      </c>
      <c r="M135">
        <f>IFERROR(INDEX(CAT4_Current_Master!$E:$E,MATCH($B135,CAT4_Current_Master!$A:$A,0)),"")</f>
        <v>100</v>
      </c>
      <c r="N135">
        <f t="shared" si="16"/>
        <v>0</v>
      </c>
      <c r="O135">
        <f>IFERROR(INDEX(Baseline_Entry!$T:$T,MATCH($B135,Baseline_Entry!$B:$B,0)),"")</f>
        <v>110</v>
      </c>
      <c r="P135">
        <f>IFERROR(INDEX(CAT4_Current_Master!$F:$F,MATCH($B135,CAT4_Current_Master!$A:$A,0)),"")</f>
        <v>110</v>
      </c>
      <c r="Q135">
        <f t="shared" si="17"/>
        <v>0</v>
      </c>
      <c r="R135">
        <f>IFERROR(INDEX(Baseline_Entry!$U:$U,MATCH($B135,Baseline_Entry!$B:$B,0)),"")</f>
        <v>97</v>
      </c>
      <c r="S135">
        <f>IFERROR(INDEX(CAT4_Current_Master!$G:$G,MATCH($B135,CAT4_Current_Master!$A:$A,0)),"")</f>
        <v>97</v>
      </c>
      <c r="T135">
        <f t="shared" si="18"/>
        <v>0</v>
      </c>
      <c r="U135" t="str">
        <f>IFERROR(INDEX(CAT4_Current_Master!$I:$I,MATCH($B135,CAT4_Current_Master!$A:$A,0)),"")</f>
        <v>G11</v>
      </c>
      <c r="V135" t="str">
        <f t="shared" si="19"/>
        <v>Analytical / Abstract thinker</v>
      </c>
      <c r="W135" t="str">
        <f t="shared" si="20"/>
        <v>Strong non-verbal reasoning supported by quantitative strength; well aligned with advanced analytical and STEM-rich tasks.</v>
      </c>
    </row>
    <row r="136" spans="1:23" x14ac:dyDescent="0.3">
      <c r="A136" t="s">
        <v>298</v>
      </c>
      <c r="B136" t="s">
        <v>341</v>
      </c>
      <c r="C136" t="s">
        <v>342</v>
      </c>
      <c r="D136">
        <f>IFERROR(INDEX(Baseline_Entry!$N:$N,MATCH($B136,Baseline_Entry!$B:$B,0)),"")</f>
        <v>90</v>
      </c>
      <c r="E136">
        <f>IFERROR(INDEX(CAT4_Current_Master!$H:$H,MATCH($B136,CAT4_Current_Master!$A:$A,0)),"")</f>
        <v>90</v>
      </c>
      <c r="F136">
        <f t="shared" si="14"/>
        <v>0</v>
      </c>
      <c r="G136" t="str">
        <f>IFERROR(INDEX(Baseline_Entry!$Q:$Q,MATCH($B136,Baseline_Entry!$B:$B,0)),"")</f>
        <v>No bias</v>
      </c>
      <c r="H136" t="str">
        <f>IFERROR(INDEX(CAT4_Current_Master!$C:$C,MATCH($B136,CAT4_Current_Master!$A:$A,0)),"")</f>
        <v>No bias</v>
      </c>
      <c r="I136">
        <f>IFERROR(INDEX(Baseline_Entry!$R:$R,MATCH($B136,Baseline_Entry!$B:$B,0)),"")</f>
        <v>87</v>
      </c>
      <c r="J136">
        <f>IFERROR(INDEX(CAT4_Current_Master!$D:$D,MATCH($B136,CAT4_Current_Master!$A:$A,0)),"")</f>
        <v>87</v>
      </c>
      <c r="K136">
        <f t="shared" si="15"/>
        <v>0</v>
      </c>
      <c r="L136">
        <f>IFERROR(INDEX(Baseline_Entry!$S:$S,MATCH($B136,Baseline_Entry!$B:$B,0)),"")</f>
        <v>75</v>
      </c>
      <c r="M136">
        <f>IFERROR(INDEX(CAT4_Current_Master!$E:$E,MATCH($B136,CAT4_Current_Master!$A:$A,0)),"")</f>
        <v>75</v>
      </c>
      <c r="N136">
        <f t="shared" si="16"/>
        <v>0</v>
      </c>
      <c r="O136">
        <f>IFERROR(INDEX(Baseline_Entry!$T:$T,MATCH($B136,Baseline_Entry!$B:$B,0)),"")</f>
        <v>108</v>
      </c>
      <c r="P136">
        <f>IFERROR(INDEX(CAT4_Current_Master!$F:$F,MATCH($B136,CAT4_Current_Master!$A:$A,0)),"")</f>
        <v>108</v>
      </c>
      <c r="Q136">
        <f t="shared" si="17"/>
        <v>0</v>
      </c>
      <c r="R136">
        <f>IFERROR(INDEX(Baseline_Entry!$U:$U,MATCH($B136,Baseline_Entry!$B:$B,0)),"")</f>
        <v>90</v>
      </c>
      <c r="S136">
        <f>IFERROR(INDEX(CAT4_Current_Master!$G:$G,MATCH($B136,CAT4_Current_Master!$A:$A,0)),"")</f>
        <v>90</v>
      </c>
      <c r="T136">
        <f t="shared" si="18"/>
        <v>0</v>
      </c>
      <c r="U136" t="str">
        <f>IFERROR(INDEX(CAT4_Current_Master!$I:$I,MATCH($B136,CAT4_Current_Master!$A:$A,0)),"")</f>
        <v>G11</v>
      </c>
      <c r="V136" t="str">
        <f t="shared" si="19"/>
        <v>Mixed profile</v>
      </c>
      <c r="W136" t="str">
        <f t="shared" si="20"/>
        <v>Mixed cognitive pattern requiring differentiated instruction.</v>
      </c>
    </row>
    <row r="137" spans="1:23" x14ac:dyDescent="0.3">
      <c r="A137" t="s">
        <v>298</v>
      </c>
      <c r="B137" t="s">
        <v>343</v>
      </c>
      <c r="C137" t="s">
        <v>344</v>
      </c>
      <c r="D137">
        <f>IFERROR(INDEX(Baseline_Entry!$N:$N,MATCH($B137,Baseline_Entry!$B:$B,0)),"")</f>
        <v>109</v>
      </c>
      <c r="E137">
        <f>IFERROR(INDEX(CAT4_Current_Master!$H:$H,MATCH($B137,CAT4_Current_Master!$A:$A,0)),"")</f>
        <v>109</v>
      </c>
      <c r="F137">
        <f t="shared" si="14"/>
        <v>0</v>
      </c>
      <c r="G137" t="str">
        <f>IFERROR(INDEX(Baseline_Entry!$Q:$Q,MATCH($B137,Baseline_Entry!$B:$B,0)),"")</f>
        <v>Mild spatial bias</v>
      </c>
      <c r="H137" t="str">
        <f>IFERROR(INDEX(CAT4_Current_Master!$C:$C,MATCH($B137,CAT4_Current_Master!$A:$A,0)),"")</f>
        <v>Mild spatial bias</v>
      </c>
      <c r="I137">
        <f>IFERROR(INDEX(Baseline_Entry!$R:$R,MATCH($B137,Baseline_Entry!$B:$B,0)),"")</f>
        <v>97</v>
      </c>
      <c r="J137">
        <f>IFERROR(INDEX(CAT4_Current_Master!$D:$D,MATCH($B137,CAT4_Current_Master!$A:$A,0)),"")</f>
        <v>97</v>
      </c>
      <c r="K137">
        <f t="shared" si="15"/>
        <v>0</v>
      </c>
      <c r="L137">
        <f>IFERROR(INDEX(Baseline_Entry!$S:$S,MATCH($B137,Baseline_Entry!$B:$B,0)),"")</f>
        <v>114</v>
      </c>
      <c r="M137">
        <f>IFERROR(INDEX(CAT4_Current_Master!$E:$E,MATCH($B137,CAT4_Current_Master!$A:$A,0)),"")</f>
        <v>114</v>
      </c>
      <c r="N137">
        <f t="shared" si="16"/>
        <v>0</v>
      </c>
      <c r="O137">
        <f>IFERROR(INDEX(Baseline_Entry!$T:$T,MATCH($B137,Baseline_Entry!$B:$B,0)),"")</f>
        <v>110</v>
      </c>
      <c r="P137">
        <f>IFERROR(INDEX(CAT4_Current_Master!$F:$F,MATCH($B137,CAT4_Current_Master!$A:$A,0)),"")</f>
        <v>110</v>
      </c>
      <c r="Q137">
        <f t="shared" si="17"/>
        <v>0</v>
      </c>
      <c r="R137">
        <f>IFERROR(INDEX(Baseline_Entry!$U:$U,MATCH($B137,Baseline_Entry!$B:$B,0)),"")</f>
        <v>116</v>
      </c>
      <c r="S137">
        <f>IFERROR(INDEX(CAT4_Current_Master!$G:$G,MATCH($B137,CAT4_Current_Master!$A:$A,0)),"")</f>
        <v>116</v>
      </c>
      <c r="T137">
        <f t="shared" si="18"/>
        <v>0</v>
      </c>
      <c r="U137" t="str">
        <f>IFERROR(INDEX(CAT4_Current_Master!$I:$I,MATCH($B137,CAT4_Current_Master!$A:$A,0)),"")</f>
        <v>G11</v>
      </c>
      <c r="V137" t="str">
        <f t="shared" si="19"/>
        <v>Spatial strength</v>
      </c>
      <c r="W137" t="str">
        <f t="shared" si="20"/>
        <v>Highest current domain is spatial reasoning, suggesting strength in visualisation, modelling, and design tasks.</v>
      </c>
    </row>
    <row r="138" spans="1:23" x14ac:dyDescent="0.3">
      <c r="A138" t="s">
        <v>298</v>
      </c>
      <c r="B138" t="s">
        <v>345</v>
      </c>
      <c r="C138" t="s">
        <v>346</v>
      </c>
      <c r="D138">
        <f>IFERROR(INDEX(Baseline_Entry!$N:$N,MATCH($B138,Baseline_Entry!$B:$B,0)),"")</f>
        <v>103</v>
      </c>
      <c r="E138">
        <f>IFERROR(INDEX(CAT4_Current_Master!$H:$H,MATCH($B138,CAT4_Current_Master!$A:$A,0)),"")</f>
        <v>103</v>
      </c>
      <c r="F138">
        <f t="shared" si="14"/>
        <v>0</v>
      </c>
      <c r="G138" t="str">
        <f>IFERROR(INDEX(Baseline_Entry!$Q:$Q,MATCH($B138,Baseline_Entry!$B:$B,0)),"")</f>
        <v>Extreme spatial bias</v>
      </c>
      <c r="H138" t="str">
        <f>IFERROR(INDEX(CAT4_Current_Master!$C:$C,MATCH($B138,CAT4_Current_Master!$A:$A,0)),"")</f>
        <v>Extreme spatial bias</v>
      </c>
      <c r="I138">
        <f>IFERROR(INDEX(Baseline_Entry!$R:$R,MATCH($B138,Baseline_Entry!$B:$B,0)),"")</f>
        <v>78</v>
      </c>
      <c r="J138">
        <f>IFERROR(INDEX(CAT4_Current_Master!$D:$D,MATCH($B138,CAT4_Current_Master!$A:$A,0)),"")</f>
        <v>78</v>
      </c>
      <c r="K138">
        <f t="shared" si="15"/>
        <v>0</v>
      </c>
      <c r="L138">
        <f>IFERROR(INDEX(Baseline_Entry!$S:$S,MATCH($B138,Baseline_Entry!$B:$B,0)),"")</f>
        <v>120</v>
      </c>
      <c r="M138">
        <f>IFERROR(INDEX(CAT4_Current_Master!$E:$E,MATCH($B138,CAT4_Current_Master!$A:$A,0)),"")</f>
        <v>120</v>
      </c>
      <c r="N138">
        <f t="shared" si="16"/>
        <v>0</v>
      </c>
      <c r="O138">
        <f>IFERROR(INDEX(Baseline_Entry!$T:$T,MATCH($B138,Baseline_Entry!$B:$B,0)),"")</f>
        <v>99</v>
      </c>
      <c r="P138">
        <f>IFERROR(INDEX(CAT4_Current_Master!$F:$F,MATCH($B138,CAT4_Current_Master!$A:$A,0)),"")</f>
        <v>99</v>
      </c>
      <c r="Q138">
        <f t="shared" si="17"/>
        <v>0</v>
      </c>
      <c r="R138">
        <f>IFERROR(INDEX(Baseline_Entry!$U:$U,MATCH($B138,Baseline_Entry!$B:$B,0)),"")</f>
        <v>116</v>
      </c>
      <c r="S138">
        <f>IFERROR(INDEX(CAT4_Current_Master!$G:$G,MATCH($B138,CAT4_Current_Master!$A:$A,0)),"")</f>
        <v>116</v>
      </c>
      <c r="T138">
        <f t="shared" si="18"/>
        <v>0</v>
      </c>
      <c r="U138" t="str">
        <f>IFERROR(INDEX(CAT4_Current_Master!$I:$I,MATCH($B138,CAT4_Current_Master!$A:$A,0)),"")</f>
        <v>G11</v>
      </c>
      <c r="V138" t="str">
        <f t="shared" si="19"/>
        <v>Quantitative strength</v>
      </c>
      <c r="W138" t="str">
        <f t="shared" si="20"/>
        <v>Highest current domain is quantitative reasoning, suggesting strong numerical and structured problem-solving potential.</v>
      </c>
    </row>
    <row r="139" spans="1:23" x14ac:dyDescent="0.3">
      <c r="A139" t="s">
        <v>298</v>
      </c>
      <c r="B139" t="s">
        <v>347</v>
      </c>
      <c r="C139" t="s">
        <v>348</v>
      </c>
      <c r="D139">
        <f>IFERROR(INDEX(Baseline_Entry!$N:$N,MATCH($B139,Baseline_Entry!$B:$B,0)),"")</f>
        <v>96</v>
      </c>
      <c r="E139">
        <f>IFERROR(INDEX(CAT4_Current_Master!$H:$H,MATCH($B139,CAT4_Current_Master!$A:$A,0)),"")</f>
        <v>96</v>
      </c>
      <c r="F139">
        <f t="shared" si="14"/>
        <v>0</v>
      </c>
      <c r="G139" t="str">
        <f>IFERROR(INDEX(Baseline_Entry!$Q:$Q,MATCH($B139,Baseline_Entry!$B:$B,0)),"")</f>
        <v>Mild spatial bias</v>
      </c>
      <c r="H139" t="str">
        <f>IFERROR(INDEX(CAT4_Current_Master!$C:$C,MATCH($B139,CAT4_Current_Master!$A:$A,0)),"")</f>
        <v>Mild spatial bias</v>
      </c>
      <c r="I139">
        <f>IFERROR(INDEX(Baseline_Entry!$R:$R,MATCH($B139,Baseline_Entry!$B:$B,0)),"")</f>
        <v>83</v>
      </c>
      <c r="J139">
        <f>IFERROR(INDEX(CAT4_Current_Master!$D:$D,MATCH($B139,CAT4_Current_Master!$A:$A,0)),"")</f>
        <v>83</v>
      </c>
      <c r="K139">
        <f t="shared" si="15"/>
        <v>0</v>
      </c>
      <c r="L139">
        <f>IFERROR(INDEX(Baseline_Entry!$S:$S,MATCH($B139,Baseline_Entry!$B:$B,0)),"")</f>
        <v>106</v>
      </c>
      <c r="M139">
        <f>IFERROR(INDEX(CAT4_Current_Master!$E:$E,MATCH($B139,CAT4_Current_Master!$A:$A,0)),"")</f>
        <v>106</v>
      </c>
      <c r="N139">
        <f t="shared" si="16"/>
        <v>0</v>
      </c>
      <c r="O139">
        <f>IFERROR(INDEX(Baseline_Entry!$T:$T,MATCH($B139,Baseline_Entry!$B:$B,0)),"")</f>
        <v>97</v>
      </c>
      <c r="P139">
        <f>IFERROR(INDEX(CAT4_Current_Master!$F:$F,MATCH($B139,CAT4_Current_Master!$A:$A,0)),"")</f>
        <v>97</v>
      </c>
      <c r="Q139">
        <f t="shared" si="17"/>
        <v>0</v>
      </c>
      <c r="R139">
        <f>IFERROR(INDEX(Baseline_Entry!$U:$U,MATCH($B139,Baseline_Entry!$B:$B,0)),"")</f>
        <v>98</v>
      </c>
      <c r="S139">
        <f>IFERROR(INDEX(CAT4_Current_Master!$G:$G,MATCH($B139,CAT4_Current_Master!$A:$A,0)),"")</f>
        <v>98</v>
      </c>
      <c r="T139">
        <f t="shared" si="18"/>
        <v>0</v>
      </c>
      <c r="U139" t="str">
        <f>IFERROR(INDEX(CAT4_Current_Master!$I:$I,MATCH($B139,CAT4_Current_Master!$A:$A,0)),"")</f>
        <v>G11</v>
      </c>
      <c r="V139" t="str">
        <f t="shared" si="19"/>
        <v>Quantitative strength</v>
      </c>
      <c r="W139" t="str">
        <f t="shared" si="20"/>
        <v>Highest current domain is quantitative reasoning, suggesting strong numerical and structured problem-solving potential.</v>
      </c>
    </row>
    <row r="140" spans="1:23" x14ac:dyDescent="0.3">
      <c r="A140" t="s">
        <v>298</v>
      </c>
      <c r="B140" t="s">
        <v>349</v>
      </c>
      <c r="C140" t="s">
        <v>350</v>
      </c>
      <c r="D140">
        <f>IFERROR(INDEX(Baseline_Entry!$N:$N,MATCH($B140,Baseline_Entry!$B:$B,0)),"")</f>
        <v>104</v>
      </c>
      <c r="E140">
        <f>IFERROR(INDEX(CAT4_Current_Master!$H:$H,MATCH($B140,CAT4_Current_Master!$A:$A,0)),"")</f>
        <v>104</v>
      </c>
      <c r="F140">
        <f t="shared" si="14"/>
        <v>0</v>
      </c>
      <c r="G140" t="str">
        <f>IFERROR(INDEX(Baseline_Entry!$Q:$Q,MATCH($B140,Baseline_Entry!$B:$B,0)),"")</f>
        <v>Extreme spatial bias</v>
      </c>
      <c r="H140" t="str">
        <f>IFERROR(INDEX(CAT4_Current_Master!$C:$C,MATCH($B140,CAT4_Current_Master!$A:$A,0)),"")</f>
        <v>Extreme spatial bias</v>
      </c>
      <c r="I140">
        <f>IFERROR(INDEX(Baseline_Entry!$R:$R,MATCH($B140,Baseline_Entry!$B:$B,0)),"")</f>
        <v>85</v>
      </c>
      <c r="J140">
        <f>IFERROR(INDEX(CAT4_Current_Master!$D:$D,MATCH($B140,CAT4_Current_Master!$A:$A,0)),"")</f>
        <v>85</v>
      </c>
      <c r="K140">
        <f t="shared" si="15"/>
        <v>0</v>
      </c>
      <c r="L140">
        <f>IFERROR(INDEX(Baseline_Entry!$S:$S,MATCH($B140,Baseline_Entry!$B:$B,0)),"")</f>
        <v>105</v>
      </c>
      <c r="M140">
        <f>IFERROR(INDEX(CAT4_Current_Master!$E:$E,MATCH($B140,CAT4_Current_Master!$A:$A,0)),"")</f>
        <v>105</v>
      </c>
      <c r="N140">
        <f t="shared" si="16"/>
        <v>0</v>
      </c>
      <c r="O140">
        <f>IFERROR(INDEX(Baseline_Entry!$T:$T,MATCH($B140,Baseline_Entry!$B:$B,0)),"")</f>
        <v>112</v>
      </c>
      <c r="P140">
        <f>IFERROR(INDEX(CAT4_Current_Master!$F:$F,MATCH($B140,CAT4_Current_Master!$A:$A,0)),"")</f>
        <v>112</v>
      </c>
      <c r="Q140">
        <f t="shared" si="17"/>
        <v>0</v>
      </c>
      <c r="R140">
        <f>IFERROR(INDEX(Baseline_Entry!$U:$U,MATCH($B140,Baseline_Entry!$B:$B,0)),"")</f>
        <v>112</v>
      </c>
      <c r="S140">
        <f>IFERROR(INDEX(CAT4_Current_Master!$G:$G,MATCH($B140,CAT4_Current_Master!$A:$A,0)),"")</f>
        <v>112</v>
      </c>
      <c r="T140">
        <f t="shared" si="18"/>
        <v>0</v>
      </c>
      <c r="U140" t="str">
        <f>IFERROR(INDEX(CAT4_Current_Master!$I:$I,MATCH($B140,CAT4_Current_Master!$A:$A,0)),"")</f>
        <v>G11</v>
      </c>
      <c r="V140" t="str">
        <f t="shared" si="19"/>
        <v>Analytical / Abstract thinker</v>
      </c>
      <c r="W140" t="str">
        <f t="shared" si="20"/>
        <v>Strong non-verbal reasoning supported by quantitative strength; well aligned with advanced analytical and STEM-rich tasks.</v>
      </c>
    </row>
    <row r="141" spans="1:23" x14ac:dyDescent="0.3">
      <c r="A141" t="s">
        <v>298</v>
      </c>
      <c r="B141" t="s">
        <v>351</v>
      </c>
      <c r="C141" t="s">
        <v>352</v>
      </c>
      <c r="D141">
        <f>IFERROR(INDEX(Baseline_Entry!$N:$N,MATCH($B141,Baseline_Entry!$B:$B,0)),"")</f>
        <v>97</v>
      </c>
      <c r="E141">
        <f>IFERROR(INDEX(CAT4_Current_Master!$H:$H,MATCH($B141,CAT4_Current_Master!$A:$A,0)),"")</f>
        <v>97</v>
      </c>
      <c r="F141">
        <f t="shared" si="14"/>
        <v>0</v>
      </c>
      <c r="G141" t="str">
        <f>IFERROR(INDEX(Baseline_Entry!$Q:$Q,MATCH($B141,Baseline_Entry!$B:$B,0)),"")</f>
        <v>Moderate spatial bias</v>
      </c>
      <c r="H141" t="str">
        <f>IFERROR(INDEX(CAT4_Current_Master!$C:$C,MATCH($B141,CAT4_Current_Master!$A:$A,0)),"")</f>
        <v>Moderate spatial bias</v>
      </c>
      <c r="I141">
        <f>IFERROR(INDEX(Baseline_Entry!$R:$R,MATCH($B141,Baseline_Entry!$B:$B,0)),"")</f>
        <v>80</v>
      </c>
      <c r="J141">
        <f>IFERROR(INDEX(CAT4_Current_Master!$D:$D,MATCH($B141,CAT4_Current_Master!$A:$A,0)),"")</f>
        <v>80</v>
      </c>
      <c r="K141">
        <f t="shared" si="15"/>
        <v>0</v>
      </c>
      <c r="L141">
        <f>IFERROR(INDEX(Baseline_Entry!$S:$S,MATCH($B141,Baseline_Entry!$B:$B,0)),"")</f>
        <v>106</v>
      </c>
      <c r="M141">
        <f>IFERROR(INDEX(CAT4_Current_Master!$E:$E,MATCH($B141,CAT4_Current_Master!$A:$A,0)),"")</f>
        <v>106</v>
      </c>
      <c r="N141">
        <f t="shared" si="16"/>
        <v>0</v>
      </c>
      <c r="O141">
        <f>IFERROR(INDEX(Baseline_Entry!$T:$T,MATCH($B141,Baseline_Entry!$B:$B,0)),"")</f>
        <v>103</v>
      </c>
      <c r="P141">
        <f>IFERROR(INDEX(CAT4_Current_Master!$F:$F,MATCH($B141,CAT4_Current_Master!$A:$A,0)),"")</f>
        <v>103</v>
      </c>
      <c r="Q141">
        <f t="shared" si="17"/>
        <v>0</v>
      </c>
      <c r="R141">
        <f>IFERROR(INDEX(Baseline_Entry!$U:$U,MATCH($B141,Baseline_Entry!$B:$B,0)),"")</f>
        <v>98</v>
      </c>
      <c r="S141">
        <f>IFERROR(INDEX(CAT4_Current_Master!$G:$G,MATCH($B141,CAT4_Current_Master!$A:$A,0)),"")</f>
        <v>98</v>
      </c>
      <c r="T141">
        <f t="shared" si="18"/>
        <v>0</v>
      </c>
      <c r="U141" t="str">
        <f>IFERROR(INDEX(CAT4_Current_Master!$I:$I,MATCH($B141,CAT4_Current_Master!$A:$A,0)),"")</f>
        <v>G11</v>
      </c>
      <c r="V141" t="str">
        <f t="shared" si="19"/>
        <v>Quantitative strength</v>
      </c>
      <c r="W141" t="str">
        <f t="shared" si="20"/>
        <v>Highest current domain is quantitative reasoning, suggesting strong numerical and structured problem-solving potential.</v>
      </c>
    </row>
    <row r="142" spans="1:23" x14ac:dyDescent="0.3">
      <c r="A142" t="s">
        <v>298</v>
      </c>
      <c r="B142" t="s">
        <v>353</v>
      </c>
      <c r="C142" t="s">
        <v>354</v>
      </c>
      <c r="D142">
        <f>IFERROR(INDEX(Baseline_Entry!$N:$N,MATCH($B142,Baseline_Entry!$B:$B,0)),"")</f>
        <v>86</v>
      </c>
      <c r="E142">
        <f>IFERROR(INDEX(CAT4_Current_Master!$H:$H,MATCH($B142,CAT4_Current_Master!$A:$A,0)),"")</f>
        <v>86</v>
      </c>
      <c r="F142">
        <f t="shared" si="14"/>
        <v>0</v>
      </c>
      <c r="G142" t="str">
        <f>IFERROR(INDEX(Baseline_Entry!$Q:$Q,MATCH($B142,Baseline_Entry!$B:$B,0)),"")</f>
        <v>No bias</v>
      </c>
      <c r="H142" t="str">
        <f>IFERROR(INDEX(CAT4_Current_Master!$C:$C,MATCH($B142,CAT4_Current_Master!$A:$A,0)),"")</f>
        <v>No bias</v>
      </c>
      <c r="I142">
        <f>IFERROR(INDEX(Baseline_Entry!$R:$R,MATCH($B142,Baseline_Entry!$B:$B,0)),"")</f>
        <v>83</v>
      </c>
      <c r="J142">
        <f>IFERROR(INDEX(CAT4_Current_Master!$D:$D,MATCH($B142,CAT4_Current_Master!$A:$A,0)),"")</f>
        <v>83</v>
      </c>
      <c r="K142">
        <f t="shared" si="15"/>
        <v>0</v>
      </c>
      <c r="L142">
        <f>IFERROR(INDEX(Baseline_Entry!$S:$S,MATCH($B142,Baseline_Entry!$B:$B,0)),"")</f>
        <v>90</v>
      </c>
      <c r="M142">
        <f>IFERROR(INDEX(CAT4_Current_Master!$E:$E,MATCH($B142,CAT4_Current_Master!$A:$A,0)),"")</f>
        <v>90</v>
      </c>
      <c r="N142">
        <f t="shared" si="16"/>
        <v>0</v>
      </c>
      <c r="O142">
        <f>IFERROR(INDEX(Baseline_Entry!$T:$T,MATCH($B142,Baseline_Entry!$B:$B,0)),"")</f>
        <v>90</v>
      </c>
      <c r="P142">
        <f>IFERROR(INDEX(CAT4_Current_Master!$F:$F,MATCH($B142,CAT4_Current_Master!$A:$A,0)),"")</f>
        <v>90</v>
      </c>
      <c r="Q142">
        <f t="shared" si="17"/>
        <v>0</v>
      </c>
      <c r="R142">
        <f>IFERROR(INDEX(Baseline_Entry!$U:$U,MATCH($B142,Baseline_Entry!$B:$B,0)),"")</f>
        <v>80</v>
      </c>
      <c r="S142">
        <f>IFERROR(INDEX(CAT4_Current_Master!$G:$G,MATCH($B142,CAT4_Current_Master!$A:$A,0)),"")</f>
        <v>80</v>
      </c>
      <c r="T142">
        <f t="shared" si="18"/>
        <v>0</v>
      </c>
      <c r="U142" t="str">
        <f>IFERROR(INDEX(CAT4_Current_Master!$I:$I,MATCH($B142,CAT4_Current_Master!$A:$A,0)),"")</f>
        <v>G11</v>
      </c>
      <c r="V142" t="str">
        <f t="shared" si="19"/>
        <v>Quantitative strength</v>
      </c>
      <c r="W142" t="str">
        <f t="shared" si="20"/>
        <v>Highest current domain is quantitative reasoning, suggesting strong numerical and structured problem-solving potential.</v>
      </c>
    </row>
    <row r="143" spans="1:23" x14ac:dyDescent="0.3">
      <c r="A143" t="s">
        <v>298</v>
      </c>
      <c r="B143" t="s">
        <v>355</v>
      </c>
      <c r="C143" t="s">
        <v>356</v>
      </c>
      <c r="D143">
        <f>IFERROR(INDEX(Baseline_Entry!$N:$N,MATCH($B143,Baseline_Entry!$B:$B,0)),"")</f>
        <v>96</v>
      </c>
      <c r="E143">
        <f>IFERROR(INDEX(CAT4_Current_Master!$H:$H,MATCH($B143,CAT4_Current_Master!$A:$A,0)),"")</f>
        <v>96</v>
      </c>
      <c r="F143">
        <f t="shared" si="14"/>
        <v>0</v>
      </c>
      <c r="G143" t="str">
        <f>IFERROR(INDEX(Baseline_Entry!$Q:$Q,MATCH($B143,Baseline_Entry!$B:$B,0)),"")</f>
        <v>Moderate spatial bias</v>
      </c>
      <c r="H143" t="str">
        <f>IFERROR(INDEX(CAT4_Current_Master!$C:$C,MATCH($B143,CAT4_Current_Master!$A:$A,0)),"")</f>
        <v>Moderate spatial bias</v>
      </c>
      <c r="I143">
        <f>IFERROR(INDEX(Baseline_Entry!$R:$R,MATCH($B143,Baseline_Entry!$B:$B,0)),"")</f>
        <v>85</v>
      </c>
      <c r="J143">
        <f>IFERROR(INDEX(CAT4_Current_Master!$D:$D,MATCH($B143,CAT4_Current_Master!$A:$A,0)),"")</f>
        <v>85</v>
      </c>
      <c r="K143">
        <f t="shared" si="15"/>
        <v>0</v>
      </c>
      <c r="L143">
        <f>IFERROR(INDEX(Baseline_Entry!$S:$S,MATCH($B143,Baseline_Entry!$B:$B,0)),"")</f>
        <v>90</v>
      </c>
      <c r="M143">
        <f>IFERROR(INDEX(CAT4_Current_Master!$E:$E,MATCH($B143,CAT4_Current_Master!$A:$A,0)),"")</f>
        <v>90</v>
      </c>
      <c r="N143">
        <f t="shared" si="16"/>
        <v>0</v>
      </c>
      <c r="O143">
        <f>IFERROR(INDEX(Baseline_Entry!$T:$T,MATCH($B143,Baseline_Entry!$B:$B,0)),"")</f>
        <v>97</v>
      </c>
      <c r="P143">
        <f>IFERROR(INDEX(CAT4_Current_Master!$F:$F,MATCH($B143,CAT4_Current_Master!$A:$A,0)),"")</f>
        <v>97</v>
      </c>
      <c r="Q143">
        <f t="shared" si="17"/>
        <v>0</v>
      </c>
      <c r="R143">
        <f>IFERROR(INDEX(Baseline_Entry!$U:$U,MATCH($B143,Baseline_Entry!$B:$B,0)),"")</f>
        <v>111</v>
      </c>
      <c r="S143">
        <f>IFERROR(INDEX(CAT4_Current_Master!$G:$G,MATCH($B143,CAT4_Current_Master!$A:$A,0)),"")</f>
        <v>111</v>
      </c>
      <c r="T143">
        <f t="shared" si="18"/>
        <v>0</v>
      </c>
      <c r="U143" t="str">
        <f>IFERROR(INDEX(CAT4_Current_Master!$I:$I,MATCH($B143,CAT4_Current_Master!$A:$A,0)),"")</f>
        <v>G11</v>
      </c>
      <c r="V143" t="str">
        <f t="shared" si="19"/>
        <v>Spatial strength</v>
      </c>
      <c r="W143" t="str">
        <f t="shared" si="20"/>
        <v>Highest current domain is spatial reasoning, suggesting strength in visualisation, modelling, and design tasks.</v>
      </c>
    </row>
    <row r="144" spans="1:23" x14ac:dyDescent="0.3">
      <c r="A144" t="s">
        <v>298</v>
      </c>
      <c r="B144" t="s">
        <v>357</v>
      </c>
      <c r="C144" t="s">
        <v>358</v>
      </c>
      <c r="D144">
        <f>IFERROR(INDEX(Baseline_Entry!$N:$N,MATCH($B144,Baseline_Entry!$B:$B,0)),"")</f>
        <v>93</v>
      </c>
      <c r="E144">
        <f>IFERROR(INDEX(CAT4_Current_Master!$H:$H,MATCH($B144,CAT4_Current_Master!$A:$A,0)),"")</f>
        <v>93</v>
      </c>
      <c r="F144">
        <f t="shared" si="14"/>
        <v>0</v>
      </c>
      <c r="G144" t="str">
        <f>IFERROR(INDEX(Baseline_Entry!$Q:$Q,MATCH($B144,Baseline_Entry!$B:$B,0)),"")</f>
        <v>Extreme spatial bias</v>
      </c>
      <c r="H144" t="str">
        <f>IFERROR(INDEX(CAT4_Current_Master!$C:$C,MATCH($B144,CAT4_Current_Master!$A:$A,0)),"")</f>
        <v>Extreme spatial bias</v>
      </c>
      <c r="I144">
        <f>IFERROR(INDEX(Baseline_Entry!$R:$R,MATCH($B144,Baseline_Entry!$B:$B,0)),"")</f>
        <v>72</v>
      </c>
      <c r="J144">
        <f>IFERROR(INDEX(CAT4_Current_Master!$D:$D,MATCH($B144,CAT4_Current_Master!$A:$A,0)),"")</f>
        <v>72</v>
      </c>
      <c r="K144">
        <f t="shared" si="15"/>
        <v>0</v>
      </c>
      <c r="L144">
        <f>IFERROR(INDEX(Baseline_Entry!$S:$S,MATCH($B144,Baseline_Entry!$B:$B,0)),"")</f>
        <v>103</v>
      </c>
      <c r="M144">
        <f>IFERROR(INDEX(CAT4_Current_Master!$E:$E,MATCH($B144,CAT4_Current_Master!$A:$A,0)),"")</f>
        <v>103</v>
      </c>
      <c r="N144">
        <f t="shared" si="16"/>
        <v>0</v>
      </c>
      <c r="O144">
        <f>IFERROR(INDEX(Baseline_Entry!$T:$T,MATCH($B144,Baseline_Entry!$B:$B,0)),"")</f>
        <v>101</v>
      </c>
      <c r="P144">
        <f>IFERROR(INDEX(CAT4_Current_Master!$F:$F,MATCH($B144,CAT4_Current_Master!$A:$A,0)),"")</f>
        <v>101</v>
      </c>
      <c r="Q144">
        <f t="shared" si="17"/>
        <v>0</v>
      </c>
      <c r="R144">
        <f>IFERROR(INDEX(Baseline_Entry!$U:$U,MATCH($B144,Baseline_Entry!$B:$B,0)),"")</f>
        <v>97</v>
      </c>
      <c r="S144">
        <f>IFERROR(INDEX(CAT4_Current_Master!$G:$G,MATCH($B144,CAT4_Current_Master!$A:$A,0)),"")</f>
        <v>97</v>
      </c>
      <c r="T144">
        <f t="shared" si="18"/>
        <v>0</v>
      </c>
      <c r="U144" t="str">
        <f>IFERROR(INDEX(CAT4_Current_Master!$I:$I,MATCH($B144,CAT4_Current_Master!$A:$A,0)),"")</f>
        <v>G11</v>
      </c>
      <c r="V144" t="str">
        <f t="shared" si="19"/>
        <v>Quantitative strength</v>
      </c>
      <c r="W144" t="str">
        <f t="shared" si="20"/>
        <v>Highest current domain is quantitative reasoning, suggesting strong numerical and structured problem-solving potential.</v>
      </c>
    </row>
    <row r="145" spans="1:23" x14ac:dyDescent="0.3">
      <c r="A145" t="s">
        <v>298</v>
      </c>
      <c r="B145" t="s">
        <v>359</v>
      </c>
      <c r="C145" t="s">
        <v>360</v>
      </c>
      <c r="D145">
        <f>IFERROR(INDEX(Baseline_Entry!$N:$N,MATCH($B145,Baseline_Entry!$B:$B,0)),"")</f>
        <v>92</v>
      </c>
      <c r="E145">
        <f>IFERROR(INDEX(CAT4_Current_Master!$H:$H,MATCH($B145,CAT4_Current_Master!$A:$A,0)),"")</f>
        <v>92</v>
      </c>
      <c r="F145">
        <f t="shared" si="14"/>
        <v>0</v>
      </c>
      <c r="G145" t="str">
        <f>IFERROR(INDEX(Baseline_Entry!$Q:$Q,MATCH($B145,Baseline_Entry!$B:$B,0)),"")</f>
        <v>Mild spatial bias</v>
      </c>
      <c r="H145" t="str">
        <f>IFERROR(INDEX(CAT4_Current_Master!$C:$C,MATCH($B145,CAT4_Current_Master!$A:$A,0)),"")</f>
        <v>Mild spatial bias</v>
      </c>
      <c r="I145">
        <f>IFERROR(INDEX(Baseline_Entry!$R:$R,MATCH($B145,Baseline_Entry!$B:$B,0)),"")</f>
        <v>83</v>
      </c>
      <c r="J145">
        <f>IFERROR(INDEX(CAT4_Current_Master!$D:$D,MATCH($B145,CAT4_Current_Master!$A:$A,0)),"")</f>
        <v>83</v>
      </c>
      <c r="K145">
        <f t="shared" si="15"/>
        <v>0</v>
      </c>
      <c r="L145">
        <f>IFERROR(INDEX(Baseline_Entry!$S:$S,MATCH($B145,Baseline_Entry!$B:$B,0)),"")</f>
        <v>87</v>
      </c>
      <c r="M145">
        <f>IFERROR(INDEX(CAT4_Current_Master!$E:$E,MATCH($B145,CAT4_Current_Master!$A:$A,0)),"")</f>
        <v>87</v>
      </c>
      <c r="N145">
        <f t="shared" si="16"/>
        <v>0</v>
      </c>
      <c r="O145">
        <f>IFERROR(INDEX(Baseline_Entry!$T:$T,MATCH($B145,Baseline_Entry!$B:$B,0)),"")</f>
        <v>101</v>
      </c>
      <c r="P145">
        <f>IFERROR(INDEX(CAT4_Current_Master!$F:$F,MATCH($B145,CAT4_Current_Master!$A:$A,0)),"")</f>
        <v>101</v>
      </c>
      <c r="Q145">
        <f t="shared" si="17"/>
        <v>0</v>
      </c>
      <c r="R145">
        <f>IFERROR(INDEX(Baseline_Entry!$U:$U,MATCH($B145,Baseline_Entry!$B:$B,0)),"")</f>
        <v>98</v>
      </c>
      <c r="S145">
        <f>IFERROR(INDEX(CAT4_Current_Master!$G:$G,MATCH($B145,CAT4_Current_Master!$A:$A,0)),"")</f>
        <v>98</v>
      </c>
      <c r="T145">
        <f t="shared" si="18"/>
        <v>0</v>
      </c>
      <c r="U145" t="str">
        <f>IFERROR(INDEX(CAT4_Current_Master!$I:$I,MATCH($B145,CAT4_Current_Master!$A:$A,0)),"")</f>
        <v>G11</v>
      </c>
      <c r="V145" t="str">
        <f t="shared" si="19"/>
        <v>Mixed profile</v>
      </c>
      <c r="W145" t="str">
        <f t="shared" si="20"/>
        <v>Mixed cognitive pattern requiring differentiated instruction.</v>
      </c>
    </row>
    <row r="146" spans="1:23" x14ac:dyDescent="0.3">
      <c r="A146" t="s">
        <v>298</v>
      </c>
      <c r="B146" t="s">
        <v>361</v>
      </c>
      <c r="C146" t="s">
        <v>362</v>
      </c>
      <c r="D146">
        <f>IFERROR(INDEX(Baseline_Entry!$N:$N,MATCH($B146,Baseline_Entry!$B:$B,0)),"")</f>
        <v>89</v>
      </c>
      <c r="E146">
        <f>IFERROR(INDEX(CAT4_Current_Master!$H:$H,MATCH($B146,CAT4_Current_Master!$A:$A,0)),"")</f>
        <v>89</v>
      </c>
      <c r="F146">
        <f t="shared" si="14"/>
        <v>0</v>
      </c>
      <c r="G146" t="str">
        <f>IFERROR(INDEX(Baseline_Entry!$Q:$Q,MATCH($B146,Baseline_Entry!$B:$B,0)),"")</f>
        <v>Extreme spatial bias</v>
      </c>
      <c r="H146" t="str">
        <f>IFERROR(INDEX(CAT4_Current_Master!$C:$C,MATCH($B146,CAT4_Current_Master!$A:$A,0)),"")</f>
        <v>Extreme spatial bias</v>
      </c>
      <c r="I146">
        <f>IFERROR(INDEX(Baseline_Entry!$R:$R,MATCH($B146,Baseline_Entry!$B:$B,0)),"")</f>
        <v>68</v>
      </c>
      <c r="J146">
        <f>IFERROR(INDEX(CAT4_Current_Master!$D:$D,MATCH($B146,CAT4_Current_Master!$A:$A,0)),"")</f>
        <v>68</v>
      </c>
      <c r="K146">
        <f t="shared" si="15"/>
        <v>0</v>
      </c>
      <c r="L146">
        <f>IFERROR(INDEX(Baseline_Entry!$S:$S,MATCH($B146,Baseline_Entry!$B:$B,0)),"")</f>
        <v>87</v>
      </c>
      <c r="M146">
        <f>IFERROR(INDEX(CAT4_Current_Master!$E:$E,MATCH($B146,CAT4_Current_Master!$A:$A,0)),"")</f>
        <v>87</v>
      </c>
      <c r="N146">
        <f t="shared" si="16"/>
        <v>0</v>
      </c>
      <c r="O146">
        <f>IFERROR(INDEX(Baseline_Entry!$T:$T,MATCH($B146,Baseline_Entry!$B:$B,0)),"")</f>
        <v>103</v>
      </c>
      <c r="P146">
        <f>IFERROR(INDEX(CAT4_Current_Master!$F:$F,MATCH($B146,CAT4_Current_Master!$A:$A,0)),"")</f>
        <v>103</v>
      </c>
      <c r="Q146">
        <f t="shared" si="17"/>
        <v>0</v>
      </c>
      <c r="R146">
        <f>IFERROR(INDEX(Baseline_Entry!$U:$U,MATCH($B146,Baseline_Entry!$B:$B,0)),"")</f>
        <v>98</v>
      </c>
      <c r="S146">
        <f>IFERROR(INDEX(CAT4_Current_Master!$G:$G,MATCH($B146,CAT4_Current_Master!$A:$A,0)),"")</f>
        <v>98</v>
      </c>
      <c r="T146">
        <f t="shared" si="18"/>
        <v>0</v>
      </c>
      <c r="U146" t="str">
        <f>IFERROR(INDEX(CAT4_Current_Master!$I:$I,MATCH($B146,CAT4_Current_Master!$A:$A,0)),"")</f>
        <v>G11</v>
      </c>
      <c r="V146" t="str">
        <f t="shared" si="19"/>
        <v>Mixed profile</v>
      </c>
      <c r="W146" t="str">
        <f t="shared" si="20"/>
        <v>Mixed cognitive pattern requiring differentiated instruction.</v>
      </c>
    </row>
    <row r="147" spans="1:23" x14ac:dyDescent="0.3">
      <c r="A147" t="s">
        <v>298</v>
      </c>
      <c r="B147" t="s">
        <v>363</v>
      </c>
      <c r="C147" t="s">
        <v>364</v>
      </c>
      <c r="D147">
        <f>IFERROR(INDEX(Baseline_Entry!$N:$N,MATCH($B147,Baseline_Entry!$B:$B,0)),"")</f>
        <v>97</v>
      </c>
      <c r="E147">
        <f>IFERROR(INDEX(CAT4_Current_Master!$H:$H,MATCH($B147,CAT4_Current_Master!$A:$A,0)),"")</f>
        <v>97</v>
      </c>
      <c r="F147">
        <f t="shared" si="14"/>
        <v>0</v>
      </c>
      <c r="G147" t="str">
        <f>IFERROR(INDEX(Baseline_Entry!$Q:$Q,MATCH($B147,Baseline_Entry!$B:$B,0)),"")</f>
        <v>Mild spatial bias</v>
      </c>
      <c r="H147" t="str">
        <f>IFERROR(INDEX(CAT4_Current_Master!$C:$C,MATCH($B147,CAT4_Current_Master!$A:$A,0)),"")</f>
        <v>Mild spatial bias</v>
      </c>
      <c r="I147">
        <f>IFERROR(INDEX(Baseline_Entry!$R:$R,MATCH($B147,Baseline_Entry!$B:$B,0)),"")</f>
        <v>83</v>
      </c>
      <c r="J147">
        <f>IFERROR(INDEX(CAT4_Current_Master!$D:$D,MATCH($B147,CAT4_Current_Master!$A:$A,0)),"")</f>
        <v>83</v>
      </c>
      <c r="K147">
        <f t="shared" si="15"/>
        <v>0</v>
      </c>
      <c r="L147">
        <f>IFERROR(INDEX(Baseline_Entry!$S:$S,MATCH($B147,Baseline_Entry!$B:$B,0)),"")</f>
        <v>103</v>
      </c>
      <c r="M147">
        <f>IFERROR(INDEX(CAT4_Current_Master!$E:$E,MATCH($B147,CAT4_Current_Master!$A:$A,0)),"")</f>
        <v>103</v>
      </c>
      <c r="N147">
        <f t="shared" si="16"/>
        <v>0</v>
      </c>
      <c r="O147">
        <f>IFERROR(INDEX(Baseline_Entry!$T:$T,MATCH($B147,Baseline_Entry!$B:$B,0)),"")</f>
        <v>106</v>
      </c>
      <c r="P147">
        <f>IFERROR(INDEX(CAT4_Current_Master!$F:$F,MATCH($B147,CAT4_Current_Master!$A:$A,0)),"")</f>
        <v>106</v>
      </c>
      <c r="Q147">
        <f t="shared" si="17"/>
        <v>0</v>
      </c>
      <c r="R147">
        <f>IFERROR(INDEX(Baseline_Entry!$U:$U,MATCH($B147,Baseline_Entry!$B:$B,0)),"")</f>
        <v>97</v>
      </c>
      <c r="S147">
        <f>IFERROR(INDEX(CAT4_Current_Master!$G:$G,MATCH($B147,CAT4_Current_Master!$A:$A,0)),"")</f>
        <v>97</v>
      </c>
      <c r="T147">
        <f t="shared" si="18"/>
        <v>0</v>
      </c>
      <c r="U147" t="str">
        <f>IFERROR(INDEX(CAT4_Current_Master!$I:$I,MATCH($B147,CAT4_Current_Master!$A:$A,0)),"")</f>
        <v>G11</v>
      </c>
      <c r="V147" t="str">
        <f t="shared" si="19"/>
        <v>Analytical / Abstract thinker</v>
      </c>
      <c r="W147" t="str">
        <f t="shared" si="20"/>
        <v>Strong non-verbal reasoning supported by quantitative strength; well aligned with advanced analytical and STEM-rich tasks.</v>
      </c>
    </row>
    <row r="148" spans="1:23" x14ac:dyDescent="0.3">
      <c r="A148" t="s">
        <v>298</v>
      </c>
      <c r="B148" t="s">
        <v>365</v>
      </c>
      <c r="C148" t="s">
        <v>366</v>
      </c>
      <c r="D148">
        <f>IFERROR(INDEX(Baseline_Entry!$N:$N,MATCH($B148,Baseline_Entry!$B:$B,0)),"")</f>
        <v>98</v>
      </c>
      <c r="E148">
        <f>IFERROR(INDEX(CAT4_Current_Master!$H:$H,MATCH($B148,CAT4_Current_Master!$A:$A,0)),"")</f>
        <v>98</v>
      </c>
      <c r="F148">
        <f t="shared" si="14"/>
        <v>0</v>
      </c>
      <c r="G148" t="str">
        <f>IFERROR(INDEX(Baseline_Entry!$Q:$Q,MATCH($B148,Baseline_Entry!$B:$B,0)),"")</f>
        <v>No bias</v>
      </c>
      <c r="H148" t="str">
        <f>IFERROR(INDEX(CAT4_Current_Master!$C:$C,MATCH($B148,CAT4_Current_Master!$A:$A,0)),"")</f>
        <v>No bias</v>
      </c>
      <c r="I148">
        <f>IFERROR(INDEX(Baseline_Entry!$R:$R,MATCH($B148,Baseline_Entry!$B:$B,0)),"")</f>
        <v>92</v>
      </c>
      <c r="J148">
        <f>IFERROR(INDEX(CAT4_Current_Master!$D:$D,MATCH($B148,CAT4_Current_Master!$A:$A,0)),"")</f>
        <v>92</v>
      </c>
      <c r="K148">
        <f t="shared" si="15"/>
        <v>0</v>
      </c>
      <c r="L148">
        <f>IFERROR(INDEX(Baseline_Entry!$S:$S,MATCH($B148,Baseline_Entry!$B:$B,0)),"")</f>
        <v>105</v>
      </c>
      <c r="M148">
        <f>IFERROR(INDEX(CAT4_Current_Master!$E:$E,MATCH($B148,CAT4_Current_Master!$A:$A,0)),"")</f>
        <v>105</v>
      </c>
      <c r="N148">
        <f t="shared" si="16"/>
        <v>0</v>
      </c>
      <c r="O148">
        <f>IFERROR(INDEX(Baseline_Entry!$T:$T,MATCH($B148,Baseline_Entry!$B:$B,0)),"")</f>
        <v>103</v>
      </c>
      <c r="P148">
        <f>IFERROR(INDEX(CAT4_Current_Master!$F:$F,MATCH($B148,CAT4_Current_Master!$A:$A,0)),"")</f>
        <v>103</v>
      </c>
      <c r="Q148">
        <f t="shared" si="17"/>
        <v>0</v>
      </c>
      <c r="R148">
        <f>IFERROR(INDEX(Baseline_Entry!$U:$U,MATCH($B148,Baseline_Entry!$B:$B,0)),"")</f>
        <v>93</v>
      </c>
      <c r="S148">
        <f>IFERROR(INDEX(CAT4_Current_Master!$G:$G,MATCH($B148,CAT4_Current_Master!$A:$A,0)),"")</f>
        <v>93</v>
      </c>
      <c r="T148">
        <f t="shared" si="18"/>
        <v>0</v>
      </c>
      <c r="U148" t="str">
        <f>IFERROR(INDEX(CAT4_Current_Master!$I:$I,MATCH($B148,CAT4_Current_Master!$A:$A,0)),"")</f>
        <v>G11</v>
      </c>
      <c r="V148" t="str">
        <f t="shared" si="19"/>
        <v>Quantitative strength</v>
      </c>
      <c r="W148" t="str">
        <f t="shared" si="20"/>
        <v>Highest current domain is quantitative reasoning, suggesting strong numerical and structured problem-solving potential.</v>
      </c>
    </row>
    <row r="149" spans="1:23" x14ac:dyDescent="0.3">
      <c r="A149" t="s">
        <v>298</v>
      </c>
      <c r="B149" t="s">
        <v>367</v>
      </c>
      <c r="C149" t="s">
        <v>368</v>
      </c>
      <c r="D149">
        <f>IFERROR(INDEX(Baseline_Entry!$N:$N,MATCH($B149,Baseline_Entry!$B:$B,0)),"")</f>
        <v>106</v>
      </c>
      <c r="E149">
        <f>IFERROR(INDEX(CAT4_Current_Master!$H:$H,MATCH($B149,CAT4_Current_Master!$A:$A,0)),"")</f>
        <v>106</v>
      </c>
      <c r="F149">
        <f t="shared" si="14"/>
        <v>0</v>
      </c>
      <c r="G149" t="str">
        <f>IFERROR(INDEX(Baseline_Entry!$Q:$Q,MATCH($B149,Baseline_Entry!$B:$B,0)),"")</f>
        <v>Mild spatial bias</v>
      </c>
      <c r="H149" t="str">
        <f>IFERROR(INDEX(CAT4_Current_Master!$C:$C,MATCH($B149,CAT4_Current_Master!$A:$A,0)),"")</f>
        <v>Mild spatial bias</v>
      </c>
      <c r="I149">
        <f>IFERROR(INDEX(Baseline_Entry!$R:$R,MATCH($B149,Baseline_Entry!$B:$B,0)),"")</f>
        <v>102</v>
      </c>
      <c r="J149">
        <f>IFERROR(INDEX(CAT4_Current_Master!$D:$D,MATCH($B149,CAT4_Current_Master!$A:$A,0)),"")</f>
        <v>102</v>
      </c>
      <c r="K149">
        <f t="shared" si="15"/>
        <v>0</v>
      </c>
      <c r="L149">
        <f>IFERROR(INDEX(Baseline_Entry!$S:$S,MATCH($B149,Baseline_Entry!$B:$B,0)),"")</f>
        <v>108</v>
      </c>
      <c r="M149">
        <f>IFERROR(INDEX(CAT4_Current_Master!$E:$E,MATCH($B149,CAT4_Current_Master!$A:$A,0)),"")</f>
        <v>108</v>
      </c>
      <c r="N149">
        <f t="shared" si="16"/>
        <v>0</v>
      </c>
      <c r="O149">
        <f>IFERROR(INDEX(Baseline_Entry!$T:$T,MATCH($B149,Baseline_Entry!$B:$B,0)),"")</f>
        <v>101</v>
      </c>
      <c r="P149">
        <f>IFERROR(INDEX(CAT4_Current_Master!$F:$F,MATCH($B149,CAT4_Current_Master!$A:$A,0)),"")</f>
        <v>101</v>
      </c>
      <c r="Q149">
        <f t="shared" si="17"/>
        <v>0</v>
      </c>
      <c r="R149">
        <f>IFERROR(INDEX(Baseline_Entry!$U:$U,MATCH($B149,Baseline_Entry!$B:$B,0)),"")</f>
        <v>114</v>
      </c>
      <c r="S149">
        <f>IFERROR(INDEX(CAT4_Current_Master!$G:$G,MATCH($B149,CAT4_Current_Master!$A:$A,0)),"")</f>
        <v>114</v>
      </c>
      <c r="T149">
        <f t="shared" si="18"/>
        <v>0</v>
      </c>
      <c r="U149" t="str">
        <f>IFERROR(INDEX(CAT4_Current_Master!$I:$I,MATCH($B149,CAT4_Current_Master!$A:$A,0)),"")</f>
        <v>G11</v>
      </c>
      <c r="V149" t="str">
        <f t="shared" si="19"/>
        <v>Spatial strength</v>
      </c>
      <c r="W149" t="str">
        <f t="shared" si="20"/>
        <v>Highest current domain is spatial reasoning, suggesting strength in visualisation, modelling, and design tasks.</v>
      </c>
    </row>
    <row r="150" spans="1:23" x14ac:dyDescent="0.3">
      <c r="A150" t="s">
        <v>298</v>
      </c>
      <c r="B150" t="s">
        <v>369</v>
      </c>
      <c r="C150" t="s">
        <v>370</v>
      </c>
      <c r="D150">
        <f>IFERROR(INDEX(Baseline_Entry!$N:$N,MATCH($B150,Baseline_Entry!$B:$B,0)),"")</f>
        <v>112</v>
      </c>
      <c r="E150">
        <f>IFERROR(INDEX(CAT4_Current_Master!$H:$H,MATCH($B150,CAT4_Current_Master!$A:$A,0)),"")</f>
        <v>112</v>
      </c>
      <c r="F150">
        <f t="shared" si="14"/>
        <v>0</v>
      </c>
      <c r="G150" t="str">
        <f>IFERROR(INDEX(Baseline_Entry!$Q:$Q,MATCH($B150,Baseline_Entry!$B:$B,0)),"")</f>
        <v>Extreme spatial bias</v>
      </c>
      <c r="H150" t="str">
        <f>IFERROR(INDEX(CAT4_Current_Master!$C:$C,MATCH($B150,CAT4_Current_Master!$A:$A,0)),"")</f>
        <v>Extreme spatial bias</v>
      </c>
      <c r="I150">
        <f>IFERROR(INDEX(Baseline_Entry!$R:$R,MATCH($B150,Baseline_Entry!$B:$B,0)),"")</f>
        <v>90</v>
      </c>
      <c r="J150">
        <f>IFERROR(INDEX(CAT4_Current_Master!$D:$D,MATCH($B150,CAT4_Current_Master!$A:$A,0)),"")</f>
        <v>90</v>
      </c>
      <c r="K150">
        <f t="shared" si="15"/>
        <v>0</v>
      </c>
      <c r="L150">
        <f>IFERROR(INDEX(Baseline_Entry!$S:$S,MATCH($B150,Baseline_Entry!$B:$B,0)),"")</f>
        <v>116</v>
      </c>
      <c r="M150">
        <f>IFERROR(INDEX(CAT4_Current_Master!$E:$E,MATCH($B150,CAT4_Current_Master!$A:$A,0)),"")</f>
        <v>116</v>
      </c>
      <c r="N150">
        <f t="shared" si="16"/>
        <v>0</v>
      </c>
      <c r="O150">
        <f>IFERROR(INDEX(Baseline_Entry!$T:$T,MATCH($B150,Baseline_Entry!$B:$B,0)),"")</f>
        <v>124</v>
      </c>
      <c r="P150">
        <f>IFERROR(INDEX(CAT4_Current_Master!$F:$F,MATCH($B150,CAT4_Current_Master!$A:$A,0)),"")</f>
        <v>124</v>
      </c>
      <c r="Q150">
        <f t="shared" si="17"/>
        <v>0</v>
      </c>
      <c r="R150">
        <f>IFERROR(INDEX(Baseline_Entry!$U:$U,MATCH($B150,Baseline_Entry!$B:$B,0)),"")</f>
        <v>119</v>
      </c>
      <c r="S150">
        <f>IFERROR(INDEX(CAT4_Current_Master!$G:$G,MATCH($B150,CAT4_Current_Master!$A:$A,0)),"")</f>
        <v>119</v>
      </c>
      <c r="T150">
        <f t="shared" si="18"/>
        <v>0</v>
      </c>
      <c r="U150" t="str">
        <f>IFERROR(INDEX(CAT4_Current_Master!$I:$I,MATCH($B150,CAT4_Current_Master!$A:$A,0)),"")</f>
        <v>G11</v>
      </c>
      <c r="V150" t="str">
        <f t="shared" si="19"/>
        <v>Analytical / Abstract thinker</v>
      </c>
      <c r="W150" t="str">
        <f t="shared" si="20"/>
        <v>Strong non-verbal reasoning supported by quantitative strength; well aligned with advanced analytical and STEM-rich tasks.</v>
      </c>
    </row>
    <row r="151" spans="1:23" x14ac:dyDescent="0.3">
      <c r="A151" t="s">
        <v>298</v>
      </c>
      <c r="B151" t="s">
        <v>371</v>
      </c>
      <c r="C151" t="s">
        <v>372</v>
      </c>
      <c r="D151">
        <f>IFERROR(INDEX(Baseline_Entry!$N:$N,MATCH($B151,Baseline_Entry!$B:$B,0)),"")</f>
        <v>98</v>
      </c>
      <c r="E151">
        <f>IFERROR(INDEX(CAT4_Current_Master!$H:$H,MATCH($B151,CAT4_Current_Master!$A:$A,0)),"")</f>
        <v>98</v>
      </c>
      <c r="F151">
        <f t="shared" si="14"/>
        <v>0</v>
      </c>
      <c r="G151" t="str">
        <f>IFERROR(INDEX(Baseline_Entry!$Q:$Q,MATCH($B151,Baseline_Entry!$B:$B,0)),"")</f>
        <v>Mild spatial bias</v>
      </c>
      <c r="H151" t="str">
        <f>IFERROR(INDEX(CAT4_Current_Master!$C:$C,MATCH($B151,CAT4_Current_Master!$A:$A,0)),"")</f>
        <v>Mild spatial bias</v>
      </c>
      <c r="I151">
        <f>IFERROR(INDEX(Baseline_Entry!$R:$R,MATCH($B151,Baseline_Entry!$B:$B,0)),"")</f>
        <v>92</v>
      </c>
      <c r="J151">
        <f>IFERROR(INDEX(CAT4_Current_Master!$D:$D,MATCH($B151,CAT4_Current_Master!$A:$A,0)),"")</f>
        <v>92</v>
      </c>
      <c r="K151">
        <f t="shared" si="15"/>
        <v>0</v>
      </c>
      <c r="L151">
        <f>IFERROR(INDEX(Baseline_Entry!$S:$S,MATCH($B151,Baseline_Entry!$B:$B,0)),"")</f>
        <v>103</v>
      </c>
      <c r="M151">
        <f>IFERROR(INDEX(CAT4_Current_Master!$E:$E,MATCH($B151,CAT4_Current_Master!$A:$A,0)),"")</f>
        <v>103</v>
      </c>
      <c r="N151">
        <f t="shared" si="16"/>
        <v>0</v>
      </c>
      <c r="O151">
        <f>IFERROR(INDEX(Baseline_Entry!$T:$T,MATCH($B151,Baseline_Entry!$B:$B,0)),"")</f>
        <v>90</v>
      </c>
      <c r="P151">
        <f>IFERROR(INDEX(CAT4_Current_Master!$F:$F,MATCH($B151,CAT4_Current_Master!$A:$A,0)),"")</f>
        <v>90</v>
      </c>
      <c r="Q151">
        <f t="shared" si="17"/>
        <v>0</v>
      </c>
      <c r="R151">
        <f>IFERROR(INDEX(Baseline_Entry!$U:$U,MATCH($B151,Baseline_Entry!$B:$B,0)),"")</f>
        <v>107</v>
      </c>
      <c r="S151">
        <f>IFERROR(INDEX(CAT4_Current_Master!$G:$G,MATCH($B151,CAT4_Current_Master!$A:$A,0)),"")</f>
        <v>107</v>
      </c>
      <c r="T151">
        <f t="shared" si="18"/>
        <v>0</v>
      </c>
      <c r="U151" t="str">
        <f>IFERROR(INDEX(CAT4_Current_Master!$I:$I,MATCH($B151,CAT4_Current_Master!$A:$A,0)),"")</f>
        <v>G11</v>
      </c>
      <c r="V151" t="str">
        <f t="shared" si="19"/>
        <v>Spatial strength</v>
      </c>
      <c r="W151" t="str">
        <f t="shared" si="20"/>
        <v>Highest current domain is spatial reasoning, suggesting strength in visualisation, modelling, and design tasks.</v>
      </c>
    </row>
    <row r="152" spans="1:23" x14ac:dyDescent="0.3">
      <c r="A152" t="s">
        <v>298</v>
      </c>
      <c r="B152" t="s">
        <v>373</v>
      </c>
      <c r="C152" t="s">
        <v>374</v>
      </c>
      <c r="D152">
        <f>IFERROR(INDEX(Baseline_Entry!$N:$N,MATCH($B152,Baseline_Entry!$B:$B,0)),"")</f>
        <v>105</v>
      </c>
      <c r="E152">
        <f>IFERROR(INDEX(CAT4_Current_Master!$H:$H,MATCH($B152,CAT4_Current_Master!$A:$A,0)),"")</f>
        <v>105</v>
      </c>
      <c r="F152">
        <f t="shared" si="14"/>
        <v>0</v>
      </c>
      <c r="G152" t="str">
        <f>IFERROR(INDEX(Baseline_Entry!$Q:$Q,MATCH($B152,Baseline_Entry!$B:$B,0)),"")</f>
        <v>Mild spatial bias</v>
      </c>
      <c r="H152" t="str">
        <f>IFERROR(INDEX(CAT4_Current_Master!$C:$C,MATCH($B152,CAT4_Current_Master!$A:$A,0)),"")</f>
        <v>Mild spatial bias</v>
      </c>
      <c r="I152">
        <f>IFERROR(INDEX(Baseline_Entry!$R:$R,MATCH($B152,Baseline_Entry!$B:$B,0)),"")</f>
        <v>83</v>
      </c>
      <c r="J152">
        <f>IFERROR(INDEX(CAT4_Current_Master!$D:$D,MATCH($B152,CAT4_Current_Master!$A:$A,0)),"")</f>
        <v>83</v>
      </c>
      <c r="K152">
        <f t="shared" si="15"/>
        <v>0</v>
      </c>
      <c r="L152">
        <f>IFERROR(INDEX(Baseline_Entry!$S:$S,MATCH($B152,Baseline_Entry!$B:$B,0)),"")</f>
        <v>118</v>
      </c>
      <c r="M152">
        <f>IFERROR(INDEX(CAT4_Current_Master!$E:$E,MATCH($B152,CAT4_Current_Master!$A:$A,0)),"")</f>
        <v>118</v>
      </c>
      <c r="N152">
        <f t="shared" si="16"/>
        <v>0</v>
      </c>
      <c r="O152">
        <f>IFERROR(INDEX(Baseline_Entry!$T:$T,MATCH($B152,Baseline_Entry!$B:$B,0)),"")</f>
        <v>121</v>
      </c>
      <c r="P152">
        <f>IFERROR(INDEX(CAT4_Current_Master!$F:$F,MATCH($B152,CAT4_Current_Master!$A:$A,0)),"")</f>
        <v>121</v>
      </c>
      <c r="Q152">
        <f t="shared" si="17"/>
        <v>0</v>
      </c>
      <c r="R152">
        <f>IFERROR(INDEX(Baseline_Entry!$U:$U,MATCH($B152,Baseline_Entry!$B:$B,0)),"")</f>
        <v>98</v>
      </c>
      <c r="S152">
        <f>IFERROR(INDEX(CAT4_Current_Master!$G:$G,MATCH($B152,CAT4_Current_Master!$A:$A,0)),"")</f>
        <v>98</v>
      </c>
      <c r="T152">
        <f t="shared" si="18"/>
        <v>0</v>
      </c>
      <c r="U152" t="str">
        <f>IFERROR(INDEX(CAT4_Current_Master!$I:$I,MATCH($B152,CAT4_Current_Master!$A:$A,0)),"")</f>
        <v>G11</v>
      </c>
      <c r="V152" t="str">
        <f t="shared" si="19"/>
        <v>Analytical / Abstract thinker</v>
      </c>
      <c r="W152" t="str">
        <f t="shared" si="20"/>
        <v>Strong non-verbal reasoning supported by quantitative strength; well aligned with advanced analytical and STEM-rich tasks.</v>
      </c>
    </row>
    <row r="153" spans="1:23" x14ac:dyDescent="0.3">
      <c r="A153" t="s">
        <v>298</v>
      </c>
      <c r="B153" t="s">
        <v>375</v>
      </c>
      <c r="C153" t="s">
        <v>376</v>
      </c>
      <c r="D153">
        <f>IFERROR(INDEX(Baseline_Entry!$N:$N,MATCH($B153,Baseline_Entry!$B:$B,0)),"")</f>
        <v>98</v>
      </c>
      <c r="E153">
        <f>IFERROR(INDEX(CAT4_Current_Master!$H:$H,MATCH($B153,CAT4_Current_Master!$A:$A,0)),"")</f>
        <v>98</v>
      </c>
      <c r="F153">
        <f t="shared" si="14"/>
        <v>0</v>
      </c>
      <c r="G153" t="str">
        <f>IFERROR(INDEX(Baseline_Entry!$Q:$Q,MATCH($B153,Baseline_Entry!$B:$B,0)),"")</f>
        <v>Extreme spatial bias</v>
      </c>
      <c r="H153" t="str">
        <f>IFERROR(INDEX(CAT4_Current_Master!$C:$C,MATCH($B153,CAT4_Current_Master!$A:$A,0)),"")</f>
        <v>Extreme spatial bias</v>
      </c>
      <c r="I153">
        <f>IFERROR(INDEX(Baseline_Entry!$R:$R,MATCH($B153,Baseline_Entry!$B:$B,0)),"")</f>
        <v>78</v>
      </c>
      <c r="J153">
        <f>IFERROR(INDEX(CAT4_Current_Master!$D:$D,MATCH($B153,CAT4_Current_Master!$A:$A,0)),"")</f>
        <v>78</v>
      </c>
      <c r="K153">
        <f t="shared" si="15"/>
        <v>0</v>
      </c>
      <c r="L153">
        <f>IFERROR(INDEX(Baseline_Entry!$S:$S,MATCH($B153,Baseline_Entry!$B:$B,0)),"")</f>
        <v>92</v>
      </c>
      <c r="M153">
        <f>IFERROR(INDEX(CAT4_Current_Master!$E:$E,MATCH($B153,CAT4_Current_Master!$A:$A,0)),"")</f>
        <v>92</v>
      </c>
      <c r="N153">
        <f t="shared" si="16"/>
        <v>0</v>
      </c>
      <c r="O153">
        <f>IFERROR(INDEX(Baseline_Entry!$T:$T,MATCH($B153,Baseline_Entry!$B:$B,0)),"")</f>
        <v>108</v>
      </c>
      <c r="P153">
        <f>IFERROR(INDEX(CAT4_Current_Master!$F:$F,MATCH($B153,CAT4_Current_Master!$A:$A,0)),"")</f>
        <v>108</v>
      </c>
      <c r="Q153">
        <f t="shared" si="17"/>
        <v>0</v>
      </c>
      <c r="R153">
        <f>IFERROR(INDEX(Baseline_Entry!$U:$U,MATCH($B153,Baseline_Entry!$B:$B,0)),"")</f>
        <v>112</v>
      </c>
      <c r="S153">
        <f>IFERROR(INDEX(CAT4_Current_Master!$G:$G,MATCH($B153,CAT4_Current_Master!$A:$A,0)),"")</f>
        <v>112</v>
      </c>
      <c r="T153">
        <f t="shared" si="18"/>
        <v>0</v>
      </c>
      <c r="U153" t="str">
        <f>IFERROR(INDEX(CAT4_Current_Master!$I:$I,MATCH($B153,CAT4_Current_Master!$A:$A,0)),"")</f>
        <v>G11</v>
      </c>
      <c r="V153" t="str">
        <f t="shared" si="19"/>
        <v>Spatial strength</v>
      </c>
      <c r="W153" t="str">
        <f t="shared" si="20"/>
        <v>Highest current domain is spatial reasoning, suggesting strength in visualisation, modelling, and design tasks.</v>
      </c>
    </row>
    <row r="154" spans="1:23" x14ac:dyDescent="0.3">
      <c r="A154" t="s">
        <v>298</v>
      </c>
      <c r="B154" t="s">
        <v>377</v>
      </c>
      <c r="C154" t="s">
        <v>378</v>
      </c>
      <c r="D154">
        <f>IFERROR(INDEX(Baseline_Entry!$N:$N,MATCH($B154,Baseline_Entry!$B:$B,0)),"")</f>
        <v>103</v>
      </c>
      <c r="E154">
        <f>IFERROR(INDEX(CAT4_Current_Master!$H:$H,MATCH($B154,CAT4_Current_Master!$A:$A,0)),"")</f>
        <v>103</v>
      </c>
      <c r="F154">
        <f t="shared" si="14"/>
        <v>0</v>
      </c>
      <c r="G154" t="str">
        <f>IFERROR(INDEX(Baseline_Entry!$Q:$Q,MATCH($B154,Baseline_Entry!$B:$B,0)),"")</f>
        <v>No bias</v>
      </c>
      <c r="H154" t="str">
        <f>IFERROR(INDEX(CAT4_Current_Master!$C:$C,MATCH($B154,CAT4_Current_Master!$A:$A,0)),"")</f>
        <v>No bias</v>
      </c>
      <c r="I154">
        <f>IFERROR(INDEX(Baseline_Entry!$R:$R,MATCH($B154,Baseline_Entry!$B:$B,0)),"")</f>
        <v>86</v>
      </c>
      <c r="J154">
        <f>IFERROR(INDEX(CAT4_Current_Master!$D:$D,MATCH($B154,CAT4_Current_Master!$A:$A,0)),"")</f>
        <v>86</v>
      </c>
      <c r="K154">
        <f t="shared" si="15"/>
        <v>0</v>
      </c>
      <c r="L154">
        <f>IFERROR(INDEX(Baseline_Entry!$S:$S,MATCH($B154,Baseline_Entry!$B:$B,0)),"")</f>
        <v>112</v>
      </c>
      <c r="M154">
        <f>IFERROR(INDEX(CAT4_Current_Master!$E:$E,MATCH($B154,CAT4_Current_Master!$A:$A,0)),"")</f>
        <v>112</v>
      </c>
      <c r="N154">
        <f t="shared" si="16"/>
        <v>0</v>
      </c>
      <c r="O154">
        <f>IFERROR(INDEX(Baseline_Entry!$T:$T,MATCH($B154,Baseline_Entry!$B:$B,0)),"")</f>
        <v>117</v>
      </c>
      <c r="P154">
        <f>IFERROR(INDEX(CAT4_Current_Master!$F:$F,MATCH($B154,CAT4_Current_Master!$A:$A,0)),"")</f>
        <v>117</v>
      </c>
      <c r="Q154">
        <f t="shared" si="17"/>
        <v>0</v>
      </c>
      <c r="R154">
        <f>IFERROR(INDEX(Baseline_Entry!$U:$U,MATCH($B154,Baseline_Entry!$B:$B,0)),"")</f>
        <v>95</v>
      </c>
      <c r="S154">
        <f>IFERROR(INDEX(CAT4_Current_Master!$G:$G,MATCH($B154,CAT4_Current_Master!$A:$A,0)),"")</f>
        <v>95</v>
      </c>
      <c r="T154">
        <f t="shared" si="18"/>
        <v>0</v>
      </c>
      <c r="U154" t="str">
        <f>IFERROR(INDEX(CAT4_Current_Master!$I:$I,MATCH($B154,CAT4_Current_Master!$A:$A,0)),"")</f>
        <v>G11</v>
      </c>
      <c r="V154" t="str">
        <f t="shared" si="19"/>
        <v>Analytical / Abstract thinker</v>
      </c>
      <c r="W154" t="str">
        <f t="shared" si="20"/>
        <v>Strong non-verbal reasoning supported by quantitative strength; well aligned with advanced analytical and STEM-rich tasks.</v>
      </c>
    </row>
    <row r="155" spans="1:23" x14ac:dyDescent="0.3">
      <c r="A155" t="s">
        <v>298</v>
      </c>
      <c r="B155" t="s">
        <v>379</v>
      </c>
      <c r="C155" t="s">
        <v>380</v>
      </c>
      <c r="D155">
        <f>IFERROR(INDEX(Baseline_Entry!$N:$N,MATCH($B155,Baseline_Entry!$B:$B,0)),"")</f>
        <v>100</v>
      </c>
      <c r="E155">
        <f>IFERROR(INDEX(CAT4_Current_Master!$H:$H,MATCH($B155,CAT4_Current_Master!$A:$A,0)),"")</f>
        <v>100</v>
      </c>
      <c r="F155">
        <f t="shared" si="14"/>
        <v>0</v>
      </c>
      <c r="G155" t="str">
        <f>IFERROR(INDEX(Baseline_Entry!$Q:$Q,MATCH($B155,Baseline_Entry!$B:$B,0)),"")</f>
        <v>No bias</v>
      </c>
      <c r="H155" t="str">
        <f>IFERROR(INDEX(CAT4_Current_Master!$C:$C,MATCH($B155,CAT4_Current_Master!$A:$A,0)),"")</f>
        <v>No bias</v>
      </c>
      <c r="I155">
        <f>IFERROR(INDEX(Baseline_Entry!$R:$R,MATCH($B155,Baseline_Entry!$B:$B,0)),"")</f>
        <v>86</v>
      </c>
      <c r="J155">
        <f>IFERROR(INDEX(CAT4_Current_Master!$D:$D,MATCH($B155,CAT4_Current_Master!$A:$A,0)),"")</f>
        <v>86</v>
      </c>
      <c r="K155">
        <f t="shared" si="15"/>
        <v>0</v>
      </c>
      <c r="L155">
        <f>IFERROR(INDEX(Baseline_Entry!$S:$S,MATCH($B155,Baseline_Entry!$B:$B,0)),"")</f>
        <v>104</v>
      </c>
      <c r="M155">
        <f>IFERROR(INDEX(CAT4_Current_Master!$E:$E,MATCH($B155,CAT4_Current_Master!$A:$A,0)),"")</f>
        <v>104</v>
      </c>
      <c r="N155">
        <f t="shared" si="16"/>
        <v>0</v>
      </c>
      <c r="O155">
        <f>IFERROR(INDEX(Baseline_Entry!$T:$T,MATCH($B155,Baseline_Entry!$B:$B,0)),"")</f>
        <v>114</v>
      </c>
      <c r="P155">
        <f>IFERROR(INDEX(CAT4_Current_Master!$F:$F,MATCH($B155,CAT4_Current_Master!$A:$A,0)),"")</f>
        <v>114</v>
      </c>
      <c r="Q155">
        <f t="shared" si="17"/>
        <v>0</v>
      </c>
      <c r="R155">
        <f>IFERROR(INDEX(Baseline_Entry!$U:$U,MATCH($B155,Baseline_Entry!$B:$B,0)),"")</f>
        <v>95</v>
      </c>
      <c r="S155">
        <f>IFERROR(INDEX(CAT4_Current_Master!$G:$G,MATCH($B155,CAT4_Current_Master!$A:$A,0)),"")</f>
        <v>95</v>
      </c>
      <c r="T155">
        <f t="shared" si="18"/>
        <v>0</v>
      </c>
      <c r="U155" t="str">
        <f>IFERROR(INDEX(CAT4_Current_Master!$I:$I,MATCH($B155,CAT4_Current_Master!$A:$A,0)),"")</f>
        <v>G11</v>
      </c>
      <c r="V155" t="str">
        <f t="shared" si="19"/>
        <v>Analytical / Abstract thinker</v>
      </c>
      <c r="W155" t="str">
        <f t="shared" si="20"/>
        <v>Strong non-verbal reasoning supported by quantitative strength; well aligned with advanced analytical and STEM-rich tasks.</v>
      </c>
    </row>
    <row r="156" spans="1:23" x14ac:dyDescent="0.3">
      <c r="A156" t="s">
        <v>298</v>
      </c>
      <c r="B156" t="s">
        <v>381</v>
      </c>
      <c r="C156" t="s">
        <v>382</v>
      </c>
      <c r="D156">
        <f>IFERROR(INDEX(Baseline_Entry!$N:$N,MATCH($B156,Baseline_Entry!$B:$B,0)),"")</f>
        <v>112</v>
      </c>
      <c r="E156">
        <f>IFERROR(INDEX(CAT4_Current_Master!$H:$H,MATCH($B156,CAT4_Current_Master!$A:$A,0)),"")</f>
        <v>121</v>
      </c>
      <c r="F156">
        <f t="shared" si="14"/>
        <v>9</v>
      </c>
      <c r="G156" t="str">
        <f>IFERROR(INDEX(Baseline_Entry!$Q:$Q,MATCH($B156,Baseline_Entry!$B:$B,0)),"")</f>
        <v>Moderate spatial bias</v>
      </c>
      <c r="H156" t="str">
        <f>IFERROR(INDEX(CAT4_Current_Master!$C:$C,MATCH($B156,CAT4_Current_Master!$A:$A,0)),"")</f>
        <v>Moderate spatial bias</v>
      </c>
      <c r="I156">
        <f>IFERROR(INDEX(Baseline_Entry!$R:$R,MATCH($B156,Baseline_Entry!$B:$B,0)),"")</f>
        <v>102</v>
      </c>
      <c r="J156">
        <f>IFERROR(INDEX(CAT4_Current_Master!$D:$D,MATCH($B156,CAT4_Current_Master!$A:$A,0)),"")</f>
        <v>102</v>
      </c>
      <c r="K156">
        <f t="shared" si="15"/>
        <v>0</v>
      </c>
      <c r="L156">
        <f>IFERROR(INDEX(Baseline_Entry!$S:$S,MATCH($B156,Baseline_Entry!$B:$B,0)),"")</f>
        <v>106</v>
      </c>
      <c r="M156">
        <f>IFERROR(INDEX(CAT4_Current_Master!$E:$E,MATCH($B156,CAT4_Current_Master!$A:$A,0)),"")</f>
        <v>106</v>
      </c>
      <c r="N156">
        <f t="shared" si="16"/>
        <v>0</v>
      </c>
      <c r="O156">
        <f>IFERROR(INDEX(Baseline_Entry!$T:$T,MATCH($B156,Baseline_Entry!$B:$B,0)),"")</f>
        <v>117</v>
      </c>
      <c r="P156">
        <f>IFERROR(INDEX(CAT4_Current_Master!$F:$F,MATCH($B156,CAT4_Current_Master!$A:$A,0)),"")</f>
        <v>117</v>
      </c>
      <c r="Q156">
        <f t="shared" si="17"/>
        <v>0</v>
      </c>
      <c r="R156">
        <f>IFERROR(INDEX(Baseline_Entry!$U:$U,MATCH($B156,Baseline_Entry!$B:$B,0)),"")</f>
        <v>121</v>
      </c>
      <c r="S156">
        <f>IFERROR(INDEX(CAT4_Current_Master!$G:$G,MATCH($B156,CAT4_Current_Master!$A:$A,0)),"")</f>
        <v>121</v>
      </c>
      <c r="T156">
        <f t="shared" si="18"/>
        <v>0</v>
      </c>
      <c r="U156" t="str">
        <f>IFERROR(INDEX(CAT4_Current_Master!$I:$I,MATCH($B156,CAT4_Current_Master!$A:$A,0)),"")</f>
        <v>G11</v>
      </c>
      <c r="V156" t="str">
        <f t="shared" si="19"/>
        <v>Spatial strength</v>
      </c>
      <c r="W156" t="str">
        <f t="shared" si="20"/>
        <v>Highest current domain is spatial reasoning, suggesting strength in visualisation, modelling, and design tasks.</v>
      </c>
    </row>
    <row r="157" spans="1:23" x14ac:dyDescent="0.3">
      <c r="A157" t="s">
        <v>298</v>
      </c>
      <c r="B157" t="s">
        <v>383</v>
      </c>
      <c r="C157" t="s">
        <v>384</v>
      </c>
      <c r="D157">
        <f>IFERROR(INDEX(Baseline_Entry!$N:$N,MATCH($B157,Baseline_Entry!$B:$B,0)),"")</f>
        <v>108</v>
      </c>
      <c r="E157">
        <f>IFERROR(INDEX(CAT4_Current_Master!$H:$H,MATCH($B157,CAT4_Current_Master!$A:$A,0)),"")</f>
        <v>108</v>
      </c>
      <c r="F157">
        <f t="shared" si="14"/>
        <v>0</v>
      </c>
      <c r="G157" t="str">
        <f>IFERROR(INDEX(Baseline_Entry!$Q:$Q,MATCH($B157,Baseline_Entry!$B:$B,0)),"")</f>
        <v>Extreme spatial bias</v>
      </c>
      <c r="H157" t="str">
        <f>IFERROR(INDEX(CAT4_Current_Master!$C:$C,MATCH($B157,CAT4_Current_Master!$A:$A,0)),"")</f>
        <v>Extreme spatial bias</v>
      </c>
      <c r="I157">
        <f>IFERROR(INDEX(Baseline_Entry!$R:$R,MATCH($B157,Baseline_Entry!$B:$B,0)),"")</f>
        <v>80</v>
      </c>
      <c r="J157">
        <f>IFERROR(INDEX(CAT4_Current_Master!$D:$D,MATCH($B157,CAT4_Current_Master!$A:$A,0)),"")</f>
        <v>80</v>
      </c>
      <c r="K157">
        <f t="shared" si="15"/>
        <v>0</v>
      </c>
      <c r="L157">
        <f>IFERROR(INDEX(Baseline_Entry!$S:$S,MATCH($B157,Baseline_Entry!$B:$B,0)),"")</f>
        <v>122</v>
      </c>
      <c r="M157">
        <f>IFERROR(INDEX(CAT4_Current_Master!$E:$E,MATCH($B157,CAT4_Current_Master!$A:$A,0)),"")</f>
        <v>122</v>
      </c>
      <c r="N157">
        <f t="shared" si="16"/>
        <v>0</v>
      </c>
      <c r="O157">
        <f>IFERROR(INDEX(Baseline_Entry!$T:$T,MATCH($B157,Baseline_Entry!$B:$B,0)),"")</f>
        <v>112</v>
      </c>
      <c r="P157">
        <f>IFERROR(INDEX(CAT4_Current_Master!$F:$F,MATCH($B157,CAT4_Current_Master!$A:$A,0)),"")</f>
        <v>112</v>
      </c>
      <c r="Q157">
        <f t="shared" si="17"/>
        <v>0</v>
      </c>
      <c r="R157">
        <f>IFERROR(INDEX(Baseline_Entry!$U:$U,MATCH($B157,Baseline_Entry!$B:$B,0)),"")</f>
        <v>119</v>
      </c>
      <c r="S157">
        <f>IFERROR(INDEX(CAT4_Current_Master!$G:$G,MATCH($B157,CAT4_Current_Master!$A:$A,0)),"")</f>
        <v>119</v>
      </c>
      <c r="T157">
        <f t="shared" si="18"/>
        <v>0</v>
      </c>
      <c r="U157" t="str">
        <f>IFERROR(INDEX(CAT4_Current_Master!$I:$I,MATCH($B157,CAT4_Current_Master!$A:$A,0)),"")</f>
        <v>G11</v>
      </c>
      <c r="V157" t="str">
        <f t="shared" si="19"/>
        <v>Quantitative strength</v>
      </c>
      <c r="W157" t="str">
        <f t="shared" si="20"/>
        <v>Highest current domain is quantitative reasoning, suggesting strong numerical and structured problem-solving potential.</v>
      </c>
    </row>
    <row r="158" spans="1:23" x14ac:dyDescent="0.3">
      <c r="A158" t="s">
        <v>298</v>
      </c>
      <c r="B158" t="s">
        <v>385</v>
      </c>
      <c r="C158" t="s">
        <v>386</v>
      </c>
      <c r="D158">
        <f>IFERROR(INDEX(Baseline_Entry!$N:$N,MATCH($B158,Baseline_Entry!$B:$B,0)),"")</f>
        <v>106</v>
      </c>
      <c r="E158">
        <f>IFERROR(INDEX(CAT4_Current_Master!$H:$H,MATCH($B158,CAT4_Current_Master!$A:$A,0)),"")</f>
        <v>106</v>
      </c>
      <c r="F158">
        <f t="shared" si="14"/>
        <v>0</v>
      </c>
      <c r="G158" t="str">
        <f>IFERROR(INDEX(Baseline_Entry!$Q:$Q,MATCH($B158,Baseline_Entry!$B:$B,0)),"")</f>
        <v>No bias</v>
      </c>
      <c r="H158" t="str">
        <f>IFERROR(INDEX(CAT4_Current_Master!$C:$C,MATCH($B158,CAT4_Current_Master!$A:$A,0)),"")</f>
        <v>No bias</v>
      </c>
      <c r="I158">
        <f>IFERROR(INDEX(Baseline_Entry!$R:$R,MATCH($B158,Baseline_Entry!$B:$B,0)),"")</f>
        <v>114</v>
      </c>
      <c r="J158">
        <f>IFERROR(INDEX(CAT4_Current_Master!$D:$D,MATCH($B158,CAT4_Current_Master!$A:$A,0)),"")</f>
        <v>114</v>
      </c>
      <c r="K158">
        <f t="shared" si="15"/>
        <v>0</v>
      </c>
      <c r="L158">
        <f>IFERROR(INDEX(Baseline_Entry!$S:$S,MATCH($B158,Baseline_Entry!$B:$B,0)),"")</f>
        <v>94</v>
      </c>
      <c r="M158">
        <f>IFERROR(INDEX(CAT4_Current_Master!$E:$E,MATCH($B158,CAT4_Current_Master!$A:$A,0)),"")</f>
        <v>94</v>
      </c>
      <c r="N158">
        <f t="shared" si="16"/>
        <v>0</v>
      </c>
      <c r="O158">
        <f>IFERROR(INDEX(Baseline_Entry!$T:$T,MATCH($B158,Baseline_Entry!$B:$B,0)),"")</f>
        <v>106</v>
      </c>
      <c r="P158">
        <f>IFERROR(INDEX(CAT4_Current_Master!$F:$F,MATCH($B158,CAT4_Current_Master!$A:$A,0)),"")</f>
        <v>106</v>
      </c>
      <c r="Q158">
        <f t="shared" si="17"/>
        <v>0</v>
      </c>
      <c r="R158">
        <f>IFERROR(INDEX(Baseline_Entry!$U:$U,MATCH($B158,Baseline_Entry!$B:$B,0)),"")</f>
        <v>111</v>
      </c>
      <c r="S158">
        <f>IFERROR(INDEX(CAT4_Current_Master!$G:$G,MATCH($B158,CAT4_Current_Master!$A:$A,0)),"")</f>
        <v>111</v>
      </c>
      <c r="T158">
        <f t="shared" si="18"/>
        <v>0</v>
      </c>
      <c r="U158" t="str">
        <f>IFERROR(INDEX(CAT4_Current_Master!$I:$I,MATCH($B158,CAT4_Current_Master!$A:$A,0)),"")</f>
        <v>G11</v>
      </c>
      <c r="V158" t="str">
        <f t="shared" si="19"/>
        <v>Verbal strength</v>
      </c>
      <c r="W158" t="str">
        <f t="shared" si="20"/>
        <v>Highest current domain is verbal reasoning, suggesting strength in language-rich, discussion-rich, and evidence-based tasks.</v>
      </c>
    </row>
    <row r="159" spans="1:23" x14ac:dyDescent="0.3">
      <c r="A159" t="s">
        <v>298</v>
      </c>
      <c r="B159" t="s">
        <v>387</v>
      </c>
      <c r="C159" t="s">
        <v>388</v>
      </c>
      <c r="D159">
        <f>IFERROR(INDEX(Baseline_Entry!$N:$N,MATCH($B159,Baseline_Entry!$B:$B,0)),"")</f>
        <v>93</v>
      </c>
      <c r="E159">
        <f>IFERROR(INDEX(CAT4_Current_Master!$H:$H,MATCH($B159,CAT4_Current_Master!$A:$A,0)),"")</f>
        <v>90</v>
      </c>
      <c r="F159">
        <f t="shared" si="14"/>
        <v>-3</v>
      </c>
      <c r="G159" t="str">
        <f>IFERROR(INDEX(Baseline_Entry!$Q:$Q,MATCH($B159,Baseline_Entry!$B:$B,0)),"")</f>
        <v>Extreme spatial bias</v>
      </c>
      <c r="H159" t="str">
        <f>IFERROR(INDEX(CAT4_Current_Master!$C:$C,MATCH($B159,CAT4_Current_Master!$A:$A,0)),"")</f>
        <v>Extreme spatial bias</v>
      </c>
      <c r="I159">
        <f>IFERROR(INDEX(Baseline_Entry!$R:$R,MATCH($B159,Baseline_Entry!$B:$B,0)),"")</f>
        <v>72</v>
      </c>
      <c r="J159">
        <f>IFERROR(INDEX(CAT4_Current_Master!$D:$D,MATCH($B159,CAT4_Current_Master!$A:$A,0)),"")</f>
        <v>72</v>
      </c>
      <c r="K159">
        <f t="shared" si="15"/>
        <v>0</v>
      </c>
      <c r="L159">
        <f>IFERROR(INDEX(Baseline_Entry!$S:$S,MATCH($B159,Baseline_Entry!$B:$B,0)),"")</f>
        <v>103</v>
      </c>
      <c r="M159">
        <f>IFERROR(INDEX(CAT4_Current_Master!$E:$E,MATCH($B159,CAT4_Current_Master!$A:$A,0)),"")</f>
        <v>103</v>
      </c>
      <c r="N159">
        <f t="shared" si="16"/>
        <v>0</v>
      </c>
      <c r="O159">
        <f>IFERROR(INDEX(Baseline_Entry!$T:$T,MATCH($B159,Baseline_Entry!$B:$B,0)),"")</f>
        <v>101</v>
      </c>
      <c r="P159">
        <f>IFERROR(INDEX(CAT4_Current_Master!$F:$F,MATCH($B159,CAT4_Current_Master!$A:$A,0)),"")</f>
        <v>101</v>
      </c>
      <c r="Q159">
        <f t="shared" si="17"/>
        <v>0</v>
      </c>
      <c r="R159">
        <f>IFERROR(INDEX(Baseline_Entry!$U:$U,MATCH($B159,Baseline_Entry!$B:$B,0)),"")</f>
        <v>97</v>
      </c>
      <c r="S159">
        <f>IFERROR(INDEX(CAT4_Current_Master!$G:$G,MATCH($B159,CAT4_Current_Master!$A:$A,0)),"")</f>
        <v>97</v>
      </c>
      <c r="T159">
        <f t="shared" si="18"/>
        <v>0</v>
      </c>
      <c r="U159" t="str">
        <f>IFERROR(INDEX(CAT4_Current_Master!$I:$I,MATCH($B159,CAT4_Current_Master!$A:$A,0)),"")</f>
        <v>G11</v>
      </c>
      <c r="V159" t="str">
        <f t="shared" si="19"/>
        <v>Quantitative strength</v>
      </c>
      <c r="W159" t="str">
        <f t="shared" si="20"/>
        <v>Highest current domain is quantitative reasoning, suggesting strong numerical and structured problem-solving potential.</v>
      </c>
    </row>
    <row r="160" spans="1:23" x14ac:dyDescent="0.3">
      <c r="A160" t="s">
        <v>298</v>
      </c>
      <c r="B160" t="s">
        <v>389</v>
      </c>
      <c r="C160" t="s">
        <v>390</v>
      </c>
      <c r="D160">
        <f>IFERROR(INDEX(Baseline_Entry!$N:$N,MATCH($B160,Baseline_Entry!$B:$B,0)),"")</f>
        <v>90</v>
      </c>
      <c r="E160">
        <f>IFERROR(INDEX(CAT4_Current_Master!$H:$H,MATCH($B160,CAT4_Current_Master!$A:$A,0)),"")</f>
        <v>90</v>
      </c>
      <c r="F160">
        <f t="shared" si="14"/>
        <v>0</v>
      </c>
      <c r="G160" t="str">
        <f>IFERROR(INDEX(Baseline_Entry!$Q:$Q,MATCH($B160,Baseline_Entry!$B:$B,0)),"")</f>
        <v>Moderate spatial bias</v>
      </c>
      <c r="H160" t="str">
        <f>IFERROR(INDEX(CAT4_Current_Master!$C:$C,MATCH($B160,CAT4_Current_Master!$A:$A,0)),"")</f>
        <v>Moderate spatial bias</v>
      </c>
      <c r="I160">
        <f>IFERROR(INDEX(Baseline_Entry!$R:$R,MATCH($B160,Baseline_Entry!$B:$B,0)),"")</f>
        <v>70</v>
      </c>
      <c r="J160">
        <f>IFERROR(INDEX(CAT4_Current_Master!$D:$D,MATCH($B160,CAT4_Current_Master!$A:$A,0)),"")</f>
        <v>70</v>
      </c>
      <c r="K160">
        <f t="shared" si="15"/>
        <v>0</v>
      </c>
      <c r="L160">
        <f>IFERROR(INDEX(Baseline_Entry!$S:$S,MATCH($B160,Baseline_Entry!$B:$B,0)),"")</f>
        <v>96</v>
      </c>
      <c r="M160">
        <f>IFERROR(INDEX(CAT4_Current_Master!$E:$E,MATCH($B160,CAT4_Current_Master!$A:$A,0)),"")</f>
        <v>96</v>
      </c>
      <c r="N160">
        <f t="shared" si="16"/>
        <v>0</v>
      </c>
      <c r="O160">
        <f>IFERROR(INDEX(Baseline_Entry!$T:$T,MATCH($B160,Baseline_Entry!$B:$B,0)),"")</f>
        <v>105</v>
      </c>
      <c r="P160">
        <f>IFERROR(INDEX(CAT4_Current_Master!$F:$F,MATCH($B160,CAT4_Current_Master!$A:$A,0)),"")</f>
        <v>105</v>
      </c>
      <c r="Q160">
        <f t="shared" si="17"/>
        <v>0</v>
      </c>
      <c r="R160">
        <f>IFERROR(INDEX(Baseline_Entry!$U:$U,MATCH($B160,Baseline_Entry!$B:$B,0)),"")</f>
        <v>90</v>
      </c>
      <c r="S160">
        <f>IFERROR(INDEX(CAT4_Current_Master!$G:$G,MATCH($B160,CAT4_Current_Master!$A:$A,0)),"")</f>
        <v>90</v>
      </c>
      <c r="T160">
        <f t="shared" si="18"/>
        <v>0</v>
      </c>
      <c r="U160" t="str">
        <f>IFERROR(INDEX(CAT4_Current_Master!$I:$I,MATCH($B160,CAT4_Current_Master!$A:$A,0)),"")</f>
        <v>G11</v>
      </c>
      <c r="V160" t="str">
        <f t="shared" si="19"/>
        <v>Mixed profile</v>
      </c>
      <c r="W160" t="str">
        <f t="shared" si="20"/>
        <v>Mixed cognitive pattern requiring differentiated instruction.</v>
      </c>
    </row>
    <row r="161" spans="1:23" x14ac:dyDescent="0.3">
      <c r="A161" t="s">
        <v>298</v>
      </c>
      <c r="B161" t="s">
        <v>391</v>
      </c>
      <c r="C161" t="s">
        <v>392</v>
      </c>
      <c r="D161">
        <f>IFERROR(INDEX(Baseline_Entry!$N:$N,MATCH($B161,Baseline_Entry!$B:$B,0)),"")</f>
        <v>92</v>
      </c>
      <c r="E161">
        <f>IFERROR(INDEX(CAT4_Current_Master!$H:$H,MATCH($B161,CAT4_Current_Master!$A:$A,0)),"")</f>
        <v>92</v>
      </c>
      <c r="F161">
        <f t="shared" si="14"/>
        <v>0</v>
      </c>
      <c r="G161" t="str">
        <f>IFERROR(INDEX(Baseline_Entry!$Q:$Q,MATCH($B161,Baseline_Entry!$B:$B,0)),"")</f>
        <v>No bias</v>
      </c>
      <c r="H161" t="str">
        <f>IFERROR(INDEX(CAT4_Current_Master!$C:$C,MATCH($B161,CAT4_Current_Master!$A:$A,0)),"")</f>
        <v>No bias</v>
      </c>
      <c r="I161">
        <f>IFERROR(INDEX(Baseline_Entry!$R:$R,MATCH($B161,Baseline_Entry!$B:$B,0)),"")</f>
        <v>89</v>
      </c>
      <c r="J161">
        <f>IFERROR(INDEX(CAT4_Current_Master!$D:$D,MATCH($B161,CAT4_Current_Master!$A:$A,0)),"")</f>
        <v>89</v>
      </c>
      <c r="K161">
        <f t="shared" si="15"/>
        <v>0</v>
      </c>
      <c r="L161">
        <f>IFERROR(INDEX(Baseline_Entry!$S:$S,MATCH($B161,Baseline_Entry!$B:$B,0)),"")</f>
        <v>94</v>
      </c>
      <c r="M161">
        <f>IFERROR(INDEX(CAT4_Current_Master!$E:$E,MATCH($B161,CAT4_Current_Master!$A:$A,0)),"")</f>
        <v>94</v>
      </c>
      <c r="N161">
        <f t="shared" si="16"/>
        <v>0</v>
      </c>
      <c r="O161">
        <f>IFERROR(INDEX(Baseline_Entry!$T:$T,MATCH($B161,Baseline_Entry!$B:$B,0)),"")</f>
        <v>97</v>
      </c>
      <c r="P161">
        <f>IFERROR(INDEX(CAT4_Current_Master!$F:$F,MATCH($B161,CAT4_Current_Master!$A:$A,0)),"")</f>
        <v>97</v>
      </c>
      <c r="Q161">
        <f t="shared" si="17"/>
        <v>0</v>
      </c>
      <c r="R161">
        <f>IFERROR(INDEX(Baseline_Entry!$U:$U,MATCH($B161,Baseline_Entry!$B:$B,0)),"")</f>
        <v>86</v>
      </c>
      <c r="S161">
        <f>IFERROR(INDEX(CAT4_Current_Master!$G:$G,MATCH($B161,CAT4_Current_Master!$A:$A,0)),"")</f>
        <v>86</v>
      </c>
      <c r="T161">
        <f t="shared" si="18"/>
        <v>0</v>
      </c>
      <c r="U161" t="str">
        <f>IFERROR(INDEX(CAT4_Current_Master!$I:$I,MATCH($B161,CAT4_Current_Master!$A:$A,0)),"")</f>
        <v>G11</v>
      </c>
      <c r="V161" t="str">
        <f t="shared" si="19"/>
        <v>Mixed profile</v>
      </c>
      <c r="W161" t="str">
        <f t="shared" si="20"/>
        <v>Mixed cognitive pattern requiring differentiated instruction.</v>
      </c>
    </row>
    <row r="162" spans="1:23" x14ac:dyDescent="0.3">
      <c r="A162" t="s">
        <v>298</v>
      </c>
      <c r="B162" t="s">
        <v>393</v>
      </c>
      <c r="C162" t="s">
        <v>394</v>
      </c>
      <c r="D162">
        <f>IFERROR(INDEX(Baseline_Entry!$N:$N,MATCH($B162,Baseline_Entry!$B:$B,0)),"")</f>
        <v>103</v>
      </c>
      <c r="E162">
        <f>IFERROR(INDEX(CAT4_Current_Master!$H:$H,MATCH($B162,CAT4_Current_Master!$A:$A,0)),"")</f>
        <v>103</v>
      </c>
      <c r="F162">
        <f t="shared" si="14"/>
        <v>0</v>
      </c>
      <c r="G162" t="str">
        <f>IFERROR(INDEX(Baseline_Entry!$Q:$Q,MATCH($B162,Baseline_Entry!$B:$B,0)),"")</f>
        <v>Extreme spatial bias</v>
      </c>
      <c r="H162" t="str">
        <f>IFERROR(INDEX(CAT4_Current_Master!$C:$C,MATCH($B162,CAT4_Current_Master!$A:$A,0)),"")</f>
        <v>Extreme spatial bias</v>
      </c>
      <c r="I162">
        <f>IFERROR(INDEX(Baseline_Entry!$R:$R,MATCH($B162,Baseline_Entry!$B:$B,0)),"")</f>
        <v>82</v>
      </c>
      <c r="J162">
        <f>IFERROR(INDEX(CAT4_Current_Master!$D:$D,MATCH($B162,CAT4_Current_Master!$A:$A,0)),"")</f>
        <v>82</v>
      </c>
      <c r="K162">
        <f t="shared" si="15"/>
        <v>0</v>
      </c>
      <c r="L162">
        <f>IFERROR(INDEX(Baseline_Entry!$S:$S,MATCH($B162,Baseline_Entry!$B:$B,0)),"")</f>
        <v>105</v>
      </c>
      <c r="M162">
        <f>IFERROR(INDEX(CAT4_Current_Master!$E:$E,MATCH($B162,CAT4_Current_Master!$A:$A,0)),"")</f>
        <v>105</v>
      </c>
      <c r="N162">
        <f t="shared" si="16"/>
        <v>0</v>
      </c>
      <c r="O162">
        <f>IFERROR(INDEX(Baseline_Entry!$T:$T,MATCH($B162,Baseline_Entry!$B:$B,0)),"")</f>
        <v>110</v>
      </c>
      <c r="P162">
        <f>IFERROR(INDEX(CAT4_Current_Master!$F:$F,MATCH($B162,CAT4_Current_Master!$A:$A,0)),"")</f>
        <v>110</v>
      </c>
      <c r="Q162">
        <f t="shared" si="17"/>
        <v>0</v>
      </c>
      <c r="R162">
        <f>IFERROR(INDEX(Baseline_Entry!$U:$U,MATCH($B162,Baseline_Entry!$B:$B,0)),"")</f>
        <v>116</v>
      </c>
      <c r="S162">
        <f>IFERROR(INDEX(CAT4_Current_Master!$G:$G,MATCH($B162,CAT4_Current_Master!$A:$A,0)),"")</f>
        <v>116</v>
      </c>
      <c r="T162">
        <f t="shared" si="18"/>
        <v>0</v>
      </c>
      <c r="U162" t="str">
        <f>IFERROR(INDEX(CAT4_Current_Master!$I:$I,MATCH($B162,CAT4_Current_Master!$A:$A,0)),"")</f>
        <v>G11</v>
      </c>
      <c r="V162" t="str">
        <f t="shared" si="19"/>
        <v>Spatial strength</v>
      </c>
      <c r="W162" t="str">
        <f t="shared" si="20"/>
        <v>Highest current domain is spatial reasoning, suggesting strength in visualisation, modelling, and design tasks.</v>
      </c>
    </row>
    <row r="163" spans="1:23" x14ac:dyDescent="0.3">
      <c r="A163" t="s">
        <v>298</v>
      </c>
      <c r="B163" t="s">
        <v>395</v>
      </c>
      <c r="C163" t="s">
        <v>396</v>
      </c>
      <c r="D163">
        <f>IFERROR(INDEX(Baseline_Entry!$N:$N,MATCH($B163,Baseline_Entry!$B:$B,0)),"")</f>
        <v>92</v>
      </c>
      <c r="E163">
        <f>IFERROR(INDEX(CAT4_Current_Master!$H:$H,MATCH($B163,CAT4_Current_Master!$A:$A,0)),"")</f>
        <v>92</v>
      </c>
      <c r="F163">
        <f t="shared" si="14"/>
        <v>0</v>
      </c>
      <c r="G163" t="str">
        <f>IFERROR(INDEX(Baseline_Entry!$Q:$Q,MATCH($B163,Baseline_Entry!$B:$B,0)),"")</f>
        <v>Mild spatial bias</v>
      </c>
      <c r="H163" t="str">
        <f>IFERROR(INDEX(CAT4_Current_Master!$C:$C,MATCH($B163,CAT4_Current_Master!$A:$A,0)),"")</f>
        <v>Mild spatial bias</v>
      </c>
      <c r="I163">
        <f>IFERROR(INDEX(Baseline_Entry!$R:$R,MATCH($B163,Baseline_Entry!$B:$B,0)),"")</f>
        <v>78</v>
      </c>
      <c r="J163">
        <f>IFERROR(INDEX(CAT4_Current_Master!$D:$D,MATCH($B163,CAT4_Current_Master!$A:$A,0)),"")</f>
        <v>78</v>
      </c>
      <c r="K163">
        <f t="shared" si="15"/>
        <v>0</v>
      </c>
      <c r="L163">
        <f>IFERROR(INDEX(Baseline_Entry!$S:$S,MATCH($B163,Baseline_Entry!$B:$B,0)),"")</f>
        <v>110</v>
      </c>
      <c r="M163">
        <f>IFERROR(INDEX(CAT4_Current_Master!$E:$E,MATCH($B163,CAT4_Current_Master!$A:$A,0)),"")</f>
        <v>110</v>
      </c>
      <c r="N163">
        <f t="shared" si="16"/>
        <v>0</v>
      </c>
      <c r="O163">
        <f>IFERROR(INDEX(Baseline_Entry!$T:$T,MATCH($B163,Baseline_Entry!$B:$B,0)),"")</f>
        <v>88</v>
      </c>
      <c r="P163">
        <f>IFERROR(INDEX(CAT4_Current_Master!$F:$F,MATCH($B163,CAT4_Current_Master!$A:$A,0)),"")</f>
        <v>88</v>
      </c>
      <c r="Q163">
        <f t="shared" si="17"/>
        <v>0</v>
      </c>
      <c r="R163">
        <f>IFERROR(INDEX(Baseline_Entry!$U:$U,MATCH($B163,Baseline_Entry!$B:$B,0)),"")</f>
        <v>93</v>
      </c>
      <c r="S163">
        <f>IFERROR(INDEX(CAT4_Current_Master!$G:$G,MATCH($B163,CAT4_Current_Master!$A:$A,0)),"")</f>
        <v>93</v>
      </c>
      <c r="T163">
        <f t="shared" si="18"/>
        <v>0</v>
      </c>
      <c r="U163" t="str">
        <f>IFERROR(INDEX(CAT4_Current_Master!$I:$I,MATCH($B163,CAT4_Current_Master!$A:$A,0)),"")</f>
        <v>G11</v>
      </c>
      <c r="V163" t="str">
        <f t="shared" si="19"/>
        <v>Quantitative strength</v>
      </c>
      <c r="W163" t="str">
        <f t="shared" si="20"/>
        <v>Highest current domain is quantitative reasoning, suggesting strong numerical and structured problem-solving potential.</v>
      </c>
    </row>
    <row r="164" spans="1:23" x14ac:dyDescent="0.3">
      <c r="A164" t="s">
        <v>298</v>
      </c>
      <c r="B164" t="s">
        <v>397</v>
      </c>
      <c r="C164" t="s">
        <v>398</v>
      </c>
      <c r="D164">
        <f>IFERROR(INDEX(Baseline_Entry!$N:$N,MATCH($B164,Baseline_Entry!$B:$B,0)),"")</f>
        <v>104</v>
      </c>
      <c r="E164">
        <f>IFERROR(INDEX(CAT4_Current_Master!$H:$H,MATCH($B164,CAT4_Current_Master!$A:$A,0)),"")</f>
        <v>104</v>
      </c>
      <c r="F164">
        <f t="shared" si="14"/>
        <v>0</v>
      </c>
      <c r="G164" t="str">
        <f>IFERROR(INDEX(Baseline_Entry!$Q:$Q,MATCH($B164,Baseline_Entry!$B:$B,0)),"")</f>
        <v>Extreme spatial bias</v>
      </c>
      <c r="H164" t="str">
        <f>IFERROR(INDEX(CAT4_Current_Master!$C:$C,MATCH($B164,CAT4_Current_Master!$A:$A,0)),"")</f>
        <v>Extreme spatial bias</v>
      </c>
      <c r="I164">
        <f>IFERROR(INDEX(Baseline_Entry!$R:$R,MATCH($B164,Baseline_Entry!$B:$B,0)),"")</f>
        <v>90</v>
      </c>
      <c r="J164">
        <f>IFERROR(INDEX(CAT4_Current_Master!$D:$D,MATCH($B164,CAT4_Current_Master!$A:$A,0)),"")</f>
        <v>90</v>
      </c>
      <c r="K164">
        <f t="shared" si="15"/>
        <v>0</v>
      </c>
      <c r="L164">
        <f>IFERROR(INDEX(Baseline_Entry!$S:$S,MATCH($B164,Baseline_Entry!$B:$B,0)),"")</f>
        <v>101</v>
      </c>
      <c r="M164">
        <f>IFERROR(INDEX(CAT4_Current_Master!$E:$E,MATCH($B164,CAT4_Current_Master!$A:$A,0)),"")</f>
        <v>101</v>
      </c>
      <c r="N164">
        <f t="shared" si="16"/>
        <v>0</v>
      </c>
      <c r="O164">
        <f>IFERROR(INDEX(Baseline_Entry!$T:$T,MATCH($B164,Baseline_Entry!$B:$B,0)),"")</f>
        <v>105</v>
      </c>
      <c r="P164">
        <f>IFERROR(INDEX(CAT4_Current_Master!$F:$F,MATCH($B164,CAT4_Current_Master!$A:$A,0)),"")</f>
        <v>105</v>
      </c>
      <c r="Q164">
        <f t="shared" si="17"/>
        <v>0</v>
      </c>
      <c r="R164">
        <f>IFERROR(INDEX(Baseline_Entry!$U:$U,MATCH($B164,Baseline_Entry!$B:$B,0)),"")</f>
        <v>121</v>
      </c>
      <c r="S164">
        <f>IFERROR(INDEX(CAT4_Current_Master!$G:$G,MATCH($B164,CAT4_Current_Master!$A:$A,0)),"")</f>
        <v>121</v>
      </c>
      <c r="T164">
        <f t="shared" si="18"/>
        <v>0</v>
      </c>
      <c r="U164" t="str">
        <f>IFERROR(INDEX(CAT4_Current_Master!$I:$I,MATCH($B164,CAT4_Current_Master!$A:$A,0)),"")</f>
        <v>G11</v>
      </c>
      <c r="V164" t="str">
        <f t="shared" si="19"/>
        <v>Spatial strength</v>
      </c>
      <c r="W164" t="str">
        <f t="shared" si="20"/>
        <v>Highest current domain is spatial reasoning, suggesting strength in visualisation, modelling, and design tasks.</v>
      </c>
    </row>
    <row r="165" spans="1:23" x14ac:dyDescent="0.3">
      <c r="A165" t="s">
        <v>298</v>
      </c>
      <c r="B165" t="s">
        <v>399</v>
      </c>
      <c r="C165" t="s">
        <v>400</v>
      </c>
      <c r="D165">
        <f>IFERROR(INDEX(Baseline_Entry!$N:$N,MATCH($B165,Baseline_Entry!$B:$B,0)),"")</f>
        <v>103</v>
      </c>
      <c r="E165">
        <f>IFERROR(INDEX(CAT4_Current_Master!$H:$H,MATCH($B165,CAT4_Current_Master!$A:$A,0)),"")</f>
        <v>103</v>
      </c>
      <c r="F165">
        <f t="shared" si="14"/>
        <v>0</v>
      </c>
      <c r="G165" t="str">
        <f>IFERROR(INDEX(Baseline_Entry!$Q:$Q,MATCH($B165,Baseline_Entry!$B:$B,0)),"")</f>
        <v>Moderate spatial bias</v>
      </c>
      <c r="H165" t="str">
        <f>IFERROR(INDEX(CAT4_Current_Master!$C:$C,MATCH($B165,CAT4_Current_Master!$A:$A,0)),"")</f>
        <v>Moderate spatial bias</v>
      </c>
      <c r="I165">
        <f>IFERROR(INDEX(Baseline_Entry!$R:$R,MATCH($B165,Baseline_Entry!$B:$B,0)),"")</f>
        <v>82</v>
      </c>
      <c r="J165">
        <f>IFERROR(INDEX(CAT4_Current_Master!$D:$D,MATCH($B165,CAT4_Current_Master!$A:$A,0)),"")</f>
        <v>82</v>
      </c>
      <c r="K165">
        <f t="shared" si="15"/>
        <v>0</v>
      </c>
      <c r="L165">
        <f>IFERROR(INDEX(Baseline_Entry!$S:$S,MATCH($B165,Baseline_Entry!$B:$B,0)),"")</f>
        <v>105</v>
      </c>
      <c r="M165">
        <f>IFERROR(INDEX(CAT4_Current_Master!$E:$E,MATCH($B165,CAT4_Current_Master!$A:$A,0)),"")</f>
        <v>105</v>
      </c>
      <c r="N165">
        <f t="shared" si="16"/>
        <v>0</v>
      </c>
      <c r="O165">
        <f>IFERROR(INDEX(Baseline_Entry!$T:$T,MATCH($B165,Baseline_Entry!$B:$B,0)),"")</f>
        <v>121</v>
      </c>
      <c r="P165">
        <f>IFERROR(INDEX(CAT4_Current_Master!$F:$F,MATCH($B165,CAT4_Current_Master!$A:$A,0)),"")</f>
        <v>121</v>
      </c>
      <c r="Q165">
        <f t="shared" si="17"/>
        <v>0</v>
      </c>
      <c r="R165">
        <f>IFERROR(INDEX(Baseline_Entry!$U:$U,MATCH($B165,Baseline_Entry!$B:$B,0)),"")</f>
        <v>105</v>
      </c>
      <c r="S165">
        <f>IFERROR(INDEX(CAT4_Current_Master!$G:$G,MATCH($B165,CAT4_Current_Master!$A:$A,0)),"")</f>
        <v>105</v>
      </c>
      <c r="T165">
        <f t="shared" si="18"/>
        <v>0</v>
      </c>
      <c r="U165" t="str">
        <f>IFERROR(INDEX(CAT4_Current_Master!$I:$I,MATCH($B165,CAT4_Current_Master!$A:$A,0)),"")</f>
        <v>G11</v>
      </c>
      <c r="V165" t="str">
        <f t="shared" si="19"/>
        <v>Analytical / Abstract thinker</v>
      </c>
      <c r="W165" t="str">
        <f t="shared" si="20"/>
        <v>Strong non-verbal reasoning supported by quantitative strength; well aligned with advanced analytical and STEM-rich tasks.</v>
      </c>
    </row>
    <row r="166" spans="1:23" x14ac:dyDescent="0.3">
      <c r="A166" t="s">
        <v>298</v>
      </c>
      <c r="B166" t="s">
        <v>401</v>
      </c>
      <c r="C166" t="s">
        <v>402</v>
      </c>
      <c r="D166">
        <f>IFERROR(INDEX(Baseline_Entry!$N:$N,MATCH($B166,Baseline_Entry!$B:$B,0)),"")</f>
        <v>87</v>
      </c>
      <c r="E166">
        <f>IFERROR(INDEX(CAT4_Current_Master!$H:$H,MATCH($B166,CAT4_Current_Master!$A:$A,0)),"")</f>
        <v>87</v>
      </c>
      <c r="F166">
        <f t="shared" si="14"/>
        <v>0</v>
      </c>
      <c r="G166" t="str">
        <f>IFERROR(INDEX(Baseline_Entry!$Q:$Q,MATCH($B166,Baseline_Entry!$B:$B,0)),"")</f>
        <v>No bias</v>
      </c>
      <c r="H166" t="str">
        <f>IFERROR(INDEX(CAT4_Current_Master!$C:$C,MATCH($B166,CAT4_Current_Master!$A:$A,0)),"")</f>
        <v>No bias</v>
      </c>
      <c r="I166">
        <f>IFERROR(INDEX(Baseline_Entry!$R:$R,MATCH($B166,Baseline_Entry!$B:$B,0)),"")</f>
        <v>76</v>
      </c>
      <c r="J166">
        <f>IFERROR(INDEX(CAT4_Current_Master!$D:$D,MATCH($B166,CAT4_Current_Master!$A:$A,0)),"")</f>
        <v>76</v>
      </c>
      <c r="K166">
        <f t="shared" si="15"/>
        <v>0</v>
      </c>
      <c r="L166">
        <f>IFERROR(INDEX(Baseline_Entry!$S:$S,MATCH($B166,Baseline_Entry!$B:$B,0)),"")</f>
        <v>94</v>
      </c>
      <c r="M166">
        <f>IFERROR(INDEX(CAT4_Current_Master!$E:$E,MATCH($B166,CAT4_Current_Master!$A:$A,0)),"")</f>
        <v>94</v>
      </c>
      <c r="N166">
        <f t="shared" si="16"/>
        <v>0</v>
      </c>
      <c r="O166">
        <f>IFERROR(INDEX(Baseline_Entry!$T:$T,MATCH($B166,Baseline_Entry!$B:$B,0)),"")</f>
        <v>90</v>
      </c>
      <c r="P166">
        <f>IFERROR(INDEX(CAT4_Current_Master!$F:$F,MATCH($B166,CAT4_Current_Master!$A:$A,0)),"")</f>
        <v>90</v>
      </c>
      <c r="Q166">
        <f t="shared" si="17"/>
        <v>0</v>
      </c>
      <c r="R166">
        <f>IFERROR(INDEX(Baseline_Entry!$U:$U,MATCH($B166,Baseline_Entry!$B:$B,0)),"")</f>
        <v>86</v>
      </c>
      <c r="S166">
        <f>IFERROR(INDEX(CAT4_Current_Master!$G:$G,MATCH($B166,CAT4_Current_Master!$A:$A,0)),"")</f>
        <v>86</v>
      </c>
      <c r="T166">
        <f t="shared" si="18"/>
        <v>0</v>
      </c>
      <c r="U166" t="str">
        <f>IFERROR(INDEX(CAT4_Current_Master!$I:$I,MATCH($B166,CAT4_Current_Master!$A:$A,0)),"")</f>
        <v>G11</v>
      </c>
      <c r="V166" t="str">
        <f t="shared" si="19"/>
        <v>Quantitative strength</v>
      </c>
      <c r="W166" t="str">
        <f t="shared" si="20"/>
        <v>Highest current domain is quantitative reasoning, suggesting strong numerical and structured problem-solving potential.</v>
      </c>
    </row>
    <row r="167" spans="1:23" x14ac:dyDescent="0.3">
      <c r="A167" t="s">
        <v>298</v>
      </c>
      <c r="B167" t="s">
        <v>403</v>
      </c>
      <c r="C167" t="s">
        <v>404</v>
      </c>
      <c r="D167">
        <f>IFERROR(INDEX(Baseline_Entry!$N:$N,MATCH($B167,Baseline_Entry!$B:$B,0)),"")</f>
        <v>101</v>
      </c>
      <c r="E167">
        <f>IFERROR(INDEX(CAT4_Current_Master!$H:$H,MATCH($B167,CAT4_Current_Master!$A:$A,0)),"")</f>
        <v>101</v>
      </c>
      <c r="F167">
        <f t="shared" si="14"/>
        <v>0</v>
      </c>
      <c r="G167" t="str">
        <f>IFERROR(INDEX(Baseline_Entry!$Q:$Q,MATCH($B167,Baseline_Entry!$B:$B,0)),"")</f>
        <v>Mild spatial bias</v>
      </c>
      <c r="H167" t="str">
        <f>IFERROR(INDEX(CAT4_Current_Master!$C:$C,MATCH($B167,CAT4_Current_Master!$A:$A,0)),"")</f>
        <v>Mild spatial bias</v>
      </c>
      <c r="I167">
        <f>IFERROR(INDEX(Baseline_Entry!$R:$R,MATCH($B167,Baseline_Entry!$B:$B,0)),"")</f>
        <v>82</v>
      </c>
      <c r="J167">
        <f>IFERROR(INDEX(CAT4_Current_Master!$D:$D,MATCH($B167,CAT4_Current_Master!$A:$A,0)),"")</f>
        <v>82</v>
      </c>
      <c r="K167">
        <f t="shared" si="15"/>
        <v>0</v>
      </c>
      <c r="L167">
        <f>IFERROR(INDEX(Baseline_Entry!$S:$S,MATCH($B167,Baseline_Entry!$B:$B,0)),"")</f>
        <v>106</v>
      </c>
      <c r="M167">
        <f>IFERROR(INDEX(CAT4_Current_Master!$E:$E,MATCH($B167,CAT4_Current_Master!$A:$A,0)),"")</f>
        <v>106</v>
      </c>
      <c r="N167">
        <f t="shared" si="16"/>
        <v>0</v>
      </c>
      <c r="O167">
        <f>IFERROR(INDEX(Baseline_Entry!$T:$T,MATCH($B167,Baseline_Entry!$B:$B,0)),"")</f>
        <v>116</v>
      </c>
      <c r="P167">
        <f>IFERROR(INDEX(CAT4_Current_Master!$F:$F,MATCH($B167,CAT4_Current_Master!$A:$A,0)),"")</f>
        <v>116</v>
      </c>
      <c r="Q167">
        <f t="shared" si="17"/>
        <v>0</v>
      </c>
      <c r="R167">
        <f>IFERROR(INDEX(Baseline_Entry!$U:$U,MATCH($B167,Baseline_Entry!$B:$B,0)),"")</f>
        <v>98</v>
      </c>
      <c r="S167">
        <f>IFERROR(INDEX(CAT4_Current_Master!$G:$G,MATCH($B167,CAT4_Current_Master!$A:$A,0)),"")</f>
        <v>98</v>
      </c>
      <c r="T167">
        <f t="shared" si="18"/>
        <v>0</v>
      </c>
      <c r="U167" t="str">
        <f>IFERROR(INDEX(CAT4_Current_Master!$I:$I,MATCH($B167,CAT4_Current_Master!$A:$A,0)),"")</f>
        <v>G11</v>
      </c>
      <c r="V167" t="str">
        <f t="shared" si="19"/>
        <v>Analytical / Abstract thinker</v>
      </c>
      <c r="W167" t="str">
        <f t="shared" si="20"/>
        <v>Strong non-verbal reasoning supported by quantitative strength; well aligned with advanced analytical and STEM-rich tasks.</v>
      </c>
    </row>
    <row r="168" spans="1:23" x14ac:dyDescent="0.3">
      <c r="A168" t="s">
        <v>298</v>
      </c>
      <c r="B168" t="s">
        <v>405</v>
      </c>
      <c r="C168" t="s">
        <v>406</v>
      </c>
      <c r="D168">
        <f>IFERROR(INDEX(Baseline_Entry!$N:$N,MATCH($B168,Baseline_Entry!$B:$B,0)),"")</f>
        <v>117</v>
      </c>
      <c r="E168">
        <f>IFERROR(INDEX(CAT4_Current_Master!$H:$H,MATCH($B168,CAT4_Current_Master!$A:$A,0)),"")</f>
        <v>117</v>
      </c>
      <c r="F168">
        <f t="shared" si="14"/>
        <v>0</v>
      </c>
      <c r="G168" t="str">
        <f>IFERROR(INDEX(Baseline_Entry!$Q:$Q,MATCH($B168,Baseline_Entry!$B:$B,0)),"")</f>
        <v>Moderate spatial bias</v>
      </c>
      <c r="H168" t="str">
        <f>IFERROR(INDEX(CAT4_Current_Master!$C:$C,MATCH($B168,CAT4_Current_Master!$A:$A,0)),"")</f>
        <v>Moderate spatial bias</v>
      </c>
      <c r="I168">
        <f>IFERROR(INDEX(Baseline_Entry!$R:$R,MATCH($B168,Baseline_Entry!$B:$B,0)),"")</f>
        <v>94</v>
      </c>
      <c r="J168">
        <f>IFERROR(INDEX(CAT4_Current_Master!$D:$D,MATCH($B168,CAT4_Current_Master!$A:$A,0)),"")</f>
        <v>94</v>
      </c>
      <c r="K168">
        <f t="shared" si="15"/>
        <v>0</v>
      </c>
      <c r="L168">
        <f>IFERROR(INDEX(Baseline_Entry!$S:$S,MATCH($B168,Baseline_Entry!$B:$B,0)),"")</f>
        <v>128</v>
      </c>
      <c r="M168">
        <f>IFERROR(INDEX(CAT4_Current_Master!$E:$E,MATCH($B168,CAT4_Current_Master!$A:$A,0)),"")</f>
        <v>128</v>
      </c>
      <c r="N168">
        <f t="shared" si="16"/>
        <v>0</v>
      </c>
      <c r="O168">
        <f>IFERROR(INDEX(Baseline_Entry!$T:$T,MATCH($B168,Baseline_Entry!$B:$B,0)),"")</f>
        <v>129</v>
      </c>
      <c r="P168">
        <f>IFERROR(INDEX(CAT4_Current_Master!$F:$F,MATCH($B168,CAT4_Current_Master!$A:$A,0)),"")</f>
        <v>129</v>
      </c>
      <c r="Q168">
        <f t="shared" si="17"/>
        <v>0</v>
      </c>
      <c r="R168">
        <f>IFERROR(INDEX(Baseline_Entry!$U:$U,MATCH($B168,Baseline_Entry!$B:$B,0)),"")</f>
        <v>116</v>
      </c>
      <c r="S168">
        <f>IFERROR(INDEX(CAT4_Current_Master!$G:$G,MATCH($B168,CAT4_Current_Master!$A:$A,0)),"")</f>
        <v>116</v>
      </c>
      <c r="T168">
        <f t="shared" si="18"/>
        <v>0</v>
      </c>
      <c r="U168" t="str">
        <f>IFERROR(INDEX(CAT4_Current_Master!$I:$I,MATCH($B168,CAT4_Current_Master!$A:$A,0)),"")</f>
        <v>G11</v>
      </c>
      <c r="V168" t="str">
        <f t="shared" si="19"/>
        <v>Analytical / Abstract thinker</v>
      </c>
      <c r="W168" t="str">
        <f t="shared" si="20"/>
        <v>Strong non-verbal reasoning supported by quantitative strength; well aligned with advanced analytical and STEM-rich tasks.</v>
      </c>
    </row>
    <row r="169" spans="1:23" x14ac:dyDescent="0.3">
      <c r="A169" t="s">
        <v>298</v>
      </c>
      <c r="B169" t="s">
        <v>407</v>
      </c>
      <c r="C169" t="s">
        <v>408</v>
      </c>
      <c r="D169">
        <f>IFERROR(INDEX(Baseline_Entry!$N:$N,MATCH($B169,Baseline_Entry!$B:$B,0)),"")</f>
        <v>97</v>
      </c>
      <c r="E169">
        <f>IFERROR(INDEX(CAT4_Current_Master!$H:$H,MATCH($B169,CAT4_Current_Master!$A:$A,0)),"")</f>
        <v>97</v>
      </c>
      <c r="F169">
        <f t="shared" si="14"/>
        <v>0</v>
      </c>
      <c r="G169" t="str">
        <f>IFERROR(INDEX(Baseline_Entry!$Q:$Q,MATCH($B169,Baseline_Entry!$B:$B,0)),"")</f>
        <v>Extreme spatial bias</v>
      </c>
      <c r="H169" t="str">
        <f>IFERROR(INDEX(CAT4_Current_Master!$C:$C,MATCH($B169,CAT4_Current_Master!$A:$A,0)),"")</f>
        <v>Extreme spatial bias</v>
      </c>
      <c r="I169">
        <f>IFERROR(INDEX(Baseline_Entry!$R:$R,MATCH($B169,Baseline_Entry!$B:$B,0)),"")</f>
        <v>65</v>
      </c>
      <c r="J169">
        <f>IFERROR(INDEX(CAT4_Current_Master!$D:$D,MATCH($B169,CAT4_Current_Master!$A:$A,0)),"")</f>
        <v>65</v>
      </c>
      <c r="K169">
        <f t="shared" si="15"/>
        <v>0</v>
      </c>
      <c r="L169">
        <f>IFERROR(INDEX(Baseline_Entry!$S:$S,MATCH($B169,Baseline_Entry!$B:$B,0)),"")</f>
        <v>110</v>
      </c>
      <c r="M169">
        <f>IFERROR(INDEX(CAT4_Current_Master!$E:$E,MATCH($B169,CAT4_Current_Master!$A:$A,0)),"")</f>
        <v>110</v>
      </c>
      <c r="N169">
        <f t="shared" si="16"/>
        <v>0</v>
      </c>
      <c r="O169">
        <f>IFERROR(INDEX(Baseline_Entry!$T:$T,MATCH($B169,Baseline_Entry!$B:$B,0)),"")</f>
        <v>108</v>
      </c>
      <c r="P169">
        <f>IFERROR(INDEX(CAT4_Current_Master!$F:$F,MATCH($B169,CAT4_Current_Master!$A:$A,0)),"")</f>
        <v>108</v>
      </c>
      <c r="Q169">
        <f t="shared" si="17"/>
        <v>0</v>
      </c>
      <c r="R169">
        <f>IFERROR(INDEX(Baseline_Entry!$U:$U,MATCH($B169,Baseline_Entry!$B:$B,0)),"")</f>
        <v>105</v>
      </c>
      <c r="S169">
        <f>IFERROR(INDEX(CAT4_Current_Master!$G:$G,MATCH($B169,CAT4_Current_Master!$A:$A,0)),"")</f>
        <v>105</v>
      </c>
      <c r="T169">
        <f t="shared" si="18"/>
        <v>0</v>
      </c>
      <c r="U169" t="str">
        <f>IFERROR(INDEX(CAT4_Current_Master!$I:$I,MATCH($B169,CAT4_Current_Master!$A:$A,0)),"")</f>
        <v>G11</v>
      </c>
      <c r="V169" t="str">
        <f t="shared" si="19"/>
        <v>Quantitative strength</v>
      </c>
      <c r="W169" t="str">
        <f t="shared" si="20"/>
        <v>Highest current domain is quantitative reasoning, suggesting strong numerical and structured problem-solving potential.</v>
      </c>
    </row>
    <row r="170" spans="1:23" x14ac:dyDescent="0.3">
      <c r="A170" t="s">
        <v>298</v>
      </c>
      <c r="B170" t="s">
        <v>409</v>
      </c>
      <c r="C170" t="s">
        <v>410</v>
      </c>
      <c r="D170">
        <f>IFERROR(INDEX(Baseline_Entry!$N:$N,MATCH($B170,Baseline_Entry!$B:$B,0)),"")</f>
        <v>104</v>
      </c>
      <c r="E170">
        <f>IFERROR(INDEX(CAT4_Current_Master!$H:$H,MATCH($B170,CAT4_Current_Master!$A:$A,0)),"")</f>
        <v>104</v>
      </c>
      <c r="F170">
        <f t="shared" si="14"/>
        <v>0</v>
      </c>
      <c r="G170" t="str">
        <f>IFERROR(INDEX(Baseline_Entry!$Q:$Q,MATCH($B170,Baseline_Entry!$B:$B,0)),"")</f>
        <v>Extreme spatial bias</v>
      </c>
      <c r="H170" t="str">
        <f>IFERROR(INDEX(CAT4_Current_Master!$C:$C,MATCH($B170,CAT4_Current_Master!$A:$A,0)),"")</f>
        <v>Extreme spatial bias</v>
      </c>
      <c r="I170">
        <f>IFERROR(INDEX(Baseline_Entry!$R:$R,MATCH($B170,Baseline_Entry!$B:$B,0)),"")</f>
        <v>80</v>
      </c>
      <c r="J170">
        <f>IFERROR(INDEX(CAT4_Current_Master!$D:$D,MATCH($B170,CAT4_Current_Master!$A:$A,0)),"")</f>
        <v>80</v>
      </c>
      <c r="K170">
        <f t="shared" si="15"/>
        <v>0</v>
      </c>
      <c r="L170">
        <f>IFERROR(INDEX(Baseline_Entry!$S:$S,MATCH($B170,Baseline_Entry!$B:$B,0)),"")</f>
        <v>116</v>
      </c>
      <c r="M170">
        <f>IFERROR(INDEX(CAT4_Current_Master!$E:$E,MATCH($B170,CAT4_Current_Master!$A:$A,0)),"")</f>
        <v>116</v>
      </c>
      <c r="N170">
        <f t="shared" si="16"/>
        <v>0</v>
      </c>
      <c r="O170">
        <f>IFERROR(INDEX(Baseline_Entry!$T:$T,MATCH($B170,Baseline_Entry!$B:$B,0)),"")</f>
        <v>110</v>
      </c>
      <c r="P170">
        <f>IFERROR(INDEX(CAT4_Current_Master!$F:$F,MATCH($B170,CAT4_Current_Master!$A:$A,0)),"")</f>
        <v>110</v>
      </c>
      <c r="Q170">
        <f t="shared" si="17"/>
        <v>0</v>
      </c>
      <c r="R170">
        <f>IFERROR(INDEX(Baseline_Entry!$U:$U,MATCH($B170,Baseline_Entry!$B:$B,0)),"")</f>
        <v>111</v>
      </c>
      <c r="S170">
        <f>IFERROR(INDEX(CAT4_Current_Master!$G:$G,MATCH($B170,CAT4_Current_Master!$A:$A,0)),"")</f>
        <v>111</v>
      </c>
      <c r="T170">
        <f t="shared" si="18"/>
        <v>0</v>
      </c>
      <c r="U170" t="str">
        <f>IFERROR(INDEX(CAT4_Current_Master!$I:$I,MATCH($B170,CAT4_Current_Master!$A:$A,0)),"")</f>
        <v>G11</v>
      </c>
      <c r="V170" t="str">
        <f t="shared" si="19"/>
        <v>Quantitative strength</v>
      </c>
      <c r="W170" t="str">
        <f t="shared" si="20"/>
        <v>Highest current domain is quantitative reasoning, suggesting strong numerical and structured problem-solving potential.</v>
      </c>
    </row>
    <row r="171" spans="1:23" x14ac:dyDescent="0.3">
      <c r="A171" t="s">
        <v>298</v>
      </c>
      <c r="B171" t="s">
        <v>411</v>
      </c>
      <c r="C171" t="s">
        <v>412</v>
      </c>
      <c r="D171">
        <f>IFERROR(INDEX(Baseline_Entry!$N:$N,MATCH($B171,Baseline_Entry!$B:$B,0)),"")</f>
        <v>94</v>
      </c>
      <c r="E171">
        <f>IFERROR(INDEX(CAT4_Current_Master!$H:$H,MATCH($B171,CAT4_Current_Master!$A:$A,0)),"")</f>
        <v>94</v>
      </c>
      <c r="F171">
        <f t="shared" si="14"/>
        <v>0</v>
      </c>
      <c r="G171" t="str">
        <f>IFERROR(INDEX(Baseline_Entry!$Q:$Q,MATCH($B171,Baseline_Entry!$B:$B,0)),"")</f>
        <v>No bias</v>
      </c>
      <c r="H171" t="str">
        <f>IFERROR(INDEX(CAT4_Current_Master!$C:$C,MATCH($B171,CAT4_Current_Master!$A:$A,0)),"")</f>
        <v>No bias</v>
      </c>
      <c r="I171">
        <f>IFERROR(INDEX(Baseline_Entry!$R:$R,MATCH($B171,Baseline_Entry!$B:$B,0)),"")</f>
        <v>97</v>
      </c>
      <c r="J171">
        <f>IFERROR(INDEX(CAT4_Current_Master!$D:$D,MATCH($B171,CAT4_Current_Master!$A:$A,0)),"")</f>
        <v>97</v>
      </c>
      <c r="K171">
        <f t="shared" si="15"/>
        <v>0</v>
      </c>
      <c r="L171">
        <f>IFERROR(INDEX(Baseline_Entry!$S:$S,MATCH($B171,Baseline_Entry!$B:$B,0)),"")</f>
        <v>94</v>
      </c>
      <c r="M171">
        <f>IFERROR(INDEX(CAT4_Current_Master!$E:$E,MATCH($B171,CAT4_Current_Master!$A:$A,0)),"")</f>
        <v>94</v>
      </c>
      <c r="N171">
        <f t="shared" si="16"/>
        <v>0</v>
      </c>
      <c r="O171">
        <f>IFERROR(INDEX(Baseline_Entry!$T:$T,MATCH($B171,Baseline_Entry!$B:$B,0)),"")</f>
        <v>86</v>
      </c>
      <c r="P171">
        <f>IFERROR(INDEX(CAT4_Current_Master!$F:$F,MATCH($B171,CAT4_Current_Master!$A:$A,0)),"")</f>
        <v>86</v>
      </c>
      <c r="Q171">
        <f t="shared" si="17"/>
        <v>0</v>
      </c>
      <c r="R171">
        <f>IFERROR(INDEX(Baseline_Entry!$U:$U,MATCH($B171,Baseline_Entry!$B:$B,0)),"")</f>
        <v>100</v>
      </c>
      <c r="S171">
        <f>IFERROR(INDEX(CAT4_Current_Master!$G:$G,MATCH($B171,CAT4_Current_Master!$A:$A,0)),"")</f>
        <v>100</v>
      </c>
      <c r="T171">
        <f t="shared" si="18"/>
        <v>0</v>
      </c>
      <c r="U171" t="str">
        <f>IFERROR(INDEX(CAT4_Current_Master!$I:$I,MATCH($B171,CAT4_Current_Master!$A:$A,0)),"")</f>
        <v>G11</v>
      </c>
      <c r="V171" t="str">
        <f t="shared" si="19"/>
        <v>Spatial strength</v>
      </c>
      <c r="W171" t="str">
        <f t="shared" si="20"/>
        <v>Highest current domain is spatial reasoning, suggesting strength in visualisation, modelling, and design tasks.</v>
      </c>
    </row>
    <row r="172" spans="1:23" x14ac:dyDescent="0.3">
      <c r="A172" t="s">
        <v>298</v>
      </c>
      <c r="B172" t="s">
        <v>413</v>
      </c>
      <c r="C172" t="s">
        <v>414</v>
      </c>
      <c r="D172">
        <f>IFERROR(INDEX(Baseline_Entry!$N:$N,MATCH($B172,Baseline_Entry!$B:$B,0)),"")</f>
        <v>94</v>
      </c>
      <c r="E172">
        <f>IFERROR(INDEX(CAT4_Current_Master!$H:$H,MATCH($B172,CAT4_Current_Master!$A:$A,0)),"")</f>
        <v>94</v>
      </c>
      <c r="F172">
        <f t="shared" si="14"/>
        <v>0</v>
      </c>
      <c r="G172" t="str">
        <f>IFERROR(INDEX(Baseline_Entry!$Q:$Q,MATCH($B172,Baseline_Entry!$B:$B,0)),"")</f>
        <v>Moderate spatial bias</v>
      </c>
      <c r="H172" t="str">
        <f>IFERROR(INDEX(CAT4_Current_Master!$C:$C,MATCH($B172,CAT4_Current_Master!$A:$A,0)),"")</f>
        <v>Moderate spatial bias</v>
      </c>
      <c r="I172">
        <f>IFERROR(INDEX(Baseline_Entry!$R:$R,MATCH($B172,Baseline_Entry!$B:$B,0)),"")</f>
        <v>76</v>
      </c>
      <c r="J172">
        <f>IFERROR(INDEX(CAT4_Current_Master!$D:$D,MATCH($B172,CAT4_Current_Master!$A:$A,0)),"")</f>
        <v>76</v>
      </c>
      <c r="K172">
        <f t="shared" si="15"/>
        <v>0</v>
      </c>
      <c r="L172">
        <f>IFERROR(INDEX(Baseline_Entry!$S:$S,MATCH($B172,Baseline_Entry!$B:$B,0)),"")</f>
        <v>100</v>
      </c>
      <c r="M172">
        <f>IFERROR(INDEX(CAT4_Current_Master!$E:$E,MATCH($B172,CAT4_Current_Master!$A:$A,0)),"")</f>
        <v>100</v>
      </c>
      <c r="N172">
        <f t="shared" si="16"/>
        <v>0</v>
      </c>
      <c r="O172">
        <f>IFERROR(INDEX(Baseline_Entry!$T:$T,MATCH($B172,Baseline_Entry!$B:$B,0)),"")</f>
        <v>101</v>
      </c>
      <c r="P172">
        <f>IFERROR(INDEX(CAT4_Current_Master!$F:$F,MATCH($B172,CAT4_Current_Master!$A:$A,0)),"")</f>
        <v>101</v>
      </c>
      <c r="Q172">
        <f t="shared" si="17"/>
        <v>0</v>
      </c>
      <c r="R172">
        <f>IFERROR(INDEX(Baseline_Entry!$U:$U,MATCH($B172,Baseline_Entry!$B:$B,0)),"")</f>
        <v>97</v>
      </c>
      <c r="S172">
        <f>IFERROR(INDEX(CAT4_Current_Master!$G:$G,MATCH($B172,CAT4_Current_Master!$A:$A,0)),"")</f>
        <v>97</v>
      </c>
      <c r="T172">
        <f t="shared" si="18"/>
        <v>0</v>
      </c>
      <c r="U172" t="str">
        <f>IFERROR(INDEX(CAT4_Current_Master!$I:$I,MATCH($B172,CAT4_Current_Master!$A:$A,0)),"")</f>
        <v>G11</v>
      </c>
      <c r="V172" t="str">
        <f t="shared" si="19"/>
        <v>Analytical / Abstract thinker</v>
      </c>
      <c r="W172" t="str">
        <f t="shared" si="20"/>
        <v>Strong non-verbal reasoning supported by quantitative strength; well aligned with advanced analytical and STEM-rich tasks.</v>
      </c>
    </row>
    <row r="173" spans="1:23" x14ac:dyDescent="0.3">
      <c r="A173" t="s">
        <v>298</v>
      </c>
      <c r="B173" t="s">
        <v>415</v>
      </c>
      <c r="C173" t="s">
        <v>416</v>
      </c>
      <c r="D173">
        <f>IFERROR(INDEX(Baseline_Entry!$N:$N,MATCH($B173,Baseline_Entry!$B:$B,0)),"")</f>
        <v>102</v>
      </c>
      <c r="E173">
        <f>IFERROR(INDEX(CAT4_Current_Master!$H:$H,MATCH($B173,CAT4_Current_Master!$A:$A,0)),"")</f>
        <v>102</v>
      </c>
      <c r="F173">
        <f t="shared" si="14"/>
        <v>0</v>
      </c>
      <c r="G173" t="str">
        <f>IFERROR(INDEX(Baseline_Entry!$Q:$Q,MATCH($B173,Baseline_Entry!$B:$B,0)),"")</f>
        <v>Extreme spatial bias</v>
      </c>
      <c r="H173" t="str">
        <f>IFERROR(INDEX(CAT4_Current_Master!$C:$C,MATCH($B173,CAT4_Current_Master!$A:$A,0)),"")</f>
        <v>Extreme spatial bias</v>
      </c>
      <c r="I173">
        <f>IFERROR(INDEX(Baseline_Entry!$R:$R,MATCH($B173,Baseline_Entry!$B:$B,0)),"")</f>
        <v>78</v>
      </c>
      <c r="J173">
        <f>IFERROR(INDEX(CAT4_Current_Master!$D:$D,MATCH($B173,CAT4_Current_Master!$A:$A,0)),"")</f>
        <v>78</v>
      </c>
      <c r="K173">
        <f t="shared" si="15"/>
        <v>0</v>
      </c>
      <c r="L173">
        <f>IFERROR(INDEX(Baseline_Entry!$S:$S,MATCH($B173,Baseline_Entry!$B:$B,0)),"")</f>
        <v>108</v>
      </c>
      <c r="M173">
        <f>IFERROR(INDEX(CAT4_Current_Master!$E:$E,MATCH($B173,CAT4_Current_Master!$A:$A,0)),"")</f>
        <v>108</v>
      </c>
      <c r="N173">
        <f t="shared" si="16"/>
        <v>0</v>
      </c>
      <c r="O173">
        <f>IFERROR(INDEX(Baseline_Entry!$T:$T,MATCH($B173,Baseline_Entry!$B:$B,0)),"")</f>
        <v>105</v>
      </c>
      <c r="P173">
        <f>IFERROR(INDEX(CAT4_Current_Master!$F:$F,MATCH($B173,CAT4_Current_Master!$A:$A,0)),"")</f>
        <v>105</v>
      </c>
      <c r="Q173">
        <f t="shared" si="17"/>
        <v>0</v>
      </c>
      <c r="R173">
        <f>IFERROR(INDEX(Baseline_Entry!$U:$U,MATCH($B173,Baseline_Entry!$B:$B,0)),"")</f>
        <v>117</v>
      </c>
      <c r="S173">
        <f>IFERROR(INDEX(CAT4_Current_Master!$G:$G,MATCH($B173,CAT4_Current_Master!$A:$A,0)),"")</f>
        <v>117</v>
      </c>
      <c r="T173">
        <f t="shared" si="18"/>
        <v>0</v>
      </c>
      <c r="U173" t="str">
        <f>IFERROR(INDEX(CAT4_Current_Master!$I:$I,MATCH($B173,CAT4_Current_Master!$A:$A,0)),"")</f>
        <v>G11</v>
      </c>
      <c r="V173" t="str">
        <f t="shared" si="19"/>
        <v>Spatial strength</v>
      </c>
      <c r="W173" t="str">
        <f t="shared" si="20"/>
        <v>Highest current domain is spatial reasoning, suggesting strength in visualisation, modelling, and design tasks.</v>
      </c>
    </row>
    <row r="174" spans="1:23" x14ac:dyDescent="0.3">
      <c r="A174" t="s">
        <v>298</v>
      </c>
      <c r="B174" t="s">
        <v>417</v>
      </c>
      <c r="C174" t="s">
        <v>418</v>
      </c>
      <c r="D174">
        <f>IFERROR(INDEX(Baseline_Entry!$N:$N,MATCH($B174,Baseline_Entry!$B:$B,0)),"")</f>
        <v>104</v>
      </c>
      <c r="E174">
        <f>IFERROR(INDEX(CAT4_Current_Master!$H:$H,MATCH($B174,CAT4_Current_Master!$A:$A,0)),"")</f>
        <v>104</v>
      </c>
      <c r="F174">
        <f t="shared" si="14"/>
        <v>0</v>
      </c>
      <c r="G174" t="str">
        <f>IFERROR(INDEX(Baseline_Entry!$Q:$Q,MATCH($B174,Baseline_Entry!$B:$B,0)),"")</f>
        <v>Moderate spatial bias</v>
      </c>
      <c r="H174" t="str">
        <f>IFERROR(INDEX(CAT4_Current_Master!$C:$C,MATCH($B174,CAT4_Current_Master!$A:$A,0)),"")</f>
        <v>Moderate spatial bias</v>
      </c>
      <c r="I174">
        <f>IFERROR(INDEX(Baseline_Entry!$R:$R,MATCH($B174,Baseline_Entry!$B:$B,0)),"")</f>
        <v>85</v>
      </c>
      <c r="J174">
        <f>IFERROR(INDEX(CAT4_Current_Master!$D:$D,MATCH($B174,CAT4_Current_Master!$A:$A,0)),"")</f>
        <v>85</v>
      </c>
      <c r="K174">
        <f t="shared" si="15"/>
        <v>0</v>
      </c>
      <c r="L174">
        <f>IFERROR(INDEX(Baseline_Entry!$S:$S,MATCH($B174,Baseline_Entry!$B:$B,0)),"")</f>
        <v>120</v>
      </c>
      <c r="M174">
        <f>IFERROR(INDEX(CAT4_Current_Master!$E:$E,MATCH($B174,CAT4_Current_Master!$A:$A,0)),"")</f>
        <v>120</v>
      </c>
      <c r="N174">
        <f t="shared" si="16"/>
        <v>0</v>
      </c>
      <c r="O174">
        <f>IFERROR(INDEX(Baseline_Entry!$T:$T,MATCH($B174,Baseline_Entry!$B:$B,0)),"")</f>
        <v>105</v>
      </c>
      <c r="P174">
        <f>IFERROR(INDEX(CAT4_Current_Master!$F:$F,MATCH($B174,CAT4_Current_Master!$A:$A,0)),"")</f>
        <v>105</v>
      </c>
      <c r="Q174">
        <f t="shared" si="17"/>
        <v>0</v>
      </c>
      <c r="R174">
        <f>IFERROR(INDEX(Baseline_Entry!$U:$U,MATCH($B174,Baseline_Entry!$B:$B,0)),"")</f>
        <v>107</v>
      </c>
      <c r="S174">
        <f>IFERROR(INDEX(CAT4_Current_Master!$G:$G,MATCH($B174,CAT4_Current_Master!$A:$A,0)),"")</f>
        <v>107</v>
      </c>
      <c r="T174">
        <f t="shared" si="18"/>
        <v>0</v>
      </c>
      <c r="U174" t="str">
        <f>IFERROR(INDEX(CAT4_Current_Master!$I:$I,MATCH($B174,CAT4_Current_Master!$A:$A,0)),"")</f>
        <v>G11</v>
      </c>
      <c r="V174" t="str">
        <f t="shared" si="19"/>
        <v>Quantitative strength</v>
      </c>
      <c r="W174" t="str">
        <f t="shared" si="20"/>
        <v>Highest current domain is quantitative reasoning, suggesting strong numerical and structured problem-solving potential.</v>
      </c>
    </row>
    <row r="175" spans="1:23" x14ac:dyDescent="0.3">
      <c r="A175" t="s">
        <v>419</v>
      </c>
      <c r="B175" t="s">
        <v>420</v>
      </c>
      <c r="C175" t="s">
        <v>421</v>
      </c>
      <c r="D175">
        <f>IFERROR(INDEX(Baseline_Entry!$N:$N,MATCH($B175,Baseline_Entry!$B:$B,0)),"")</f>
        <v>95</v>
      </c>
      <c r="E175">
        <f>IFERROR(INDEX(CAT4_Current_Master!$H:$H,MATCH($B175,CAT4_Current_Master!$A:$A,0)),"")</f>
        <v>95</v>
      </c>
      <c r="F175">
        <f t="shared" si="14"/>
        <v>0</v>
      </c>
      <c r="G175" t="str">
        <f>IFERROR(INDEX(Baseline_Entry!$Q:$Q,MATCH($B175,Baseline_Entry!$B:$B,0)),"")</f>
        <v>No bias</v>
      </c>
      <c r="H175" t="str">
        <f>IFERROR(INDEX(CAT4_Current_Master!$C:$C,MATCH($B175,CAT4_Current_Master!$A:$A,0)),"")</f>
        <v>No bias</v>
      </c>
      <c r="I175">
        <f>IFERROR(INDEX(Baseline_Entry!$R:$R,MATCH($B175,Baseline_Entry!$B:$B,0)),"")</f>
        <v>88</v>
      </c>
      <c r="J175">
        <f>IFERROR(INDEX(CAT4_Current_Master!$D:$D,MATCH($B175,CAT4_Current_Master!$A:$A,0)),"")</f>
        <v>88</v>
      </c>
      <c r="K175">
        <f t="shared" si="15"/>
        <v>0</v>
      </c>
      <c r="L175">
        <f>IFERROR(INDEX(Baseline_Entry!$S:$S,MATCH($B175,Baseline_Entry!$B:$B,0)),"")</f>
        <v>111</v>
      </c>
      <c r="M175">
        <f>IFERROR(INDEX(CAT4_Current_Master!$E:$E,MATCH($B175,CAT4_Current_Master!$A:$A,0)),"")</f>
        <v>111</v>
      </c>
      <c r="N175">
        <f t="shared" si="16"/>
        <v>0</v>
      </c>
      <c r="O175">
        <f>IFERROR(INDEX(Baseline_Entry!$T:$T,MATCH($B175,Baseline_Entry!$B:$B,0)),"")</f>
        <v>102</v>
      </c>
      <c r="P175">
        <f>IFERROR(INDEX(CAT4_Current_Master!$F:$F,MATCH($B175,CAT4_Current_Master!$A:$A,0)),"")</f>
        <v>102</v>
      </c>
      <c r="Q175">
        <f t="shared" si="17"/>
        <v>0</v>
      </c>
      <c r="R175">
        <f>IFERROR(INDEX(Baseline_Entry!$U:$U,MATCH($B175,Baseline_Entry!$B:$B,0)),"")</f>
        <v>80</v>
      </c>
      <c r="S175">
        <f>IFERROR(INDEX(CAT4_Current_Master!$G:$G,MATCH($B175,CAT4_Current_Master!$A:$A,0)),"")</f>
        <v>80</v>
      </c>
      <c r="T175">
        <f t="shared" si="18"/>
        <v>0</v>
      </c>
      <c r="U175" t="str">
        <f>IFERROR(INDEX(CAT4_Current_Master!$I:$I,MATCH($B175,CAT4_Current_Master!$A:$A,0)),"")</f>
        <v>G10</v>
      </c>
      <c r="V175" t="str">
        <f t="shared" si="19"/>
        <v>Quantitative strength</v>
      </c>
      <c r="W175" t="str">
        <f t="shared" si="20"/>
        <v>Highest current domain is quantitative reasoning, suggesting strong numerical and structured problem-solving potential.</v>
      </c>
    </row>
    <row r="176" spans="1:23" x14ac:dyDescent="0.3">
      <c r="A176" t="s">
        <v>419</v>
      </c>
      <c r="B176" t="s">
        <v>423</v>
      </c>
      <c r="C176" t="s">
        <v>424</v>
      </c>
      <c r="D176">
        <f>IFERROR(INDEX(Baseline_Entry!$N:$N,MATCH($B176,Baseline_Entry!$B:$B,0)),"")</f>
        <v>102</v>
      </c>
      <c r="E176">
        <f>IFERROR(INDEX(CAT4_Current_Master!$H:$H,MATCH($B176,CAT4_Current_Master!$A:$A,0)),"")</f>
        <v>102</v>
      </c>
      <c r="F176">
        <f t="shared" si="14"/>
        <v>0</v>
      </c>
      <c r="G176" t="str">
        <f>IFERROR(INDEX(Baseline_Entry!$Q:$Q,MATCH($B176,Baseline_Entry!$B:$B,0)),"")</f>
        <v>Moderate spatial bias</v>
      </c>
      <c r="H176" t="str">
        <f>IFERROR(INDEX(CAT4_Current_Master!$C:$C,MATCH($B176,CAT4_Current_Master!$A:$A,0)),"")</f>
        <v>Moderate spatial bias</v>
      </c>
      <c r="I176">
        <f>IFERROR(INDEX(Baseline_Entry!$R:$R,MATCH($B176,Baseline_Entry!$B:$B,0)),"")</f>
        <v>83</v>
      </c>
      <c r="J176">
        <f>IFERROR(INDEX(CAT4_Current_Master!$D:$D,MATCH($B176,CAT4_Current_Master!$A:$A,0)),"")</f>
        <v>83</v>
      </c>
      <c r="K176">
        <f t="shared" si="15"/>
        <v>0</v>
      </c>
      <c r="L176">
        <f>IFERROR(INDEX(Baseline_Entry!$S:$S,MATCH($B176,Baseline_Entry!$B:$B,0)),"")</f>
        <v>102</v>
      </c>
      <c r="M176">
        <f>IFERROR(INDEX(CAT4_Current_Master!$E:$E,MATCH($B176,CAT4_Current_Master!$A:$A,0)),"")</f>
        <v>102</v>
      </c>
      <c r="N176">
        <f t="shared" si="16"/>
        <v>0</v>
      </c>
      <c r="O176">
        <f>IFERROR(INDEX(Baseline_Entry!$T:$T,MATCH($B176,Baseline_Entry!$B:$B,0)),"")</f>
        <v>118</v>
      </c>
      <c r="P176">
        <f>IFERROR(INDEX(CAT4_Current_Master!$F:$F,MATCH($B176,CAT4_Current_Master!$A:$A,0)),"")</f>
        <v>118</v>
      </c>
      <c r="Q176">
        <f t="shared" si="17"/>
        <v>0</v>
      </c>
      <c r="R176">
        <f>IFERROR(INDEX(Baseline_Entry!$U:$U,MATCH($B176,Baseline_Entry!$B:$B,0)),"")</f>
        <v>104</v>
      </c>
      <c r="S176">
        <f>IFERROR(INDEX(CAT4_Current_Master!$G:$G,MATCH($B176,CAT4_Current_Master!$A:$A,0)),"")</f>
        <v>104</v>
      </c>
      <c r="T176">
        <f t="shared" si="18"/>
        <v>0</v>
      </c>
      <c r="U176" t="str">
        <f>IFERROR(INDEX(CAT4_Current_Master!$I:$I,MATCH($B176,CAT4_Current_Master!$A:$A,0)),"")</f>
        <v>G10</v>
      </c>
      <c r="V176" t="str">
        <f t="shared" si="19"/>
        <v>Analytical / Abstract thinker</v>
      </c>
      <c r="W176" t="str">
        <f t="shared" si="20"/>
        <v>Strong non-verbal reasoning supported by quantitative strength; well aligned with advanced analytical and STEM-rich tasks.</v>
      </c>
    </row>
    <row r="177" spans="1:23" x14ac:dyDescent="0.3">
      <c r="A177" t="s">
        <v>419</v>
      </c>
      <c r="B177" t="s">
        <v>425</v>
      </c>
      <c r="C177" t="s">
        <v>426</v>
      </c>
      <c r="D177">
        <f>IFERROR(INDEX(Baseline_Entry!$N:$N,MATCH($B177,Baseline_Entry!$B:$B,0)),"")</f>
        <v>115</v>
      </c>
      <c r="E177">
        <f>IFERROR(INDEX(CAT4_Current_Master!$H:$H,MATCH($B177,CAT4_Current_Master!$A:$A,0)),"")</f>
        <v>115</v>
      </c>
      <c r="F177">
        <f t="shared" si="14"/>
        <v>0</v>
      </c>
      <c r="G177" t="str">
        <f>IFERROR(INDEX(Baseline_Entry!$Q:$Q,MATCH($B177,Baseline_Entry!$B:$B,0)),"")</f>
        <v>Mild spatial bias</v>
      </c>
      <c r="H177" t="str">
        <f>IFERROR(INDEX(CAT4_Current_Master!$C:$C,MATCH($B177,CAT4_Current_Master!$A:$A,0)),"")</f>
        <v>Mild spatial bias</v>
      </c>
      <c r="I177">
        <f>IFERROR(INDEX(Baseline_Entry!$R:$R,MATCH($B177,Baseline_Entry!$B:$B,0)),"")</f>
        <v>96</v>
      </c>
      <c r="J177">
        <f>IFERROR(INDEX(CAT4_Current_Master!$D:$D,MATCH($B177,CAT4_Current_Master!$A:$A,0)),"")</f>
        <v>96</v>
      </c>
      <c r="K177">
        <f t="shared" si="15"/>
        <v>0</v>
      </c>
      <c r="L177">
        <f>IFERROR(INDEX(Baseline_Entry!$S:$S,MATCH($B177,Baseline_Entry!$B:$B,0)),"")</f>
        <v>131</v>
      </c>
      <c r="M177">
        <f>IFERROR(INDEX(CAT4_Current_Master!$E:$E,MATCH($B177,CAT4_Current_Master!$A:$A,0)),"")</f>
        <v>131</v>
      </c>
      <c r="N177">
        <f t="shared" si="16"/>
        <v>0</v>
      </c>
      <c r="O177">
        <f>IFERROR(INDEX(Baseline_Entry!$T:$T,MATCH($B177,Baseline_Entry!$B:$B,0)),"")</f>
        <v>122</v>
      </c>
      <c r="P177">
        <f>IFERROR(INDEX(CAT4_Current_Master!$F:$F,MATCH($B177,CAT4_Current_Master!$A:$A,0)),"")</f>
        <v>122</v>
      </c>
      <c r="Q177">
        <f t="shared" si="17"/>
        <v>0</v>
      </c>
      <c r="R177">
        <f>IFERROR(INDEX(Baseline_Entry!$U:$U,MATCH($B177,Baseline_Entry!$B:$B,0)),"")</f>
        <v>111</v>
      </c>
      <c r="S177">
        <f>IFERROR(INDEX(CAT4_Current_Master!$G:$G,MATCH($B177,CAT4_Current_Master!$A:$A,0)),"")</f>
        <v>111</v>
      </c>
      <c r="T177">
        <f t="shared" si="18"/>
        <v>0</v>
      </c>
      <c r="U177" t="str">
        <f>IFERROR(INDEX(CAT4_Current_Master!$I:$I,MATCH($B177,CAT4_Current_Master!$A:$A,0)),"")</f>
        <v>G10</v>
      </c>
      <c r="V177" t="str">
        <f t="shared" si="19"/>
        <v>Quantitative strength</v>
      </c>
      <c r="W177" t="str">
        <f t="shared" si="20"/>
        <v>Highest current domain is quantitative reasoning, suggesting strong numerical and structured problem-solving potential.</v>
      </c>
    </row>
    <row r="178" spans="1:23" x14ac:dyDescent="0.3">
      <c r="A178" t="s">
        <v>419</v>
      </c>
      <c r="B178" t="s">
        <v>427</v>
      </c>
      <c r="C178" t="s">
        <v>428</v>
      </c>
      <c r="D178">
        <f>IFERROR(INDEX(Baseline_Entry!$N:$N,MATCH($B178,Baseline_Entry!$B:$B,0)),"")</f>
        <v>97</v>
      </c>
      <c r="E178">
        <f>IFERROR(INDEX(CAT4_Current_Master!$H:$H,MATCH($B178,CAT4_Current_Master!$A:$A,0)),"")</f>
        <v>97</v>
      </c>
      <c r="F178">
        <f t="shared" si="14"/>
        <v>0</v>
      </c>
      <c r="G178" t="str">
        <f>IFERROR(INDEX(Baseline_Entry!$Q:$Q,MATCH($B178,Baseline_Entry!$B:$B,0)),"")</f>
        <v>Moderate spatial bias</v>
      </c>
      <c r="H178" t="str">
        <f>IFERROR(INDEX(CAT4_Current_Master!$C:$C,MATCH($B178,CAT4_Current_Master!$A:$A,0)),"")</f>
        <v>Moderate spatial bias</v>
      </c>
      <c r="I178">
        <f>IFERROR(INDEX(Baseline_Entry!$R:$R,MATCH($B178,Baseline_Entry!$B:$B,0)),"")</f>
        <v>85</v>
      </c>
      <c r="J178">
        <f>IFERROR(INDEX(CAT4_Current_Master!$D:$D,MATCH($B178,CAT4_Current_Master!$A:$A,0)),"")</f>
        <v>85</v>
      </c>
      <c r="K178">
        <f t="shared" si="15"/>
        <v>0</v>
      </c>
      <c r="L178">
        <f>IFERROR(INDEX(Baseline_Entry!$S:$S,MATCH($B178,Baseline_Entry!$B:$B,0)),"")</f>
        <v>100</v>
      </c>
      <c r="M178">
        <f>IFERROR(INDEX(CAT4_Current_Master!$E:$E,MATCH($B178,CAT4_Current_Master!$A:$A,0)),"")</f>
        <v>100</v>
      </c>
      <c r="N178">
        <f t="shared" si="16"/>
        <v>0</v>
      </c>
      <c r="O178">
        <f>IFERROR(INDEX(Baseline_Entry!$T:$T,MATCH($B178,Baseline_Entry!$B:$B,0)),"")</f>
        <v>96</v>
      </c>
      <c r="P178">
        <f>IFERROR(INDEX(CAT4_Current_Master!$F:$F,MATCH($B178,CAT4_Current_Master!$A:$A,0)),"")</f>
        <v>96</v>
      </c>
      <c r="Q178">
        <f t="shared" si="17"/>
        <v>0</v>
      </c>
      <c r="R178">
        <f>IFERROR(INDEX(Baseline_Entry!$U:$U,MATCH($B178,Baseline_Entry!$B:$B,0)),"")</f>
        <v>105</v>
      </c>
      <c r="S178">
        <f>IFERROR(INDEX(CAT4_Current_Master!$G:$G,MATCH($B178,CAT4_Current_Master!$A:$A,0)),"")</f>
        <v>105</v>
      </c>
      <c r="T178">
        <f t="shared" si="18"/>
        <v>0</v>
      </c>
      <c r="U178" t="str">
        <f>IFERROR(INDEX(CAT4_Current_Master!$I:$I,MATCH($B178,CAT4_Current_Master!$A:$A,0)),"")</f>
        <v>G10</v>
      </c>
      <c r="V178" t="str">
        <f t="shared" si="19"/>
        <v>Spatial strength</v>
      </c>
      <c r="W178" t="str">
        <f t="shared" si="20"/>
        <v>Highest current domain is spatial reasoning, suggesting strength in visualisation, modelling, and design tasks.</v>
      </c>
    </row>
    <row r="179" spans="1:23" x14ac:dyDescent="0.3">
      <c r="A179" t="s">
        <v>419</v>
      </c>
      <c r="B179" t="s">
        <v>429</v>
      </c>
      <c r="C179" t="s">
        <v>430</v>
      </c>
      <c r="D179">
        <f>IFERROR(INDEX(Baseline_Entry!$N:$N,MATCH($B179,Baseline_Entry!$B:$B,0)),"")</f>
        <v>95</v>
      </c>
      <c r="E179">
        <f>IFERROR(INDEX(CAT4_Current_Master!$H:$H,MATCH($B179,CAT4_Current_Master!$A:$A,0)),"")</f>
        <v>95</v>
      </c>
      <c r="F179">
        <f t="shared" si="14"/>
        <v>0</v>
      </c>
      <c r="G179" t="str">
        <f>IFERROR(INDEX(Baseline_Entry!$Q:$Q,MATCH($B179,Baseline_Entry!$B:$B,0)),"")</f>
        <v>No bias</v>
      </c>
      <c r="H179" t="str">
        <f>IFERROR(INDEX(CAT4_Current_Master!$C:$C,MATCH($B179,CAT4_Current_Master!$A:$A,0)),"")</f>
        <v>No bias</v>
      </c>
      <c r="I179">
        <f>IFERROR(INDEX(Baseline_Entry!$R:$R,MATCH($B179,Baseline_Entry!$B:$B,0)),"")</f>
        <v>95</v>
      </c>
      <c r="J179">
        <f>IFERROR(INDEX(CAT4_Current_Master!$D:$D,MATCH($B179,CAT4_Current_Master!$A:$A,0)),"")</f>
        <v>95</v>
      </c>
      <c r="K179">
        <f t="shared" si="15"/>
        <v>0</v>
      </c>
      <c r="L179">
        <f>IFERROR(INDEX(Baseline_Entry!$S:$S,MATCH($B179,Baseline_Entry!$B:$B,0)),"")</f>
        <v>89</v>
      </c>
      <c r="M179">
        <f>IFERROR(INDEX(CAT4_Current_Master!$E:$E,MATCH($B179,CAT4_Current_Master!$A:$A,0)),"")</f>
        <v>89</v>
      </c>
      <c r="N179">
        <f t="shared" si="16"/>
        <v>0</v>
      </c>
      <c r="O179">
        <f>IFERROR(INDEX(Baseline_Entry!$T:$T,MATCH($B179,Baseline_Entry!$B:$B,0)),"")</f>
        <v>100</v>
      </c>
      <c r="P179">
        <f>IFERROR(INDEX(CAT4_Current_Master!$F:$F,MATCH($B179,CAT4_Current_Master!$A:$A,0)),"")</f>
        <v>100</v>
      </c>
      <c r="Q179">
        <f t="shared" si="17"/>
        <v>0</v>
      </c>
      <c r="R179">
        <f>IFERROR(INDEX(Baseline_Entry!$U:$U,MATCH($B179,Baseline_Entry!$B:$B,0)),"")</f>
        <v>97</v>
      </c>
      <c r="S179">
        <f>IFERROR(INDEX(CAT4_Current_Master!$G:$G,MATCH($B179,CAT4_Current_Master!$A:$A,0)),"")</f>
        <v>97</v>
      </c>
      <c r="T179">
        <f t="shared" si="18"/>
        <v>0</v>
      </c>
      <c r="U179" t="str">
        <f>IFERROR(INDEX(CAT4_Current_Master!$I:$I,MATCH($B179,CAT4_Current_Master!$A:$A,0)),"")</f>
        <v>G10</v>
      </c>
      <c r="V179" t="str">
        <f t="shared" si="19"/>
        <v>Mixed profile</v>
      </c>
      <c r="W179" t="str">
        <f t="shared" si="20"/>
        <v>Mixed cognitive pattern requiring differentiated instruction.</v>
      </c>
    </row>
    <row r="180" spans="1:23" x14ac:dyDescent="0.3">
      <c r="A180" t="s">
        <v>419</v>
      </c>
      <c r="B180" t="s">
        <v>431</v>
      </c>
      <c r="C180" t="s">
        <v>432</v>
      </c>
      <c r="D180">
        <f>IFERROR(INDEX(Baseline_Entry!$N:$N,MATCH($B180,Baseline_Entry!$B:$B,0)),"")</f>
        <v>110</v>
      </c>
      <c r="E180">
        <f>IFERROR(INDEX(CAT4_Current_Master!$H:$H,MATCH($B180,CAT4_Current_Master!$A:$A,0)),"")</f>
        <v>110</v>
      </c>
      <c r="F180">
        <f t="shared" si="14"/>
        <v>0</v>
      </c>
      <c r="G180" t="str">
        <f>IFERROR(INDEX(Baseline_Entry!$Q:$Q,MATCH($B180,Baseline_Entry!$B:$B,0)),"")</f>
        <v>Moderate verbal bias</v>
      </c>
      <c r="H180" t="str">
        <f>IFERROR(INDEX(CAT4_Current_Master!$C:$C,MATCH($B180,CAT4_Current_Master!$A:$A,0)),"")</f>
        <v>Moderate verbal bias</v>
      </c>
      <c r="I180">
        <f>IFERROR(INDEX(Baseline_Entry!$R:$R,MATCH($B180,Baseline_Entry!$B:$B,0)),"")</f>
        <v>112</v>
      </c>
      <c r="J180">
        <f>IFERROR(INDEX(CAT4_Current_Master!$D:$D,MATCH($B180,CAT4_Current_Master!$A:$A,0)),"")</f>
        <v>112</v>
      </c>
      <c r="K180">
        <f t="shared" si="15"/>
        <v>0</v>
      </c>
      <c r="L180">
        <f>IFERROR(INDEX(Baseline_Entry!$S:$S,MATCH($B180,Baseline_Entry!$B:$B,0)),"")</f>
        <v>106</v>
      </c>
      <c r="M180">
        <f>IFERROR(INDEX(CAT4_Current_Master!$E:$E,MATCH($B180,CAT4_Current_Master!$A:$A,0)),"")</f>
        <v>106</v>
      </c>
      <c r="N180">
        <f t="shared" si="16"/>
        <v>0</v>
      </c>
      <c r="O180">
        <f>IFERROR(INDEX(Baseline_Entry!$T:$T,MATCH($B180,Baseline_Entry!$B:$B,0)),"")</f>
        <v>126</v>
      </c>
      <c r="P180">
        <f>IFERROR(INDEX(CAT4_Current_Master!$F:$F,MATCH($B180,CAT4_Current_Master!$A:$A,0)),"")</f>
        <v>126</v>
      </c>
      <c r="Q180">
        <f t="shared" si="17"/>
        <v>0</v>
      </c>
      <c r="R180">
        <f>IFERROR(INDEX(Baseline_Entry!$U:$U,MATCH($B180,Baseline_Entry!$B:$B,0)),"")</f>
        <v>95</v>
      </c>
      <c r="S180">
        <f>IFERROR(INDEX(CAT4_Current_Master!$G:$G,MATCH($B180,CAT4_Current_Master!$A:$A,0)),"")</f>
        <v>95</v>
      </c>
      <c r="T180">
        <f t="shared" si="18"/>
        <v>0</v>
      </c>
      <c r="U180" t="str">
        <f>IFERROR(INDEX(CAT4_Current_Master!$I:$I,MATCH($B180,CAT4_Current_Master!$A:$A,0)),"")</f>
        <v>G10</v>
      </c>
      <c r="V180" t="str">
        <f t="shared" si="19"/>
        <v>Analytical / Abstract thinker</v>
      </c>
      <c r="W180" t="str">
        <f t="shared" si="20"/>
        <v>Strong non-verbal reasoning supported by quantitative strength; well aligned with advanced analytical and STEM-rich tasks.</v>
      </c>
    </row>
    <row r="181" spans="1:23" x14ac:dyDescent="0.3">
      <c r="A181" t="s">
        <v>419</v>
      </c>
      <c r="B181" t="s">
        <v>433</v>
      </c>
      <c r="C181" t="s">
        <v>434</v>
      </c>
      <c r="D181">
        <f>IFERROR(INDEX(Baseline_Entry!$N:$N,MATCH($B181,Baseline_Entry!$B:$B,0)),"")</f>
        <v>111</v>
      </c>
      <c r="E181">
        <f>IFERROR(INDEX(CAT4_Current_Master!$H:$H,MATCH($B181,CAT4_Current_Master!$A:$A,0)),"")</f>
        <v>111</v>
      </c>
      <c r="F181">
        <f t="shared" si="14"/>
        <v>0</v>
      </c>
      <c r="G181" t="str">
        <f>IFERROR(INDEX(Baseline_Entry!$Q:$Q,MATCH($B181,Baseline_Entry!$B:$B,0)),"")</f>
        <v>Extreme spatial bias</v>
      </c>
      <c r="H181" t="str">
        <f>IFERROR(INDEX(CAT4_Current_Master!$C:$C,MATCH($B181,CAT4_Current_Master!$A:$A,0)),"")</f>
        <v>Extreme spatial bias</v>
      </c>
      <c r="I181">
        <f>IFERROR(INDEX(Baseline_Entry!$R:$R,MATCH($B181,Baseline_Entry!$B:$B,0)),"")</f>
        <v>85</v>
      </c>
      <c r="J181">
        <f>IFERROR(INDEX(CAT4_Current_Master!$D:$D,MATCH($B181,CAT4_Current_Master!$A:$A,0)),"")</f>
        <v>85</v>
      </c>
      <c r="K181">
        <f t="shared" si="15"/>
        <v>0</v>
      </c>
      <c r="L181">
        <f>IFERROR(INDEX(Baseline_Entry!$S:$S,MATCH($B181,Baseline_Entry!$B:$B,0)),"")</f>
        <v>110</v>
      </c>
      <c r="M181">
        <f>IFERROR(INDEX(CAT4_Current_Master!$E:$E,MATCH($B181,CAT4_Current_Master!$A:$A,0)),"")</f>
        <v>110</v>
      </c>
      <c r="N181">
        <f t="shared" si="16"/>
        <v>0</v>
      </c>
      <c r="O181">
        <f>IFERROR(INDEX(Baseline_Entry!$T:$T,MATCH($B181,Baseline_Entry!$B:$B,0)),"")</f>
        <v>131</v>
      </c>
      <c r="P181">
        <f>IFERROR(INDEX(CAT4_Current_Master!$F:$F,MATCH($B181,CAT4_Current_Master!$A:$A,0)),"")</f>
        <v>131</v>
      </c>
      <c r="Q181">
        <f t="shared" si="17"/>
        <v>0</v>
      </c>
      <c r="R181">
        <f>IFERROR(INDEX(Baseline_Entry!$U:$U,MATCH($B181,Baseline_Entry!$B:$B,0)),"")</f>
        <v>119</v>
      </c>
      <c r="S181">
        <f>IFERROR(INDEX(CAT4_Current_Master!$G:$G,MATCH($B181,CAT4_Current_Master!$A:$A,0)),"")</f>
        <v>119</v>
      </c>
      <c r="T181">
        <f t="shared" si="18"/>
        <v>0</v>
      </c>
      <c r="U181" t="str">
        <f>IFERROR(INDEX(CAT4_Current_Master!$I:$I,MATCH($B181,CAT4_Current_Master!$A:$A,0)),"")</f>
        <v>G10</v>
      </c>
      <c r="V181" t="str">
        <f t="shared" si="19"/>
        <v>Analytical / Abstract thinker</v>
      </c>
      <c r="W181" t="str">
        <f t="shared" si="20"/>
        <v>Strong non-verbal reasoning supported by quantitative strength; well aligned with advanced analytical and STEM-rich tasks.</v>
      </c>
    </row>
    <row r="182" spans="1:23" x14ac:dyDescent="0.3">
      <c r="A182" t="s">
        <v>419</v>
      </c>
      <c r="B182" t="s">
        <v>435</v>
      </c>
      <c r="C182" t="s">
        <v>436</v>
      </c>
      <c r="D182">
        <f>IFERROR(INDEX(Baseline_Entry!$N:$N,MATCH($B182,Baseline_Entry!$B:$B,0)),"")</f>
        <v>109</v>
      </c>
      <c r="E182">
        <f>IFERROR(INDEX(CAT4_Current_Master!$H:$H,MATCH($B182,CAT4_Current_Master!$A:$A,0)),"")</f>
        <v>109</v>
      </c>
      <c r="F182">
        <f t="shared" si="14"/>
        <v>0</v>
      </c>
      <c r="G182" t="str">
        <f>IFERROR(INDEX(Baseline_Entry!$Q:$Q,MATCH($B182,Baseline_Entry!$B:$B,0)),"")</f>
        <v>No bias</v>
      </c>
      <c r="H182" t="str">
        <f>IFERROR(INDEX(CAT4_Current_Master!$C:$C,MATCH($B182,CAT4_Current_Master!$A:$A,0)),"")</f>
        <v>No bias</v>
      </c>
      <c r="I182">
        <f>IFERROR(INDEX(Baseline_Entry!$R:$R,MATCH($B182,Baseline_Entry!$B:$B,0)),"")</f>
        <v>100</v>
      </c>
      <c r="J182">
        <f>IFERROR(INDEX(CAT4_Current_Master!$D:$D,MATCH($B182,CAT4_Current_Master!$A:$A,0)),"")</f>
        <v>100</v>
      </c>
      <c r="K182">
        <f t="shared" si="15"/>
        <v>0</v>
      </c>
      <c r="L182">
        <f>IFERROR(INDEX(Baseline_Entry!$S:$S,MATCH($B182,Baseline_Entry!$B:$B,0)),"")</f>
        <v>115</v>
      </c>
      <c r="M182">
        <f>IFERROR(INDEX(CAT4_Current_Master!$E:$E,MATCH($B182,CAT4_Current_Master!$A:$A,0)),"")</f>
        <v>115</v>
      </c>
      <c r="N182">
        <f t="shared" si="16"/>
        <v>0</v>
      </c>
      <c r="O182">
        <f>IFERROR(INDEX(Baseline_Entry!$T:$T,MATCH($B182,Baseline_Entry!$B:$B,0)),"")</f>
        <v>111</v>
      </c>
      <c r="P182">
        <f>IFERROR(INDEX(CAT4_Current_Master!$F:$F,MATCH($B182,CAT4_Current_Master!$A:$A,0)),"")</f>
        <v>111</v>
      </c>
      <c r="Q182">
        <f t="shared" si="17"/>
        <v>0</v>
      </c>
      <c r="R182">
        <f>IFERROR(INDEX(Baseline_Entry!$U:$U,MATCH($B182,Baseline_Entry!$B:$B,0)),"")</f>
        <v>109</v>
      </c>
      <c r="S182">
        <f>IFERROR(INDEX(CAT4_Current_Master!$G:$G,MATCH($B182,CAT4_Current_Master!$A:$A,0)),"")</f>
        <v>109</v>
      </c>
      <c r="T182">
        <f t="shared" si="18"/>
        <v>0</v>
      </c>
      <c r="U182" t="str">
        <f>IFERROR(INDEX(CAT4_Current_Master!$I:$I,MATCH($B182,CAT4_Current_Master!$A:$A,0)),"")</f>
        <v>G10</v>
      </c>
      <c r="V182" t="str">
        <f t="shared" si="19"/>
        <v>Quantitative strength</v>
      </c>
      <c r="W182" t="str">
        <f t="shared" si="20"/>
        <v>Highest current domain is quantitative reasoning, suggesting strong numerical and structured problem-solving potential.</v>
      </c>
    </row>
    <row r="183" spans="1:23" x14ac:dyDescent="0.3">
      <c r="A183" t="s">
        <v>419</v>
      </c>
      <c r="B183" t="s">
        <v>437</v>
      </c>
      <c r="C183" t="s">
        <v>438</v>
      </c>
      <c r="D183">
        <f>IFERROR(INDEX(Baseline_Entry!$N:$N,MATCH($B183,Baseline_Entry!$B:$B,0)),"")</f>
        <v>102</v>
      </c>
      <c r="E183">
        <f>IFERROR(INDEX(CAT4_Current_Master!$H:$H,MATCH($B183,CAT4_Current_Master!$A:$A,0)),"")</f>
        <v>102</v>
      </c>
      <c r="F183">
        <f t="shared" si="14"/>
        <v>0</v>
      </c>
      <c r="G183" t="str">
        <f>IFERROR(INDEX(Baseline_Entry!$Q:$Q,MATCH($B183,Baseline_Entry!$B:$B,0)),"")</f>
        <v>No bias</v>
      </c>
      <c r="H183" t="str">
        <f>IFERROR(INDEX(CAT4_Current_Master!$C:$C,MATCH($B183,CAT4_Current_Master!$A:$A,0)),"")</f>
        <v>No bias</v>
      </c>
      <c r="I183">
        <f>IFERROR(INDEX(Baseline_Entry!$R:$R,MATCH($B183,Baseline_Entry!$B:$B,0)),"")</f>
        <v>105</v>
      </c>
      <c r="J183">
        <f>IFERROR(INDEX(CAT4_Current_Master!$D:$D,MATCH($B183,CAT4_Current_Master!$A:$A,0)),"")</f>
        <v>105</v>
      </c>
      <c r="K183">
        <f t="shared" si="15"/>
        <v>0</v>
      </c>
      <c r="L183">
        <f>IFERROR(INDEX(Baseline_Entry!$S:$S,MATCH($B183,Baseline_Entry!$B:$B,0)),"")</f>
        <v>97</v>
      </c>
      <c r="M183">
        <f>IFERROR(INDEX(CAT4_Current_Master!$E:$E,MATCH($B183,CAT4_Current_Master!$A:$A,0)),"")</f>
        <v>97</v>
      </c>
      <c r="N183">
        <f t="shared" si="16"/>
        <v>0</v>
      </c>
      <c r="O183">
        <f>IFERROR(INDEX(Baseline_Entry!$T:$T,MATCH($B183,Baseline_Entry!$B:$B,0)),"")</f>
        <v>105</v>
      </c>
      <c r="P183">
        <f>IFERROR(INDEX(CAT4_Current_Master!$F:$F,MATCH($B183,CAT4_Current_Master!$A:$A,0)),"")</f>
        <v>105</v>
      </c>
      <c r="Q183">
        <f t="shared" si="17"/>
        <v>0</v>
      </c>
      <c r="R183">
        <f>IFERROR(INDEX(Baseline_Entry!$U:$U,MATCH($B183,Baseline_Entry!$B:$B,0)),"")</f>
        <v>99</v>
      </c>
      <c r="S183">
        <f>IFERROR(INDEX(CAT4_Current_Master!$G:$G,MATCH($B183,CAT4_Current_Master!$A:$A,0)),"")</f>
        <v>99</v>
      </c>
      <c r="T183">
        <f t="shared" si="18"/>
        <v>0</v>
      </c>
      <c r="U183" t="str">
        <f>IFERROR(INDEX(CAT4_Current_Master!$I:$I,MATCH($B183,CAT4_Current_Master!$A:$A,0)),"")</f>
        <v>G10</v>
      </c>
      <c r="V183" t="str">
        <f t="shared" si="19"/>
        <v>Verbal strength</v>
      </c>
      <c r="W183" t="str">
        <f t="shared" si="20"/>
        <v>Highest current domain is verbal reasoning, suggesting strength in language-rich, discussion-rich, and evidence-based tasks.</v>
      </c>
    </row>
    <row r="184" spans="1:23" x14ac:dyDescent="0.3">
      <c r="A184" t="s">
        <v>419</v>
      </c>
      <c r="B184" t="s">
        <v>439</v>
      </c>
      <c r="C184" t="s">
        <v>440</v>
      </c>
      <c r="D184">
        <f>IFERROR(INDEX(Baseline_Entry!$N:$N,MATCH($B184,Baseline_Entry!$B:$B,0)),"")</f>
        <v>93</v>
      </c>
      <c r="E184">
        <f>IFERROR(INDEX(CAT4_Current_Master!$H:$H,MATCH($B184,CAT4_Current_Master!$A:$A,0)),"")</f>
        <v>93</v>
      </c>
      <c r="F184">
        <f t="shared" si="14"/>
        <v>0</v>
      </c>
      <c r="G184" t="str">
        <f>IFERROR(INDEX(Baseline_Entry!$Q:$Q,MATCH($B184,Baseline_Entry!$B:$B,0)),"")</f>
        <v>No bias</v>
      </c>
      <c r="H184" t="str">
        <f>IFERROR(INDEX(CAT4_Current_Master!$C:$C,MATCH($B184,CAT4_Current_Master!$A:$A,0)),"")</f>
        <v>No bias</v>
      </c>
      <c r="I184">
        <f>IFERROR(INDEX(Baseline_Entry!$R:$R,MATCH($B184,Baseline_Entry!$B:$B,0)),"")</f>
        <v>87</v>
      </c>
      <c r="J184">
        <f>IFERROR(INDEX(CAT4_Current_Master!$D:$D,MATCH($B184,CAT4_Current_Master!$A:$A,0)),"")</f>
        <v>87</v>
      </c>
      <c r="K184">
        <f t="shared" si="15"/>
        <v>0</v>
      </c>
      <c r="L184">
        <f>IFERROR(INDEX(Baseline_Entry!$S:$S,MATCH($B184,Baseline_Entry!$B:$B,0)),"")</f>
        <v>101</v>
      </c>
      <c r="M184">
        <f>IFERROR(INDEX(CAT4_Current_Master!$E:$E,MATCH($B184,CAT4_Current_Master!$A:$A,0)),"")</f>
        <v>101</v>
      </c>
      <c r="N184">
        <f t="shared" si="16"/>
        <v>0</v>
      </c>
      <c r="O184">
        <f>IFERROR(INDEX(Baseline_Entry!$T:$T,MATCH($B184,Baseline_Entry!$B:$B,0)),"")</f>
        <v>102</v>
      </c>
      <c r="P184">
        <f>IFERROR(INDEX(CAT4_Current_Master!$F:$F,MATCH($B184,CAT4_Current_Master!$A:$A,0)),"")</f>
        <v>102</v>
      </c>
      <c r="Q184">
        <f t="shared" si="17"/>
        <v>0</v>
      </c>
      <c r="R184">
        <f>IFERROR(INDEX(Baseline_Entry!$U:$U,MATCH($B184,Baseline_Entry!$B:$B,0)),"")</f>
        <v>80</v>
      </c>
      <c r="S184">
        <f>IFERROR(INDEX(CAT4_Current_Master!$G:$G,MATCH($B184,CAT4_Current_Master!$A:$A,0)),"")</f>
        <v>80</v>
      </c>
      <c r="T184">
        <f t="shared" si="18"/>
        <v>0</v>
      </c>
      <c r="U184" t="str">
        <f>IFERROR(INDEX(CAT4_Current_Master!$I:$I,MATCH($B184,CAT4_Current_Master!$A:$A,0)),"")</f>
        <v>G10</v>
      </c>
      <c r="V184" t="str">
        <f t="shared" si="19"/>
        <v>Analytical / Abstract thinker</v>
      </c>
      <c r="W184" t="str">
        <f t="shared" si="20"/>
        <v>Strong non-verbal reasoning supported by quantitative strength; well aligned with advanced analytical and STEM-rich tasks.</v>
      </c>
    </row>
    <row r="185" spans="1:23" x14ac:dyDescent="0.3">
      <c r="A185" t="s">
        <v>419</v>
      </c>
      <c r="B185" t="s">
        <v>441</v>
      </c>
      <c r="C185" t="s">
        <v>442</v>
      </c>
      <c r="D185">
        <f>IFERROR(INDEX(Baseline_Entry!$N:$N,MATCH($B185,Baseline_Entry!$B:$B,0)),"")</f>
        <v>101</v>
      </c>
      <c r="E185">
        <f>IFERROR(INDEX(CAT4_Current_Master!$H:$H,MATCH($B185,CAT4_Current_Master!$A:$A,0)),"")</f>
        <v>101</v>
      </c>
      <c r="F185">
        <f t="shared" si="14"/>
        <v>0</v>
      </c>
      <c r="G185" t="str">
        <f>IFERROR(INDEX(Baseline_Entry!$Q:$Q,MATCH($B185,Baseline_Entry!$B:$B,0)),"")</f>
        <v>Extreme spatial bias</v>
      </c>
      <c r="H185" t="str">
        <f>IFERROR(INDEX(CAT4_Current_Master!$C:$C,MATCH($B185,CAT4_Current_Master!$A:$A,0)),"")</f>
        <v>Extreme spatial bias</v>
      </c>
      <c r="I185">
        <f>IFERROR(INDEX(Baseline_Entry!$R:$R,MATCH($B185,Baseline_Entry!$B:$B,0)),"")</f>
        <v>85</v>
      </c>
      <c r="J185">
        <f>IFERROR(INDEX(CAT4_Current_Master!$D:$D,MATCH($B185,CAT4_Current_Master!$A:$A,0)),"")</f>
        <v>85</v>
      </c>
      <c r="K185">
        <f t="shared" si="15"/>
        <v>0</v>
      </c>
      <c r="L185">
        <f>IFERROR(INDEX(Baseline_Entry!$S:$S,MATCH($B185,Baseline_Entry!$B:$B,0)),"")</f>
        <v>96</v>
      </c>
      <c r="M185">
        <f>IFERROR(INDEX(CAT4_Current_Master!$E:$E,MATCH($B185,CAT4_Current_Master!$A:$A,0)),"")</f>
        <v>96</v>
      </c>
      <c r="N185">
        <f t="shared" si="16"/>
        <v>0</v>
      </c>
      <c r="O185">
        <f>IFERROR(INDEX(Baseline_Entry!$T:$T,MATCH($B185,Baseline_Entry!$B:$B,0)),"")</f>
        <v>108</v>
      </c>
      <c r="P185">
        <f>IFERROR(INDEX(CAT4_Current_Master!$F:$F,MATCH($B185,CAT4_Current_Master!$A:$A,0)),"")</f>
        <v>108</v>
      </c>
      <c r="Q185">
        <f t="shared" si="17"/>
        <v>0</v>
      </c>
      <c r="R185">
        <f>IFERROR(INDEX(Baseline_Entry!$U:$U,MATCH($B185,Baseline_Entry!$B:$B,0)),"")</f>
        <v>116</v>
      </c>
      <c r="S185">
        <f>IFERROR(INDEX(CAT4_Current_Master!$G:$G,MATCH($B185,CAT4_Current_Master!$A:$A,0)),"")</f>
        <v>116</v>
      </c>
      <c r="T185">
        <f t="shared" si="18"/>
        <v>0</v>
      </c>
      <c r="U185" t="str">
        <f>IFERROR(INDEX(CAT4_Current_Master!$I:$I,MATCH($B185,CAT4_Current_Master!$A:$A,0)),"")</f>
        <v>G10</v>
      </c>
      <c r="V185" t="str">
        <f t="shared" si="19"/>
        <v>Spatial strength</v>
      </c>
      <c r="W185" t="str">
        <f t="shared" si="20"/>
        <v>Highest current domain is spatial reasoning, suggesting strength in visualisation, modelling, and design tasks.</v>
      </c>
    </row>
    <row r="186" spans="1:23" x14ac:dyDescent="0.3">
      <c r="A186" t="s">
        <v>419</v>
      </c>
      <c r="B186" t="s">
        <v>443</v>
      </c>
      <c r="C186" t="s">
        <v>444</v>
      </c>
      <c r="D186">
        <f>IFERROR(INDEX(Baseline_Entry!$N:$N,MATCH($B186,Baseline_Entry!$B:$B,0)),"")</f>
        <v>93</v>
      </c>
      <c r="E186">
        <f>IFERROR(INDEX(CAT4_Current_Master!$H:$H,MATCH($B186,CAT4_Current_Master!$A:$A,0)),"")</f>
        <v>93</v>
      </c>
      <c r="F186">
        <f t="shared" si="14"/>
        <v>0</v>
      </c>
      <c r="G186" t="str">
        <f>IFERROR(INDEX(Baseline_Entry!$Q:$Q,MATCH($B186,Baseline_Entry!$B:$B,0)),"")</f>
        <v>Mild spatial bias</v>
      </c>
      <c r="H186" t="str">
        <f>IFERROR(INDEX(CAT4_Current_Master!$C:$C,MATCH($B186,CAT4_Current_Master!$A:$A,0)),"")</f>
        <v>Mild spatial bias</v>
      </c>
      <c r="I186">
        <f>IFERROR(INDEX(Baseline_Entry!$R:$R,MATCH($B186,Baseline_Entry!$B:$B,0)),"")</f>
        <v>75</v>
      </c>
      <c r="J186">
        <f>IFERROR(INDEX(CAT4_Current_Master!$D:$D,MATCH($B186,CAT4_Current_Master!$A:$A,0)),"")</f>
        <v>75</v>
      </c>
      <c r="K186">
        <f t="shared" si="15"/>
        <v>0</v>
      </c>
      <c r="L186">
        <f>IFERROR(INDEX(Baseline_Entry!$S:$S,MATCH($B186,Baseline_Entry!$B:$B,0)),"")</f>
        <v>110</v>
      </c>
      <c r="M186">
        <f>IFERROR(INDEX(CAT4_Current_Master!$E:$E,MATCH($B186,CAT4_Current_Master!$A:$A,0)),"")</f>
        <v>110</v>
      </c>
      <c r="N186">
        <f t="shared" si="16"/>
        <v>0</v>
      </c>
      <c r="O186">
        <f>IFERROR(INDEX(Baseline_Entry!$T:$T,MATCH($B186,Baseline_Entry!$B:$B,0)),"")</f>
        <v>91</v>
      </c>
      <c r="P186">
        <f>IFERROR(INDEX(CAT4_Current_Master!$F:$F,MATCH($B186,CAT4_Current_Master!$A:$A,0)),"")</f>
        <v>91</v>
      </c>
      <c r="Q186">
        <f t="shared" si="17"/>
        <v>0</v>
      </c>
      <c r="R186">
        <f>IFERROR(INDEX(Baseline_Entry!$U:$U,MATCH($B186,Baseline_Entry!$B:$B,0)),"")</f>
        <v>95</v>
      </c>
      <c r="S186">
        <f>IFERROR(INDEX(CAT4_Current_Master!$G:$G,MATCH($B186,CAT4_Current_Master!$A:$A,0)),"")</f>
        <v>95</v>
      </c>
      <c r="T186">
        <f t="shared" si="18"/>
        <v>0</v>
      </c>
      <c r="U186" t="str">
        <f>IFERROR(INDEX(CAT4_Current_Master!$I:$I,MATCH($B186,CAT4_Current_Master!$A:$A,0)),"")</f>
        <v>G10</v>
      </c>
      <c r="V186" t="str">
        <f t="shared" si="19"/>
        <v>Quantitative strength</v>
      </c>
      <c r="W186" t="str">
        <f t="shared" si="20"/>
        <v>Highest current domain is quantitative reasoning, suggesting strong numerical and structured problem-solving potential.</v>
      </c>
    </row>
    <row r="187" spans="1:23" x14ac:dyDescent="0.3">
      <c r="A187" t="s">
        <v>419</v>
      </c>
      <c r="B187" t="s">
        <v>445</v>
      </c>
      <c r="C187" t="s">
        <v>446</v>
      </c>
      <c r="D187">
        <f>IFERROR(INDEX(Baseline_Entry!$N:$N,MATCH($B187,Baseline_Entry!$B:$B,0)),"")</f>
        <v>99</v>
      </c>
      <c r="E187">
        <f>IFERROR(INDEX(CAT4_Current_Master!$H:$H,MATCH($B187,CAT4_Current_Master!$A:$A,0)),"")</f>
        <v>99</v>
      </c>
      <c r="F187">
        <f t="shared" si="14"/>
        <v>0</v>
      </c>
      <c r="G187" t="str">
        <f>IFERROR(INDEX(Baseline_Entry!$Q:$Q,MATCH($B187,Baseline_Entry!$B:$B,0)),"")</f>
        <v>Mild verbal bias</v>
      </c>
      <c r="H187" t="str">
        <f>IFERROR(INDEX(CAT4_Current_Master!$C:$C,MATCH($B187,CAT4_Current_Master!$A:$A,0)),"")</f>
        <v>Mild verbal bias</v>
      </c>
      <c r="I187">
        <f>IFERROR(INDEX(Baseline_Entry!$R:$R,MATCH($B187,Baseline_Entry!$B:$B,0)),"")</f>
        <v>97</v>
      </c>
      <c r="J187">
        <f>IFERROR(INDEX(CAT4_Current_Master!$D:$D,MATCH($B187,CAT4_Current_Master!$A:$A,0)),"")</f>
        <v>97</v>
      </c>
      <c r="K187">
        <f t="shared" si="15"/>
        <v>0</v>
      </c>
      <c r="L187">
        <f>IFERROR(INDEX(Baseline_Entry!$S:$S,MATCH($B187,Baseline_Entry!$B:$B,0)),"")</f>
        <v>107</v>
      </c>
      <c r="M187">
        <f>IFERROR(INDEX(CAT4_Current_Master!$E:$E,MATCH($B187,CAT4_Current_Master!$A:$A,0)),"")</f>
        <v>107</v>
      </c>
      <c r="N187">
        <f t="shared" si="16"/>
        <v>0</v>
      </c>
      <c r="O187">
        <f>IFERROR(INDEX(Baseline_Entry!$T:$T,MATCH($B187,Baseline_Entry!$B:$B,0)),"")</f>
        <v>105</v>
      </c>
      <c r="P187">
        <f>IFERROR(INDEX(CAT4_Current_Master!$F:$F,MATCH($B187,CAT4_Current_Master!$A:$A,0)),"")</f>
        <v>105</v>
      </c>
      <c r="Q187">
        <f t="shared" si="17"/>
        <v>0</v>
      </c>
      <c r="R187">
        <f>IFERROR(INDEX(Baseline_Entry!$U:$U,MATCH($B187,Baseline_Entry!$B:$B,0)),"")</f>
        <v>88</v>
      </c>
      <c r="S187">
        <f>IFERROR(INDEX(CAT4_Current_Master!$G:$G,MATCH($B187,CAT4_Current_Master!$A:$A,0)),"")</f>
        <v>88</v>
      </c>
      <c r="T187">
        <f t="shared" si="18"/>
        <v>0</v>
      </c>
      <c r="U187" t="str">
        <f>IFERROR(INDEX(CAT4_Current_Master!$I:$I,MATCH($B187,CAT4_Current_Master!$A:$A,0)),"")</f>
        <v>G10</v>
      </c>
      <c r="V187" t="str">
        <f t="shared" si="19"/>
        <v>Quantitative strength</v>
      </c>
      <c r="W187" t="str">
        <f t="shared" si="20"/>
        <v>Highest current domain is quantitative reasoning, suggesting strong numerical and structured problem-solving potential.</v>
      </c>
    </row>
    <row r="188" spans="1:23" x14ac:dyDescent="0.3">
      <c r="A188" t="s">
        <v>419</v>
      </c>
      <c r="B188" t="s">
        <v>447</v>
      </c>
      <c r="C188" t="s">
        <v>448</v>
      </c>
      <c r="D188">
        <f>IFERROR(INDEX(Baseline_Entry!$N:$N,MATCH($B188,Baseline_Entry!$B:$B,0)),"")</f>
        <v>112</v>
      </c>
      <c r="E188">
        <f>IFERROR(INDEX(CAT4_Current_Master!$H:$H,MATCH($B188,CAT4_Current_Master!$A:$A,0)),"")</f>
        <v>112</v>
      </c>
      <c r="F188">
        <f t="shared" si="14"/>
        <v>0</v>
      </c>
      <c r="G188" t="str">
        <f>IFERROR(INDEX(Baseline_Entry!$Q:$Q,MATCH($B188,Baseline_Entry!$B:$B,0)),"")</f>
        <v>Extreme spatial bias</v>
      </c>
      <c r="H188" t="str">
        <f>IFERROR(INDEX(CAT4_Current_Master!$C:$C,MATCH($B188,CAT4_Current_Master!$A:$A,0)),"")</f>
        <v>Extreme spatial bias</v>
      </c>
      <c r="I188">
        <f>IFERROR(INDEX(Baseline_Entry!$R:$R,MATCH($B188,Baseline_Entry!$B:$B,0)),"")</f>
        <v>88</v>
      </c>
      <c r="J188">
        <f>IFERROR(INDEX(CAT4_Current_Master!$D:$D,MATCH($B188,CAT4_Current_Master!$A:$A,0)),"")</f>
        <v>88</v>
      </c>
      <c r="K188">
        <f t="shared" si="15"/>
        <v>0</v>
      </c>
      <c r="L188">
        <f>IFERROR(INDEX(Baseline_Entry!$S:$S,MATCH($B188,Baseline_Entry!$B:$B,0)),"")</f>
        <v>123</v>
      </c>
      <c r="M188">
        <f>IFERROR(INDEX(CAT4_Current_Master!$E:$E,MATCH($B188,CAT4_Current_Master!$A:$A,0)),"")</f>
        <v>123</v>
      </c>
      <c r="N188">
        <f t="shared" si="16"/>
        <v>0</v>
      </c>
      <c r="O188">
        <f>IFERROR(INDEX(Baseline_Entry!$T:$T,MATCH($B188,Baseline_Entry!$B:$B,0)),"")</f>
        <v>120</v>
      </c>
      <c r="P188">
        <f>IFERROR(INDEX(CAT4_Current_Master!$F:$F,MATCH($B188,CAT4_Current_Master!$A:$A,0)),"")</f>
        <v>120</v>
      </c>
      <c r="Q188">
        <f t="shared" si="17"/>
        <v>0</v>
      </c>
      <c r="R188">
        <f>IFERROR(INDEX(Baseline_Entry!$U:$U,MATCH($B188,Baseline_Entry!$B:$B,0)),"")</f>
        <v>118</v>
      </c>
      <c r="S188">
        <f>IFERROR(INDEX(CAT4_Current_Master!$G:$G,MATCH($B188,CAT4_Current_Master!$A:$A,0)),"")</f>
        <v>118</v>
      </c>
      <c r="T188">
        <f t="shared" si="18"/>
        <v>0</v>
      </c>
      <c r="U188" t="str">
        <f>IFERROR(INDEX(CAT4_Current_Master!$I:$I,MATCH($B188,CAT4_Current_Master!$A:$A,0)),"")</f>
        <v>G10</v>
      </c>
      <c r="V188" t="str">
        <f t="shared" si="19"/>
        <v>Quantitative strength</v>
      </c>
      <c r="W188" t="str">
        <f t="shared" si="20"/>
        <v>Highest current domain is quantitative reasoning, suggesting strong numerical and structured problem-solving potential.</v>
      </c>
    </row>
    <row r="189" spans="1:23" x14ac:dyDescent="0.3">
      <c r="A189" t="s">
        <v>419</v>
      </c>
      <c r="B189" t="s">
        <v>449</v>
      </c>
      <c r="C189" t="s">
        <v>450</v>
      </c>
      <c r="D189">
        <f>IFERROR(INDEX(Baseline_Entry!$N:$N,MATCH($B189,Baseline_Entry!$B:$B,0)),"")</f>
        <v>96</v>
      </c>
      <c r="E189">
        <f>IFERROR(INDEX(CAT4_Current_Master!$H:$H,MATCH($B189,CAT4_Current_Master!$A:$A,0)),"")</f>
        <v>96</v>
      </c>
      <c r="F189">
        <f t="shared" si="14"/>
        <v>0</v>
      </c>
      <c r="G189" t="str">
        <f>IFERROR(INDEX(Baseline_Entry!$Q:$Q,MATCH($B189,Baseline_Entry!$B:$B,0)),"")</f>
        <v>No bias</v>
      </c>
      <c r="H189" t="str">
        <f>IFERROR(INDEX(CAT4_Current_Master!$C:$C,MATCH($B189,CAT4_Current_Master!$A:$A,0)),"")</f>
        <v>No bias</v>
      </c>
      <c r="I189">
        <f>IFERROR(INDEX(Baseline_Entry!$R:$R,MATCH($B189,Baseline_Entry!$B:$B,0)),"")</f>
        <v>85</v>
      </c>
      <c r="J189">
        <f>IFERROR(INDEX(CAT4_Current_Master!$D:$D,MATCH($B189,CAT4_Current_Master!$A:$A,0)),"")</f>
        <v>85</v>
      </c>
      <c r="K189">
        <f t="shared" si="15"/>
        <v>0</v>
      </c>
      <c r="L189">
        <f>IFERROR(INDEX(Baseline_Entry!$S:$S,MATCH($B189,Baseline_Entry!$B:$B,0)),"")</f>
        <v>98</v>
      </c>
      <c r="M189">
        <f>IFERROR(INDEX(CAT4_Current_Master!$E:$E,MATCH($B189,CAT4_Current_Master!$A:$A,0)),"")</f>
        <v>98</v>
      </c>
      <c r="N189">
        <f t="shared" si="16"/>
        <v>0</v>
      </c>
      <c r="O189">
        <f>IFERROR(INDEX(Baseline_Entry!$T:$T,MATCH($B189,Baseline_Entry!$B:$B,0)),"")</f>
        <v>105</v>
      </c>
      <c r="P189">
        <f>IFERROR(INDEX(CAT4_Current_Master!$F:$F,MATCH($B189,CAT4_Current_Master!$A:$A,0)),"")</f>
        <v>105</v>
      </c>
      <c r="Q189">
        <f t="shared" si="17"/>
        <v>0</v>
      </c>
      <c r="R189">
        <f>IFERROR(INDEX(Baseline_Entry!$U:$U,MATCH($B189,Baseline_Entry!$B:$B,0)),"")</f>
        <v>95</v>
      </c>
      <c r="S189">
        <f>IFERROR(INDEX(CAT4_Current_Master!$G:$G,MATCH($B189,CAT4_Current_Master!$A:$A,0)),"")</f>
        <v>95</v>
      </c>
      <c r="T189">
        <f t="shared" si="18"/>
        <v>0</v>
      </c>
      <c r="U189" t="str">
        <f>IFERROR(INDEX(CAT4_Current_Master!$I:$I,MATCH($B189,CAT4_Current_Master!$A:$A,0)),"")</f>
        <v>G10</v>
      </c>
      <c r="V189" t="str">
        <f t="shared" si="19"/>
        <v>Mixed profile</v>
      </c>
      <c r="W189" t="str">
        <f t="shared" si="20"/>
        <v>Mixed cognitive pattern requiring differentiated instruction.</v>
      </c>
    </row>
    <row r="190" spans="1:23" x14ac:dyDescent="0.3">
      <c r="A190" t="s">
        <v>419</v>
      </c>
      <c r="B190" t="s">
        <v>451</v>
      </c>
      <c r="C190" t="s">
        <v>452</v>
      </c>
      <c r="D190">
        <f>IFERROR(INDEX(Baseline_Entry!$N:$N,MATCH($B190,Baseline_Entry!$B:$B,0)),"")</f>
        <v>93</v>
      </c>
      <c r="E190">
        <f>IFERROR(INDEX(CAT4_Current_Master!$H:$H,MATCH($B190,CAT4_Current_Master!$A:$A,0)),"")</f>
        <v>93</v>
      </c>
      <c r="F190">
        <f t="shared" si="14"/>
        <v>0</v>
      </c>
      <c r="G190" t="str">
        <f>IFERROR(INDEX(Baseline_Entry!$Q:$Q,MATCH($B190,Baseline_Entry!$B:$B,0)),"")</f>
        <v>Mild spatial bias</v>
      </c>
      <c r="H190" t="str">
        <f>IFERROR(INDEX(CAT4_Current_Master!$C:$C,MATCH($B190,CAT4_Current_Master!$A:$A,0)),"")</f>
        <v>Mild spatial bias</v>
      </c>
      <c r="I190">
        <f>IFERROR(INDEX(Baseline_Entry!$R:$R,MATCH($B190,Baseline_Entry!$B:$B,0)),"")</f>
        <v>86</v>
      </c>
      <c r="J190">
        <f>IFERROR(INDEX(CAT4_Current_Master!$D:$D,MATCH($B190,CAT4_Current_Master!$A:$A,0)),"")</f>
        <v>86</v>
      </c>
      <c r="K190">
        <f t="shared" si="15"/>
        <v>0</v>
      </c>
      <c r="L190">
        <f>IFERROR(INDEX(Baseline_Entry!$S:$S,MATCH($B190,Baseline_Entry!$B:$B,0)),"")</f>
        <v>101</v>
      </c>
      <c r="M190">
        <f>IFERROR(INDEX(CAT4_Current_Master!$E:$E,MATCH($B190,CAT4_Current_Master!$A:$A,0)),"")</f>
        <v>101</v>
      </c>
      <c r="N190">
        <f t="shared" si="16"/>
        <v>0</v>
      </c>
      <c r="O190">
        <f>IFERROR(INDEX(Baseline_Entry!$T:$T,MATCH($B190,Baseline_Entry!$B:$B,0)),"")</f>
        <v>87</v>
      </c>
      <c r="P190">
        <f>IFERROR(INDEX(CAT4_Current_Master!$F:$F,MATCH($B190,CAT4_Current_Master!$A:$A,0)),"")</f>
        <v>87</v>
      </c>
      <c r="Q190">
        <f t="shared" si="17"/>
        <v>0</v>
      </c>
      <c r="R190">
        <f>IFERROR(INDEX(Baseline_Entry!$U:$U,MATCH($B190,Baseline_Entry!$B:$B,0)),"")</f>
        <v>99</v>
      </c>
      <c r="S190">
        <f>IFERROR(INDEX(CAT4_Current_Master!$G:$G,MATCH($B190,CAT4_Current_Master!$A:$A,0)),"")</f>
        <v>99</v>
      </c>
      <c r="T190">
        <f t="shared" si="18"/>
        <v>0</v>
      </c>
      <c r="U190" t="str">
        <f>IFERROR(INDEX(CAT4_Current_Master!$I:$I,MATCH($B190,CAT4_Current_Master!$A:$A,0)),"")</f>
        <v>G10</v>
      </c>
      <c r="V190" t="str">
        <f t="shared" si="19"/>
        <v>Quantitative strength</v>
      </c>
      <c r="W190" t="str">
        <f t="shared" si="20"/>
        <v>Highest current domain is quantitative reasoning, suggesting strong numerical and structured problem-solving potential.</v>
      </c>
    </row>
    <row r="191" spans="1:23" x14ac:dyDescent="0.3">
      <c r="A191" t="s">
        <v>419</v>
      </c>
      <c r="B191" t="s">
        <v>453</v>
      </c>
      <c r="C191" t="s">
        <v>454</v>
      </c>
      <c r="D191">
        <f>IFERROR(INDEX(Baseline_Entry!$N:$N,MATCH($B191,Baseline_Entry!$B:$B,0)),"")</f>
        <v>104</v>
      </c>
      <c r="E191">
        <f>IFERROR(INDEX(CAT4_Current_Master!$H:$H,MATCH($B191,CAT4_Current_Master!$A:$A,0)),"")</f>
        <v>104</v>
      </c>
      <c r="F191">
        <f t="shared" si="14"/>
        <v>0</v>
      </c>
      <c r="G191" t="str">
        <f>IFERROR(INDEX(Baseline_Entry!$Q:$Q,MATCH($B191,Baseline_Entry!$B:$B,0)),"")</f>
        <v>No bias</v>
      </c>
      <c r="H191" t="str">
        <f>IFERROR(INDEX(CAT4_Current_Master!$C:$C,MATCH($B191,CAT4_Current_Master!$A:$A,0)),"")</f>
        <v>No bias</v>
      </c>
      <c r="I191">
        <f>IFERROR(INDEX(Baseline_Entry!$R:$R,MATCH($B191,Baseline_Entry!$B:$B,0)),"")</f>
        <v>90</v>
      </c>
      <c r="J191">
        <f>IFERROR(INDEX(CAT4_Current_Master!$D:$D,MATCH($B191,CAT4_Current_Master!$A:$A,0)),"")</f>
        <v>90</v>
      </c>
      <c r="K191">
        <f t="shared" si="15"/>
        <v>0</v>
      </c>
      <c r="L191">
        <f>IFERROR(INDEX(Baseline_Entry!$S:$S,MATCH($B191,Baseline_Entry!$B:$B,0)),"")</f>
        <v>119</v>
      </c>
      <c r="M191">
        <f>IFERROR(INDEX(CAT4_Current_Master!$E:$E,MATCH($B191,CAT4_Current_Master!$A:$A,0)),"")</f>
        <v>119</v>
      </c>
      <c r="N191">
        <f t="shared" si="16"/>
        <v>0</v>
      </c>
      <c r="O191">
        <f>IFERROR(INDEX(Baseline_Entry!$T:$T,MATCH($B191,Baseline_Entry!$B:$B,0)),"")</f>
        <v>105</v>
      </c>
      <c r="P191">
        <f>IFERROR(INDEX(CAT4_Current_Master!$F:$F,MATCH($B191,CAT4_Current_Master!$A:$A,0)),"")</f>
        <v>105</v>
      </c>
      <c r="Q191">
        <f t="shared" si="17"/>
        <v>0</v>
      </c>
      <c r="R191">
        <f>IFERROR(INDEX(Baseline_Entry!$U:$U,MATCH($B191,Baseline_Entry!$B:$B,0)),"")</f>
        <v>100</v>
      </c>
      <c r="S191">
        <f>IFERROR(INDEX(CAT4_Current_Master!$G:$G,MATCH($B191,CAT4_Current_Master!$A:$A,0)),"")</f>
        <v>100</v>
      </c>
      <c r="T191">
        <f t="shared" si="18"/>
        <v>0</v>
      </c>
      <c r="U191" t="str">
        <f>IFERROR(INDEX(CAT4_Current_Master!$I:$I,MATCH($B191,CAT4_Current_Master!$A:$A,0)),"")</f>
        <v>G10</v>
      </c>
      <c r="V191" t="str">
        <f t="shared" si="19"/>
        <v>Quantitative strength</v>
      </c>
      <c r="W191" t="str">
        <f t="shared" si="20"/>
        <v>Highest current domain is quantitative reasoning, suggesting strong numerical and structured problem-solving potential.</v>
      </c>
    </row>
    <row r="192" spans="1:23" x14ac:dyDescent="0.3">
      <c r="A192" t="s">
        <v>419</v>
      </c>
      <c r="B192" t="s">
        <v>455</v>
      </c>
      <c r="C192" t="s">
        <v>456</v>
      </c>
      <c r="D192">
        <f>IFERROR(INDEX(Baseline_Entry!$N:$N,MATCH($B192,Baseline_Entry!$B:$B,0)),"")</f>
        <v>100</v>
      </c>
      <c r="E192">
        <f>IFERROR(INDEX(CAT4_Current_Master!$H:$H,MATCH($B192,CAT4_Current_Master!$A:$A,0)),"")</f>
        <v>100</v>
      </c>
      <c r="F192">
        <f t="shared" si="14"/>
        <v>0</v>
      </c>
      <c r="G192" t="str">
        <f>IFERROR(INDEX(Baseline_Entry!$Q:$Q,MATCH($B192,Baseline_Entry!$B:$B,0)),"")</f>
        <v>Mild spatial bias</v>
      </c>
      <c r="H192" t="str">
        <f>IFERROR(INDEX(CAT4_Current_Master!$C:$C,MATCH($B192,CAT4_Current_Master!$A:$A,0)),"")</f>
        <v>Mild spatial bias</v>
      </c>
      <c r="I192">
        <f>IFERROR(INDEX(Baseline_Entry!$R:$R,MATCH($B192,Baseline_Entry!$B:$B,0)),"")</f>
        <v>93</v>
      </c>
      <c r="J192">
        <f>IFERROR(INDEX(CAT4_Current_Master!$D:$D,MATCH($B192,CAT4_Current_Master!$A:$A,0)),"")</f>
        <v>93</v>
      </c>
      <c r="K192">
        <f t="shared" si="15"/>
        <v>0</v>
      </c>
      <c r="L192">
        <f>IFERROR(INDEX(Baseline_Entry!$S:$S,MATCH($B192,Baseline_Entry!$B:$B,0)),"")</f>
        <v>93</v>
      </c>
      <c r="M192">
        <f>IFERROR(INDEX(CAT4_Current_Master!$E:$E,MATCH($B192,CAT4_Current_Master!$A:$A,0)),"")</f>
        <v>93</v>
      </c>
      <c r="N192">
        <f t="shared" si="16"/>
        <v>0</v>
      </c>
      <c r="O192">
        <f>IFERROR(INDEX(Baseline_Entry!$T:$T,MATCH($B192,Baseline_Entry!$B:$B,0)),"")</f>
        <v>105</v>
      </c>
      <c r="P192">
        <f>IFERROR(INDEX(CAT4_Current_Master!$F:$F,MATCH($B192,CAT4_Current_Master!$A:$A,0)),"")</f>
        <v>105</v>
      </c>
      <c r="Q192">
        <f t="shared" si="17"/>
        <v>0</v>
      </c>
      <c r="R192">
        <f>IFERROR(INDEX(Baseline_Entry!$U:$U,MATCH($B192,Baseline_Entry!$B:$B,0)),"")</f>
        <v>108</v>
      </c>
      <c r="S192">
        <f>IFERROR(INDEX(CAT4_Current_Master!$G:$G,MATCH($B192,CAT4_Current_Master!$A:$A,0)),"")</f>
        <v>108</v>
      </c>
      <c r="T192">
        <f t="shared" si="18"/>
        <v>0</v>
      </c>
      <c r="U192" t="str">
        <f>IFERROR(INDEX(CAT4_Current_Master!$I:$I,MATCH($B192,CAT4_Current_Master!$A:$A,0)),"")</f>
        <v>G10</v>
      </c>
      <c r="V192" t="str">
        <f t="shared" si="19"/>
        <v>Spatial strength</v>
      </c>
      <c r="W192" t="str">
        <f t="shared" si="20"/>
        <v>Highest current domain is spatial reasoning, suggesting strength in visualisation, modelling, and design tasks.</v>
      </c>
    </row>
    <row r="193" spans="1:23" x14ac:dyDescent="0.3">
      <c r="A193" t="s">
        <v>419</v>
      </c>
      <c r="B193" t="s">
        <v>457</v>
      </c>
      <c r="C193" t="s">
        <v>458</v>
      </c>
      <c r="D193">
        <f>IFERROR(INDEX(Baseline_Entry!$N:$N,MATCH($B193,Baseline_Entry!$B:$B,0)),"")</f>
        <v>103</v>
      </c>
      <c r="E193">
        <f>IFERROR(INDEX(CAT4_Current_Master!$H:$H,MATCH($B193,CAT4_Current_Master!$A:$A,0)),"")</f>
        <v>103</v>
      </c>
      <c r="F193">
        <f t="shared" si="14"/>
        <v>0</v>
      </c>
      <c r="G193" t="str">
        <f>IFERROR(INDEX(Baseline_Entry!$Q:$Q,MATCH($B193,Baseline_Entry!$B:$B,0)),"")</f>
        <v>Extreme spatial bias</v>
      </c>
      <c r="H193" t="str">
        <f>IFERROR(INDEX(CAT4_Current_Master!$C:$C,MATCH($B193,CAT4_Current_Master!$A:$A,0)),"")</f>
        <v>Extreme spatial bias</v>
      </c>
      <c r="I193">
        <f>IFERROR(INDEX(Baseline_Entry!$R:$R,MATCH($B193,Baseline_Entry!$B:$B,0)),"")</f>
        <v>81</v>
      </c>
      <c r="J193">
        <f>IFERROR(INDEX(CAT4_Current_Master!$D:$D,MATCH($B193,CAT4_Current_Master!$A:$A,0)),"")</f>
        <v>81</v>
      </c>
      <c r="K193">
        <f t="shared" si="15"/>
        <v>0</v>
      </c>
      <c r="L193">
        <f>IFERROR(INDEX(Baseline_Entry!$S:$S,MATCH($B193,Baseline_Entry!$B:$B,0)),"")</f>
        <v>121</v>
      </c>
      <c r="M193">
        <f>IFERROR(INDEX(CAT4_Current_Master!$E:$E,MATCH($B193,CAT4_Current_Master!$A:$A,0)),"")</f>
        <v>121</v>
      </c>
      <c r="N193">
        <f t="shared" si="16"/>
        <v>0</v>
      </c>
      <c r="O193">
        <f>IFERROR(INDEX(Baseline_Entry!$T:$T,MATCH($B193,Baseline_Entry!$B:$B,0)),"")</f>
        <v>99</v>
      </c>
      <c r="P193">
        <f>IFERROR(INDEX(CAT4_Current_Master!$F:$F,MATCH($B193,CAT4_Current_Master!$A:$A,0)),"")</f>
        <v>99</v>
      </c>
      <c r="Q193">
        <f t="shared" si="17"/>
        <v>0</v>
      </c>
      <c r="R193">
        <f>IFERROR(INDEX(Baseline_Entry!$U:$U,MATCH($B193,Baseline_Entry!$B:$B,0)),"")</f>
        <v>111</v>
      </c>
      <c r="S193">
        <f>IFERROR(INDEX(CAT4_Current_Master!$G:$G,MATCH($B193,CAT4_Current_Master!$A:$A,0)),"")</f>
        <v>111</v>
      </c>
      <c r="T193">
        <f t="shared" si="18"/>
        <v>0</v>
      </c>
      <c r="U193" t="str">
        <f>IFERROR(INDEX(CAT4_Current_Master!$I:$I,MATCH($B193,CAT4_Current_Master!$A:$A,0)),"")</f>
        <v>G10</v>
      </c>
      <c r="V193" t="str">
        <f t="shared" si="19"/>
        <v>Quantitative strength</v>
      </c>
      <c r="W193" t="str">
        <f t="shared" si="20"/>
        <v>Highest current domain is quantitative reasoning, suggesting strong numerical and structured problem-solving potential.</v>
      </c>
    </row>
    <row r="194" spans="1:23" x14ac:dyDescent="0.3">
      <c r="A194" t="s">
        <v>419</v>
      </c>
      <c r="B194" t="s">
        <v>459</v>
      </c>
      <c r="C194" t="s">
        <v>460</v>
      </c>
      <c r="D194">
        <f>IFERROR(INDEX(Baseline_Entry!$N:$N,MATCH($B194,Baseline_Entry!$B:$B,0)),"")</f>
        <v>100</v>
      </c>
      <c r="E194">
        <f>IFERROR(INDEX(CAT4_Current_Master!$H:$H,MATCH($B194,CAT4_Current_Master!$A:$A,0)),"")</f>
        <v>100</v>
      </c>
      <c r="F194">
        <f t="shared" ref="F194:F257" si="21">IF(OR(D194="",E194=""),"",E194-D194)</f>
        <v>0</v>
      </c>
      <c r="G194" t="str">
        <f>IFERROR(INDEX(Baseline_Entry!$Q:$Q,MATCH($B194,Baseline_Entry!$B:$B,0)),"")</f>
        <v>Mild spatial bias</v>
      </c>
      <c r="H194" t="str">
        <f>IFERROR(INDEX(CAT4_Current_Master!$C:$C,MATCH($B194,CAT4_Current_Master!$A:$A,0)),"")</f>
        <v>Mild spatial bias</v>
      </c>
      <c r="I194">
        <f>IFERROR(INDEX(Baseline_Entry!$R:$R,MATCH($B194,Baseline_Entry!$B:$B,0)),"")</f>
        <v>88</v>
      </c>
      <c r="J194">
        <f>IFERROR(INDEX(CAT4_Current_Master!$D:$D,MATCH($B194,CAT4_Current_Master!$A:$A,0)),"")</f>
        <v>88</v>
      </c>
      <c r="K194">
        <f t="shared" ref="K194:K257" si="22">IF(OR(I194="",J194=""),"",J194-I194)</f>
        <v>0</v>
      </c>
      <c r="L194">
        <f>IFERROR(INDEX(Baseline_Entry!$S:$S,MATCH($B194,Baseline_Entry!$B:$B,0)),"")</f>
        <v>107</v>
      </c>
      <c r="M194">
        <f>IFERROR(INDEX(CAT4_Current_Master!$E:$E,MATCH($B194,CAT4_Current_Master!$A:$A,0)),"")</f>
        <v>107</v>
      </c>
      <c r="N194">
        <f t="shared" ref="N194:N257" si="23">IF(OR(L194="",M194=""),"",M194-L194)</f>
        <v>0</v>
      </c>
      <c r="O194">
        <f>IFERROR(INDEX(Baseline_Entry!$T:$T,MATCH($B194,Baseline_Entry!$B:$B,0)),"")</f>
        <v>105</v>
      </c>
      <c r="P194">
        <f>IFERROR(INDEX(CAT4_Current_Master!$F:$F,MATCH($B194,CAT4_Current_Master!$A:$A,0)),"")</f>
        <v>105</v>
      </c>
      <c r="Q194">
        <f t="shared" ref="Q194:Q257" si="24">IF(OR(O194="",P194=""),"",P194-O194)</f>
        <v>0</v>
      </c>
      <c r="R194">
        <f>IFERROR(INDEX(Baseline_Entry!$U:$U,MATCH($B194,Baseline_Entry!$B:$B,0)),"")</f>
        <v>100</v>
      </c>
      <c r="S194">
        <f>IFERROR(INDEX(CAT4_Current_Master!$G:$G,MATCH($B194,CAT4_Current_Master!$A:$A,0)),"")</f>
        <v>100</v>
      </c>
      <c r="T194">
        <f t="shared" ref="T194:T257" si="25">IF(OR(R194="",S194=""),"",S194-R194)</f>
        <v>0</v>
      </c>
      <c r="U194" t="str">
        <f>IFERROR(INDEX(CAT4_Current_Master!$I:$I,MATCH($B194,CAT4_Current_Master!$A:$A,0)),"")</f>
        <v>G10</v>
      </c>
      <c r="V194" t="str">
        <f t="shared" ref="V194:V232" si="26">IF(COUNT(J194,M194,P194,S194)&lt;4,"",IF(MAX(J194,M194,P194,S194)-MIN(J194,M194,P194,S194)&lt;=7,"Balanced profile",IF(AND(P194=MAX(J194,M194,P194,S194),M194&gt;=100),"Analytical / Abstract thinker",IF(M194=MAX(J194,M194,P194,S194),"Quantitative strength",IF(J194=MAX(J194,M194,P194,S194),"Verbal strength",IF(S194=MAX(J194,M194,P194,S194),"Spatial strength","Mixed profile"))))))</f>
        <v>Quantitative strength</v>
      </c>
      <c r="W194" t="str">
        <f t="shared" ref="W194:W257" si="27">IF(V194="","",IF(V194="Balanced profile","Balanced cognitive pattern across the four CAT4 domains.",IF(V194="Analytical / Abstract thinker","Strong non-verbal reasoning supported by quantitative strength; well aligned with advanced analytical and STEM-rich tasks.",IF(V194="Quantitative strength","Highest current domain is quantitative reasoning, suggesting strong numerical and structured problem-solving potential.",IF(V194="Verbal strength","Highest current domain is verbal reasoning, suggesting strength in language-rich, discussion-rich, and evidence-based tasks.",IF(V194="Spatial strength","Highest current domain is spatial reasoning, suggesting strength in visualisation, modelling, and design tasks.","Mixed cognitive pattern requiring differentiated instruction."))))))</f>
        <v>Highest current domain is quantitative reasoning, suggesting strong numerical and structured problem-solving potential.</v>
      </c>
    </row>
    <row r="195" spans="1:23" x14ac:dyDescent="0.3">
      <c r="A195" t="s">
        <v>419</v>
      </c>
      <c r="B195" t="s">
        <v>461</v>
      </c>
      <c r="C195" t="s">
        <v>462</v>
      </c>
      <c r="D195">
        <f>IFERROR(INDEX(Baseline_Entry!$N:$N,MATCH($B195,Baseline_Entry!$B:$B,0)),"")</f>
        <v>105</v>
      </c>
      <c r="E195">
        <f>IFERROR(INDEX(CAT4_Current_Master!$H:$H,MATCH($B195,CAT4_Current_Master!$A:$A,0)),"")</f>
        <v>105</v>
      </c>
      <c r="F195">
        <f t="shared" si="21"/>
        <v>0</v>
      </c>
      <c r="G195" t="str">
        <f>IFERROR(INDEX(Baseline_Entry!$Q:$Q,MATCH($B195,Baseline_Entry!$B:$B,0)),"")</f>
        <v>Mild verbal bias</v>
      </c>
      <c r="H195" t="str">
        <f>IFERROR(INDEX(CAT4_Current_Master!$C:$C,MATCH($B195,CAT4_Current_Master!$A:$A,0)),"")</f>
        <v>Mild verbal bias</v>
      </c>
      <c r="I195">
        <f>IFERROR(INDEX(Baseline_Entry!$R:$R,MATCH($B195,Baseline_Entry!$B:$B,0)),"")</f>
        <v>110</v>
      </c>
      <c r="J195">
        <f>IFERROR(INDEX(CAT4_Current_Master!$D:$D,MATCH($B195,CAT4_Current_Master!$A:$A,0)),"")</f>
        <v>110</v>
      </c>
      <c r="K195">
        <f t="shared" si="22"/>
        <v>0</v>
      </c>
      <c r="L195">
        <f>IFERROR(INDEX(Baseline_Entry!$S:$S,MATCH($B195,Baseline_Entry!$B:$B,0)),"")</f>
        <v>113</v>
      </c>
      <c r="M195">
        <f>IFERROR(INDEX(CAT4_Current_Master!$E:$E,MATCH($B195,CAT4_Current_Master!$A:$A,0)),"")</f>
        <v>113</v>
      </c>
      <c r="N195">
        <f t="shared" si="23"/>
        <v>0</v>
      </c>
      <c r="O195">
        <f>IFERROR(INDEX(Baseline_Entry!$T:$T,MATCH($B195,Baseline_Entry!$B:$B,0)),"")</f>
        <v>105</v>
      </c>
      <c r="P195">
        <f>IFERROR(INDEX(CAT4_Current_Master!$F:$F,MATCH($B195,CAT4_Current_Master!$A:$A,0)),"")</f>
        <v>105</v>
      </c>
      <c r="Q195">
        <f t="shared" si="24"/>
        <v>0</v>
      </c>
      <c r="R195">
        <f>IFERROR(INDEX(Baseline_Entry!$U:$U,MATCH($B195,Baseline_Entry!$B:$B,0)),"")</f>
        <v>93</v>
      </c>
      <c r="S195">
        <f>IFERROR(INDEX(CAT4_Current_Master!$G:$G,MATCH($B195,CAT4_Current_Master!$A:$A,0)),"")</f>
        <v>93</v>
      </c>
      <c r="T195">
        <f t="shared" si="25"/>
        <v>0</v>
      </c>
      <c r="U195" t="str">
        <f>IFERROR(INDEX(CAT4_Current_Master!$I:$I,MATCH($B195,CAT4_Current_Master!$A:$A,0)),"")</f>
        <v>G10</v>
      </c>
      <c r="V195" t="str">
        <f t="shared" si="26"/>
        <v>Quantitative strength</v>
      </c>
      <c r="W195" t="str">
        <f t="shared" si="27"/>
        <v>Highest current domain is quantitative reasoning, suggesting strong numerical and structured problem-solving potential.</v>
      </c>
    </row>
    <row r="196" spans="1:23" x14ac:dyDescent="0.3">
      <c r="A196" t="s">
        <v>419</v>
      </c>
      <c r="B196" t="s">
        <v>463</v>
      </c>
      <c r="C196" t="s">
        <v>464</v>
      </c>
      <c r="D196">
        <f>IFERROR(INDEX(Baseline_Entry!$N:$N,MATCH($B196,Baseline_Entry!$B:$B,0)),"")</f>
        <v>110</v>
      </c>
      <c r="E196">
        <f>IFERROR(INDEX(CAT4_Current_Master!$H:$H,MATCH($B196,CAT4_Current_Master!$A:$A,0)),"")</f>
        <v>110</v>
      </c>
      <c r="F196">
        <f t="shared" si="21"/>
        <v>0</v>
      </c>
      <c r="G196" t="str">
        <f>IFERROR(INDEX(Baseline_Entry!$Q:$Q,MATCH($B196,Baseline_Entry!$B:$B,0)),"")</f>
        <v>Moderate spatial bias</v>
      </c>
      <c r="H196" t="str">
        <f>IFERROR(INDEX(CAT4_Current_Master!$C:$C,MATCH($B196,CAT4_Current_Master!$A:$A,0)),"")</f>
        <v>Moderate spatial bias</v>
      </c>
      <c r="I196">
        <f>IFERROR(INDEX(Baseline_Entry!$R:$R,MATCH($B196,Baseline_Entry!$B:$B,0)),"")</f>
        <v>98</v>
      </c>
      <c r="J196">
        <f>IFERROR(INDEX(CAT4_Current_Master!$D:$D,MATCH($B196,CAT4_Current_Master!$A:$A,0)),"")</f>
        <v>98</v>
      </c>
      <c r="K196">
        <f t="shared" si="22"/>
        <v>0</v>
      </c>
      <c r="L196">
        <f>IFERROR(INDEX(Baseline_Entry!$S:$S,MATCH($B196,Baseline_Entry!$B:$B,0)),"")</f>
        <v>106</v>
      </c>
      <c r="M196">
        <f>IFERROR(INDEX(CAT4_Current_Master!$E:$E,MATCH($B196,CAT4_Current_Master!$A:$A,0)),"")</f>
        <v>106</v>
      </c>
      <c r="N196">
        <f t="shared" si="23"/>
        <v>0</v>
      </c>
      <c r="O196">
        <f>IFERROR(INDEX(Baseline_Entry!$T:$T,MATCH($B196,Baseline_Entry!$B:$B,0)),"")</f>
        <v>114</v>
      </c>
      <c r="P196">
        <f>IFERROR(INDEX(CAT4_Current_Master!$F:$F,MATCH($B196,CAT4_Current_Master!$A:$A,0)),"")</f>
        <v>114</v>
      </c>
      <c r="Q196">
        <f t="shared" si="24"/>
        <v>0</v>
      </c>
      <c r="R196">
        <f>IFERROR(INDEX(Baseline_Entry!$U:$U,MATCH($B196,Baseline_Entry!$B:$B,0)),"")</f>
        <v>120</v>
      </c>
      <c r="S196">
        <f>IFERROR(INDEX(CAT4_Current_Master!$G:$G,MATCH($B196,CAT4_Current_Master!$A:$A,0)),"")</f>
        <v>120</v>
      </c>
      <c r="T196">
        <f t="shared" si="25"/>
        <v>0</v>
      </c>
      <c r="U196" t="str">
        <f>IFERROR(INDEX(CAT4_Current_Master!$I:$I,MATCH($B196,CAT4_Current_Master!$A:$A,0)),"")</f>
        <v>G10</v>
      </c>
      <c r="V196" t="str">
        <f t="shared" si="26"/>
        <v>Spatial strength</v>
      </c>
      <c r="W196" t="str">
        <f t="shared" si="27"/>
        <v>Highest current domain is spatial reasoning, suggesting strength in visualisation, modelling, and design tasks.</v>
      </c>
    </row>
    <row r="197" spans="1:23" x14ac:dyDescent="0.3">
      <c r="A197" t="s">
        <v>419</v>
      </c>
      <c r="B197" t="s">
        <v>465</v>
      </c>
      <c r="C197" t="s">
        <v>466</v>
      </c>
      <c r="D197">
        <f>IFERROR(INDEX(Baseline_Entry!$N:$N,MATCH($B197,Baseline_Entry!$B:$B,0)),"")</f>
        <v>100</v>
      </c>
      <c r="E197">
        <f>IFERROR(INDEX(CAT4_Current_Master!$H:$H,MATCH($B197,CAT4_Current_Master!$A:$A,0)),"")</f>
        <v>100</v>
      </c>
      <c r="F197">
        <f t="shared" si="21"/>
        <v>0</v>
      </c>
      <c r="G197" t="str">
        <f>IFERROR(INDEX(Baseline_Entry!$Q:$Q,MATCH($B197,Baseline_Entry!$B:$B,0)),"")</f>
        <v>Moderate verbal bias</v>
      </c>
      <c r="H197" t="str">
        <f>IFERROR(INDEX(CAT4_Current_Master!$C:$C,MATCH($B197,CAT4_Current_Master!$A:$A,0)),"")</f>
        <v>Moderate verbal bias</v>
      </c>
      <c r="I197">
        <f>IFERROR(INDEX(Baseline_Entry!$R:$R,MATCH($B197,Baseline_Entry!$B:$B,0)),"")</f>
        <v>109</v>
      </c>
      <c r="J197">
        <f>IFERROR(INDEX(CAT4_Current_Master!$D:$D,MATCH($B197,CAT4_Current_Master!$A:$A,0)),"")</f>
        <v>109</v>
      </c>
      <c r="K197">
        <f t="shared" si="22"/>
        <v>0</v>
      </c>
      <c r="L197">
        <f>IFERROR(INDEX(Baseline_Entry!$S:$S,MATCH($B197,Baseline_Entry!$B:$B,0)),"")</f>
        <v>98</v>
      </c>
      <c r="M197">
        <f>IFERROR(INDEX(CAT4_Current_Master!$E:$E,MATCH($B197,CAT4_Current_Master!$A:$A,0)),"")</f>
        <v>98</v>
      </c>
      <c r="N197">
        <f t="shared" si="23"/>
        <v>0</v>
      </c>
      <c r="O197">
        <f>IFERROR(INDEX(Baseline_Entry!$T:$T,MATCH($B197,Baseline_Entry!$B:$B,0)),"")</f>
        <v>105</v>
      </c>
      <c r="P197">
        <f>IFERROR(INDEX(CAT4_Current_Master!$F:$F,MATCH($B197,CAT4_Current_Master!$A:$A,0)),"")</f>
        <v>105</v>
      </c>
      <c r="Q197">
        <f t="shared" si="24"/>
        <v>0</v>
      </c>
      <c r="R197">
        <f>IFERROR(INDEX(Baseline_Entry!$U:$U,MATCH($B197,Baseline_Entry!$B:$B,0)),"")</f>
        <v>88</v>
      </c>
      <c r="S197">
        <f>IFERROR(INDEX(CAT4_Current_Master!$G:$G,MATCH($B197,CAT4_Current_Master!$A:$A,0)),"")</f>
        <v>88</v>
      </c>
      <c r="T197">
        <f t="shared" si="25"/>
        <v>0</v>
      </c>
      <c r="U197" t="str">
        <f>IFERROR(INDEX(CAT4_Current_Master!$I:$I,MATCH($B197,CAT4_Current_Master!$A:$A,0)),"")</f>
        <v>G10</v>
      </c>
      <c r="V197" t="str">
        <f t="shared" si="26"/>
        <v>Verbal strength</v>
      </c>
      <c r="W197" t="str">
        <f t="shared" si="27"/>
        <v>Highest current domain is verbal reasoning, suggesting strength in language-rich, discussion-rich, and evidence-based tasks.</v>
      </c>
    </row>
    <row r="198" spans="1:23" x14ac:dyDescent="0.3">
      <c r="A198" t="s">
        <v>419</v>
      </c>
      <c r="B198" t="s">
        <v>467</v>
      </c>
      <c r="C198" t="s">
        <v>468</v>
      </c>
      <c r="D198">
        <f>IFERROR(INDEX(Baseline_Entry!$N:$N,MATCH($B198,Baseline_Entry!$B:$B,0)),"")</f>
        <v>101</v>
      </c>
      <c r="E198">
        <f>IFERROR(INDEX(CAT4_Current_Master!$H:$H,MATCH($B198,CAT4_Current_Master!$A:$A,0)),"")</f>
        <v>101</v>
      </c>
      <c r="F198">
        <f t="shared" si="21"/>
        <v>0</v>
      </c>
      <c r="G198" t="str">
        <f>IFERROR(INDEX(Baseline_Entry!$Q:$Q,MATCH($B198,Baseline_Entry!$B:$B,0)),"")</f>
        <v>Mild spatial bias</v>
      </c>
      <c r="H198" t="str">
        <f>IFERROR(INDEX(CAT4_Current_Master!$C:$C,MATCH($B198,CAT4_Current_Master!$A:$A,0)),"")</f>
        <v>Mild spatial bias</v>
      </c>
      <c r="I198">
        <f>IFERROR(INDEX(Baseline_Entry!$R:$R,MATCH($B198,Baseline_Entry!$B:$B,0)),"")</f>
        <v>85</v>
      </c>
      <c r="J198">
        <f>IFERROR(INDEX(CAT4_Current_Master!$D:$D,MATCH($B198,CAT4_Current_Master!$A:$A,0)),"")</f>
        <v>85</v>
      </c>
      <c r="K198">
        <f t="shared" si="22"/>
        <v>0</v>
      </c>
      <c r="L198">
        <f>IFERROR(INDEX(Baseline_Entry!$S:$S,MATCH($B198,Baseline_Entry!$B:$B,0)),"")</f>
        <v>112</v>
      </c>
      <c r="M198">
        <f>IFERROR(INDEX(CAT4_Current_Master!$E:$E,MATCH($B198,CAT4_Current_Master!$A:$A,0)),"")</f>
        <v>112</v>
      </c>
      <c r="N198">
        <f t="shared" si="23"/>
        <v>0</v>
      </c>
      <c r="O198">
        <f>IFERROR(INDEX(Baseline_Entry!$T:$T,MATCH($B198,Baseline_Entry!$B:$B,0)),"")</f>
        <v>110</v>
      </c>
      <c r="P198">
        <f>IFERROR(INDEX(CAT4_Current_Master!$F:$F,MATCH($B198,CAT4_Current_Master!$A:$A,0)),"")</f>
        <v>110</v>
      </c>
      <c r="Q198">
        <f t="shared" si="24"/>
        <v>0</v>
      </c>
      <c r="R198">
        <f>IFERROR(INDEX(Baseline_Entry!$U:$U,MATCH($B198,Baseline_Entry!$B:$B,0)),"")</f>
        <v>97</v>
      </c>
      <c r="S198">
        <f>IFERROR(INDEX(CAT4_Current_Master!$G:$G,MATCH($B198,CAT4_Current_Master!$A:$A,0)),"")</f>
        <v>97</v>
      </c>
      <c r="T198">
        <f t="shared" si="25"/>
        <v>0</v>
      </c>
      <c r="U198" t="str">
        <f>IFERROR(INDEX(CAT4_Current_Master!$I:$I,MATCH($B198,CAT4_Current_Master!$A:$A,0)),"")</f>
        <v>G10</v>
      </c>
      <c r="V198" t="str">
        <f t="shared" si="26"/>
        <v>Quantitative strength</v>
      </c>
      <c r="W198" t="str">
        <f t="shared" si="27"/>
        <v>Highest current domain is quantitative reasoning, suggesting strong numerical and structured problem-solving potential.</v>
      </c>
    </row>
    <row r="199" spans="1:23" x14ac:dyDescent="0.3">
      <c r="A199" t="s">
        <v>419</v>
      </c>
      <c r="B199" t="s">
        <v>469</v>
      </c>
      <c r="C199" t="s">
        <v>470</v>
      </c>
      <c r="D199">
        <f>IFERROR(INDEX(Baseline_Entry!$N:$N,MATCH($B199,Baseline_Entry!$B:$B,0)),"")</f>
        <v>101</v>
      </c>
      <c r="E199">
        <f>IFERROR(INDEX(CAT4_Current_Master!$H:$H,MATCH($B199,CAT4_Current_Master!$A:$A,0)),"")</f>
        <v>101</v>
      </c>
      <c r="F199">
        <f t="shared" si="21"/>
        <v>0</v>
      </c>
      <c r="G199" t="str">
        <f>IFERROR(INDEX(Baseline_Entry!$Q:$Q,MATCH($B199,Baseline_Entry!$B:$B,0)),"")</f>
        <v>Extreme spatial bias</v>
      </c>
      <c r="H199" t="str">
        <f>IFERROR(INDEX(CAT4_Current_Master!$C:$C,MATCH($B199,CAT4_Current_Master!$A:$A,0)),"")</f>
        <v>Extreme spatial bias</v>
      </c>
      <c r="I199">
        <f>IFERROR(INDEX(Baseline_Entry!$R:$R,MATCH($B199,Baseline_Entry!$B:$B,0)),"")</f>
        <v>88</v>
      </c>
      <c r="J199">
        <f>IFERROR(INDEX(CAT4_Current_Master!$D:$D,MATCH($B199,CAT4_Current_Master!$A:$A,0)),"")</f>
        <v>88</v>
      </c>
      <c r="K199">
        <f t="shared" si="22"/>
        <v>0</v>
      </c>
      <c r="L199">
        <f>IFERROR(INDEX(Baseline_Entry!$S:$S,MATCH($B199,Baseline_Entry!$B:$B,0)),"")</f>
        <v>100</v>
      </c>
      <c r="M199">
        <f>IFERROR(INDEX(CAT4_Current_Master!$E:$E,MATCH($B199,CAT4_Current_Master!$A:$A,0)),"")</f>
        <v>100</v>
      </c>
      <c r="N199">
        <f t="shared" si="23"/>
        <v>0</v>
      </c>
      <c r="O199">
        <f>IFERROR(INDEX(Baseline_Entry!$T:$T,MATCH($B199,Baseline_Entry!$B:$B,0)),"")</f>
        <v>101</v>
      </c>
      <c r="P199">
        <f>IFERROR(INDEX(CAT4_Current_Master!$F:$F,MATCH($B199,CAT4_Current_Master!$A:$A,0)),"")</f>
        <v>101</v>
      </c>
      <c r="Q199">
        <f t="shared" si="24"/>
        <v>0</v>
      </c>
      <c r="R199">
        <f>IFERROR(INDEX(Baseline_Entry!$U:$U,MATCH($B199,Baseline_Entry!$B:$B,0)),"")</f>
        <v>116</v>
      </c>
      <c r="S199">
        <f>IFERROR(INDEX(CAT4_Current_Master!$G:$G,MATCH($B199,CAT4_Current_Master!$A:$A,0)),"")</f>
        <v>116</v>
      </c>
      <c r="T199">
        <f t="shared" si="25"/>
        <v>0</v>
      </c>
      <c r="U199" t="str">
        <f>IFERROR(INDEX(CAT4_Current_Master!$I:$I,MATCH($B199,CAT4_Current_Master!$A:$A,0)),"")</f>
        <v>G10</v>
      </c>
      <c r="V199" t="str">
        <f t="shared" si="26"/>
        <v>Spatial strength</v>
      </c>
      <c r="W199" t="str">
        <f t="shared" si="27"/>
        <v>Highest current domain is spatial reasoning, suggesting strength in visualisation, modelling, and design tasks.</v>
      </c>
    </row>
    <row r="200" spans="1:23" x14ac:dyDescent="0.3">
      <c r="A200" t="s">
        <v>419</v>
      </c>
      <c r="B200" t="s">
        <v>471</v>
      </c>
      <c r="C200" t="s">
        <v>472</v>
      </c>
      <c r="D200">
        <f>IFERROR(INDEX(Baseline_Entry!$N:$N,MATCH($B200,Baseline_Entry!$B:$B,0)),"")</f>
        <v>100</v>
      </c>
      <c r="E200">
        <f>IFERROR(INDEX(CAT4_Current_Master!$H:$H,MATCH($B200,CAT4_Current_Master!$A:$A,0)),"")</f>
        <v>100</v>
      </c>
      <c r="F200">
        <f t="shared" si="21"/>
        <v>0</v>
      </c>
      <c r="G200" t="str">
        <f>IFERROR(INDEX(Baseline_Entry!$Q:$Q,MATCH($B200,Baseline_Entry!$B:$B,0)),"")</f>
        <v>Mild spatial bias</v>
      </c>
      <c r="H200" t="str">
        <f>IFERROR(INDEX(CAT4_Current_Master!$C:$C,MATCH($B200,CAT4_Current_Master!$A:$A,0)),"")</f>
        <v>Mild spatial bias</v>
      </c>
      <c r="I200">
        <f>IFERROR(INDEX(Baseline_Entry!$R:$R,MATCH($B200,Baseline_Entry!$B:$B,0)),"")</f>
        <v>86</v>
      </c>
      <c r="J200">
        <f>IFERROR(INDEX(CAT4_Current_Master!$D:$D,MATCH($B200,CAT4_Current_Master!$A:$A,0)),"")</f>
        <v>86</v>
      </c>
      <c r="K200">
        <f t="shared" si="22"/>
        <v>0</v>
      </c>
      <c r="L200">
        <f>IFERROR(INDEX(Baseline_Entry!$S:$S,MATCH($B200,Baseline_Entry!$B:$B,0)),"")</f>
        <v>116</v>
      </c>
      <c r="M200">
        <f>IFERROR(INDEX(CAT4_Current_Master!$E:$E,MATCH($B200,CAT4_Current_Master!$A:$A,0)),"")</f>
        <v>116</v>
      </c>
      <c r="N200">
        <f t="shared" si="23"/>
        <v>0</v>
      </c>
      <c r="O200">
        <f>IFERROR(INDEX(Baseline_Entry!$T:$T,MATCH($B200,Baseline_Entry!$B:$B,0)),"")</f>
        <v>99</v>
      </c>
      <c r="P200">
        <f>IFERROR(INDEX(CAT4_Current_Master!$F:$F,MATCH($B200,CAT4_Current_Master!$A:$A,0)),"")</f>
        <v>99</v>
      </c>
      <c r="Q200">
        <f t="shared" si="24"/>
        <v>0</v>
      </c>
      <c r="R200">
        <f>IFERROR(INDEX(Baseline_Entry!$U:$U,MATCH($B200,Baseline_Entry!$B:$B,0)),"")</f>
        <v>100</v>
      </c>
      <c r="S200">
        <f>IFERROR(INDEX(CAT4_Current_Master!$G:$G,MATCH($B200,CAT4_Current_Master!$A:$A,0)),"")</f>
        <v>100</v>
      </c>
      <c r="T200">
        <f t="shared" si="25"/>
        <v>0</v>
      </c>
      <c r="U200" t="str">
        <f>IFERROR(INDEX(CAT4_Current_Master!$I:$I,MATCH($B200,CAT4_Current_Master!$A:$A,0)),"")</f>
        <v>G10</v>
      </c>
      <c r="V200" t="str">
        <f t="shared" si="26"/>
        <v>Quantitative strength</v>
      </c>
      <c r="W200" t="str">
        <f t="shared" si="27"/>
        <v>Highest current domain is quantitative reasoning, suggesting strong numerical and structured problem-solving potential.</v>
      </c>
    </row>
    <row r="201" spans="1:23" x14ac:dyDescent="0.3">
      <c r="A201" t="s">
        <v>419</v>
      </c>
      <c r="B201" t="s">
        <v>473</v>
      </c>
      <c r="C201" t="s">
        <v>474</v>
      </c>
      <c r="D201">
        <f>IFERROR(INDEX(Baseline_Entry!$N:$N,MATCH($B201,Baseline_Entry!$B:$B,0)),"")</f>
        <v>99</v>
      </c>
      <c r="E201">
        <f>IFERROR(INDEX(CAT4_Current_Master!$H:$H,MATCH($B201,CAT4_Current_Master!$A:$A,0)),"")</f>
        <v>99</v>
      </c>
      <c r="F201">
        <f t="shared" si="21"/>
        <v>0</v>
      </c>
      <c r="G201" t="str">
        <f>IFERROR(INDEX(Baseline_Entry!$Q:$Q,MATCH($B201,Baseline_Entry!$B:$B,0)),"")</f>
        <v>No bias</v>
      </c>
      <c r="H201" t="str">
        <f>IFERROR(INDEX(CAT4_Current_Master!$C:$C,MATCH($B201,CAT4_Current_Master!$A:$A,0)),"")</f>
        <v>No bias</v>
      </c>
      <c r="I201">
        <f>IFERROR(INDEX(Baseline_Entry!$R:$R,MATCH($B201,Baseline_Entry!$B:$B,0)),"")</f>
        <v>91</v>
      </c>
      <c r="J201">
        <f>IFERROR(INDEX(CAT4_Current_Master!$D:$D,MATCH($B201,CAT4_Current_Master!$A:$A,0)),"")</f>
        <v>91</v>
      </c>
      <c r="K201">
        <f t="shared" si="22"/>
        <v>0</v>
      </c>
      <c r="L201">
        <f>IFERROR(INDEX(Baseline_Entry!$S:$S,MATCH($B201,Baseline_Entry!$B:$B,0)),"")</f>
        <v>105</v>
      </c>
      <c r="M201">
        <f>IFERROR(INDEX(CAT4_Current_Master!$E:$E,MATCH($B201,CAT4_Current_Master!$A:$A,0)),"")</f>
        <v>105</v>
      </c>
      <c r="N201">
        <f t="shared" si="23"/>
        <v>0</v>
      </c>
      <c r="O201">
        <f>IFERROR(INDEX(Baseline_Entry!$T:$T,MATCH($B201,Baseline_Entry!$B:$B,0)),"")</f>
        <v>102</v>
      </c>
      <c r="P201">
        <f>IFERROR(INDEX(CAT4_Current_Master!$F:$F,MATCH($B201,CAT4_Current_Master!$A:$A,0)),"")</f>
        <v>102</v>
      </c>
      <c r="Q201">
        <f t="shared" si="24"/>
        <v>0</v>
      </c>
      <c r="R201">
        <f>IFERROR(INDEX(Baseline_Entry!$U:$U,MATCH($B201,Baseline_Entry!$B:$B,0)),"")</f>
        <v>99</v>
      </c>
      <c r="S201">
        <f>IFERROR(INDEX(CAT4_Current_Master!$G:$G,MATCH($B201,CAT4_Current_Master!$A:$A,0)),"")</f>
        <v>99</v>
      </c>
      <c r="T201">
        <f t="shared" si="25"/>
        <v>0</v>
      </c>
      <c r="U201" t="str">
        <f>IFERROR(INDEX(CAT4_Current_Master!$I:$I,MATCH($B201,CAT4_Current_Master!$A:$A,0)),"")</f>
        <v>G10</v>
      </c>
      <c r="V201" t="str">
        <f t="shared" si="26"/>
        <v>Quantitative strength</v>
      </c>
      <c r="W201" t="str">
        <f t="shared" si="27"/>
        <v>Highest current domain is quantitative reasoning, suggesting strong numerical and structured problem-solving potential.</v>
      </c>
    </row>
    <row r="202" spans="1:23" x14ac:dyDescent="0.3">
      <c r="A202" t="s">
        <v>419</v>
      </c>
      <c r="B202" t="s">
        <v>475</v>
      </c>
      <c r="C202" t="s">
        <v>476</v>
      </c>
      <c r="D202">
        <f>IFERROR(INDEX(Baseline_Entry!$N:$N,MATCH($B202,Baseline_Entry!$B:$B,0)),"")</f>
        <v>97</v>
      </c>
      <c r="E202">
        <f>IFERROR(INDEX(CAT4_Current_Master!$H:$H,MATCH($B202,CAT4_Current_Master!$A:$A,0)),"")</f>
        <v>97</v>
      </c>
      <c r="F202">
        <f t="shared" si="21"/>
        <v>0</v>
      </c>
      <c r="G202" t="str">
        <f>IFERROR(INDEX(Baseline_Entry!$Q:$Q,MATCH($B202,Baseline_Entry!$B:$B,0)),"")</f>
        <v>Extreme spatial bias</v>
      </c>
      <c r="H202" t="str">
        <f>IFERROR(INDEX(CAT4_Current_Master!$C:$C,MATCH($B202,CAT4_Current_Master!$A:$A,0)),"")</f>
        <v>Extreme spatial bias</v>
      </c>
      <c r="I202">
        <f>IFERROR(INDEX(Baseline_Entry!$R:$R,MATCH($B202,Baseline_Entry!$B:$B,0)),"")</f>
        <v>79</v>
      </c>
      <c r="J202">
        <f>IFERROR(INDEX(CAT4_Current_Master!$D:$D,MATCH($B202,CAT4_Current_Master!$A:$A,0)),"")</f>
        <v>79</v>
      </c>
      <c r="K202">
        <f t="shared" si="22"/>
        <v>0</v>
      </c>
      <c r="L202">
        <f>IFERROR(INDEX(Baseline_Entry!$S:$S,MATCH($B202,Baseline_Entry!$B:$B,0)),"")</f>
        <v>102</v>
      </c>
      <c r="M202">
        <f>IFERROR(INDEX(CAT4_Current_Master!$E:$E,MATCH($B202,CAT4_Current_Master!$A:$A,0)),"")</f>
        <v>102</v>
      </c>
      <c r="N202">
        <f t="shared" si="23"/>
        <v>0</v>
      </c>
      <c r="O202">
        <f>IFERROR(INDEX(Baseline_Entry!$T:$T,MATCH($B202,Baseline_Entry!$B:$B,0)),"")</f>
        <v>101</v>
      </c>
      <c r="P202">
        <f>IFERROR(INDEX(CAT4_Current_Master!$F:$F,MATCH($B202,CAT4_Current_Master!$A:$A,0)),"")</f>
        <v>101</v>
      </c>
      <c r="Q202">
        <f t="shared" si="24"/>
        <v>0</v>
      </c>
      <c r="R202">
        <f>IFERROR(INDEX(Baseline_Entry!$U:$U,MATCH($B202,Baseline_Entry!$B:$B,0)),"")</f>
        <v>106</v>
      </c>
      <c r="S202">
        <f>IFERROR(INDEX(CAT4_Current_Master!$G:$G,MATCH($B202,CAT4_Current_Master!$A:$A,0)),"")</f>
        <v>106</v>
      </c>
      <c r="T202">
        <f t="shared" si="25"/>
        <v>0</v>
      </c>
      <c r="U202" t="str">
        <f>IFERROR(INDEX(CAT4_Current_Master!$I:$I,MATCH($B202,CAT4_Current_Master!$A:$A,0)),"")</f>
        <v>G10</v>
      </c>
      <c r="V202" t="str">
        <f t="shared" si="26"/>
        <v>Spatial strength</v>
      </c>
      <c r="W202" t="str">
        <f t="shared" si="27"/>
        <v>Highest current domain is spatial reasoning, suggesting strength in visualisation, modelling, and design tasks.</v>
      </c>
    </row>
    <row r="203" spans="1:23" x14ac:dyDescent="0.3">
      <c r="A203" t="s">
        <v>419</v>
      </c>
      <c r="B203" t="s">
        <v>477</v>
      </c>
      <c r="C203" t="s">
        <v>478</v>
      </c>
      <c r="D203">
        <f>IFERROR(INDEX(Baseline_Entry!$N:$N,MATCH($B203,Baseline_Entry!$B:$B,0)),"")</f>
        <v>95</v>
      </c>
      <c r="E203">
        <f>IFERROR(INDEX(CAT4_Current_Master!$H:$H,MATCH($B203,CAT4_Current_Master!$A:$A,0)),"")</f>
        <v>95</v>
      </c>
      <c r="F203">
        <f t="shared" si="21"/>
        <v>0</v>
      </c>
      <c r="G203" t="str">
        <f>IFERROR(INDEX(Baseline_Entry!$Q:$Q,MATCH($B203,Baseline_Entry!$B:$B,0)),"")</f>
        <v>Moderate spatial bias</v>
      </c>
      <c r="H203" t="str">
        <f>IFERROR(INDEX(CAT4_Current_Master!$C:$C,MATCH($B203,CAT4_Current_Master!$A:$A,0)),"")</f>
        <v>Moderate spatial bias</v>
      </c>
      <c r="I203">
        <f>IFERROR(INDEX(Baseline_Entry!$R:$R,MATCH($B203,Baseline_Entry!$B:$B,0)),"")</f>
        <v>77</v>
      </c>
      <c r="J203">
        <f>IFERROR(INDEX(CAT4_Current_Master!$D:$D,MATCH($B203,CAT4_Current_Master!$A:$A,0)),"")</f>
        <v>77</v>
      </c>
      <c r="K203">
        <f t="shared" si="22"/>
        <v>0</v>
      </c>
      <c r="L203">
        <f>IFERROR(INDEX(Baseline_Entry!$S:$S,MATCH($B203,Baseline_Entry!$B:$B,0)),"")</f>
        <v>98</v>
      </c>
      <c r="M203">
        <f>IFERROR(INDEX(CAT4_Current_Master!$E:$E,MATCH($B203,CAT4_Current_Master!$A:$A,0)),"")</f>
        <v>98</v>
      </c>
      <c r="N203">
        <f t="shared" si="23"/>
        <v>0</v>
      </c>
      <c r="O203">
        <f>IFERROR(INDEX(Baseline_Entry!$T:$T,MATCH($B203,Baseline_Entry!$B:$B,0)),"")</f>
        <v>107</v>
      </c>
      <c r="P203">
        <f>IFERROR(INDEX(CAT4_Current_Master!$F:$F,MATCH($B203,CAT4_Current_Master!$A:$A,0)),"")</f>
        <v>107</v>
      </c>
      <c r="Q203">
        <f t="shared" si="24"/>
        <v>0</v>
      </c>
      <c r="R203">
        <f>IFERROR(INDEX(Baseline_Entry!$U:$U,MATCH($B203,Baseline_Entry!$B:$B,0)),"")</f>
        <v>97</v>
      </c>
      <c r="S203">
        <f>IFERROR(INDEX(CAT4_Current_Master!$G:$G,MATCH($B203,CAT4_Current_Master!$A:$A,0)),"")</f>
        <v>97</v>
      </c>
      <c r="T203">
        <f t="shared" si="25"/>
        <v>0</v>
      </c>
      <c r="U203" t="str">
        <f>IFERROR(INDEX(CAT4_Current_Master!$I:$I,MATCH($B203,CAT4_Current_Master!$A:$A,0)),"")</f>
        <v>G10</v>
      </c>
      <c r="V203" t="str">
        <f t="shared" si="26"/>
        <v>Mixed profile</v>
      </c>
      <c r="W203" t="str">
        <f t="shared" si="27"/>
        <v>Mixed cognitive pattern requiring differentiated instruction.</v>
      </c>
    </row>
    <row r="204" spans="1:23" x14ac:dyDescent="0.3">
      <c r="A204" t="s">
        <v>419</v>
      </c>
      <c r="B204" t="s">
        <v>479</v>
      </c>
      <c r="C204" t="s">
        <v>480</v>
      </c>
      <c r="D204">
        <f>IFERROR(INDEX(Baseline_Entry!$N:$N,MATCH($B204,Baseline_Entry!$B:$B,0)),"")</f>
        <v>92</v>
      </c>
      <c r="E204">
        <f>IFERROR(INDEX(CAT4_Current_Master!$H:$H,MATCH($B204,CAT4_Current_Master!$A:$A,0)),"")</f>
        <v>92</v>
      </c>
      <c r="F204">
        <f t="shared" si="21"/>
        <v>0</v>
      </c>
      <c r="G204" t="str">
        <f>IFERROR(INDEX(Baseline_Entry!$Q:$Q,MATCH($B204,Baseline_Entry!$B:$B,0)),"")</f>
        <v>No bias</v>
      </c>
      <c r="H204" t="str">
        <f>IFERROR(INDEX(CAT4_Current_Master!$C:$C,MATCH($B204,CAT4_Current_Master!$A:$A,0)),"")</f>
        <v>No bias</v>
      </c>
      <c r="I204">
        <f>IFERROR(INDEX(Baseline_Entry!$R:$R,MATCH($B204,Baseline_Entry!$B:$B,0)),"")</f>
        <v>81</v>
      </c>
      <c r="J204">
        <f>IFERROR(INDEX(CAT4_Current_Master!$D:$D,MATCH($B204,CAT4_Current_Master!$A:$A,0)),"")</f>
        <v>81</v>
      </c>
      <c r="K204">
        <f t="shared" si="22"/>
        <v>0</v>
      </c>
      <c r="L204">
        <f>IFERROR(INDEX(Baseline_Entry!$S:$S,MATCH($B204,Baseline_Entry!$B:$B,0)),"")</f>
        <v>95</v>
      </c>
      <c r="M204">
        <f>IFERROR(INDEX(CAT4_Current_Master!$E:$E,MATCH($B204,CAT4_Current_Master!$A:$A,0)),"")</f>
        <v>95</v>
      </c>
      <c r="N204">
        <f t="shared" si="23"/>
        <v>0</v>
      </c>
      <c r="O204">
        <f>IFERROR(INDEX(Baseline_Entry!$T:$T,MATCH($B204,Baseline_Entry!$B:$B,0)),"")</f>
        <v>109</v>
      </c>
      <c r="P204">
        <f>IFERROR(INDEX(CAT4_Current_Master!$F:$F,MATCH($B204,CAT4_Current_Master!$A:$A,0)),"")</f>
        <v>109</v>
      </c>
      <c r="Q204">
        <f t="shared" si="24"/>
        <v>0</v>
      </c>
      <c r="R204">
        <f>IFERROR(INDEX(Baseline_Entry!$U:$U,MATCH($B204,Baseline_Entry!$B:$B,0)),"")</f>
        <v>84</v>
      </c>
      <c r="S204">
        <f>IFERROR(INDEX(CAT4_Current_Master!$G:$G,MATCH($B204,CAT4_Current_Master!$A:$A,0)),"")</f>
        <v>84</v>
      </c>
      <c r="T204">
        <f t="shared" si="25"/>
        <v>0</v>
      </c>
      <c r="U204" t="str">
        <f>IFERROR(INDEX(CAT4_Current_Master!$I:$I,MATCH($B204,CAT4_Current_Master!$A:$A,0)),"")</f>
        <v>G10</v>
      </c>
      <c r="V204" t="str">
        <f t="shared" si="26"/>
        <v>Mixed profile</v>
      </c>
      <c r="W204" t="str">
        <f t="shared" si="27"/>
        <v>Mixed cognitive pattern requiring differentiated instruction.</v>
      </c>
    </row>
    <row r="205" spans="1:23" x14ac:dyDescent="0.3">
      <c r="A205" t="s">
        <v>419</v>
      </c>
      <c r="B205" t="s">
        <v>481</v>
      </c>
      <c r="C205" t="s">
        <v>482</v>
      </c>
      <c r="D205">
        <f>IFERROR(INDEX(Baseline_Entry!$N:$N,MATCH($B205,Baseline_Entry!$B:$B,0)),"")</f>
        <v>117</v>
      </c>
      <c r="E205">
        <f>IFERROR(INDEX(CAT4_Current_Master!$H:$H,MATCH($B205,CAT4_Current_Master!$A:$A,0)),"")</f>
        <v>117</v>
      </c>
      <c r="F205">
        <f t="shared" si="21"/>
        <v>0</v>
      </c>
      <c r="G205" t="str">
        <f>IFERROR(INDEX(Baseline_Entry!$Q:$Q,MATCH($B205,Baseline_Entry!$B:$B,0)),"")</f>
        <v>Moderate spatial bias</v>
      </c>
      <c r="H205" t="str">
        <f>IFERROR(INDEX(CAT4_Current_Master!$C:$C,MATCH($B205,CAT4_Current_Master!$A:$A,0)),"")</f>
        <v>Moderate spatial bias</v>
      </c>
      <c r="I205">
        <f>IFERROR(INDEX(Baseline_Entry!$R:$R,MATCH($B205,Baseline_Entry!$B:$B,0)),"")</f>
        <v>106</v>
      </c>
      <c r="J205">
        <f>IFERROR(INDEX(CAT4_Current_Master!$D:$D,MATCH($B205,CAT4_Current_Master!$A:$A,0)),"")</f>
        <v>106</v>
      </c>
      <c r="K205">
        <f t="shared" si="22"/>
        <v>0</v>
      </c>
      <c r="L205">
        <f>IFERROR(INDEX(Baseline_Entry!$S:$S,MATCH($B205,Baseline_Entry!$B:$B,0)),"")</f>
        <v>114</v>
      </c>
      <c r="M205">
        <f>IFERROR(INDEX(CAT4_Current_Master!$E:$E,MATCH($B205,CAT4_Current_Master!$A:$A,0)),"")</f>
        <v>114</v>
      </c>
      <c r="N205">
        <f t="shared" si="23"/>
        <v>0</v>
      </c>
      <c r="O205">
        <f>IFERROR(INDEX(Baseline_Entry!$T:$T,MATCH($B205,Baseline_Entry!$B:$B,0)),"")</f>
        <v>120</v>
      </c>
      <c r="P205">
        <f>IFERROR(INDEX(CAT4_Current_Master!$F:$F,MATCH($B205,CAT4_Current_Master!$A:$A,0)),"")</f>
        <v>120</v>
      </c>
      <c r="Q205">
        <f t="shared" si="24"/>
        <v>0</v>
      </c>
      <c r="R205">
        <f>IFERROR(INDEX(Baseline_Entry!$U:$U,MATCH($B205,Baseline_Entry!$B:$B,0)),"")</f>
        <v>128</v>
      </c>
      <c r="S205">
        <f>IFERROR(INDEX(CAT4_Current_Master!$G:$G,MATCH($B205,CAT4_Current_Master!$A:$A,0)),"")</f>
        <v>128</v>
      </c>
      <c r="T205">
        <f t="shared" si="25"/>
        <v>0</v>
      </c>
      <c r="U205" t="str">
        <f>IFERROR(INDEX(CAT4_Current_Master!$I:$I,MATCH($B205,CAT4_Current_Master!$A:$A,0)),"")</f>
        <v>G10</v>
      </c>
      <c r="V205" t="str">
        <f t="shared" si="26"/>
        <v>Spatial strength</v>
      </c>
      <c r="W205" t="str">
        <f t="shared" si="27"/>
        <v>Highest current domain is spatial reasoning, suggesting strength in visualisation, modelling, and design tasks.</v>
      </c>
    </row>
    <row r="206" spans="1:23" x14ac:dyDescent="0.3">
      <c r="A206" t="s">
        <v>419</v>
      </c>
      <c r="B206" t="s">
        <v>483</v>
      </c>
      <c r="C206" t="s">
        <v>484</v>
      </c>
      <c r="D206">
        <f>IFERROR(INDEX(Baseline_Entry!$N:$N,MATCH($B206,Baseline_Entry!$B:$B,0)),"")</f>
        <v>86</v>
      </c>
      <c r="E206">
        <f>IFERROR(INDEX(CAT4_Current_Master!$H:$H,MATCH($B206,CAT4_Current_Master!$A:$A,0)),"")</f>
        <v>86</v>
      </c>
      <c r="F206">
        <f t="shared" si="21"/>
        <v>0</v>
      </c>
      <c r="G206" t="str">
        <f>IFERROR(INDEX(Baseline_Entry!$Q:$Q,MATCH($B206,Baseline_Entry!$B:$B,0)),"")</f>
        <v>Mild verbal bias</v>
      </c>
      <c r="H206" t="str">
        <f>IFERROR(INDEX(CAT4_Current_Master!$C:$C,MATCH($B206,CAT4_Current_Master!$A:$A,0)),"")</f>
        <v>Mild verbal bias</v>
      </c>
      <c r="I206">
        <f>IFERROR(INDEX(Baseline_Entry!$R:$R,MATCH($B206,Baseline_Entry!$B:$B,0)),"")</f>
        <v>92</v>
      </c>
      <c r="J206">
        <f>IFERROR(INDEX(CAT4_Current_Master!$D:$D,MATCH($B206,CAT4_Current_Master!$A:$A,0)),"")</f>
        <v>92</v>
      </c>
      <c r="K206">
        <f t="shared" si="22"/>
        <v>0</v>
      </c>
      <c r="L206">
        <f>IFERROR(INDEX(Baseline_Entry!$S:$S,MATCH($B206,Baseline_Entry!$B:$B,0)),"")</f>
        <v>88</v>
      </c>
      <c r="M206">
        <f>IFERROR(INDEX(CAT4_Current_Master!$E:$E,MATCH($B206,CAT4_Current_Master!$A:$A,0)),"")</f>
        <v>88</v>
      </c>
      <c r="N206">
        <f t="shared" si="23"/>
        <v>0</v>
      </c>
      <c r="O206">
        <f>IFERROR(INDEX(Baseline_Entry!$T:$T,MATCH($B206,Baseline_Entry!$B:$B,0)),"")</f>
        <v>85</v>
      </c>
      <c r="P206">
        <f>IFERROR(INDEX(CAT4_Current_Master!$F:$F,MATCH($B206,CAT4_Current_Master!$A:$A,0)),"")</f>
        <v>85</v>
      </c>
      <c r="Q206">
        <f t="shared" si="24"/>
        <v>0</v>
      </c>
      <c r="R206">
        <f>IFERROR(INDEX(Baseline_Entry!$U:$U,MATCH($B206,Baseline_Entry!$B:$B,0)),"")</f>
        <v>77</v>
      </c>
      <c r="S206">
        <f>IFERROR(INDEX(CAT4_Current_Master!$G:$G,MATCH($B206,CAT4_Current_Master!$A:$A,0)),"")</f>
        <v>77</v>
      </c>
      <c r="T206">
        <f t="shared" si="25"/>
        <v>0</v>
      </c>
      <c r="U206" t="str">
        <f>IFERROR(INDEX(CAT4_Current_Master!$I:$I,MATCH($B206,CAT4_Current_Master!$A:$A,0)),"")</f>
        <v>G10</v>
      </c>
      <c r="V206" t="str">
        <f t="shared" si="26"/>
        <v>Verbal strength</v>
      </c>
      <c r="W206" t="str">
        <f t="shared" si="27"/>
        <v>Highest current domain is verbal reasoning, suggesting strength in language-rich, discussion-rich, and evidence-based tasks.</v>
      </c>
    </row>
    <row r="207" spans="1:23" x14ac:dyDescent="0.3">
      <c r="A207" t="s">
        <v>419</v>
      </c>
      <c r="B207" t="s">
        <v>485</v>
      </c>
      <c r="C207" t="s">
        <v>486</v>
      </c>
      <c r="D207">
        <f>IFERROR(INDEX(Baseline_Entry!$N:$N,MATCH($B207,Baseline_Entry!$B:$B,0)),"")</f>
        <v>97</v>
      </c>
      <c r="E207">
        <f>IFERROR(INDEX(CAT4_Current_Master!$H:$H,MATCH($B207,CAT4_Current_Master!$A:$A,0)),"")</f>
        <v>97</v>
      </c>
      <c r="F207">
        <f t="shared" si="21"/>
        <v>0</v>
      </c>
      <c r="G207" t="str">
        <f>IFERROR(INDEX(Baseline_Entry!$Q:$Q,MATCH($B207,Baseline_Entry!$B:$B,0)),"")</f>
        <v>Mild spatial bias</v>
      </c>
      <c r="H207" t="str">
        <f>IFERROR(INDEX(CAT4_Current_Master!$C:$C,MATCH($B207,CAT4_Current_Master!$A:$A,0)),"")</f>
        <v>Mild spatial bias</v>
      </c>
      <c r="I207">
        <f>IFERROR(INDEX(Baseline_Entry!$R:$R,MATCH($B207,Baseline_Entry!$B:$B,0)),"")</f>
        <v>85</v>
      </c>
      <c r="J207">
        <f>IFERROR(INDEX(CAT4_Current_Master!$D:$D,MATCH($B207,CAT4_Current_Master!$A:$A,0)),"")</f>
        <v>85</v>
      </c>
      <c r="K207">
        <f t="shared" si="22"/>
        <v>0</v>
      </c>
      <c r="L207">
        <f>IFERROR(INDEX(Baseline_Entry!$S:$S,MATCH($B207,Baseline_Entry!$B:$B,0)),"")</f>
        <v>102</v>
      </c>
      <c r="M207">
        <f>IFERROR(INDEX(CAT4_Current_Master!$E:$E,MATCH($B207,CAT4_Current_Master!$A:$A,0)),"")</f>
        <v>102</v>
      </c>
      <c r="N207">
        <f t="shared" si="23"/>
        <v>0</v>
      </c>
      <c r="O207">
        <f>IFERROR(INDEX(Baseline_Entry!$T:$T,MATCH($B207,Baseline_Entry!$B:$B,0)),"")</f>
        <v>103</v>
      </c>
      <c r="P207">
        <f>IFERROR(INDEX(CAT4_Current_Master!$F:$F,MATCH($B207,CAT4_Current_Master!$A:$A,0)),"")</f>
        <v>103</v>
      </c>
      <c r="Q207">
        <f t="shared" si="24"/>
        <v>0</v>
      </c>
      <c r="R207">
        <f>IFERROR(INDEX(Baseline_Entry!$U:$U,MATCH($B207,Baseline_Entry!$B:$B,0)),"")</f>
        <v>97</v>
      </c>
      <c r="S207">
        <f>IFERROR(INDEX(CAT4_Current_Master!$G:$G,MATCH($B207,CAT4_Current_Master!$A:$A,0)),"")</f>
        <v>97</v>
      </c>
      <c r="T207">
        <f t="shared" si="25"/>
        <v>0</v>
      </c>
      <c r="U207" t="str">
        <f>IFERROR(INDEX(CAT4_Current_Master!$I:$I,MATCH($B207,CAT4_Current_Master!$A:$A,0)),"")</f>
        <v>G10</v>
      </c>
      <c r="V207" t="str">
        <f t="shared" si="26"/>
        <v>Analytical / Abstract thinker</v>
      </c>
      <c r="W207" t="str">
        <f t="shared" si="27"/>
        <v>Strong non-verbal reasoning supported by quantitative strength; well aligned with advanced analytical and STEM-rich tasks.</v>
      </c>
    </row>
    <row r="208" spans="1:23" x14ac:dyDescent="0.3">
      <c r="A208" t="s">
        <v>419</v>
      </c>
      <c r="B208" t="s">
        <v>487</v>
      </c>
      <c r="C208" t="s">
        <v>488</v>
      </c>
      <c r="D208">
        <f>IFERROR(INDEX(Baseline_Entry!$N:$N,MATCH($B208,Baseline_Entry!$B:$B,0)),"")</f>
        <v>90</v>
      </c>
      <c r="E208">
        <f>IFERROR(INDEX(CAT4_Current_Master!$H:$H,MATCH($B208,CAT4_Current_Master!$A:$A,0)),"")</f>
        <v>90</v>
      </c>
      <c r="F208">
        <f t="shared" si="21"/>
        <v>0</v>
      </c>
      <c r="G208" t="str">
        <f>IFERROR(INDEX(Baseline_Entry!$Q:$Q,MATCH($B208,Baseline_Entry!$B:$B,0)),"")</f>
        <v>No bias</v>
      </c>
      <c r="H208" t="str">
        <f>IFERROR(INDEX(CAT4_Current_Master!$C:$C,MATCH($B208,CAT4_Current_Master!$A:$A,0)),"")</f>
        <v>No bias</v>
      </c>
      <c r="I208">
        <f>IFERROR(INDEX(Baseline_Entry!$R:$R,MATCH($B208,Baseline_Entry!$B:$B,0)),"")</f>
        <v>76</v>
      </c>
      <c r="J208">
        <f>IFERROR(INDEX(CAT4_Current_Master!$D:$D,MATCH($B208,CAT4_Current_Master!$A:$A,0)),"")</f>
        <v>76</v>
      </c>
      <c r="K208">
        <f t="shared" si="22"/>
        <v>0</v>
      </c>
      <c r="L208">
        <f>IFERROR(INDEX(Baseline_Entry!$S:$S,MATCH($B208,Baseline_Entry!$B:$B,0)),"")</f>
        <v>106</v>
      </c>
      <c r="M208">
        <f>IFERROR(INDEX(CAT4_Current_Master!$E:$E,MATCH($B208,CAT4_Current_Master!$A:$A,0)),"")</f>
        <v>106</v>
      </c>
      <c r="N208">
        <f t="shared" si="23"/>
        <v>0</v>
      </c>
      <c r="O208">
        <f>IFERROR(INDEX(Baseline_Entry!$T:$T,MATCH($B208,Baseline_Entry!$B:$B,0)),"")</f>
        <v>94</v>
      </c>
      <c r="P208">
        <f>IFERROR(INDEX(CAT4_Current_Master!$F:$F,MATCH($B208,CAT4_Current_Master!$A:$A,0)),"")</f>
        <v>94</v>
      </c>
      <c r="Q208">
        <f t="shared" si="24"/>
        <v>0</v>
      </c>
      <c r="R208">
        <f>IFERROR(INDEX(Baseline_Entry!$U:$U,MATCH($B208,Baseline_Entry!$B:$B,0)),"")</f>
        <v>84</v>
      </c>
      <c r="S208">
        <f>IFERROR(INDEX(CAT4_Current_Master!$G:$G,MATCH($B208,CAT4_Current_Master!$A:$A,0)),"")</f>
        <v>84</v>
      </c>
      <c r="T208">
        <f t="shared" si="25"/>
        <v>0</v>
      </c>
      <c r="U208" t="str">
        <f>IFERROR(INDEX(CAT4_Current_Master!$I:$I,MATCH($B208,CAT4_Current_Master!$A:$A,0)),"")</f>
        <v>G10</v>
      </c>
      <c r="V208" t="str">
        <f t="shared" si="26"/>
        <v>Quantitative strength</v>
      </c>
      <c r="W208" t="str">
        <f t="shared" si="27"/>
        <v>Highest current domain is quantitative reasoning, suggesting strong numerical and structured problem-solving potential.</v>
      </c>
    </row>
    <row r="209" spans="1:23" x14ac:dyDescent="0.3">
      <c r="A209" t="s">
        <v>419</v>
      </c>
      <c r="B209" t="s">
        <v>489</v>
      </c>
      <c r="C209" t="s">
        <v>490</v>
      </c>
      <c r="D209">
        <f>IFERROR(INDEX(Baseline_Entry!$N:$N,MATCH($B209,Baseline_Entry!$B:$B,0)),"")</f>
        <v>99</v>
      </c>
      <c r="E209">
        <f>IFERROR(INDEX(CAT4_Current_Master!$H:$H,MATCH($B209,CAT4_Current_Master!$A:$A,0)),"")</f>
        <v>99</v>
      </c>
      <c r="F209">
        <f t="shared" si="21"/>
        <v>0</v>
      </c>
      <c r="G209" t="str">
        <f>IFERROR(INDEX(Baseline_Entry!$Q:$Q,MATCH($B209,Baseline_Entry!$B:$B,0)),"")</f>
        <v>No bias</v>
      </c>
      <c r="H209" t="str">
        <f>IFERROR(INDEX(CAT4_Current_Master!$C:$C,MATCH($B209,CAT4_Current_Master!$A:$A,0)),"")</f>
        <v>No bias</v>
      </c>
      <c r="I209">
        <f>IFERROR(INDEX(Baseline_Entry!$R:$R,MATCH($B209,Baseline_Entry!$B:$B,0)),"")</f>
        <v>89</v>
      </c>
      <c r="J209">
        <f>IFERROR(INDEX(CAT4_Current_Master!$D:$D,MATCH($B209,CAT4_Current_Master!$A:$A,0)),"")</f>
        <v>89</v>
      </c>
      <c r="K209">
        <f t="shared" si="22"/>
        <v>0</v>
      </c>
      <c r="L209">
        <f>IFERROR(INDEX(Baseline_Entry!$S:$S,MATCH($B209,Baseline_Entry!$B:$B,0)),"")</f>
        <v>101</v>
      </c>
      <c r="M209">
        <f>IFERROR(INDEX(CAT4_Current_Master!$E:$E,MATCH($B209,CAT4_Current_Master!$A:$A,0)),"")</f>
        <v>101</v>
      </c>
      <c r="N209">
        <f t="shared" si="23"/>
        <v>0</v>
      </c>
      <c r="O209">
        <f>IFERROR(INDEX(Baseline_Entry!$T:$T,MATCH($B209,Baseline_Entry!$B:$B,0)),"")</f>
        <v>105</v>
      </c>
      <c r="P209">
        <f>IFERROR(INDEX(CAT4_Current_Master!$F:$F,MATCH($B209,CAT4_Current_Master!$A:$A,0)),"")</f>
        <v>105</v>
      </c>
      <c r="Q209">
        <f t="shared" si="24"/>
        <v>0</v>
      </c>
      <c r="R209">
        <f>IFERROR(INDEX(Baseline_Entry!$U:$U,MATCH($B209,Baseline_Entry!$B:$B,0)),"")</f>
        <v>101</v>
      </c>
      <c r="S209">
        <f>IFERROR(INDEX(CAT4_Current_Master!$G:$G,MATCH($B209,CAT4_Current_Master!$A:$A,0)),"")</f>
        <v>101</v>
      </c>
      <c r="T209">
        <f t="shared" si="25"/>
        <v>0</v>
      </c>
      <c r="U209" t="str">
        <f>IFERROR(INDEX(CAT4_Current_Master!$I:$I,MATCH($B209,CAT4_Current_Master!$A:$A,0)),"")</f>
        <v>G10</v>
      </c>
      <c r="V209" t="str">
        <f t="shared" si="26"/>
        <v>Analytical / Abstract thinker</v>
      </c>
      <c r="W209" t="str">
        <f t="shared" si="27"/>
        <v>Strong non-verbal reasoning supported by quantitative strength; well aligned with advanced analytical and STEM-rich tasks.</v>
      </c>
    </row>
    <row r="210" spans="1:23" x14ac:dyDescent="0.3">
      <c r="A210" t="s">
        <v>419</v>
      </c>
      <c r="B210" t="s">
        <v>491</v>
      </c>
      <c r="C210" t="s">
        <v>492</v>
      </c>
      <c r="D210">
        <f>IFERROR(INDEX(Baseline_Entry!$N:$N,MATCH($B210,Baseline_Entry!$B:$B,0)),"")</f>
        <v>96</v>
      </c>
      <c r="E210">
        <f>IFERROR(INDEX(CAT4_Current_Master!$H:$H,MATCH($B210,CAT4_Current_Master!$A:$A,0)),"")</f>
        <v>96</v>
      </c>
      <c r="F210">
        <f t="shared" si="21"/>
        <v>0</v>
      </c>
      <c r="G210" t="str">
        <f>IFERROR(INDEX(Baseline_Entry!$Q:$Q,MATCH($B210,Baseline_Entry!$B:$B,0)),"")</f>
        <v>No bias</v>
      </c>
      <c r="H210" t="str">
        <f>IFERROR(INDEX(CAT4_Current_Master!$C:$C,MATCH($B210,CAT4_Current_Master!$A:$A,0)),"")</f>
        <v>No bias</v>
      </c>
      <c r="I210">
        <f>IFERROR(INDEX(Baseline_Entry!$R:$R,MATCH($B210,Baseline_Entry!$B:$B,0)),"")</f>
        <v>83</v>
      </c>
      <c r="J210">
        <f>IFERROR(INDEX(CAT4_Current_Master!$D:$D,MATCH($B210,CAT4_Current_Master!$A:$A,0)),"")</f>
        <v>83</v>
      </c>
      <c r="K210">
        <f t="shared" si="22"/>
        <v>0</v>
      </c>
      <c r="L210">
        <f>IFERROR(INDEX(Baseline_Entry!$S:$S,MATCH($B210,Baseline_Entry!$B:$B,0)),"")</f>
        <v>106</v>
      </c>
      <c r="M210">
        <f>IFERROR(INDEX(CAT4_Current_Master!$E:$E,MATCH($B210,CAT4_Current_Master!$A:$A,0)),"")</f>
        <v>106</v>
      </c>
      <c r="N210">
        <f t="shared" si="23"/>
        <v>0</v>
      </c>
      <c r="O210">
        <f>IFERROR(INDEX(Baseline_Entry!$T:$T,MATCH($B210,Baseline_Entry!$B:$B,0)),"")</f>
        <v>112</v>
      </c>
      <c r="P210">
        <f>IFERROR(INDEX(CAT4_Current_Master!$F:$F,MATCH($B210,CAT4_Current_Master!$A:$A,0)),"")</f>
        <v>112</v>
      </c>
      <c r="Q210">
        <f t="shared" si="24"/>
        <v>0</v>
      </c>
      <c r="R210">
        <f>IFERROR(INDEX(Baseline_Entry!$U:$U,MATCH($B210,Baseline_Entry!$B:$B,0)),"")</f>
        <v>83</v>
      </c>
      <c r="S210">
        <f>IFERROR(INDEX(CAT4_Current_Master!$G:$G,MATCH($B210,CAT4_Current_Master!$A:$A,0)),"")</f>
        <v>83</v>
      </c>
      <c r="T210">
        <f t="shared" si="25"/>
        <v>0</v>
      </c>
      <c r="U210" t="str">
        <f>IFERROR(INDEX(CAT4_Current_Master!$I:$I,MATCH($B210,CAT4_Current_Master!$A:$A,0)),"")</f>
        <v>G10</v>
      </c>
      <c r="V210" t="str">
        <f t="shared" si="26"/>
        <v>Analytical / Abstract thinker</v>
      </c>
      <c r="W210" t="str">
        <f t="shared" si="27"/>
        <v>Strong non-verbal reasoning supported by quantitative strength; well aligned with advanced analytical and STEM-rich tasks.</v>
      </c>
    </row>
    <row r="211" spans="1:23" x14ac:dyDescent="0.3">
      <c r="A211" t="s">
        <v>419</v>
      </c>
      <c r="B211" t="s">
        <v>493</v>
      </c>
      <c r="C211" t="s">
        <v>494</v>
      </c>
      <c r="D211">
        <f>IFERROR(INDEX(Baseline_Entry!$N:$N,MATCH($B211,Baseline_Entry!$B:$B,0)),"")</f>
        <v>90</v>
      </c>
      <c r="E211">
        <f>IFERROR(INDEX(CAT4_Current_Master!$H:$H,MATCH($B211,CAT4_Current_Master!$A:$A,0)),"")</f>
        <v>90</v>
      </c>
      <c r="F211">
        <f t="shared" si="21"/>
        <v>0</v>
      </c>
      <c r="G211" t="str">
        <f>IFERROR(INDEX(Baseline_Entry!$Q:$Q,MATCH($B211,Baseline_Entry!$B:$B,0)),"")</f>
        <v>No bias</v>
      </c>
      <c r="H211" t="str">
        <f>IFERROR(INDEX(CAT4_Current_Master!$C:$C,MATCH($B211,CAT4_Current_Master!$A:$A,0)),"")</f>
        <v>No bias</v>
      </c>
      <c r="I211">
        <f>IFERROR(INDEX(Baseline_Entry!$R:$R,MATCH($B211,Baseline_Entry!$B:$B,0)),"")</f>
        <v>88</v>
      </c>
      <c r="J211">
        <f>IFERROR(INDEX(CAT4_Current_Master!$D:$D,MATCH($B211,CAT4_Current_Master!$A:$A,0)),"")</f>
        <v>88</v>
      </c>
      <c r="K211">
        <f t="shared" si="22"/>
        <v>0</v>
      </c>
      <c r="L211">
        <f>IFERROR(INDEX(Baseline_Entry!$S:$S,MATCH($B211,Baseline_Entry!$B:$B,0)),"")</f>
        <v>94</v>
      </c>
      <c r="M211">
        <f>IFERROR(INDEX(CAT4_Current_Master!$E:$E,MATCH($B211,CAT4_Current_Master!$A:$A,0)),"")</f>
        <v>94</v>
      </c>
      <c r="N211">
        <f t="shared" si="23"/>
        <v>0</v>
      </c>
      <c r="O211">
        <f>IFERROR(INDEX(Baseline_Entry!$T:$T,MATCH($B211,Baseline_Entry!$B:$B,0)),"")</f>
        <v>102</v>
      </c>
      <c r="P211">
        <f>IFERROR(INDEX(CAT4_Current_Master!$F:$F,MATCH($B211,CAT4_Current_Master!$A:$A,0)),"")</f>
        <v>102</v>
      </c>
      <c r="Q211">
        <f t="shared" si="24"/>
        <v>0</v>
      </c>
      <c r="R211">
        <f>IFERROR(INDEX(Baseline_Entry!$U:$U,MATCH($B211,Baseline_Entry!$B:$B,0)),"")</f>
        <v>77</v>
      </c>
      <c r="S211">
        <f>IFERROR(INDEX(CAT4_Current_Master!$G:$G,MATCH($B211,CAT4_Current_Master!$A:$A,0)),"")</f>
        <v>77</v>
      </c>
      <c r="T211">
        <f t="shared" si="25"/>
        <v>0</v>
      </c>
      <c r="U211" t="str">
        <f>IFERROR(INDEX(CAT4_Current_Master!$I:$I,MATCH($B211,CAT4_Current_Master!$A:$A,0)),"")</f>
        <v>G10</v>
      </c>
      <c r="V211" t="str">
        <f t="shared" si="26"/>
        <v>Mixed profile</v>
      </c>
      <c r="W211" t="str">
        <f t="shared" si="27"/>
        <v>Mixed cognitive pattern requiring differentiated instruction.</v>
      </c>
    </row>
    <row r="212" spans="1:23" x14ac:dyDescent="0.3">
      <c r="A212" t="s">
        <v>419</v>
      </c>
      <c r="B212" t="s">
        <v>495</v>
      </c>
      <c r="C212" t="s">
        <v>496</v>
      </c>
      <c r="D212">
        <f>IFERROR(INDEX(Baseline_Entry!$N:$N,MATCH($B212,Baseline_Entry!$B:$B,0)),"")</f>
        <v>91</v>
      </c>
      <c r="E212">
        <f>IFERROR(INDEX(CAT4_Current_Master!$H:$H,MATCH($B212,CAT4_Current_Master!$A:$A,0)),"")</f>
        <v>91</v>
      </c>
      <c r="F212">
        <f t="shared" si="21"/>
        <v>0</v>
      </c>
      <c r="G212" t="str">
        <f>IFERROR(INDEX(Baseline_Entry!$Q:$Q,MATCH($B212,Baseline_Entry!$B:$B,0)),"")</f>
        <v>Extreme spatial bias</v>
      </c>
      <c r="H212" t="str">
        <f>IFERROR(INDEX(CAT4_Current_Master!$C:$C,MATCH($B212,CAT4_Current_Master!$A:$A,0)),"")</f>
        <v>Extreme spatial bias</v>
      </c>
      <c r="I212">
        <f>IFERROR(INDEX(Baseline_Entry!$R:$R,MATCH($B212,Baseline_Entry!$B:$B,0)),"")</f>
        <v>73</v>
      </c>
      <c r="J212">
        <f>IFERROR(INDEX(CAT4_Current_Master!$D:$D,MATCH($B212,CAT4_Current_Master!$A:$A,0)),"")</f>
        <v>73</v>
      </c>
      <c r="K212">
        <f t="shared" si="22"/>
        <v>0</v>
      </c>
      <c r="L212">
        <f>IFERROR(INDEX(Baseline_Entry!$S:$S,MATCH($B212,Baseline_Entry!$B:$B,0)),"")</f>
        <v>102</v>
      </c>
      <c r="M212">
        <f>IFERROR(INDEX(CAT4_Current_Master!$E:$E,MATCH($B212,CAT4_Current_Master!$A:$A,0)),"")</f>
        <v>102</v>
      </c>
      <c r="N212">
        <f t="shared" si="23"/>
        <v>0</v>
      </c>
      <c r="O212">
        <f>IFERROR(INDEX(Baseline_Entry!$T:$T,MATCH($B212,Baseline_Entry!$B:$B,0)),"")</f>
        <v>90</v>
      </c>
      <c r="P212">
        <f>IFERROR(INDEX(CAT4_Current_Master!$F:$F,MATCH($B212,CAT4_Current_Master!$A:$A,0)),"")</f>
        <v>90</v>
      </c>
      <c r="Q212">
        <f t="shared" si="24"/>
        <v>0</v>
      </c>
      <c r="R212">
        <f>IFERROR(INDEX(Baseline_Entry!$U:$U,MATCH($B212,Baseline_Entry!$B:$B,0)),"")</f>
        <v>97</v>
      </c>
      <c r="S212">
        <f>IFERROR(INDEX(CAT4_Current_Master!$G:$G,MATCH($B212,CAT4_Current_Master!$A:$A,0)),"")</f>
        <v>97</v>
      </c>
      <c r="T212">
        <f t="shared" si="25"/>
        <v>0</v>
      </c>
      <c r="U212" t="str">
        <f>IFERROR(INDEX(CAT4_Current_Master!$I:$I,MATCH($B212,CAT4_Current_Master!$A:$A,0)),"")</f>
        <v>G10</v>
      </c>
      <c r="V212" t="str">
        <f t="shared" si="26"/>
        <v>Quantitative strength</v>
      </c>
      <c r="W212" t="str">
        <f t="shared" si="27"/>
        <v>Highest current domain is quantitative reasoning, suggesting strong numerical and structured problem-solving potential.</v>
      </c>
    </row>
    <row r="213" spans="1:23" x14ac:dyDescent="0.3">
      <c r="A213" t="s">
        <v>419</v>
      </c>
      <c r="B213" t="s">
        <v>497</v>
      </c>
      <c r="C213" t="s">
        <v>498</v>
      </c>
      <c r="D213">
        <f>IFERROR(INDEX(Baseline_Entry!$N:$N,MATCH($B213,Baseline_Entry!$B:$B,0)),"")</f>
        <v>108</v>
      </c>
      <c r="E213">
        <f>IFERROR(INDEX(CAT4_Current_Master!$H:$H,MATCH($B213,CAT4_Current_Master!$A:$A,0)),"")</f>
        <v>108</v>
      </c>
      <c r="F213">
        <f t="shared" si="21"/>
        <v>0</v>
      </c>
      <c r="G213" t="str">
        <f>IFERROR(INDEX(Baseline_Entry!$Q:$Q,MATCH($B213,Baseline_Entry!$B:$B,0)),"")</f>
        <v>Moderate spatial bias</v>
      </c>
      <c r="H213" t="str">
        <f>IFERROR(INDEX(CAT4_Current_Master!$C:$C,MATCH($B213,CAT4_Current_Master!$A:$A,0)),"")</f>
        <v>Moderate spatial bias</v>
      </c>
      <c r="I213">
        <f>IFERROR(INDEX(Baseline_Entry!$R:$R,MATCH($B213,Baseline_Entry!$B:$B,0)),"")</f>
        <v>91</v>
      </c>
      <c r="J213">
        <f>IFERROR(INDEX(CAT4_Current_Master!$D:$D,MATCH($B213,CAT4_Current_Master!$A:$A,0)),"")</f>
        <v>91</v>
      </c>
      <c r="K213">
        <f t="shared" si="22"/>
        <v>0</v>
      </c>
      <c r="L213">
        <f>IFERROR(INDEX(Baseline_Entry!$S:$S,MATCH($B213,Baseline_Entry!$B:$B,0)),"")</f>
        <v>116</v>
      </c>
      <c r="M213">
        <f>IFERROR(INDEX(CAT4_Current_Master!$E:$E,MATCH($B213,CAT4_Current_Master!$A:$A,0)),"")</f>
        <v>116</v>
      </c>
      <c r="N213">
        <f t="shared" si="23"/>
        <v>0</v>
      </c>
      <c r="O213">
        <f>IFERROR(INDEX(Baseline_Entry!$T:$T,MATCH($B213,Baseline_Entry!$B:$B,0)),"")</f>
        <v>111</v>
      </c>
      <c r="P213">
        <f>IFERROR(INDEX(CAT4_Current_Master!$F:$F,MATCH($B213,CAT4_Current_Master!$A:$A,0)),"")</f>
        <v>111</v>
      </c>
      <c r="Q213">
        <f t="shared" si="24"/>
        <v>0</v>
      </c>
      <c r="R213">
        <f>IFERROR(INDEX(Baseline_Entry!$U:$U,MATCH($B213,Baseline_Entry!$B:$B,0)),"")</f>
        <v>115</v>
      </c>
      <c r="S213">
        <f>IFERROR(INDEX(CAT4_Current_Master!$G:$G,MATCH($B213,CAT4_Current_Master!$A:$A,0)),"")</f>
        <v>115</v>
      </c>
      <c r="T213">
        <f t="shared" si="25"/>
        <v>0</v>
      </c>
      <c r="U213" t="str">
        <f>IFERROR(INDEX(CAT4_Current_Master!$I:$I,MATCH($B213,CAT4_Current_Master!$A:$A,0)),"")</f>
        <v>G10</v>
      </c>
      <c r="V213" t="str">
        <f t="shared" si="26"/>
        <v>Quantitative strength</v>
      </c>
      <c r="W213" t="str">
        <f t="shared" si="27"/>
        <v>Highest current domain is quantitative reasoning, suggesting strong numerical and structured problem-solving potential.</v>
      </c>
    </row>
    <row r="214" spans="1:23" x14ac:dyDescent="0.3">
      <c r="A214" t="s">
        <v>419</v>
      </c>
      <c r="B214" t="s">
        <v>499</v>
      </c>
      <c r="C214" t="s">
        <v>500</v>
      </c>
      <c r="D214">
        <f>IFERROR(INDEX(Baseline_Entry!$N:$N,MATCH($B214,Baseline_Entry!$B:$B,0)),"")</f>
        <v>85</v>
      </c>
      <c r="E214">
        <f>IFERROR(INDEX(CAT4_Current_Master!$H:$H,MATCH($B214,CAT4_Current_Master!$A:$A,0)),"")</f>
        <v>85</v>
      </c>
      <c r="F214">
        <f t="shared" si="21"/>
        <v>0</v>
      </c>
      <c r="G214" t="str">
        <f>IFERROR(INDEX(Baseline_Entry!$Q:$Q,MATCH($B214,Baseline_Entry!$B:$B,0)),"")</f>
        <v>No bias</v>
      </c>
      <c r="H214" t="str">
        <f>IFERROR(INDEX(CAT4_Current_Master!$C:$C,MATCH($B214,CAT4_Current_Master!$A:$A,0)),"")</f>
        <v>No bias</v>
      </c>
      <c r="I214">
        <f>IFERROR(INDEX(Baseline_Entry!$R:$R,MATCH($B214,Baseline_Entry!$B:$B,0)),"")</f>
        <v>84</v>
      </c>
      <c r="J214">
        <f>IFERROR(INDEX(CAT4_Current_Master!$D:$D,MATCH($B214,CAT4_Current_Master!$A:$A,0)),"")</f>
        <v>84</v>
      </c>
      <c r="K214">
        <f t="shared" si="22"/>
        <v>0</v>
      </c>
      <c r="L214">
        <f>IFERROR(INDEX(Baseline_Entry!$S:$S,MATCH($B214,Baseline_Entry!$B:$B,0)),"")</f>
        <v>97</v>
      </c>
      <c r="M214">
        <f>IFERROR(INDEX(CAT4_Current_Master!$E:$E,MATCH($B214,CAT4_Current_Master!$A:$A,0)),"")</f>
        <v>97</v>
      </c>
      <c r="N214">
        <f t="shared" si="23"/>
        <v>0</v>
      </c>
      <c r="O214">
        <f>IFERROR(INDEX(Baseline_Entry!$T:$T,MATCH($B214,Baseline_Entry!$B:$B,0)),"")</f>
        <v>82</v>
      </c>
      <c r="P214">
        <f>IFERROR(INDEX(CAT4_Current_Master!$F:$F,MATCH($B214,CAT4_Current_Master!$A:$A,0)),"")</f>
        <v>82</v>
      </c>
      <c r="Q214">
        <f t="shared" si="24"/>
        <v>0</v>
      </c>
      <c r="R214">
        <f>IFERROR(INDEX(Baseline_Entry!$U:$U,MATCH($B214,Baseline_Entry!$B:$B,0)),"")</f>
        <v>77</v>
      </c>
      <c r="S214">
        <f>IFERROR(INDEX(CAT4_Current_Master!$G:$G,MATCH($B214,CAT4_Current_Master!$A:$A,0)),"")</f>
        <v>77</v>
      </c>
      <c r="T214">
        <f t="shared" si="25"/>
        <v>0</v>
      </c>
      <c r="U214" t="str">
        <f>IFERROR(INDEX(CAT4_Current_Master!$I:$I,MATCH($B214,CAT4_Current_Master!$A:$A,0)),"")</f>
        <v>G10</v>
      </c>
      <c r="V214" t="str">
        <f t="shared" si="26"/>
        <v>Quantitative strength</v>
      </c>
      <c r="W214" t="str">
        <f t="shared" si="27"/>
        <v>Highest current domain is quantitative reasoning, suggesting strong numerical and structured problem-solving potential.</v>
      </c>
    </row>
    <row r="215" spans="1:23" x14ac:dyDescent="0.3">
      <c r="A215" t="s">
        <v>419</v>
      </c>
      <c r="B215" t="s">
        <v>501</v>
      </c>
      <c r="C215" t="s">
        <v>502</v>
      </c>
      <c r="D215">
        <f>IFERROR(INDEX(Baseline_Entry!$N:$N,MATCH($B215,Baseline_Entry!$B:$B,0)),"")</f>
        <v>92</v>
      </c>
      <c r="E215">
        <f>IFERROR(INDEX(CAT4_Current_Master!$H:$H,MATCH($B215,CAT4_Current_Master!$A:$A,0)),"")</f>
        <v>92</v>
      </c>
      <c r="F215">
        <f t="shared" si="21"/>
        <v>0</v>
      </c>
      <c r="G215" t="str">
        <f>IFERROR(INDEX(Baseline_Entry!$Q:$Q,MATCH($B215,Baseline_Entry!$B:$B,0)),"")</f>
        <v>No bias</v>
      </c>
      <c r="H215" t="str">
        <f>IFERROR(INDEX(CAT4_Current_Master!$C:$C,MATCH($B215,CAT4_Current_Master!$A:$A,0)),"")</f>
        <v>No bias</v>
      </c>
      <c r="I215">
        <f>IFERROR(INDEX(Baseline_Entry!$R:$R,MATCH($B215,Baseline_Entry!$B:$B,0)),"")</f>
        <v>89</v>
      </c>
      <c r="J215">
        <f>IFERROR(INDEX(CAT4_Current_Master!$D:$D,MATCH($B215,CAT4_Current_Master!$A:$A,0)),"")</f>
        <v>89</v>
      </c>
      <c r="K215">
        <f t="shared" si="22"/>
        <v>0</v>
      </c>
      <c r="L215">
        <f>IFERROR(INDEX(Baseline_Entry!$S:$S,MATCH($B215,Baseline_Entry!$B:$B,0)),"")</f>
        <v>106</v>
      </c>
      <c r="M215">
        <f>IFERROR(INDEX(CAT4_Current_Master!$E:$E,MATCH($B215,CAT4_Current_Master!$A:$A,0)),"")</f>
        <v>106</v>
      </c>
      <c r="N215">
        <f t="shared" si="23"/>
        <v>0</v>
      </c>
      <c r="O215">
        <f>IFERROR(INDEX(Baseline_Entry!$T:$T,MATCH($B215,Baseline_Entry!$B:$B,0)),"")</f>
        <v>87</v>
      </c>
      <c r="P215">
        <f>IFERROR(INDEX(CAT4_Current_Master!$F:$F,MATCH($B215,CAT4_Current_Master!$A:$A,0)),"")</f>
        <v>87</v>
      </c>
      <c r="Q215">
        <f t="shared" si="24"/>
        <v>0</v>
      </c>
      <c r="R215">
        <f>IFERROR(INDEX(Baseline_Entry!$U:$U,MATCH($B215,Baseline_Entry!$B:$B,0)),"")</f>
        <v>86</v>
      </c>
      <c r="S215">
        <f>IFERROR(INDEX(CAT4_Current_Master!$G:$G,MATCH($B215,CAT4_Current_Master!$A:$A,0)),"")</f>
        <v>86</v>
      </c>
      <c r="T215">
        <f t="shared" si="25"/>
        <v>0</v>
      </c>
      <c r="U215" t="str">
        <f>IFERROR(INDEX(CAT4_Current_Master!$I:$I,MATCH($B215,CAT4_Current_Master!$A:$A,0)),"")</f>
        <v>G10</v>
      </c>
      <c r="V215" t="str">
        <f t="shared" si="26"/>
        <v>Quantitative strength</v>
      </c>
      <c r="W215" t="str">
        <f t="shared" si="27"/>
        <v>Highest current domain is quantitative reasoning, suggesting strong numerical and structured problem-solving potential.</v>
      </c>
    </row>
    <row r="216" spans="1:23" x14ac:dyDescent="0.3">
      <c r="A216" t="s">
        <v>419</v>
      </c>
      <c r="B216" t="s">
        <v>503</v>
      </c>
      <c r="C216" t="s">
        <v>504</v>
      </c>
      <c r="D216">
        <f>IFERROR(INDEX(Baseline_Entry!$N:$N,MATCH($B216,Baseline_Entry!$B:$B,0)),"")</f>
        <v>97</v>
      </c>
      <c r="E216">
        <f>IFERROR(INDEX(CAT4_Current_Master!$H:$H,MATCH($B216,CAT4_Current_Master!$A:$A,0)),"")</f>
        <v>97</v>
      </c>
      <c r="F216">
        <f t="shared" si="21"/>
        <v>0</v>
      </c>
      <c r="G216" t="str">
        <f>IFERROR(INDEX(Baseline_Entry!$Q:$Q,MATCH($B216,Baseline_Entry!$B:$B,0)),"")</f>
        <v>No bias</v>
      </c>
      <c r="H216" t="str">
        <f>IFERROR(INDEX(CAT4_Current_Master!$C:$C,MATCH($B216,CAT4_Current_Master!$A:$A,0)),"")</f>
        <v>No bias</v>
      </c>
      <c r="I216">
        <f>IFERROR(INDEX(Baseline_Entry!$R:$R,MATCH($B216,Baseline_Entry!$B:$B,0)),"")</f>
        <v>85</v>
      </c>
      <c r="J216">
        <f>IFERROR(INDEX(CAT4_Current_Master!$D:$D,MATCH($B216,CAT4_Current_Master!$A:$A,0)),"")</f>
        <v>85</v>
      </c>
      <c r="K216">
        <f t="shared" si="22"/>
        <v>0</v>
      </c>
      <c r="L216">
        <f>IFERROR(INDEX(Baseline_Entry!$S:$S,MATCH($B216,Baseline_Entry!$B:$B,0)),"")</f>
        <v>104</v>
      </c>
      <c r="M216">
        <f>IFERROR(INDEX(CAT4_Current_Master!$E:$E,MATCH($B216,CAT4_Current_Master!$A:$A,0)),"")</f>
        <v>104</v>
      </c>
      <c r="N216">
        <f t="shared" si="23"/>
        <v>0</v>
      </c>
      <c r="O216">
        <f>IFERROR(INDEX(Baseline_Entry!$T:$T,MATCH($B216,Baseline_Entry!$B:$B,0)),"")</f>
        <v>109</v>
      </c>
      <c r="P216">
        <f>IFERROR(INDEX(CAT4_Current_Master!$F:$F,MATCH($B216,CAT4_Current_Master!$A:$A,0)),"")</f>
        <v>109</v>
      </c>
      <c r="Q216">
        <f t="shared" si="24"/>
        <v>0</v>
      </c>
      <c r="R216">
        <f>IFERROR(INDEX(Baseline_Entry!$U:$U,MATCH($B216,Baseline_Entry!$B:$B,0)),"")</f>
        <v>91</v>
      </c>
      <c r="S216">
        <f>IFERROR(INDEX(CAT4_Current_Master!$G:$G,MATCH($B216,CAT4_Current_Master!$A:$A,0)),"")</f>
        <v>91</v>
      </c>
      <c r="T216">
        <f t="shared" si="25"/>
        <v>0</v>
      </c>
      <c r="U216" t="str">
        <f>IFERROR(INDEX(CAT4_Current_Master!$I:$I,MATCH($B216,CAT4_Current_Master!$A:$A,0)),"")</f>
        <v>G10</v>
      </c>
      <c r="V216" t="str">
        <f t="shared" si="26"/>
        <v>Analytical / Abstract thinker</v>
      </c>
      <c r="W216" t="str">
        <f t="shared" si="27"/>
        <v>Strong non-verbal reasoning supported by quantitative strength; well aligned with advanced analytical and STEM-rich tasks.</v>
      </c>
    </row>
    <row r="217" spans="1:23" x14ac:dyDescent="0.3">
      <c r="A217" t="s">
        <v>419</v>
      </c>
      <c r="B217" t="s">
        <v>505</v>
      </c>
      <c r="C217" t="s">
        <v>506</v>
      </c>
      <c r="D217">
        <f>IFERROR(INDEX(Baseline_Entry!$N:$N,MATCH($B217,Baseline_Entry!$B:$B,0)),"")</f>
        <v>93</v>
      </c>
      <c r="E217">
        <f>IFERROR(INDEX(CAT4_Current_Master!$H:$H,MATCH($B217,CAT4_Current_Master!$A:$A,0)),"")</f>
        <v>93</v>
      </c>
      <c r="F217">
        <f t="shared" si="21"/>
        <v>0</v>
      </c>
      <c r="G217" t="str">
        <f>IFERROR(INDEX(Baseline_Entry!$Q:$Q,MATCH($B217,Baseline_Entry!$B:$B,0)),"")</f>
        <v>Mild spatial bias</v>
      </c>
      <c r="H217" t="str">
        <f>IFERROR(INDEX(CAT4_Current_Master!$C:$C,MATCH($B217,CAT4_Current_Master!$A:$A,0)),"")</f>
        <v>Mild spatial bias</v>
      </c>
      <c r="I217">
        <f>IFERROR(INDEX(Baseline_Entry!$R:$R,MATCH($B217,Baseline_Entry!$B:$B,0)),"")</f>
        <v>78</v>
      </c>
      <c r="J217">
        <f>IFERROR(INDEX(CAT4_Current_Master!$D:$D,MATCH($B217,CAT4_Current_Master!$A:$A,0)),"")</f>
        <v>78</v>
      </c>
      <c r="K217">
        <f t="shared" si="22"/>
        <v>0</v>
      </c>
      <c r="L217">
        <f>IFERROR(INDEX(Baseline_Entry!$S:$S,MATCH($B217,Baseline_Entry!$B:$B,0)),"")</f>
        <v>95</v>
      </c>
      <c r="M217">
        <f>IFERROR(INDEX(CAT4_Current_Master!$E:$E,MATCH($B217,CAT4_Current_Master!$A:$A,0)),"")</f>
        <v>95</v>
      </c>
      <c r="N217">
        <f t="shared" si="23"/>
        <v>0</v>
      </c>
      <c r="O217">
        <f>IFERROR(INDEX(Baseline_Entry!$T:$T,MATCH($B217,Baseline_Entry!$B:$B,0)),"")</f>
        <v>102</v>
      </c>
      <c r="P217">
        <f>IFERROR(INDEX(CAT4_Current_Master!$F:$F,MATCH($B217,CAT4_Current_Master!$A:$A,0)),"")</f>
        <v>102</v>
      </c>
      <c r="Q217">
        <f t="shared" si="24"/>
        <v>0</v>
      </c>
      <c r="R217">
        <f>IFERROR(INDEX(Baseline_Entry!$U:$U,MATCH($B217,Baseline_Entry!$B:$B,0)),"")</f>
        <v>95</v>
      </c>
      <c r="S217">
        <f>IFERROR(INDEX(CAT4_Current_Master!$G:$G,MATCH($B217,CAT4_Current_Master!$A:$A,0)),"")</f>
        <v>95</v>
      </c>
      <c r="T217">
        <f t="shared" si="25"/>
        <v>0</v>
      </c>
      <c r="U217" t="str">
        <f>IFERROR(INDEX(CAT4_Current_Master!$I:$I,MATCH($B217,CAT4_Current_Master!$A:$A,0)),"")</f>
        <v>G10</v>
      </c>
      <c r="V217" t="str">
        <f t="shared" si="26"/>
        <v>Mixed profile</v>
      </c>
      <c r="W217" t="str">
        <f t="shared" si="27"/>
        <v>Mixed cognitive pattern requiring differentiated instruction.</v>
      </c>
    </row>
    <row r="218" spans="1:23" x14ac:dyDescent="0.3">
      <c r="A218" t="s">
        <v>419</v>
      </c>
      <c r="B218" t="s">
        <v>507</v>
      </c>
      <c r="C218" t="s">
        <v>508</v>
      </c>
      <c r="D218">
        <f>IFERROR(INDEX(Baseline_Entry!$N:$N,MATCH($B218,Baseline_Entry!$B:$B,0)),"")</f>
        <v>94</v>
      </c>
      <c r="E218">
        <f>IFERROR(INDEX(CAT4_Current_Master!$H:$H,MATCH($B218,CAT4_Current_Master!$A:$A,0)),"")</f>
        <v>94</v>
      </c>
      <c r="F218">
        <f t="shared" si="21"/>
        <v>0</v>
      </c>
      <c r="G218" t="str">
        <f>IFERROR(INDEX(Baseline_Entry!$Q:$Q,MATCH($B218,Baseline_Entry!$B:$B,0)),"")</f>
        <v>No bias</v>
      </c>
      <c r="H218" t="str">
        <f>IFERROR(INDEX(CAT4_Current_Master!$C:$C,MATCH($B218,CAT4_Current_Master!$A:$A,0)),"")</f>
        <v>No bias</v>
      </c>
      <c r="I218">
        <f>IFERROR(INDEX(Baseline_Entry!$R:$R,MATCH($B218,Baseline_Entry!$B:$B,0)),"")</f>
        <v>97</v>
      </c>
      <c r="J218">
        <f>IFERROR(INDEX(CAT4_Current_Master!$D:$D,MATCH($B218,CAT4_Current_Master!$A:$A,0)),"")</f>
        <v>97</v>
      </c>
      <c r="K218">
        <f t="shared" si="22"/>
        <v>0</v>
      </c>
      <c r="L218">
        <f>IFERROR(INDEX(Baseline_Entry!$S:$S,MATCH($B218,Baseline_Entry!$B:$B,0)),"")</f>
        <v>82</v>
      </c>
      <c r="M218">
        <f>IFERROR(INDEX(CAT4_Current_Master!$E:$E,MATCH($B218,CAT4_Current_Master!$A:$A,0)),"")</f>
        <v>82</v>
      </c>
      <c r="N218">
        <f t="shared" si="23"/>
        <v>0</v>
      </c>
      <c r="O218">
        <f>IFERROR(INDEX(Baseline_Entry!$T:$T,MATCH($B218,Baseline_Entry!$B:$B,0)),"")</f>
        <v>99</v>
      </c>
      <c r="P218">
        <f>IFERROR(INDEX(CAT4_Current_Master!$F:$F,MATCH($B218,CAT4_Current_Master!$A:$A,0)),"")</f>
        <v>99</v>
      </c>
      <c r="Q218">
        <f t="shared" si="24"/>
        <v>0</v>
      </c>
      <c r="R218">
        <f>IFERROR(INDEX(Baseline_Entry!$U:$U,MATCH($B218,Baseline_Entry!$B:$B,0)),"")</f>
        <v>99</v>
      </c>
      <c r="S218">
        <f>IFERROR(INDEX(CAT4_Current_Master!$G:$G,MATCH($B218,CAT4_Current_Master!$A:$A,0)),"")</f>
        <v>99</v>
      </c>
      <c r="T218">
        <f t="shared" si="25"/>
        <v>0</v>
      </c>
      <c r="U218" t="str">
        <f>IFERROR(INDEX(CAT4_Current_Master!$I:$I,MATCH($B218,CAT4_Current_Master!$A:$A,0)),"")</f>
        <v>G10</v>
      </c>
      <c r="V218" t="str">
        <f t="shared" si="26"/>
        <v>Spatial strength</v>
      </c>
      <c r="W218" t="str">
        <f t="shared" si="27"/>
        <v>Highest current domain is spatial reasoning, suggesting strength in visualisation, modelling, and design tasks.</v>
      </c>
    </row>
    <row r="219" spans="1:23" x14ac:dyDescent="0.3">
      <c r="A219" t="s">
        <v>419</v>
      </c>
      <c r="B219" t="s">
        <v>509</v>
      </c>
      <c r="C219" t="s">
        <v>510</v>
      </c>
      <c r="D219">
        <f>IFERROR(INDEX(Baseline_Entry!$N:$N,MATCH($B219,Baseline_Entry!$B:$B,0)),"")</f>
        <v>98</v>
      </c>
      <c r="E219">
        <f>IFERROR(INDEX(CAT4_Current_Master!$H:$H,MATCH($B219,CAT4_Current_Master!$A:$A,0)),"")</f>
        <v>98</v>
      </c>
      <c r="F219">
        <f t="shared" si="21"/>
        <v>0</v>
      </c>
      <c r="G219" t="str">
        <f>IFERROR(INDEX(Baseline_Entry!$Q:$Q,MATCH($B219,Baseline_Entry!$B:$B,0)),"")</f>
        <v>Moderate spatial bias</v>
      </c>
      <c r="H219" t="str">
        <f>IFERROR(INDEX(CAT4_Current_Master!$C:$C,MATCH($B219,CAT4_Current_Master!$A:$A,0)),"")</f>
        <v>Moderate spatial bias</v>
      </c>
      <c r="I219">
        <f>IFERROR(INDEX(Baseline_Entry!$R:$R,MATCH($B219,Baseline_Entry!$B:$B,0)),"")</f>
        <v>79</v>
      </c>
      <c r="J219">
        <f>IFERROR(INDEX(CAT4_Current_Master!$D:$D,MATCH($B219,CAT4_Current_Master!$A:$A,0)),"")</f>
        <v>79</v>
      </c>
      <c r="K219">
        <f t="shared" si="22"/>
        <v>0</v>
      </c>
      <c r="L219">
        <f>IFERROR(INDEX(Baseline_Entry!$S:$S,MATCH($B219,Baseline_Entry!$B:$B,0)),"")</f>
        <v>111</v>
      </c>
      <c r="M219">
        <f>IFERROR(INDEX(CAT4_Current_Master!$E:$E,MATCH($B219,CAT4_Current_Master!$A:$A,0)),"")</f>
        <v>111</v>
      </c>
      <c r="N219">
        <f t="shared" si="23"/>
        <v>0</v>
      </c>
      <c r="O219">
        <f>IFERROR(INDEX(Baseline_Entry!$T:$T,MATCH($B219,Baseline_Entry!$B:$B,0)),"")</f>
        <v>103</v>
      </c>
      <c r="P219">
        <f>IFERROR(INDEX(CAT4_Current_Master!$F:$F,MATCH($B219,CAT4_Current_Master!$A:$A,0)),"")</f>
        <v>103</v>
      </c>
      <c r="Q219">
        <f t="shared" si="24"/>
        <v>0</v>
      </c>
      <c r="R219">
        <f>IFERROR(INDEX(Baseline_Entry!$U:$U,MATCH($B219,Baseline_Entry!$B:$B,0)),"")</f>
        <v>97</v>
      </c>
      <c r="S219">
        <f>IFERROR(INDEX(CAT4_Current_Master!$G:$G,MATCH($B219,CAT4_Current_Master!$A:$A,0)),"")</f>
        <v>97</v>
      </c>
      <c r="T219">
        <f t="shared" si="25"/>
        <v>0</v>
      </c>
      <c r="U219" t="str">
        <f>IFERROR(INDEX(CAT4_Current_Master!$I:$I,MATCH($B219,CAT4_Current_Master!$A:$A,0)),"")</f>
        <v>G10</v>
      </c>
      <c r="V219" t="str">
        <f t="shared" si="26"/>
        <v>Quantitative strength</v>
      </c>
      <c r="W219" t="str">
        <f t="shared" si="27"/>
        <v>Highest current domain is quantitative reasoning, suggesting strong numerical and structured problem-solving potential.</v>
      </c>
    </row>
    <row r="220" spans="1:23" x14ac:dyDescent="0.3">
      <c r="A220" t="s">
        <v>419</v>
      </c>
      <c r="B220" t="s">
        <v>511</v>
      </c>
      <c r="C220" t="s">
        <v>512</v>
      </c>
      <c r="D220">
        <f>IFERROR(INDEX(Baseline_Entry!$N:$N,MATCH($B220,Baseline_Entry!$B:$B,0)),"")</f>
        <v>97</v>
      </c>
      <c r="E220">
        <f>IFERROR(INDEX(CAT4_Current_Master!$H:$H,MATCH($B220,CAT4_Current_Master!$A:$A,0)),"")</f>
        <v>97</v>
      </c>
      <c r="F220">
        <f t="shared" si="21"/>
        <v>0</v>
      </c>
      <c r="G220" t="str">
        <f>IFERROR(INDEX(Baseline_Entry!$Q:$Q,MATCH($B220,Baseline_Entry!$B:$B,0)),"")</f>
        <v>Mild spatial bias</v>
      </c>
      <c r="H220" t="str">
        <f>IFERROR(INDEX(CAT4_Current_Master!$C:$C,MATCH($B220,CAT4_Current_Master!$A:$A,0)),"")</f>
        <v>Mild spatial bias</v>
      </c>
      <c r="I220">
        <f>IFERROR(INDEX(Baseline_Entry!$R:$R,MATCH($B220,Baseline_Entry!$B:$B,0)),"")</f>
        <v>81</v>
      </c>
      <c r="J220">
        <f>IFERROR(INDEX(CAT4_Current_Master!$D:$D,MATCH($B220,CAT4_Current_Master!$A:$A,0)),"")</f>
        <v>81</v>
      </c>
      <c r="K220">
        <f t="shared" si="22"/>
        <v>0</v>
      </c>
      <c r="L220">
        <f>IFERROR(INDEX(Baseline_Entry!$S:$S,MATCH($B220,Baseline_Entry!$B:$B,0)),"")</f>
        <v>104</v>
      </c>
      <c r="M220">
        <f>IFERROR(INDEX(CAT4_Current_Master!$E:$E,MATCH($B220,CAT4_Current_Master!$A:$A,0)),"")</f>
        <v>104</v>
      </c>
      <c r="N220">
        <f t="shared" si="23"/>
        <v>0</v>
      </c>
      <c r="O220">
        <f>IFERROR(INDEX(Baseline_Entry!$T:$T,MATCH($B220,Baseline_Entry!$B:$B,0)),"")</f>
        <v>109</v>
      </c>
      <c r="P220">
        <f>IFERROR(INDEX(CAT4_Current_Master!$F:$F,MATCH($B220,CAT4_Current_Master!$A:$A,0)),"")</f>
        <v>109</v>
      </c>
      <c r="Q220">
        <f t="shared" si="24"/>
        <v>0</v>
      </c>
      <c r="R220">
        <f>IFERROR(INDEX(Baseline_Entry!$U:$U,MATCH($B220,Baseline_Entry!$B:$B,0)),"")</f>
        <v>93</v>
      </c>
      <c r="S220">
        <f>IFERROR(INDEX(CAT4_Current_Master!$G:$G,MATCH($B220,CAT4_Current_Master!$A:$A,0)),"")</f>
        <v>93</v>
      </c>
      <c r="T220">
        <f t="shared" si="25"/>
        <v>0</v>
      </c>
      <c r="U220" t="str">
        <f>IFERROR(INDEX(CAT4_Current_Master!$I:$I,MATCH($B220,CAT4_Current_Master!$A:$A,0)),"")</f>
        <v>G10</v>
      </c>
      <c r="V220" t="str">
        <f t="shared" si="26"/>
        <v>Analytical / Abstract thinker</v>
      </c>
      <c r="W220" t="str">
        <f t="shared" si="27"/>
        <v>Strong non-verbal reasoning supported by quantitative strength; well aligned with advanced analytical and STEM-rich tasks.</v>
      </c>
    </row>
    <row r="221" spans="1:23" x14ac:dyDescent="0.3">
      <c r="A221" t="s">
        <v>419</v>
      </c>
      <c r="B221" t="s">
        <v>513</v>
      </c>
      <c r="C221" t="s">
        <v>514</v>
      </c>
      <c r="D221">
        <f>IFERROR(INDEX(Baseline_Entry!$N:$N,MATCH($B221,Baseline_Entry!$B:$B,0)),"")</f>
        <v>104</v>
      </c>
      <c r="E221">
        <f>IFERROR(INDEX(CAT4_Current_Master!$H:$H,MATCH($B221,CAT4_Current_Master!$A:$A,0)),"")</f>
        <v>104</v>
      </c>
      <c r="F221">
        <f t="shared" si="21"/>
        <v>0</v>
      </c>
      <c r="G221" t="str">
        <f>IFERROR(INDEX(Baseline_Entry!$Q:$Q,MATCH($B221,Baseline_Entry!$B:$B,0)),"")</f>
        <v>Moderate spatial bias</v>
      </c>
      <c r="H221" t="str">
        <f>IFERROR(INDEX(CAT4_Current_Master!$C:$C,MATCH($B221,CAT4_Current_Master!$A:$A,0)),"")</f>
        <v>Moderate spatial bias</v>
      </c>
      <c r="I221">
        <f>IFERROR(INDEX(Baseline_Entry!$R:$R,MATCH($B221,Baseline_Entry!$B:$B,0)),"")</f>
        <v>82</v>
      </c>
      <c r="J221">
        <f>IFERROR(INDEX(CAT4_Current_Master!$D:$D,MATCH($B221,CAT4_Current_Master!$A:$A,0)),"")</f>
        <v>82</v>
      </c>
      <c r="K221">
        <f t="shared" si="22"/>
        <v>0</v>
      </c>
      <c r="L221">
        <f>IFERROR(INDEX(Baseline_Entry!$S:$S,MATCH($B221,Baseline_Entry!$B:$B,0)),"")</f>
        <v>118</v>
      </c>
      <c r="M221">
        <f>IFERROR(INDEX(CAT4_Current_Master!$E:$E,MATCH($B221,CAT4_Current_Master!$A:$A,0)),"")</f>
        <v>118</v>
      </c>
      <c r="N221">
        <f t="shared" si="23"/>
        <v>0</v>
      </c>
      <c r="O221">
        <f>IFERROR(INDEX(Baseline_Entry!$T:$T,MATCH($B221,Baseline_Entry!$B:$B,0)),"")</f>
        <v>110</v>
      </c>
      <c r="P221">
        <f>IFERROR(INDEX(CAT4_Current_Master!$F:$F,MATCH($B221,CAT4_Current_Master!$A:$A,0)),"")</f>
        <v>110</v>
      </c>
      <c r="Q221">
        <f t="shared" si="24"/>
        <v>0</v>
      </c>
      <c r="R221">
        <f>IFERROR(INDEX(Baseline_Entry!$U:$U,MATCH($B221,Baseline_Entry!$B:$B,0)),"")</f>
        <v>106</v>
      </c>
      <c r="S221">
        <f>IFERROR(INDEX(CAT4_Current_Master!$G:$G,MATCH($B221,CAT4_Current_Master!$A:$A,0)),"")</f>
        <v>106</v>
      </c>
      <c r="T221">
        <f t="shared" si="25"/>
        <v>0</v>
      </c>
      <c r="U221" t="str">
        <f>IFERROR(INDEX(CAT4_Current_Master!$I:$I,MATCH($B221,CAT4_Current_Master!$A:$A,0)),"")</f>
        <v>G10</v>
      </c>
      <c r="V221" t="str">
        <f t="shared" si="26"/>
        <v>Quantitative strength</v>
      </c>
      <c r="W221" t="str">
        <f t="shared" si="27"/>
        <v>Highest current domain is quantitative reasoning, suggesting strong numerical and structured problem-solving potential.</v>
      </c>
    </row>
    <row r="222" spans="1:23" x14ac:dyDescent="0.3">
      <c r="A222" t="s">
        <v>419</v>
      </c>
      <c r="B222" t="s">
        <v>515</v>
      </c>
      <c r="C222" t="s">
        <v>516</v>
      </c>
      <c r="D222">
        <f>IFERROR(INDEX(Baseline_Entry!$N:$N,MATCH($B222,Baseline_Entry!$B:$B,0)),"")</f>
        <v>107</v>
      </c>
      <c r="E222">
        <f>IFERROR(INDEX(CAT4_Current_Master!$H:$H,MATCH($B222,CAT4_Current_Master!$A:$A,0)),"")</f>
        <v>107</v>
      </c>
      <c r="F222">
        <f t="shared" si="21"/>
        <v>0</v>
      </c>
      <c r="G222" t="str">
        <f>IFERROR(INDEX(Baseline_Entry!$Q:$Q,MATCH($B222,Baseline_Entry!$B:$B,0)),"")</f>
        <v>No bias</v>
      </c>
      <c r="H222" t="str">
        <f>IFERROR(INDEX(CAT4_Current_Master!$C:$C,MATCH($B222,CAT4_Current_Master!$A:$A,0)),"")</f>
        <v>No bias</v>
      </c>
      <c r="I222">
        <f>IFERROR(INDEX(Baseline_Entry!$R:$R,MATCH($B222,Baseline_Entry!$B:$B,0)),"")</f>
        <v>101</v>
      </c>
      <c r="J222">
        <f>IFERROR(INDEX(CAT4_Current_Master!$D:$D,MATCH($B222,CAT4_Current_Master!$A:$A,0)),"")</f>
        <v>101</v>
      </c>
      <c r="K222">
        <f t="shared" si="22"/>
        <v>0</v>
      </c>
      <c r="L222">
        <f>IFERROR(INDEX(Baseline_Entry!$S:$S,MATCH($B222,Baseline_Entry!$B:$B,0)),"")</f>
        <v>95</v>
      </c>
      <c r="M222">
        <f>IFERROR(INDEX(CAT4_Current_Master!$E:$E,MATCH($B222,CAT4_Current_Master!$A:$A,0)),"")</f>
        <v>95</v>
      </c>
      <c r="N222">
        <f t="shared" si="23"/>
        <v>0</v>
      </c>
      <c r="O222">
        <f>IFERROR(INDEX(Baseline_Entry!$T:$T,MATCH($B222,Baseline_Entry!$B:$B,0)),"")</f>
        <v>122</v>
      </c>
      <c r="P222">
        <f>IFERROR(INDEX(CAT4_Current_Master!$F:$F,MATCH($B222,CAT4_Current_Master!$A:$A,0)),"")</f>
        <v>122</v>
      </c>
      <c r="Q222">
        <f t="shared" si="24"/>
        <v>0</v>
      </c>
      <c r="R222">
        <f>IFERROR(INDEX(Baseline_Entry!$U:$U,MATCH($B222,Baseline_Entry!$B:$B,0)),"")</f>
        <v>109</v>
      </c>
      <c r="S222">
        <f>IFERROR(INDEX(CAT4_Current_Master!$G:$G,MATCH($B222,CAT4_Current_Master!$A:$A,0)),"")</f>
        <v>109</v>
      </c>
      <c r="T222">
        <f t="shared" si="25"/>
        <v>0</v>
      </c>
      <c r="U222" t="str">
        <f>IFERROR(INDEX(CAT4_Current_Master!$I:$I,MATCH($B222,CAT4_Current_Master!$A:$A,0)),"")</f>
        <v>G10</v>
      </c>
      <c r="V222" t="str">
        <f t="shared" si="26"/>
        <v>Mixed profile</v>
      </c>
      <c r="W222" t="str">
        <f t="shared" si="27"/>
        <v>Mixed cognitive pattern requiring differentiated instruction.</v>
      </c>
    </row>
    <row r="223" spans="1:23" x14ac:dyDescent="0.3">
      <c r="A223" t="s">
        <v>419</v>
      </c>
      <c r="B223" t="s">
        <v>517</v>
      </c>
      <c r="C223" t="s">
        <v>518</v>
      </c>
      <c r="D223">
        <f>IFERROR(INDEX(Baseline_Entry!$N:$N,MATCH($B223,Baseline_Entry!$B:$B,0)),"")</f>
        <v>93</v>
      </c>
      <c r="E223">
        <f>IFERROR(INDEX(CAT4_Current_Master!$H:$H,MATCH($B223,CAT4_Current_Master!$A:$A,0)),"")</f>
        <v>93</v>
      </c>
      <c r="F223">
        <f t="shared" si="21"/>
        <v>0</v>
      </c>
      <c r="G223" t="str">
        <f>IFERROR(INDEX(Baseline_Entry!$Q:$Q,MATCH($B223,Baseline_Entry!$B:$B,0)),"")</f>
        <v>No bias</v>
      </c>
      <c r="H223" t="str">
        <f>IFERROR(INDEX(CAT4_Current_Master!$C:$C,MATCH($B223,CAT4_Current_Master!$A:$A,0)),"")</f>
        <v>No bias</v>
      </c>
      <c r="I223">
        <f>IFERROR(INDEX(Baseline_Entry!$R:$R,MATCH($B223,Baseline_Entry!$B:$B,0)),"")</f>
        <v>85</v>
      </c>
      <c r="J223">
        <f>IFERROR(INDEX(CAT4_Current_Master!$D:$D,MATCH($B223,CAT4_Current_Master!$A:$A,0)),"")</f>
        <v>85</v>
      </c>
      <c r="K223">
        <f t="shared" si="22"/>
        <v>0</v>
      </c>
      <c r="L223">
        <f>IFERROR(INDEX(Baseline_Entry!$S:$S,MATCH($B223,Baseline_Entry!$B:$B,0)),"")</f>
        <v>99</v>
      </c>
      <c r="M223">
        <f>IFERROR(INDEX(CAT4_Current_Master!$E:$E,MATCH($B223,CAT4_Current_Master!$A:$A,0)),"")</f>
        <v>99</v>
      </c>
      <c r="N223">
        <f t="shared" si="23"/>
        <v>0</v>
      </c>
      <c r="O223">
        <f>IFERROR(INDEX(Baseline_Entry!$T:$T,MATCH($B223,Baseline_Entry!$B:$B,0)),"")</f>
        <v>100</v>
      </c>
      <c r="P223">
        <f>IFERROR(INDEX(CAT4_Current_Master!$F:$F,MATCH($B223,CAT4_Current_Master!$A:$A,0)),"")</f>
        <v>100</v>
      </c>
      <c r="Q223">
        <f t="shared" si="24"/>
        <v>0</v>
      </c>
      <c r="R223">
        <f>IFERROR(INDEX(Baseline_Entry!$U:$U,MATCH($B223,Baseline_Entry!$B:$B,0)),"")</f>
        <v>86</v>
      </c>
      <c r="S223">
        <f>IFERROR(INDEX(CAT4_Current_Master!$G:$G,MATCH($B223,CAT4_Current_Master!$A:$A,0)),"")</f>
        <v>86</v>
      </c>
      <c r="T223">
        <f t="shared" si="25"/>
        <v>0</v>
      </c>
      <c r="U223" t="str">
        <f>IFERROR(INDEX(CAT4_Current_Master!$I:$I,MATCH($B223,CAT4_Current_Master!$A:$A,0)),"")</f>
        <v>G10</v>
      </c>
      <c r="V223" t="str">
        <f t="shared" si="26"/>
        <v>Mixed profile</v>
      </c>
      <c r="W223" t="str">
        <f t="shared" si="27"/>
        <v>Mixed cognitive pattern requiring differentiated instruction.</v>
      </c>
    </row>
    <row r="224" spans="1:23" x14ac:dyDescent="0.3">
      <c r="A224" t="s">
        <v>419</v>
      </c>
      <c r="B224" t="s">
        <v>519</v>
      </c>
      <c r="C224" t="s">
        <v>520</v>
      </c>
      <c r="D224">
        <f>IFERROR(INDEX(Baseline_Entry!$N:$N,MATCH($B224,Baseline_Entry!$B:$B,0)),"")</f>
        <v>103</v>
      </c>
      <c r="E224">
        <f>IFERROR(INDEX(CAT4_Current_Master!$H:$H,MATCH($B224,CAT4_Current_Master!$A:$A,0)),"")</f>
        <v>103</v>
      </c>
      <c r="F224">
        <f t="shared" si="21"/>
        <v>0</v>
      </c>
      <c r="G224" t="str">
        <f>IFERROR(INDEX(Baseline_Entry!$Q:$Q,MATCH($B224,Baseline_Entry!$B:$B,0)),"")</f>
        <v>Mild spatial bias</v>
      </c>
      <c r="H224" t="str">
        <f>IFERROR(INDEX(CAT4_Current_Master!$C:$C,MATCH($B224,CAT4_Current_Master!$A:$A,0)),"")</f>
        <v>Mild spatial bias</v>
      </c>
      <c r="I224">
        <f>IFERROR(INDEX(Baseline_Entry!$R:$R,MATCH($B224,Baseline_Entry!$B:$B,0)),"")</f>
        <v>88</v>
      </c>
      <c r="J224">
        <f>IFERROR(INDEX(CAT4_Current_Master!$D:$D,MATCH($B224,CAT4_Current_Master!$A:$A,0)),"")</f>
        <v>88</v>
      </c>
      <c r="K224">
        <f t="shared" si="22"/>
        <v>0</v>
      </c>
      <c r="L224">
        <f>IFERROR(INDEX(Baseline_Entry!$S:$S,MATCH($B224,Baseline_Entry!$B:$B,0)),"")</f>
        <v>106</v>
      </c>
      <c r="M224">
        <f>IFERROR(INDEX(CAT4_Current_Master!$E:$E,MATCH($B224,CAT4_Current_Master!$A:$A,0)),"")</f>
        <v>106</v>
      </c>
      <c r="N224">
        <f t="shared" si="23"/>
        <v>0</v>
      </c>
      <c r="O224">
        <f>IFERROR(INDEX(Baseline_Entry!$T:$T,MATCH($B224,Baseline_Entry!$B:$B,0)),"")</f>
        <v>116</v>
      </c>
      <c r="P224">
        <f>IFERROR(INDEX(CAT4_Current_Master!$F:$F,MATCH($B224,CAT4_Current_Master!$A:$A,0)),"")</f>
        <v>116</v>
      </c>
      <c r="Q224">
        <f t="shared" si="24"/>
        <v>0</v>
      </c>
      <c r="R224">
        <f>IFERROR(INDEX(Baseline_Entry!$U:$U,MATCH($B224,Baseline_Entry!$B:$B,0)),"")</f>
        <v>103</v>
      </c>
      <c r="S224">
        <f>IFERROR(INDEX(CAT4_Current_Master!$G:$G,MATCH($B224,CAT4_Current_Master!$A:$A,0)),"")</f>
        <v>103</v>
      </c>
      <c r="T224">
        <f t="shared" si="25"/>
        <v>0</v>
      </c>
      <c r="U224" t="str">
        <f>IFERROR(INDEX(CAT4_Current_Master!$I:$I,MATCH($B224,CAT4_Current_Master!$A:$A,0)),"")</f>
        <v>G10</v>
      </c>
      <c r="V224" t="str">
        <f t="shared" si="26"/>
        <v>Analytical / Abstract thinker</v>
      </c>
      <c r="W224" t="str">
        <f t="shared" si="27"/>
        <v>Strong non-verbal reasoning supported by quantitative strength; well aligned with advanced analytical and STEM-rich tasks.</v>
      </c>
    </row>
    <row r="225" spans="1:23" x14ac:dyDescent="0.3">
      <c r="A225" t="s">
        <v>419</v>
      </c>
      <c r="B225" t="s">
        <v>521</v>
      </c>
      <c r="C225" t="s">
        <v>522</v>
      </c>
      <c r="D225">
        <f>IFERROR(INDEX(Baseline_Entry!$N:$N,MATCH($B225,Baseline_Entry!$B:$B,0)),"")</f>
        <v>93</v>
      </c>
      <c r="E225">
        <f>IFERROR(INDEX(CAT4_Current_Master!$H:$H,MATCH($B225,CAT4_Current_Master!$A:$A,0)),"")</f>
        <v>93</v>
      </c>
      <c r="F225">
        <f t="shared" si="21"/>
        <v>0</v>
      </c>
      <c r="G225" t="str">
        <f>IFERROR(INDEX(Baseline_Entry!$Q:$Q,MATCH($B225,Baseline_Entry!$B:$B,0)),"")</f>
        <v>Moderate spatial bias</v>
      </c>
      <c r="H225" t="str">
        <f>IFERROR(INDEX(CAT4_Current_Master!$C:$C,MATCH($B225,CAT4_Current_Master!$A:$A,0)),"")</f>
        <v>Moderate spatial bias</v>
      </c>
      <c r="I225">
        <f>IFERROR(INDEX(Baseline_Entry!$R:$R,MATCH($B225,Baseline_Entry!$B:$B,0)),"")</f>
        <v>77</v>
      </c>
      <c r="J225">
        <f>IFERROR(INDEX(CAT4_Current_Master!$D:$D,MATCH($B225,CAT4_Current_Master!$A:$A,0)),"")</f>
        <v>77</v>
      </c>
      <c r="K225">
        <f t="shared" si="22"/>
        <v>0</v>
      </c>
      <c r="L225">
        <f>IFERROR(INDEX(Baseline_Entry!$S:$S,MATCH($B225,Baseline_Entry!$B:$B,0)),"")</f>
        <v>99</v>
      </c>
      <c r="M225">
        <f>IFERROR(INDEX(CAT4_Current_Master!$E:$E,MATCH($B225,CAT4_Current_Master!$A:$A,0)),"")</f>
        <v>99</v>
      </c>
      <c r="N225">
        <f t="shared" si="23"/>
        <v>0</v>
      </c>
      <c r="O225">
        <f>IFERROR(INDEX(Baseline_Entry!$T:$T,MATCH($B225,Baseline_Entry!$B:$B,0)),"")</f>
        <v>98</v>
      </c>
      <c r="P225">
        <f>IFERROR(INDEX(CAT4_Current_Master!$F:$F,MATCH($B225,CAT4_Current_Master!$A:$A,0)),"")</f>
        <v>98</v>
      </c>
      <c r="Q225">
        <f t="shared" si="24"/>
        <v>0</v>
      </c>
      <c r="R225">
        <f>IFERROR(INDEX(Baseline_Entry!$U:$U,MATCH($B225,Baseline_Entry!$B:$B,0)),"")</f>
        <v>99</v>
      </c>
      <c r="S225">
        <f>IFERROR(INDEX(CAT4_Current_Master!$G:$G,MATCH($B225,CAT4_Current_Master!$A:$A,0)),"")</f>
        <v>99</v>
      </c>
      <c r="T225">
        <f t="shared" si="25"/>
        <v>0</v>
      </c>
      <c r="U225" t="str">
        <f>IFERROR(INDEX(CAT4_Current_Master!$I:$I,MATCH($B225,CAT4_Current_Master!$A:$A,0)),"")</f>
        <v>G10</v>
      </c>
      <c r="V225" t="str">
        <f t="shared" si="26"/>
        <v>Quantitative strength</v>
      </c>
      <c r="W225" t="str">
        <f t="shared" si="27"/>
        <v>Highest current domain is quantitative reasoning, suggesting strong numerical and structured problem-solving potential.</v>
      </c>
    </row>
    <row r="226" spans="1:23" x14ac:dyDescent="0.3">
      <c r="A226" t="s">
        <v>419</v>
      </c>
      <c r="B226" t="s">
        <v>523</v>
      </c>
      <c r="C226" t="s">
        <v>524</v>
      </c>
      <c r="D226">
        <f>IFERROR(INDEX(Baseline_Entry!$N:$N,MATCH($B226,Baseline_Entry!$B:$B,0)),"")</f>
        <v>104</v>
      </c>
      <c r="E226">
        <f>IFERROR(INDEX(CAT4_Current_Master!$H:$H,MATCH($B226,CAT4_Current_Master!$A:$A,0)),"")</f>
        <v>104</v>
      </c>
      <c r="F226">
        <f t="shared" si="21"/>
        <v>0</v>
      </c>
      <c r="G226" t="str">
        <f>IFERROR(INDEX(Baseline_Entry!$Q:$Q,MATCH($B226,Baseline_Entry!$B:$B,0)),"")</f>
        <v>Moderate spatial bias</v>
      </c>
      <c r="H226" t="str">
        <f>IFERROR(INDEX(CAT4_Current_Master!$C:$C,MATCH($B226,CAT4_Current_Master!$A:$A,0)),"")</f>
        <v>Moderate spatial bias</v>
      </c>
      <c r="I226">
        <f>IFERROR(INDEX(Baseline_Entry!$R:$R,MATCH($B226,Baseline_Entry!$B:$B,0)),"")</f>
        <v>91</v>
      </c>
      <c r="J226">
        <f>IFERROR(INDEX(CAT4_Current_Master!$D:$D,MATCH($B226,CAT4_Current_Master!$A:$A,0)),"")</f>
        <v>91</v>
      </c>
      <c r="K226">
        <f t="shared" si="22"/>
        <v>0</v>
      </c>
      <c r="L226">
        <f>IFERROR(INDEX(Baseline_Entry!$S:$S,MATCH($B226,Baseline_Entry!$B:$B,0)),"")</f>
        <v>95</v>
      </c>
      <c r="M226">
        <f>IFERROR(INDEX(CAT4_Current_Master!$E:$E,MATCH($B226,CAT4_Current_Master!$A:$A,0)),"")</f>
        <v>95</v>
      </c>
      <c r="N226">
        <f t="shared" si="23"/>
        <v>0</v>
      </c>
      <c r="O226">
        <f>IFERROR(INDEX(Baseline_Entry!$T:$T,MATCH($B226,Baseline_Entry!$B:$B,0)),"")</f>
        <v>116</v>
      </c>
      <c r="P226">
        <f>IFERROR(INDEX(CAT4_Current_Master!$F:$F,MATCH($B226,CAT4_Current_Master!$A:$A,0)),"")</f>
        <v>116</v>
      </c>
      <c r="Q226">
        <f t="shared" si="24"/>
        <v>0</v>
      </c>
      <c r="R226">
        <f>IFERROR(INDEX(Baseline_Entry!$U:$U,MATCH($B226,Baseline_Entry!$B:$B,0)),"")</f>
        <v>115</v>
      </c>
      <c r="S226">
        <f>IFERROR(INDEX(CAT4_Current_Master!$G:$G,MATCH($B226,CAT4_Current_Master!$A:$A,0)),"")</f>
        <v>115</v>
      </c>
      <c r="T226">
        <f t="shared" si="25"/>
        <v>0</v>
      </c>
      <c r="U226" t="str">
        <f>IFERROR(INDEX(CAT4_Current_Master!$I:$I,MATCH($B226,CAT4_Current_Master!$A:$A,0)),"")</f>
        <v>G10</v>
      </c>
      <c r="V226" t="str">
        <f t="shared" si="26"/>
        <v>Mixed profile</v>
      </c>
      <c r="W226" t="str">
        <f t="shared" si="27"/>
        <v>Mixed cognitive pattern requiring differentiated instruction.</v>
      </c>
    </row>
    <row r="227" spans="1:23" x14ac:dyDescent="0.3">
      <c r="A227" t="s">
        <v>419</v>
      </c>
      <c r="B227" t="s">
        <v>525</v>
      </c>
      <c r="C227" t="s">
        <v>526</v>
      </c>
      <c r="D227">
        <f>IFERROR(INDEX(Baseline_Entry!$N:$N,MATCH($B227,Baseline_Entry!$B:$B,0)),"")</f>
        <v>110</v>
      </c>
      <c r="E227">
        <f>IFERROR(INDEX(CAT4_Current_Master!$H:$H,MATCH($B227,CAT4_Current_Master!$A:$A,0)),"")</f>
        <v>110</v>
      </c>
      <c r="F227">
        <f t="shared" si="21"/>
        <v>0</v>
      </c>
      <c r="G227" t="str">
        <f>IFERROR(INDEX(Baseline_Entry!$Q:$Q,MATCH($B227,Baseline_Entry!$B:$B,0)),"")</f>
        <v>Moderate spatial bias</v>
      </c>
      <c r="H227" t="str">
        <f>IFERROR(INDEX(CAT4_Current_Master!$C:$C,MATCH($B227,CAT4_Current_Master!$A:$A,0)),"")</f>
        <v>Moderate spatial bias</v>
      </c>
      <c r="I227">
        <f>IFERROR(INDEX(Baseline_Entry!$R:$R,MATCH($B227,Baseline_Entry!$B:$B,0)),"")</f>
        <v>85</v>
      </c>
      <c r="J227">
        <f>IFERROR(INDEX(CAT4_Current_Master!$D:$D,MATCH($B227,CAT4_Current_Master!$A:$A,0)),"")</f>
        <v>85</v>
      </c>
      <c r="K227">
        <f t="shared" si="22"/>
        <v>0</v>
      </c>
      <c r="L227">
        <f>IFERROR(INDEX(Baseline_Entry!$S:$S,MATCH($B227,Baseline_Entry!$B:$B,0)),"")</f>
        <v>129</v>
      </c>
      <c r="M227">
        <f>IFERROR(INDEX(CAT4_Current_Master!$E:$E,MATCH($B227,CAT4_Current_Master!$A:$A,0)),"")</f>
        <v>129</v>
      </c>
      <c r="N227">
        <f t="shared" si="23"/>
        <v>0</v>
      </c>
      <c r="O227">
        <f>IFERROR(INDEX(Baseline_Entry!$T:$T,MATCH($B227,Baseline_Entry!$B:$B,0)),"")</f>
        <v>116</v>
      </c>
      <c r="P227">
        <f>IFERROR(INDEX(CAT4_Current_Master!$F:$F,MATCH($B227,CAT4_Current_Master!$A:$A,0)),"")</f>
        <v>116</v>
      </c>
      <c r="Q227">
        <f t="shared" si="24"/>
        <v>0</v>
      </c>
      <c r="R227">
        <f>IFERROR(INDEX(Baseline_Entry!$U:$U,MATCH($B227,Baseline_Entry!$B:$B,0)),"")</f>
        <v>110</v>
      </c>
      <c r="S227">
        <f>IFERROR(INDEX(CAT4_Current_Master!$G:$G,MATCH($B227,CAT4_Current_Master!$A:$A,0)),"")</f>
        <v>110</v>
      </c>
      <c r="T227">
        <f t="shared" si="25"/>
        <v>0</v>
      </c>
      <c r="U227" t="str">
        <f>IFERROR(INDEX(CAT4_Current_Master!$I:$I,MATCH($B227,CAT4_Current_Master!$A:$A,0)),"")</f>
        <v>G10</v>
      </c>
      <c r="V227" t="str">
        <f t="shared" si="26"/>
        <v>Quantitative strength</v>
      </c>
      <c r="W227" t="str">
        <f t="shared" si="27"/>
        <v>Highest current domain is quantitative reasoning, suggesting strong numerical and structured problem-solving potential.</v>
      </c>
    </row>
    <row r="228" spans="1:23" x14ac:dyDescent="0.3">
      <c r="A228" t="s">
        <v>419</v>
      </c>
      <c r="B228" t="s">
        <v>527</v>
      </c>
      <c r="C228" t="s">
        <v>528</v>
      </c>
      <c r="D228">
        <f>IFERROR(INDEX(Baseline_Entry!$N:$N,MATCH($B228,Baseline_Entry!$B:$B,0)),"")</f>
        <v>98</v>
      </c>
      <c r="E228">
        <f>IFERROR(INDEX(CAT4_Current_Master!$H:$H,MATCH($B228,CAT4_Current_Master!$A:$A,0)),"")</f>
        <v>98</v>
      </c>
      <c r="F228">
        <f t="shared" si="21"/>
        <v>0</v>
      </c>
      <c r="G228" t="str">
        <f>IFERROR(INDEX(Baseline_Entry!$Q:$Q,MATCH($B228,Baseline_Entry!$B:$B,0)),"")</f>
        <v>No bias</v>
      </c>
      <c r="H228" t="str">
        <f>IFERROR(INDEX(CAT4_Current_Master!$C:$C,MATCH($B228,CAT4_Current_Master!$A:$A,0)),"")</f>
        <v>No bias</v>
      </c>
      <c r="I228">
        <f>IFERROR(INDEX(Baseline_Entry!$R:$R,MATCH($B228,Baseline_Entry!$B:$B,0)),"")</f>
        <v>97</v>
      </c>
      <c r="J228">
        <f>IFERROR(INDEX(CAT4_Current_Master!$D:$D,MATCH($B228,CAT4_Current_Master!$A:$A,0)),"")</f>
        <v>97</v>
      </c>
      <c r="K228">
        <f t="shared" si="22"/>
        <v>0</v>
      </c>
      <c r="L228">
        <f>IFERROR(INDEX(Baseline_Entry!$S:$S,MATCH($B228,Baseline_Entry!$B:$B,0)),"")</f>
        <v>104</v>
      </c>
      <c r="M228">
        <f>IFERROR(INDEX(CAT4_Current_Master!$E:$E,MATCH($B228,CAT4_Current_Master!$A:$A,0)),"")</f>
        <v>104</v>
      </c>
      <c r="N228">
        <f t="shared" si="23"/>
        <v>0</v>
      </c>
      <c r="O228">
        <f>IFERROR(INDEX(Baseline_Entry!$T:$T,MATCH($B228,Baseline_Entry!$B:$B,0)),"")</f>
        <v>98</v>
      </c>
      <c r="P228">
        <f>IFERROR(INDEX(CAT4_Current_Master!$F:$F,MATCH($B228,CAT4_Current_Master!$A:$A,0)),"")</f>
        <v>98</v>
      </c>
      <c r="Q228">
        <f t="shared" si="24"/>
        <v>0</v>
      </c>
      <c r="R228">
        <f>IFERROR(INDEX(Baseline_Entry!$U:$U,MATCH($B228,Baseline_Entry!$B:$B,0)),"")</f>
        <v>93</v>
      </c>
      <c r="S228">
        <f>IFERROR(INDEX(CAT4_Current_Master!$G:$G,MATCH($B228,CAT4_Current_Master!$A:$A,0)),"")</f>
        <v>93</v>
      </c>
      <c r="T228">
        <f t="shared" si="25"/>
        <v>0</v>
      </c>
      <c r="U228" t="str">
        <f>IFERROR(INDEX(CAT4_Current_Master!$I:$I,MATCH($B228,CAT4_Current_Master!$A:$A,0)),"")</f>
        <v>G10</v>
      </c>
      <c r="V228" t="str">
        <f t="shared" si="26"/>
        <v>Quantitative strength</v>
      </c>
      <c r="W228" t="str">
        <f t="shared" si="27"/>
        <v>Highest current domain is quantitative reasoning, suggesting strong numerical and structured problem-solving potential.</v>
      </c>
    </row>
    <row r="229" spans="1:23" x14ac:dyDescent="0.3">
      <c r="A229" t="s">
        <v>419</v>
      </c>
      <c r="B229" t="s">
        <v>529</v>
      </c>
      <c r="C229" t="s">
        <v>530</v>
      </c>
      <c r="D229">
        <f>IFERROR(INDEX(Baseline_Entry!$N:$N,MATCH($B229,Baseline_Entry!$B:$B,0)),"")</f>
        <v>103</v>
      </c>
      <c r="E229">
        <f>IFERROR(INDEX(CAT4_Current_Master!$H:$H,MATCH($B229,CAT4_Current_Master!$A:$A,0)),"")</f>
        <v>103</v>
      </c>
      <c r="F229">
        <f t="shared" si="21"/>
        <v>0</v>
      </c>
      <c r="G229" t="str">
        <f>IFERROR(INDEX(Baseline_Entry!$Q:$Q,MATCH($B229,Baseline_Entry!$B:$B,0)),"")</f>
        <v>Mild spatial bias</v>
      </c>
      <c r="H229" t="str">
        <f>IFERROR(INDEX(CAT4_Current_Master!$C:$C,MATCH($B229,CAT4_Current_Master!$A:$A,0)),"")</f>
        <v>Mild spatial bias</v>
      </c>
      <c r="I229">
        <f>IFERROR(INDEX(Baseline_Entry!$R:$R,MATCH($B229,Baseline_Entry!$B:$B,0)),"")</f>
        <v>89</v>
      </c>
      <c r="J229">
        <f>IFERROR(INDEX(CAT4_Current_Master!$D:$D,MATCH($B229,CAT4_Current_Master!$A:$A,0)),"")</f>
        <v>89</v>
      </c>
      <c r="K229">
        <f t="shared" si="22"/>
        <v>0</v>
      </c>
      <c r="L229">
        <f>IFERROR(INDEX(Baseline_Entry!$S:$S,MATCH($B229,Baseline_Entry!$B:$B,0)),"")</f>
        <v>104</v>
      </c>
      <c r="M229">
        <f>IFERROR(INDEX(CAT4_Current_Master!$E:$E,MATCH($B229,CAT4_Current_Master!$A:$A,0)),"")</f>
        <v>104</v>
      </c>
      <c r="N229">
        <f t="shared" si="23"/>
        <v>0</v>
      </c>
      <c r="O229">
        <f>IFERROR(INDEX(Baseline_Entry!$T:$T,MATCH($B229,Baseline_Entry!$B:$B,0)),"")</f>
        <v>111</v>
      </c>
      <c r="P229">
        <f>IFERROR(INDEX(CAT4_Current_Master!$F:$F,MATCH($B229,CAT4_Current_Master!$A:$A,0)),"")</f>
        <v>111</v>
      </c>
      <c r="Q229">
        <f t="shared" si="24"/>
        <v>0</v>
      </c>
      <c r="R229">
        <f>IFERROR(INDEX(Baseline_Entry!$U:$U,MATCH($B229,Baseline_Entry!$B:$B,0)),"")</f>
        <v>106</v>
      </c>
      <c r="S229">
        <f>IFERROR(INDEX(CAT4_Current_Master!$G:$G,MATCH($B229,CAT4_Current_Master!$A:$A,0)),"")</f>
        <v>106</v>
      </c>
      <c r="T229">
        <f t="shared" si="25"/>
        <v>0</v>
      </c>
      <c r="U229" t="str">
        <f>IFERROR(INDEX(CAT4_Current_Master!$I:$I,MATCH($B229,CAT4_Current_Master!$A:$A,0)),"")</f>
        <v>G10</v>
      </c>
      <c r="V229" t="str">
        <f t="shared" si="26"/>
        <v>Analytical / Abstract thinker</v>
      </c>
      <c r="W229" t="str">
        <f t="shared" si="27"/>
        <v>Strong non-verbal reasoning supported by quantitative strength; well aligned with advanced analytical and STEM-rich tasks.</v>
      </c>
    </row>
    <row r="230" spans="1:23" x14ac:dyDescent="0.3">
      <c r="A230" t="s">
        <v>419</v>
      </c>
      <c r="B230" t="s">
        <v>531</v>
      </c>
      <c r="C230" t="s">
        <v>532</v>
      </c>
      <c r="D230">
        <f>IFERROR(INDEX(Baseline_Entry!$N:$N,MATCH($B230,Baseline_Entry!$B:$B,0)),"")</f>
        <v>92</v>
      </c>
      <c r="E230">
        <f>IFERROR(INDEX(CAT4_Current_Master!$H:$H,MATCH($B230,CAT4_Current_Master!$A:$A,0)),"")</f>
        <v>92</v>
      </c>
      <c r="F230">
        <f t="shared" si="21"/>
        <v>0</v>
      </c>
      <c r="G230" t="str">
        <f>IFERROR(INDEX(Baseline_Entry!$Q:$Q,MATCH($B230,Baseline_Entry!$B:$B,0)),"")</f>
        <v>No bias</v>
      </c>
      <c r="H230" t="str">
        <f>IFERROR(INDEX(CAT4_Current_Master!$C:$C,MATCH($B230,CAT4_Current_Master!$A:$A,0)),"")</f>
        <v>No bias</v>
      </c>
      <c r="I230">
        <f>IFERROR(INDEX(Baseline_Entry!$R:$R,MATCH($B230,Baseline_Entry!$B:$B,0)),"")</f>
        <v>85</v>
      </c>
      <c r="J230">
        <f>IFERROR(INDEX(CAT4_Current_Master!$D:$D,MATCH($B230,CAT4_Current_Master!$A:$A,0)),"")</f>
        <v>85</v>
      </c>
      <c r="K230">
        <f t="shared" si="22"/>
        <v>0</v>
      </c>
      <c r="L230">
        <f>IFERROR(INDEX(Baseline_Entry!$S:$S,MATCH($B230,Baseline_Entry!$B:$B,0)),"")</f>
        <v>108</v>
      </c>
      <c r="M230">
        <f>IFERROR(INDEX(CAT4_Current_Master!$E:$E,MATCH($B230,CAT4_Current_Master!$A:$A,0)),"")</f>
        <v>108</v>
      </c>
      <c r="N230">
        <f t="shared" si="23"/>
        <v>0</v>
      </c>
      <c r="O230">
        <f>IFERROR(INDEX(Baseline_Entry!$T:$T,MATCH($B230,Baseline_Entry!$B:$B,0)),"")</f>
        <v>89</v>
      </c>
      <c r="P230">
        <f>IFERROR(INDEX(CAT4_Current_Master!$F:$F,MATCH($B230,CAT4_Current_Master!$A:$A,0)),"")</f>
        <v>89</v>
      </c>
      <c r="Q230">
        <f t="shared" si="24"/>
        <v>0</v>
      </c>
      <c r="R230">
        <f>IFERROR(INDEX(Baseline_Entry!$U:$U,MATCH($B230,Baseline_Entry!$B:$B,0)),"")</f>
        <v>86</v>
      </c>
      <c r="S230">
        <f>IFERROR(INDEX(CAT4_Current_Master!$G:$G,MATCH($B230,CAT4_Current_Master!$A:$A,0)),"")</f>
        <v>86</v>
      </c>
      <c r="T230">
        <f t="shared" si="25"/>
        <v>0</v>
      </c>
      <c r="U230" t="str">
        <f>IFERROR(INDEX(CAT4_Current_Master!$I:$I,MATCH($B230,CAT4_Current_Master!$A:$A,0)),"")</f>
        <v>G10</v>
      </c>
      <c r="V230" t="str">
        <f t="shared" si="26"/>
        <v>Quantitative strength</v>
      </c>
      <c r="W230" t="str">
        <f t="shared" si="27"/>
        <v>Highest current domain is quantitative reasoning, suggesting strong numerical and structured problem-solving potential.</v>
      </c>
    </row>
    <row r="231" spans="1:23" x14ac:dyDescent="0.3">
      <c r="A231" t="s">
        <v>419</v>
      </c>
      <c r="B231" t="s">
        <v>533</v>
      </c>
      <c r="C231" t="s">
        <v>534</v>
      </c>
      <c r="D231">
        <f>IFERROR(INDEX(Baseline_Entry!$N:$N,MATCH($B231,Baseline_Entry!$B:$B,0)),"")</f>
        <v>98</v>
      </c>
      <c r="E231">
        <f>IFERROR(INDEX(CAT4_Current_Master!$H:$H,MATCH($B231,CAT4_Current_Master!$A:$A,0)),"")</f>
        <v>98</v>
      </c>
      <c r="F231">
        <f t="shared" si="21"/>
        <v>0</v>
      </c>
      <c r="G231" t="str">
        <f>IFERROR(INDEX(Baseline_Entry!$Q:$Q,MATCH($B231,Baseline_Entry!$B:$B,0)),"")</f>
        <v>Mild spatial bias</v>
      </c>
      <c r="H231" t="str">
        <f>IFERROR(INDEX(CAT4_Current_Master!$C:$C,MATCH($B231,CAT4_Current_Master!$A:$A,0)),"")</f>
        <v>Mild spatial bias</v>
      </c>
      <c r="I231">
        <f>IFERROR(INDEX(Baseline_Entry!$R:$R,MATCH($B231,Baseline_Entry!$B:$B,0)),"")</f>
        <v>80</v>
      </c>
      <c r="J231">
        <f>IFERROR(INDEX(CAT4_Current_Master!$D:$D,MATCH($B231,CAT4_Current_Master!$A:$A,0)),"")</f>
        <v>80</v>
      </c>
      <c r="K231">
        <f t="shared" si="22"/>
        <v>0</v>
      </c>
      <c r="L231">
        <f>IFERROR(INDEX(Baseline_Entry!$S:$S,MATCH($B231,Baseline_Entry!$B:$B,0)),"")</f>
        <v>95</v>
      </c>
      <c r="M231">
        <f>IFERROR(INDEX(CAT4_Current_Master!$E:$E,MATCH($B231,CAT4_Current_Master!$A:$A,0)),"")</f>
        <v>95</v>
      </c>
      <c r="N231">
        <f t="shared" si="23"/>
        <v>0</v>
      </c>
      <c r="O231">
        <f>IFERROR(INDEX(Baseline_Entry!$T:$T,MATCH($B231,Baseline_Entry!$B:$B,0)),"")</f>
        <v>120</v>
      </c>
      <c r="P231">
        <f>IFERROR(INDEX(CAT4_Current_Master!$F:$F,MATCH($B231,CAT4_Current_Master!$A:$A,0)),"")</f>
        <v>120</v>
      </c>
      <c r="Q231">
        <f t="shared" si="24"/>
        <v>0</v>
      </c>
      <c r="R231">
        <f>IFERROR(INDEX(Baseline_Entry!$U:$U,MATCH($B231,Baseline_Entry!$B:$B,0)),"")</f>
        <v>95</v>
      </c>
      <c r="S231">
        <f>IFERROR(INDEX(CAT4_Current_Master!$G:$G,MATCH($B231,CAT4_Current_Master!$A:$A,0)),"")</f>
        <v>95</v>
      </c>
      <c r="T231">
        <f t="shared" si="25"/>
        <v>0</v>
      </c>
      <c r="U231" t="str">
        <f>IFERROR(INDEX(CAT4_Current_Master!$I:$I,MATCH($B231,CAT4_Current_Master!$A:$A,0)),"")</f>
        <v>G10</v>
      </c>
      <c r="V231" t="str">
        <f t="shared" si="26"/>
        <v>Mixed profile</v>
      </c>
      <c r="W231" t="str">
        <f t="shared" si="27"/>
        <v>Mixed cognitive pattern requiring differentiated instruction.</v>
      </c>
    </row>
    <row r="232" spans="1:23" x14ac:dyDescent="0.3">
      <c r="A232" t="s">
        <v>419</v>
      </c>
      <c r="B232" t="s">
        <v>535</v>
      </c>
      <c r="C232" t="s">
        <v>536</v>
      </c>
      <c r="D232">
        <f>IFERROR(INDEX(Baseline_Entry!$N:$N,MATCH($B232,Baseline_Entry!$B:$B,0)),"")</f>
        <v>102</v>
      </c>
      <c r="E232">
        <f>IFERROR(INDEX(CAT4_Current_Master!$H:$H,MATCH($B232,CAT4_Current_Master!$A:$A,0)),"")</f>
        <v>102</v>
      </c>
      <c r="F232">
        <f t="shared" si="21"/>
        <v>0</v>
      </c>
      <c r="G232" t="str">
        <f>IFERROR(INDEX(Baseline_Entry!$Q:$Q,MATCH($B232,Baseline_Entry!$B:$B,0)),"")</f>
        <v>Moderate verbal bias</v>
      </c>
      <c r="H232" t="str">
        <f>IFERROR(INDEX(CAT4_Current_Master!$C:$C,MATCH($B232,CAT4_Current_Master!$A:$A,0)),"")</f>
        <v>Moderate verbal bias</v>
      </c>
      <c r="I232">
        <f>IFERROR(INDEX(Baseline_Entry!$R:$R,MATCH($B232,Baseline_Entry!$B:$B,0)),"")</f>
        <v>113</v>
      </c>
      <c r="J232">
        <f>IFERROR(INDEX(CAT4_Current_Master!$D:$D,MATCH($B232,CAT4_Current_Master!$A:$A,0)),"")</f>
        <v>113</v>
      </c>
      <c r="K232">
        <f t="shared" si="22"/>
        <v>0</v>
      </c>
      <c r="L232">
        <f>IFERROR(INDEX(Baseline_Entry!$S:$S,MATCH($B232,Baseline_Entry!$B:$B,0)),"")</f>
        <v>96</v>
      </c>
      <c r="M232">
        <f>IFERROR(INDEX(CAT4_Current_Master!$E:$E,MATCH($B232,CAT4_Current_Master!$A:$A,0)),"")</f>
        <v>96</v>
      </c>
      <c r="N232">
        <f t="shared" si="23"/>
        <v>0</v>
      </c>
      <c r="O232">
        <f>IFERROR(INDEX(Baseline_Entry!$T:$T,MATCH($B232,Baseline_Entry!$B:$B,0)),"")</f>
        <v>105</v>
      </c>
      <c r="P232">
        <f>IFERROR(INDEX(CAT4_Current_Master!$F:$F,MATCH($B232,CAT4_Current_Master!$A:$A,0)),"")</f>
        <v>105</v>
      </c>
      <c r="Q232">
        <f t="shared" si="24"/>
        <v>0</v>
      </c>
      <c r="R232">
        <f>IFERROR(INDEX(Baseline_Entry!$U:$U,MATCH($B232,Baseline_Entry!$B:$B,0)),"")</f>
        <v>95</v>
      </c>
      <c r="S232">
        <f>IFERROR(INDEX(CAT4_Current_Master!$G:$G,MATCH($B232,CAT4_Current_Master!$A:$A,0)),"")</f>
        <v>95</v>
      </c>
      <c r="T232">
        <f t="shared" si="25"/>
        <v>0</v>
      </c>
      <c r="U232" t="str">
        <f>IFERROR(INDEX(CAT4_Current_Master!$I:$I,MATCH($B232,CAT4_Current_Master!$A:$A,0)),"")</f>
        <v>G10</v>
      </c>
      <c r="V232" t="str">
        <f t="shared" si="26"/>
        <v>Verbal strength</v>
      </c>
      <c r="W232" t="str">
        <f t="shared" si="27"/>
        <v>Highest current domain is verbal reasoning, suggesting strength in language-rich, discussion-rich, and evidence-based tasks.</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2"/>
  <sheetViews>
    <sheetView workbookViewId="0"/>
  </sheetViews>
  <sheetFormatPr defaultRowHeight="14.4" x14ac:dyDescent="0.3"/>
  <cols>
    <col min="1" max="1" width="17.6640625" customWidth="1"/>
    <col min="2" max="2" width="16.21875" customWidth="1"/>
    <col min="3" max="3" width="30.77734375" customWidth="1"/>
    <col min="5" max="5" width="13.5546875" customWidth="1"/>
    <col min="8" max="8" width="18.109375" customWidth="1"/>
  </cols>
  <sheetData>
    <row r="1" spans="1:9" ht="43.2" customHeight="1" x14ac:dyDescent="0.3">
      <c r="A1" s="27" t="s">
        <v>39</v>
      </c>
      <c r="B1" s="27" t="s">
        <v>40</v>
      </c>
      <c r="C1" s="27" t="s">
        <v>41</v>
      </c>
      <c r="D1" s="27" t="s">
        <v>815</v>
      </c>
      <c r="E1" s="27" t="s">
        <v>816</v>
      </c>
      <c r="F1" s="27" t="s">
        <v>817</v>
      </c>
      <c r="G1" s="27" t="s">
        <v>818</v>
      </c>
      <c r="H1" s="27" t="s">
        <v>834</v>
      </c>
      <c r="I1" s="27" t="s">
        <v>835</v>
      </c>
    </row>
    <row r="2" spans="1:9" x14ac:dyDescent="0.3">
      <c r="A2" t="s">
        <v>60</v>
      </c>
      <c r="B2" t="s">
        <v>61</v>
      </c>
      <c r="C2" t="s">
        <v>62</v>
      </c>
      <c r="D2">
        <v>0</v>
      </c>
      <c r="E2">
        <v>0</v>
      </c>
      <c r="F2">
        <v>0</v>
      </c>
      <c r="G2">
        <v>0</v>
      </c>
      <c r="I2" t="s">
        <v>836</v>
      </c>
    </row>
    <row r="3" spans="1:9" x14ac:dyDescent="0.3">
      <c r="A3" t="s">
        <v>60</v>
      </c>
      <c r="B3" t="s">
        <v>67</v>
      </c>
      <c r="C3" t="s">
        <v>68</v>
      </c>
      <c r="D3">
        <v>0</v>
      </c>
      <c r="E3">
        <v>0</v>
      </c>
      <c r="F3">
        <v>0</v>
      </c>
      <c r="G3">
        <v>0</v>
      </c>
      <c r="I3" t="s">
        <v>836</v>
      </c>
    </row>
    <row r="4" spans="1:9" x14ac:dyDescent="0.3">
      <c r="A4" t="s">
        <v>60</v>
      </c>
      <c r="B4" t="s">
        <v>69</v>
      </c>
      <c r="C4" t="s">
        <v>70</v>
      </c>
      <c r="D4">
        <v>0</v>
      </c>
      <c r="E4">
        <v>0</v>
      </c>
      <c r="F4">
        <v>0</v>
      </c>
      <c r="G4">
        <v>0</v>
      </c>
      <c r="I4" t="s">
        <v>836</v>
      </c>
    </row>
    <row r="5" spans="1:9" x14ac:dyDescent="0.3">
      <c r="A5" t="s">
        <v>60</v>
      </c>
      <c r="B5" t="s">
        <v>71</v>
      </c>
      <c r="C5" t="s">
        <v>72</v>
      </c>
      <c r="D5">
        <v>0</v>
      </c>
      <c r="E5">
        <v>0</v>
      </c>
      <c r="F5">
        <v>0</v>
      </c>
      <c r="G5">
        <v>0</v>
      </c>
      <c r="I5" t="s">
        <v>836</v>
      </c>
    </row>
    <row r="6" spans="1:9" x14ac:dyDescent="0.3">
      <c r="A6" t="s">
        <v>60</v>
      </c>
      <c r="B6" t="s">
        <v>73</v>
      </c>
      <c r="C6" t="s">
        <v>74</v>
      </c>
      <c r="D6">
        <v>0</v>
      </c>
      <c r="E6">
        <v>0</v>
      </c>
      <c r="F6">
        <v>0</v>
      </c>
      <c r="G6">
        <v>0</v>
      </c>
      <c r="I6" t="s">
        <v>836</v>
      </c>
    </row>
    <row r="7" spans="1:9" x14ac:dyDescent="0.3">
      <c r="A7" t="s">
        <v>60</v>
      </c>
      <c r="B7" t="s">
        <v>75</v>
      </c>
      <c r="C7" t="s">
        <v>76</v>
      </c>
      <c r="D7">
        <v>0</v>
      </c>
      <c r="E7">
        <v>0</v>
      </c>
      <c r="F7">
        <v>0</v>
      </c>
      <c r="G7">
        <v>0</v>
      </c>
      <c r="I7" t="s">
        <v>836</v>
      </c>
    </row>
    <row r="8" spans="1:9" x14ac:dyDescent="0.3">
      <c r="A8" t="s">
        <v>60</v>
      </c>
      <c r="B8" t="s">
        <v>77</v>
      </c>
      <c r="C8" t="s">
        <v>78</v>
      </c>
      <c r="D8">
        <v>0</v>
      </c>
      <c r="E8">
        <v>0</v>
      </c>
      <c r="F8">
        <v>0</v>
      </c>
      <c r="G8">
        <v>0</v>
      </c>
      <c r="I8" t="s">
        <v>836</v>
      </c>
    </row>
    <row r="9" spans="1:9" x14ac:dyDescent="0.3">
      <c r="A9" t="s">
        <v>60</v>
      </c>
      <c r="B9" t="s">
        <v>79</v>
      </c>
      <c r="C9" t="s">
        <v>80</v>
      </c>
      <c r="D9">
        <v>0</v>
      </c>
      <c r="E9">
        <v>0</v>
      </c>
      <c r="F9">
        <v>0</v>
      </c>
      <c r="G9">
        <v>0</v>
      </c>
      <c r="I9" t="s">
        <v>836</v>
      </c>
    </row>
    <row r="10" spans="1:9" x14ac:dyDescent="0.3">
      <c r="A10" t="s">
        <v>60</v>
      </c>
      <c r="B10" t="s">
        <v>81</v>
      </c>
      <c r="C10" t="s">
        <v>82</v>
      </c>
      <c r="D10">
        <v>0</v>
      </c>
      <c r="E10">
        <v>0</v>
      </c>
      <c r="F10">
        <v>0</v>
      </c>
      <c r="G10">
        <v>0</v>
      </c>
      <c r="I10" t="s">
        <v>836</v>
      </c>
    </row>
    <row r="11" spans="1:9" x14ac:dyDescent="0.3">
      <c r="A11" t="s">
        <v>60</v>
      </c>
      <c r="B11" t="s">
        <v>83</v>
      </c>
      <c r="C11" t="s">
        <v>84</v>
      </c>
      <c r="D11">
        <v>0</v>
      </c>
      <c r="E11">
        <v>0</v>
      </c>
      <c r="F11">
        <v>0</v>
      </c>
      <c r="G11">
        <v>0</v>
      </c>
      <c r="I11" t="s">
        <v>836</v>
      </c>
    </row>
    <row r="12" spans="1:9" x14ac:dyDescent="0.3">
      <c r="A12" t="s">
        <v>60</v>
      </c>
      <c r="B12" t="s">
        <v>85</v>
      </c>
      <c r="C12" t="s">
        <v>86</v>
      </c>
      <c r="D12">
        <v>0</v>
      </c>
      <c r="E12">
        <v>0</v>
      </c>
      <c r="F12">
        <v>0</v>
      </c>
      <c r="G12">
        <v>0</v>
      </c>
      <c r="I12" t="s">
        <v>836</v>
      </c>
    </row>
    <row r="13" spans="1:9" x14ac:dyDescent="0.3">
      <c r="A13" t="s">
        <v>60</v>
      </c>
      <c r="B13" t="s">
        <v>87</v>
      </c>
      <c r="C13" t="s">
        <v>88</v>
      </c>
      <c r="D13">
        <v>0</v>
      </c>
      <c r="E13">
        <v>0</v>
      </c>
      <c r="F13">
        <v>0</v>
      </c>
      <c r="G13">
        <v>0</v>
      </c>
      <c r="I13" t="s">
        <v>836</v>
      </c>
    </row>
    <row r="14" spans="1:9" x14ac:dyDescent="0.3">
      <c r="A14" t="s">
        <v>60</v>
      </c>
      <c r="B14" t="s">
        <v>89</v>
      </c>
      <c r="C14" t="s">
        <v>90</v>
      </c>
      <c r="D14">
        <v>0</v>
      </c>
      <c r="E14">
        <v>0</v>
      </c>
      <c r="F14">
        <v>0</v>
      </c>
      <c r="G14">
        <v>0</v>
      </c>
      <c r="I14" t="s">
        <v>836</v>
      </c>
    </row>
    <row r="15" spans="1:9" x14ac:dyDescent="0.3">
      <c r="A15" t="s">
        <v>60</v>
      </c>
      <c r="B15" t="s">
        <v>91</v>
      </c>
      <c r="C15" t="s">
        <v>92</v>
      </c>
      <c r="D15">
        <v>0</v>
      </c>
      <c r="E15">
        <v>0</v>
      </c>
      <c r="F15">
        <v>0</v>
      </c>
      <c r="G15">
        <v>0</v>
      </c>
      <c r="I15" t="s">
        <v>836</v>
      </c>
    </row>
    <row r="16" spans="1:9" x14ac:dyDescent="0.3">
      <c r="A16" t="s">
        <v>60</v>
      </c>
      <c r="B16" t="s">
        <v>93</v>
      </c>
      <c r="C16" t="s">
        <v>94</v>
      </c>
      <c r="D16">
        <v>0</v>
      </c>
      <c r="E16">
        <v>0</v>
      </c>
      <c r="F16">
        <v>0</v>
      </c>
      <c r="G16">
        <v>0</v>
      </c>
      <c r="I16" t="s">
        <v>836</v>
      </c>
    </row>
    <row r="17" spans="1:9" x14ac:dyDescent="0.3">
      <c r="A17" t="s">
        <v>60</v>
      </c>
      <c r="B17" t="s">
        <v>95</v>
      </c>
      <c r="C17" t="s">
        <v>96</v>
      </c>
      <c r="D17">
        <v>0</v>
      </c>
      <c r="E17">
        <v>0</v>
      </c>
      <c r="F17">
        <v>0</v>
      </c>
      <c r="G17">
        <v>0</v>
      </c>
      <c r="I17" t="s">
        <v>836</v>
      </c>
    </row>
    <row r="18" spans="1:9" x14ac:dyDescent="0.3">
      <c r="A18" t="s">
        <v>60</v>
      </c>
      <c r="B18" t="s">
        <v>97</v>
      </c>
      <c r="C18" t="s">
        <v>98</v>
      </c>
      <c r="D18">
        <v>0</v>
      </c>
      <c r="E18">
        <v>0</v>
      </c>
      <c r="F18">
        <v>0</v>
      </c>
      <c r="G18">
        <v>0</v>
      </c>
      <c r="I18" t="s">
        <v>836</v>
      </c>
    </row>
    <row r="19" spans="1:9" x14ac:dyDescent="0.3">
      <c r="A19" t="s">
        <v>60</v>
      </c>
      <c r="B19" t="s">
        <v>100</v>
      </c>
      <c r="C19" t="s">
        <v>101</v>
      </c>
      <c r="D19">
        <v>0</v>
      </c>
      <c r="E19">
        <v>0</v>
      </c>
      <c r="F19">
        <v>0</v>
      </c>
      <c r="G19">
        <v>0</v>
      </c>
      <c r="I19" t="s">
        <v>836</v>
      </c>
    </row>
    <row r="20" spans="1:9" x14ac:dyDescent="0.3">
      <c r="A20" t="s">
        <v>60</v>
      </c>
      <c r="B20" t="s">
        <v>102</v>
      </c>
      <c r="C20" t="s">
        <v>103</v>
      </c>
      <c r="D20">
        <v>0</v>
      </c>
      <c r="E20">
        <v>0</v>
      </c>
      <c r="F20">
        <v>0</v>
      </c>
      <c r="G20">
        <v>0</v>
      </c>
      <c r="I20" t="s">
        <v>836</v>
      </c>
    </row>
    <row r="21" spans="1:9" x14ac:dyDescent="0.3">
      <c r="A21" t="s">
        <v>60</v>
      </c>
      <c r="B21" t="s">
        <v>104</v>
      </c>
      <c r="C21" t="s">
        <v>105</v>
      </c>
      <c r="D21">
        <v>0</v>
      </c>
      <c r="E21">
        <v>0</v>
      </c>
      <c r="F21">
        <v>0</v>
      </c>
      <c r="G21">
        <v>0</v>
      </c>
      <c r="I21" t="s">
        <v>836</v>
      </c>
    </row>
    <row r="22" spans="1:9" x14ac:dyDescent="0.3">
      <c r="A22" t="s">
        <v>60</v>
      </c>
      <c r="B22" t="s">
        <v>106</v>
      </c>
      <c r="C22" t="s">
        <v>107</v>
      </c>
      <c r="D22">
        <v>0</v>
      </c>
      <c r="E22">
        <v>0</v>
      </c>
      <c r="F22">
        <v>0</v>
      </c>
      <c r="G22">
        <v>0</v>
      </c>
      <c r="I22" t="s">
        <v>836</v>
      </c>
    </row>
    <row r="23" spans="1:9" x14ac:dyDescent="0.3">
      <c r="A23" t="s">
        <v>60</v>
      </c>
      <c r="B23" t="s">
        <v>108</v>
      </c>
      <c r="C23" t="s">
        <v>109</v>
      </c>
      <c r="D23">
        <v>0</v>
      </c>
      <c r="E23">
        <v>0</v>
      </c>
      <c r="F23">
        <v>0</v>
      </c>
      <c r="G23">
        <v>0</v>
      </c>
      <c r="I23" t="s">
        <v>836</v>
      </c>
    </row>
    <row r="24" spans="1:9" x14ac:dyDescent="0.3">
      <c r="A24" t="s">
        <v>60</v>
      </c>
      <c r="B24" t="s">
        <v>110</v>
      </c>
      <c r="C24" t="s">
        <v>111</v>
      </c>
      <c r="D24">
        <v>0</v>
      </c>
      <c r="E24">
        <v>0</v>
      </c>
      <c r="F24">
        <v>0</v>
      </c>
      <c r="G24">
        <v>0</v>
      </c>
      <c r="I24" t="s">
        <v>836</v>
      </c>
    </row>
    <row r="25" spans="1:9" x14ac:dyDescent="0.3">
      <c r="A25" t="s">
        <v>60</v>
      </c>
      <c r="B25" t="s">
        <v>112</v>
      </c>
      <c r="C25" t="s">
        <v>113</v>
      </c>
      <c r="D25">
        <v>0</v>
      </c>
      <c r="E25">
        <v>0</v>
      </c>
      <c r="F25">
        <v>0</v>
      </c>
      <c r="G25">
        <v>0</v>
      </c>
      <c r="I25" t="s">
        <v>836</v>
      </c>
    </row>
    <row r="26" spans="1:9" x14ac:dyDescent="0.3">
      <c r="A26" t="s">
        <v>60</v>
      </c>
      <c r="B26" t="s">
        <v>114</v>
      </c>
      <c r="C26" t="s">
        <v>115</v>
      </c>
      <c r="D26">
        <v>0</v>
      </c>
      <c r="E26">
        <v>0</v>
      </c>
      <c r="F26">
        <v>0</v>
      </c>
      <c r="G26">
        <v>0</v>
      </c>
      <c r="I26" t="s">
        <v>836</v>
      </c>
    </row>
    <row r="27" spans="1:9" x14ac:dyDescent="0.3">
      <c r="A27" t="s">
        <v>60</v>
      </c>
      <c r="B27" t="s">
        <v>116</v>
      </c>
      <c r="C27" t="s">
        <v>117</v>
      </c>
      <c r="D27">
        <v>0</v>
      </c>
      <c r="E27">
        <v>0</v>
      </c>
      <c r="F27">
        <v>0</v>
      </c>
      <c r="G27">
        <v>0</v>
      </c>
      <c r="I27" t="s">
        <v>836</v>
      </c>
    </row>
    <row r="28" spans="1:9" x14ac:dyDescent="0.3">
      <c r="A28" t="s">
        <v>60</v>
      </c>
      <c r="B28" t="s">
        <v>118</v>
      </c>
      <c r="C28" t="s">
        <v>119</v>
      </c>
      <c r="D28">
        <v>0</v>
      </c>
      <c r="E28">
        <v>0</v>
      </c>
      <c r="F28">
        <v>0</v>
      </c>
      <c r="G28">
        <v>0</v>
      </c>
      <c r="I28" t="s">
        <v>836</v>
      </c>
    </row>
    <row r="29" spans="1:9" x14ac:dyDescent="0.3">
      <c r="A29" t="s">
        <v>60</v>
      </c>
      <c r="B29" t="s">
        <v>121</v>
      </c>
      <c r="C29" t="s">
        <v>122</v>
      </c>
      <c r="D29">
        <v>0</v>
      </c>
      <c r="E29">
        <v>0</v>
      </c>
      <c r="F29">
        <v>0</v>
      </c>
      <c r="G29">
        <v>0</v>
      </c>
      <c r="I29" t="s">
        <v>836</v>
      </c>
    </row>
    <row r="30" spans="1:9" x14ac:dyDescent="0.3">
      <c r="A30" t="s">
        <v>60</v>
      </c>
      <c r="B30" t="s">
        <v>123</v>
      </c>
      <c r="C30" t="s">
        <v>124</v>
      </c>
      <c r="D30">
        <v>0</v>
      </c>
      <c r="E30">
        <v>0</v>
      </c>
      <c r="F30">
        <v>0</v>
      </c>
      <c r="G30">
        <v>0</v>
      </c>
      <c r="I30" t="s">
        <v>836</v>
      </c>
    </row>
    <row r="31" spans="1:9" x14ac:dyDescent="0.3">
      <c r="A31" t="s">
        <v>60</v>
      </c>
      <c r="B31" t="s">
        <v>125</v>
      </c>
      <c r="C31" t="s">
        <v>126</v>
      </c>
      <c r="D31">
        <v>0</v>
      </c>
      <c r="E31">
        <v>0</v>
      </c>
      <c r="F31">
        <v>0</v>
      </c>
      <c r="G31">
        <v>0</v>
      </c>
      <c r="I31" t="s">
        <v>836</v>
      </c>
    </row>
    <row r="32" spans="1:9" x14ac:dyDescent="0.3">
      <c r="A32" t="s">
        <v>60</v>
      </c>
      <c r="B32" t="s">
        <v>127</v>
      </c>
      <c r="C32" t="s">
        <v>128</v>
      </c>
      <c r="D32">
        <v>0</v>
      </c>
      <c r="E32">
        <v>0</v>
      </c>
      <c r="F32">
        <v>0</v>
      </c>
      <c r="G32">
        <v>0</v>
      </c>
      <c r="I32" t="s">
        <v>836</v>
      </c>
    </row>
    <row r="33" spans="1:9" x14ac:dyDescent="0.3">
      <c r="A33" t="s">
        <v>60</v>
      </c>
      <c r="B33" t="s">
        <v>129</v>
      </c>
      <c r="C33" t="s">
        <v>130</v>
      </c>
      <c r="D33">
        <v>0</v>
      </c>
      <c r="E33">
        <v>0</v>
      </c>
      <c r="F33">
        <v>0</v>
      </c>
      <c r="G33">
        <v>0</v>
      </c>
      <c r="I33" t="s">
        <v>836</v>
      </c>
    </row>
    <row r="34" spans="1:9" x14ac:dyDescent="0.3">
      <c r="A34" t="s">
        <v>60</v>
      </c>
      <c r="B34" t="s">
        <v>131</v>
      </c>
      <c r="C34" t="s">
        <v>132</v>
      </c>
      <c r="D34">
        <v>0</v>
      </c>
      <c r="E34">
        <v>0</v>
      </c>
      <c r="F34">
        <v>0</v>
      </c>
      <c r="G34">
        <v>0</v>
      </c>
      <c r="I34" t="s">
        <v>836</v>
      </c>
    </row>
    <row r="35" spans="1:9" x14ac:dyDescent="0.3">
      <c r="A35" t="s">
        <v>60</v>
      </c>
      <c r="B35" t="s">
        <v>133</v>
      </c>
      <c r="C35" t="s">
        <v>134</v>
      </c>
      <c r="D35">
        <v>0</v>
      </c>
      <c r="E35">
        <v>0</v>
      </c>
      <c r="F35">
        <v>0</v>
      </c>
      <c r="G35">
        <v>0</v>
      </c>
      <c r="I35" t="s">
        <v>836</v>
      </c>
    </row>
    <row r="36" spans="1:9" x14ac:dyDescent="0.3">
      <c r="A36" t="s">
        <v>60</v>
      </c>
      <c r="B36" t="s">
        <v>135</v>
      </c>
      <c r="C36" t="s">
        <v>136</v>
      </c>
      <c r="D36">
        <v>0</v>
      </c>
      <c r="E36">
        <v>0</v>
      </c>
      <c r="F36">
        <v>0</v>
      </c>
      <c r="G36">
        <v>0</v>
      </c>
      <c r="I36" t="s">
        <v>836</v>
      </c>
    </row>
    <row r="37" spans="1:9" x14ac:dyDescent="0.3">
      <c r="A37" t="s">
        <v>60</v>
      </c>
      <c r="B37" t="s">
        <v>137</v>
      </c>
      <c r="C37" t="s">
        <v>138</v>
      </c>
      <c r="D37">
        <v>0</v>
      </c>
      <c r="E37">
        <v>0</v>
      </c>
      <c r="F37">
        <v>0</v>
      </c>
      <c r="G37">
        <v>0</v>
      </c>
      <c r="I37" t="s">
        <v>836</v>
      </c>
    </row>
    <row r="38" spans="1:9" x14ac:dyDescent="0.3">
      <c r="A38" t="s">
        <v>60</v>
      </c>
      <c r="B38" t="s">
        <v>139</v>
      </c>
      <c r="C38" t="s">
        <v>140</v>
      </c>
      <c r="D38">
        <v>0</v>
      </c>
      <c r="E38">
        <v>0</v>
      </c>
      <c r="F38">
        <v>0</v>
      </c>
      <c r="G38">
        <v>0</v>
      </c>
      <c r="I38" t="s">
        <v>836</v>
      </c>
    </row>
    <row r="39" spans="1:9" x14ac:dyDescent="0.3">
      <c r="A39" t="s">
        <v>60</v>
      </c>
      <c r="B39" t="s">
        <v>141</v>
      </c>
      <c r="C39" t="s">
        <v>142</v>
      </c>
      <c r="D39">
        <v>0</v>
      </c>
      <c r="E39">
        <v>0</v>
      </c>
      <c r="F39">
        <v>0</v>
      </c>
      <c r="G39">
        <v>0</v>
      </c>
      <c r="I39" t="s">
        <v>836</v>
      </c>
    </row>
    <row r="40" spans="1:9" x14ac:dyDescent="0.3">
      <c r="A40" t="s">
        <v>60</v>
      </c>
      <c r="B40" t="s">
        <v>143</v>
      </c>
      <c r="C40" t="s">
        <v>144</v>
      </c>
      <c r="D40">
        <v>0</v>
      </c>
      <c r="E40">
        <v>0</v>
      </c>
      <c r="F40">
        <v>0</v>
      </c>
      <c r="G40">
        <v>0</v>
      </c>
      <c r="I40" t="s">
        <v>836</v>
      </c>
    </row>
    <row r="41" spans="1:9" x14ac:dyDescent="0.3">
      <c r="A41" t="s">
        <v>60</v>
      </c>
      <c r="B41" t="s">
        <v>145</v>
      </c>
      <c r="C41" t="s">
        <v>146</v>
      </c>
      <c r="D41">
        <v>0</v>
      </c>
      <c r="E41">
        <v>0</v>
      </c>
      <c r="F41">
        <v>0</v>
      </c>
      <c r="G41">
        <v>0</v>
      </c>
      <c r="I41" t="s">
        <v>836</v>
      </c>
    </row>
    <row r="42" spans="1:9" x14ac:dyDescent="0.3">
      <c r="A42" t="s">
        <v>60</v>
      </c>
      <c r="B42" t="s">
        <v>147</v>
      </c>
      <c r="C42" t="s">
        <v>148</v>
      </c>
      <c r="D42">
        <v>0</v>
      </c>
      <c r="E42">
        <v>0</v>
      </c>
      <c r="F42">
        <v>0</v>
      </c>
      <c r="G42">
        <v>0</v>
      </c>
      <c r="I42" t="s">
        <v>836</v>
      </c>
    </row>
    <row r="43" spans="1:9" x14ac:dyDescent="0.3">
      <c r="A43" t="s">
        <v>60</v>
      </c>
      <c r="B43" t="s">
        <v>149</v>
      </c>
      <c r="C43" t="s">
        <v>150</v>
      </c>
      <c r="D43">
        <v>0</v>
      </c>
      <c r="E43">
        <v>0</v>
      </c>
      <c r="F43">
        <v>0</v>
      </c>
      <c r="G43">
        <v>0</v>
      </c>
      <c r="I43" t="s">
        <v>836</v>
      </c>
    </row>
    <row r="44" spans="1:9" x14ac:dyDescent="0.3">
      <c r="A44" t="s">
        <v>60</v>
      </c>
      <c r="B44" t="s">
        <v>151</v>
      </c>
      <c r="C44" t="s">
        <v>152</v>
      </c>
      <c r="D44">
        <v>0</v>
      </c>
      <c r="E44">
        <v>0</v>
      </c>
      <c r="F44">
        <v>0</v>
      </c>
      <c r="G44">
        <v>0</v>
      </c>
      <c r="I44" t="s">
        <v>836</v>
      </c>
    </row>
    <row r="45" spans="1:9" x14ac:dyDescent="0.3">
      <c r="A45" t="s">
        <v>60</v>
      </c>
      <c r="B45" t="s">
        <v>153</v>
      </c>
      <c r="C45" t="s">
        <v>154</v>
      </c>
      <c r="D45">
        <v>0</v>
      </c>
      <c r="E45">
        <v>0</v>
      </c>
      <c r="F45">
        <v>0</v>
      </c>
      <c r="G45">
        <v>0</v>
      </c>
      <c r="I45" t="s">
        <v>836</v>
      </c>
    </row>
    <row r="46" spans="1:9" x14ac:dyDescent="0.3">
      <c r="A46" t="s">
        <v>60</v>
      </c>
      <c r="B46" t="s">
        <v>155</v>
      </c>
      <c r="C46" t="s">
        <v>156</v>
      </c>
      <c r="D46">
        <v>0</v>
      </c>
      <c r="E46">
        <v>0</v>
      </c>
      <c r="F46">
        <v>0</v>
      </c>
      <c r="G46">
        <v>0</v>
      </c>
      <c r="I46" t="s">
        <v>836</v>
      </c>
    </row>
    <row r="47" spans="1:9" x14ac:dyDescent="0.3">
      <c r="A47" t="s">
        <v>60</v>
      </c>
      <c r="B47" t="s">
        <v>157</v>
      </c>
      <c r="C47" t="s">
        <v>158</v>
      </c>
      <c r="D47">
        <v>0</v>
      </c>
      <c r="E47">
        <v>0</v>
      </c>
      <c r="F47">
        <v>0</v>
      </c>
      <c r="G47">
        <v>0</v>
      </c>
      <c r="I47" t="s">
        <v>836</v>
      </c>
    </row>
    <row r="48" spans="1:9" x14ac:dyDescent="0.3">
      <c r="A48" t="s">
        <v>60</v>
      </c>
      <c r="B48" t="s">
        <v>159</v>
      </c>
      <c r="C48" t="s">
        <v>160</v>
      </c>
      <c r="D48">
        <v>0</v>
      </c>
      <c r="E48">
        <v>0</v>
      </c>
      <c r="F48">
        <v>0</v>
      </c>
      <c r="G48">
        <v>0</v>
      </c>
      <c r="I48" t="s">
        <v>836</v>
      </c>
    </row>
    <row r="49" spans="1:9" x14ac:dyDescent="0.3">
      <c r="A49" t="s">
        <v>60</v>
      </c>
      <c r="B49" t="s">
        <v>161</v>
      </c>
      <c r="C49" t="s">
        <v>162</v>
      </c>
      <c r="D49">
        <v>0</v>
      </c>
      <c r="E49">
        <v>0</v>
      </c>
      <c r="F49">
        <v>0</v>
      </c>
      <c r="G49">
        <v>0</v>
      </c>
      <c r="I49" t="s">
        <v>836</v>
      </c>
    </row>
    <row r="50" spans="1:9" x14ac:dyDescent="0.3">
      <c r="A50" t="s">
        <v>60</v>
      </c>
      <c r="B50" t="s">
        <v>163</v>
      </c>
      <c r="C50" t="s">
        <v>164</v>
      </c>
      <c r="D50">
        <v>0</v>
      </c>
      <c r="E50">
        <v>0</v>
      </c>
      <c r="F50">
        <v>0</v>
      </c>
      <c r="G50">
        <v>0</v>
      </c>
      <c r="I50" t="s">
        <v>836</v>
      </c>
    </row>
    <row r="51" spans="1:9" x14ac:dyDescent="0.3">
      <c r="A51" t="s">
        <v>60</v>
      </c>
      <c r="B51" t="s">
        <v>165</v>
      </c>
      <c r="C51" t="s">
        <v>166</v>
      </c>
      <c r="D51">
        <v>0</v>
      </c>
      <c r="E51">
        <v>0</v>
      </c>
      <c r="F51">
        <v>0</v>
      </c>
      <c r="G51">
        <v>0</v>
      </c>
      <c r="I51" t="s">
        <v>836</v>
      </c>
    </row>
    <row r="52" spans="1:9" x14ac:dyDescent="0.3">
      <c r="A52" t="s">
        <v>60</v>
      </c>
      <c r="B52" t="s">
        <v>167</v>
      </c>
      <c r="C52" t="s">
        <v>168</v>
      </c>
      <c r="D52">
        <v>0</v>
      </c>
      <c r="E52">
        <v>0</v>
      </c>
      <c r="F52">
        <v>0</v>
      </c>
      <c r="G52">
        <v>0</v>
      </c>
      <c r="I52" t="s">
        <v>836</v>
      </c>
    </row>
    <row r="53" spans="1:9" x14ac:dyDescent="0.3">
      <c r="A53" t="s">
        <v>60</v>
      </c>
      <c r="B53" t="s">
        <v>169</v>
      </c>
      <c r="C53" t="s">
        <v>170</v>
      </c>
      <c r="D53">
        <v>0</v>
      </c>
      <c r="E53">
        <v>0</v>
      </c>
      <c r="F53">
        <v>0</v>
      </c>
      <c r="G53">
        <v>0</v>
      </c>
      <c r="I53" t="s">
        <v>836</v>
      </c>
    </row>
    <row r="54" spans="1:9" x14ac:dyDescent="0.3">
      <c r="A54" t="s">
        <v>60</v>
      </c>
      <c r="B54" t="s">
        <v>171</v>
      </c>
      <c r="C54" t="s">
        <v>172</v>
      </c>
      <c r="D54">
        <v>0</v>
      </c>
      <c r="E54">
        <v>0</v>
      </c>
      <c r="F54">
        <v>0</v>
      </c>
      <c r="G54">
        <v>0</v>
      </c>
      <c r="I54" t="s">
        <v>836</v>
      </c>
    </row>
    <row r="55" spans="1:9" x14ac:dyDescent="0.3">
      <c r="A55" t="s">
        <v>60</v>
      </c>
      <c r="B55" t="s">
        <v>173</v>
      </c>
      <c r="C55" t="s">
        <v>174</v>
      </c>
      <c r="D55">
        <v>0</v>
      </c>
      <c r="E55">
        <v>0</v>
      </c>
      <c r="F55">
        <v>0</v>
      </c>
      <c r="G55">
        <v>0</v>
      </c>
      <c r="I55" t="s">
        <v>836</v>
      </c>
    </row>
    <row r="56" spans="1:9" x14ac:dyDescent="0.3">
      <c r="A56" t="s">
        <v>60</v>
      </c>
      <c r="B56" t="s">
        <v>175</v>
      </c>
      <c r="C56" t="s">
        <v>176</v>
      </c>
      <c r="D56">
        <v>0</v>
      </c>
      <c r="E56">
        <v>0</v>
      </c>
      <c r="F56">
        <v>0</v>
      </c>
      <c r="G56">
        <v>0</v>
      </c>
      <c r="I56" t="s">
        <v>836</v>
      </c>
    </row>
    <row r="57" spans="1:9" x14ac:dyDescent="0.3">
      <c r="A57" t="s">
        <v>60</v>
      </c>
      <c r="B57" t="s">
        <v>177</v>
      </c>
      <c r="C57" t="s">
        <v>178</v>
      </c>
      <c r="D57">
        <v>0</v>
      </c>
      <c r="E57">
        <v>0</v>
      </c>
      <c r="F57">
        <v>0</v>
      </c>
      <c r="G57">
        <v>0</v>
      </c>
      <c r="I57" t="s">
        <v>836</v>
      </c>
    </row>
    <row r="58" spans="1:9" x14ac:dyDescent="0.3">
      <c r="A58" t="s">
        <v>60</v>
      </c>
      <c r="B58" t="s">
        <v>179</v>
      </c>
      <c r="C58" t="s">
        <v>180</v>
      </c>
      <c r="D58">
        <v>0</v>
      </c>
      <c r="E58">
        <v>0</v>
      </c>
      <c r="F58">
        <v>0</v>
      </c>
      <c r="G58">
        <v>0</v>
      </c>
      <c r="I58" t="s">
        <v>836</v>
      </c>
    </row>
    <row r="59" spans="1:9" x14ac:dyDescent="0.3">
      <c r="A59" t="s">
        <v>60</v>
      </c>
      <c r="B59" t="s">
        <v>181</v>
      </c>
      <c r="C59" t="s">
        <v>182</v>
      </c>
      <c r="D59">
        <v>0</v>
      </c>
      <c r="E59">
        <v>0</v>
      </c>
      <c r="F59">
        <v>0</v>
      </c>
      <c r="G59">
        <v>0</v>
      </c>
      <c r="I59" t="s">
        <v>836</v>
      </c>
    </row>
    <row r="60" spans="1:9" x14ac:dyDescent="0.3">
      <c r="A60" t="s">
        <v>60</v>
      </c>
      <c r="B60" t="s">
        <v>183</v>
      </c>
      <c r="C60" t="s">
        <v>184</v>
      </c>
      <c r="D60">
        <v>0</v>
      </c>
      <c r="E60">
        <v>0</v>
      </c>
      <c r="F60">
        <v>0</v>
      </c>
      <c r="G60">
        <v>0</v>
      </c>
      <c r="I60" t="s">
        <v>836</v>
      </c>
    </row>
    <row r="61" spans="1:9" x14ac:dyDescent="0.3">
      <c r="A61" t="s">
        <v>185</v>
      </c>
      <c r="B61" t="s">
        <v>186</v>
      </c>
      <c r="C61" t="s">
        <v>187</v>
      </c>
      <c r="D61">
        <v>1</v>
      </c>
      <c r="E61">
        <v>2</v>
      </c>
      <c r="F61">
        <v>0</v>
      </c>
      <c r="G61">
        <v>2</v>
      </c>
      <c r="H61" t="s">
        <v>64</v>
      </c>
    </row>
    <row r="62" spans="1:9" x14ac:dyDescent="0.3">
      <c r="A62" t="s">
        <v>185</v>
      </c>
      <c r="B62" t="s">
        <v>190</v>
      </c>
      <c r="C62" t="s">
        <v>191</v>
      </c>
      <c r="D62">
        <v>1</v>
      </c>
      <c r="E62">
        <v>2</v>
      </c>
      <c r="F62">
        <v>0</v>
      </c>
      <c r="G62">
        <v>2</v>
      </c>
      <c r="H62" t="s">
        <v>64</v>
      </c>
    </row>
    <row r="63" spans="1:9" x14ac:dyDescent="0.3">
      <c r="A63" t="s">
        <v>185</v>
      </c>
      <c r="B63" t="s">
        <v>192</v>
      </c>
      <c r="C63" t="s">
        <v>193</v>
      </c>
      <c r="D63">
        <v>1</v>
      </c>
      <c r="E63">
        <v>1</v>
      </c>
      <c r="F63">
        <v>0</v>
      </c>
      <c r="G63">
        <v>1</v>
      </c>
      <c r="H63" t="s">
        <v>64</v>
      </c>
    </row>
    <row r="64" spans="1:9" x14ac:dyDescent="0.3">
      <c r="A64" t="s">
        <v>185</v>
      </c>
      <c r="B64" t="s">
        <v>194</v>
      </c>
      <c r="C64" t="s">
        <v>195</v>
      </c>
      <c r="D64">
        <v>1</v>
      </c>
      <c r="E64">
        <v>4</v>
      </c>
      <c r="F64">
        <v>3</v>
      </c>
      <c r="G64">
        <v>4</v>
      </c>
      <c r="H64" t="s">
        <v>302</v>
      </c>
      <c r="I64" t="s">
        <v>837</v>
      </c>
    </row>
    <row r="65" spans="1:9" x14ac:dyDescent="0.3">
      <c r="A65" t="s">
        <v>185</v>
      </c>
      <c r="B65" t="s">
        <v>196</v>
      </c>
      <c r="C65" t="s">
        <v>197</v>
      </c>
      <c r="D65">
        <v>1</v>
      </c>
      <c r="E65">
        <v>1</v>
      </c>
      <c r="F65">
        <v>0</v>
      </c>
      <c r="G65">
        <v>1</v>
      </c>
      <c r="H65" t="s">
        <v>64</v>
      </c>
    </row>
    <row r="66" spans="1:9" x14ac:dyDescent="0.3">
      <c r="A66" t="s">
        <v>185</v>
      </c>
      <c r="B66" t="s">
        <v>198</v>
      </c>
      <c r="C66" t="s">
        <v>199</v>
      </c>
      <c r="D66">
        <v>1</v>
      </c>
      <c r="E66">
        <v>2</v>
      </c>
      <c r="F66">
        <v>1</v>
      </c>
      <c r="G66">
        <v>2</v>
      </c>
      <c r="H66" t="s">
        <v>64</v>
      </c>
    </row>
    <row r="67" spans="1:9" x14ac:dyDescent="0.3">
      <c r="A67" t="s">
        <v>185</v>
      </c>
      <c r="B67" t="s">
        <v>200</v>
      </c>
      <c r="C67" t="s">
        <v>201</v>
      </c>
      <c r="D67">
        <v>1</v>
      </c>
      <c r="E67">
        <v>1</v>
      </c>
      <c r="F67">
        <v>0</v>
      </c>
      <c r="G67">
        <v>1</v>
      </c>
      <c r="H67" t="s">
        <v>64</v>
      </c>
    </row>
    <row r="68" spans="1:9" x14ac:dyDescent="0.3">
      <c r="A68" t="s">
        <v>185</v>
      </c>
      <c r="B68" t="s">
        <v>202</v>
      </c>
      <c r="C68" t="s">
        <v>203</v>
      </c>
      <c r="D68">
        <v>1</v>
      </c>
      <c r="E68">
        <v>2</v>
      </c>
      <c r="F68">
        <v>1</v>
      </c>
      <c r="G68">
        <v>2</v>
      </c>
      <c r="H68" t="s">
        <v>64</v>
      </c>
    </row>
    <row r="69" spans="1:9" x14ac:dyDescent="0.3">
      <c r="A69" t="s">
        <v>185</v>
      </c>
      <c r="B69" t="s">
        <v>204</v>
      </c>
      <c r="C69" t="s">
        <v>205</v>
      </c>
      <c r="D69">
        <v>1</v>
      </c>
      <c r="E69">
        <v>1</v>
      </c>
      <c r="F69">
        <v>0</v>
      </c>
      <c r="G69">
        <v>1</v>
      </c>
      <c r="H69" t="s">
        <v>64</v>
      </c>
    </row>
    <row r="70" spans="1:9" x14ac:dyDescent="0.3">
      <c r="A70" t="s">
        <v>185</v>
      </c>
      <c r="B70" t="s">
        <v>206</v>
      </c>
      <c r="C70" t="s">
        <v>207</v>
      </c>
      <c r="D70">
        <v>4</v>
      </c>
      <c r="E70">
        <v>10</v>
      </c>
      <c r="F70">
        <v>6</v>
      </c>
      <c r="G70">
        <v>11</v>
      </c>
      <c r="H70" t="s">
        <v>64</v>
      </c>
      <c r="I70" t="s">
        <v>838</v>
      </c>
    </row>
    <row r="71" spans="1:9" x14ac:dyDescent="0.3">
      <c r="A71" t="s">
        <v>185</v>
      </c>
      <c r="B71" t="s">
        <v>208</v>
      </c>
      <c r="C71" t="s">
        <v>209</v>
      </c>
      <c r="D71">
        <v>1</v>
      </c>
      <c r="E71">
        <v>1</v>
      </c>
      <c r="F71">
        <v>0</v>
      </c>
      <c r="G71">
        <v>1</v>
      </c>
      <c r="H71" t="s">
        <v>64</v>
      </c>
    </row>
    <row r="72" spans="1:9" x14ac:dyDescent="0.3">
      <c r="A72" t="s">
        <v>185</v>
      </c>
      <c r="B72" t="s">
        <v>210</v>
      </c>
      <c r="C72" t="s">
        <v>211</v>
      </c>
      <c r="D72">
        <v>1</v>
      </c>
      <c r="E72">
        <v>6</v>
      </c>
      <c r="F72">
        <v>2</v>
      </c>
      <c r="G72">
        <v>6</v>
      </c>
      <c r="H72" t="s">
        <v>302</v>
      </c>
      <c r="I72" t="s">
        <v>839</v>
      </c>
    </row>
    <row r="73" spans="1:9" x14ac:dyDescent="0.3">
      <c r="A73" t="s">
        <v>185</v>
      </c>
      <c r="B73" t="s">
        <v>212</v>
      </c>
      <c r="C73" t="s">
        <v>213</v>
      </c>
      <c r="D73">
        <v>3</v>
      </c>
      <c r="E73">
        <v>8</v>
      </c>
      <c r="F73">
        <v>3</v>
      </c>
      <c r="G73">
        <v>8</v>
      </c>
      <c r="H73" t="s">
        <v>302</v>
      </c>
      <c r="I73" t="s">
        <v>839</v>
      </c>
    </row>
    <row r="74" spans="1:9" x14ac:dyDescent="0.3">
      <c r="A74" t="s">
        <v>185</v>
      </c>
      <c r="B74" t="s">
        <v>214</v>
      </c>
      <c r="C74" t="s">
        <v>215</v>
      </c>
      <c r="D74">
        <v>1</v>
      </c>
      <c r="E74">
        <v>1</v>
      </c>
      <c r="F74">
        <v>0</v>
      </c>
      <c r="G74">
        <v>1</v>
      </c>
      <c r="H74" t="s">
        <v>64</v>
      </c>
    </row>
    <row r="75" spans="1:9" x14ac:dyDescent="0.3">
      <c r="A75" t="s">
        <v>185</v>
      </c>
      <c r="B75" t="s">
        <v>216</v>
      </c>
      <c r="C75" t="s">
        <v>217</v>
      </c>
      <c r="D75">
        <v>1</v>
      </c>
      <c r="E75">
        <v>4</v>
      </c>
      <c r="F75">
        <v>3</v>
      </c>
      <c r="G75">
        <v>4</v>
      </c>
      <c r="H75" t="s">
        <v>302</v>
      </c>
      <c r="I75" t="s">
        <v>837</v>
      </c>
    </row>
    <row r="76" spans="1:9" x14ac:dyDescent="0.3">
      <c r="A76" t="s">
        <v>185</v>
      </c>
      <c r="B76" t="s">
        <v>218</v>
      </c>
      <c r="C76" t="s">
        <v>219</v>
      </c>
      <c r="D76">
        <v>1</v>
      </c>
      <c r="E76">
        <v>1</v>
      </c>
      <c r="F76">
        <v>0</v>
      </c>
      <c r="G76">
        <v>1</v>
      </c>
      <c r="H76" t="s">
        <v>64</v>
      </c>
    </row>
    <row r="77" spans="1:9" x14ac:dyDescent="0.3">
      <c r="A77" t="s">
        <v>185</v>
      </c>
      <c r="B77" t="s">
        <v>220</v>
      </c>
      <c r="C77" t="s">
        <v>221</v>
      </c>
      <c r="D77">
        <v>2</v>
      </c>
      <c r="E77">
        <v>6</v>
      </c>
      <c r="F77">
        <v>3</v>
      </c>
      <c r="G77">
        <v>6</v>
      </c>
      <c r="H77" t="s">
        <v>64</v>
      </c>
      <c r="I77" t="s">
        <v>840</v>
      </c>
    </row>
    <row r="78" spans="1:9" x14ac:dyDescent="0.3">
      <c r="A78" t="s">
        <v>185</v>
      </c>
      <c r="B78" t="s">
        <v>222</v>
      </c>
      <c r="C78" t="s">
        <v>223</v>
      </c>
      <c r="D78">
        <v>1</v>
      </c>
      <c r="E78">
        <v>2</v>
      </c>
      <c r="F78">
        <v>1</v>
      </c>
      <c r="G78">
        <v>2</v>
      </c>
      <c r="H78" t="s">
        <v>64</v>
      </c>
    </row>
    <row r="79" spans="1:9" x14ac:dyDescent="0.3">
      <c r="A79" t="s">
        <v>185</v>
      </c>
      <c r="B79" t="s">
        <v>224</v>
      </c>
      <c r="C79" t="s">
        <v>225</v>
      </c>
      <c r="D79">
        <v>3</v>
      </c>
      <c r="E79">
        <v>6</v>
      </c>
      <c r="F79">
        <v>2</v>
      </c>
      <c r="G79">
        <v>7</v>
      </c>
      <c r="H79" t="s">
        <v>64</v>
      </c>
      <c r="I79" t="s">
        <v>841</v>
      </c>
    </row>
    <row r="80" spans="1:9" x14ac:dyDescent="0.3">
      <c r="A80" t="s">
        <v>185</v>
      </c>
      <c r="B80" t="s">
        <v>226</v>
      </c>
      <c r="C80" t="s">
        <v>227</v>
      </c>
      <c r="D80">
        <v>1</v>
      </c>
      <c r="E80">
        <v>1</v>
      </c>
      <c r="F80">
        <v>0</v>
      </c>
      <c r="G80">
        <v>1</v>
      </c>
      <c r="H80" t="s">
        <v>64</v>
      </c>
    </row>
    <row r="81" spans="1:9" x14ac:dyDescent="0.3">
      <c r="A81" t="s">
        <v>185</v>
      </c>
      <c r="B81" t="s">
        <v>228</v>
      </c>
      <c r="C81" t="s">
        <v>229</v>
      </c>
      <c r="D81">
        <v>1</v>
      </c>
      <c r="E81">
        <v>1</v>
      </c>
      <c r="F81">
        <v>0</v>
      </c>
      <c r="G81">
        <v>1</v>
      </c>
      <c r="H81" t="s">
        <v>64</v>
      </c>
    </row>
    <row r="82" spans="1:9" x14ac:dyDescent="0.3">
      <c r="A82" t="s">
        <v>185</v>
      </c>
      <c r="B82" t="s">
        <v>230</v>
      </c>
      <c r="C82" t="s">
        <v>231</v>
      </c>
      <c r="D82">
        <v>1</v>
      </c>
      <c r="E82">
        <v>5</v>
      </c>
      <c r="F82">
        <v>2</v>
      </c>
      <c r="G82">
        <v>5</v>
      </c>
      <c r="H82" t="s">
        <v>302</v>
      </c>
      <c r="I82" t="s">
        <v>842</v>
      </c>
    </row>
    <row r="83" spans="1:9" x14ac:dyDescent="0.3">
      <c r="A83" t="s">
        <v>185</v>
      </c>
      <c r="B83" t="s">
        <v>232</v>
      </c>
      <c r="C83" t="s">
        <v>233</v>
      </c>
      <c r="D83">
        <v>1</v>
      </c>
      <c r="E83">
        <v>3</v>
      </c>
      <c r="F83">
        <v>1</v>
      </c>
      <c r="G83">
        <v>3</v>
      </c>
      <c r="H83" t="s">
        <v>64</v>
      </c>
      <c r="I83" t="s">
        <v>843</v>
      </c>
    </row>
    <row r="84" spans="1:9" x14ac:dyDescent="0.3">
      <c r="A84" t="s">
        <v>185</v>
      </c>
      <c r="B84" t="s">
        <v>234</v>
      </c>
      <c r="C84" t="s">
        <v>235</v>
      </c>
      <c r="D84">
        <v>3</v>
      </c>
      <c r="E84">
        <v>6</v>
      </c>
      <c r="F84">
        <v>3</v>
      </c>
      <c r="G84">
        <v>8</v>
      </c>
      <c r="H84" t="s">
        <v>64</v>
      </c>
      <c r="I84" t="s">
        <v>844</v>
      </c>
    </row>
    <row r="85" spans="1:9" x14ac:dyDescent="0.3">
      <c r="A85" t="s">
        <v>185</v>
      </c>
      <c r="B85" t="s">
        <v>236</v>
      </c>
      <c r="C85" t="s">
        <v>237</v>
      </c>
      <c r="D85">
        <v>1</v>
      </c>
      <c r="E85">
        <v>2</v>
      </c>
      <c r="F85">
        <v>1</v>
      </c>
      <c r="G85">
        <v>2</v>
      </c>
      <c r="H85" t="s">
        <v>64</v>
      </c>
    </row>
    <row r="86" spans="1:9" x14ac:dyDescent="0.3">
      <c r="A86" t="s">
        <v>185</v>
      </c>
      <c r="B86" t="s">
        <v>238</v>
      </c>
      <c r="C86" t="s">
        <v>239</v>
      </c>
      <c r="D86">
        <v>1</v>
      </c>
      <c r="E86">
        <v>1</v>
      </c>
      <c r="F86">
        <v>0</v>
      </c>
      <c r="G86">
        <v>1</v>
      </c>
      <c r="H86" t="s">
        <v>64</v>
      </c>
    </row>
    <row r="87" spans="1:9" x14ac:dyDescent="0.3">
      <c r="A87" t="s">
        <v>185</v>
      </c>
      <c r="B87" t="s">
        <v>240</v>
      </c>
      <c r="C87" t="s">
        <v>241</v>
      </c>
      <c r="D87">
        <v>1</v>
      </c>
      <c r="E87">
        <v>2</v>
      </c>
      <c r="F87">
        <v>0</v>
      </c>
      <c r="G87">
        <v>2</v>
      </c>
      <c r="H87" t="s">
        <v>64</v>
      </c>
      <c r="I87" t="s">
        <v>845</v>
      </c>
    </row>
    <row r="88" spans="1:9" x14ac:dyDescent="0.3">
      <c r="A88" t="s">
        <v>185</v>
      </c>
      <c r="B88" t="s">
        <v>242</v>
      </c>
      <c r="C88" t="s">
        <v>243</v>
      </c>
      <c r="D88">
        <v>1</v>
      </c>
      <c r="E88">
        <v>1</v>
      </c>
      <c r="F88">
        <v>0</v>
      </c>
      <c r="G88">
        <v>1</v>
      </c>
      <c r="H88" t="s">
        <v>64</v>
      </c>
    </row>
    <row r="89" spans="1:9" x14ac:dyDescent="0.3">
      <c r="A89" t="s">
        <v>185</v>
      </c>
      <c r="B89" t="s">
        <v>244</v>
      </c>
      <c r="C89" t="s">
        <v>245</v>
      </c>
      <c r="D89">
        <v>2</v>
      </c>
      <c r="E89">
        <v>2</v>
      </c>
      <c r="F89">
        <v>0</v>
      </c>
      <c r="G89">
        <v>2</v>
      </c>
      <c r="H89" t="s">
        <v>64</v>
      </c>
    </row>
    <row r="90" spans="1:9" x14ac:dyDescent="0.3">
      <c r="A90" t="s">
        <v>185</v>
      </c>
      <c r="B90" t="s">
        <v>246</v>
      </c>
      <c r="C90" t="s">
        <v>247</v>
      </c>
      <c r="D90">
        <v>3</v>
      </c>
      <c r="E90">
        <v>7</v>
      </c>
      <c r="F90">
        <v>2</v>
      </c>
      <c r="G90">
        <v>8</v>
      </c>
      <c r="H90" t="s">
        <v>64</v>
      </c>
      <c r="I90" t="s">
        <v>841</v>
      </c>
    </row>
    <row r="91" spans="1:9" x14ac:dyDescent="0.3">
      <c r="A91" t="s">
        <v>185</v>
      </c>
      <c r="B91" t="s">
        <v>248</v>
      </c>
      <c r="C91" t="s">
        <v>249</v>
      </c>
      <c r="D91">
        <v>1</v>
      </c>
      <c r="E91">
        <v>2</v>
      </c>
      <c r="F91">
        <v>0</v>
      </c>
      <c r="G91">
        <v>2</v>
      </c>
      <c r="H91" t="s">
        <v>64</v>
      </c>
      <c r="I91" t="s">
        <v>845</v>
      </c>
    </row>
    <row r="92" spans="1:9" x14ac:dyDescent="0.3">
      <c r="A92" t="s">
        <v>185</v>
      </c>
      <c r="B92" t="s">
        <v>250</v>
      </c>
      <c r="C92" t="s">
        <v>251</v>
      </c>
      <c r="D92">
        <v>1</v>
      </c>
      <c r="E92">
        <v>1</v>
      </c>
      <c r="F92">
        <v>0</v>
      </c>
      <c r="G92">
        <v>1</v>
      </c>
      <c r="H92" t="s">
        <v>64</v>
      </c>
    </row>
    <row r="93" spans="1:9" x14ac:dyDescent="0.3">
      <c r="A93" t="s">
        <v>185</v>
      </c>
      <c r="B93" t="s">
        <v>252</v>
      </c>
      <c r="C93" t="s">
        <v>253</v>
      </c>
      <c r="D93">
        <v>1</v>
      </c>
      <c r="E93">
        <v>2</v>
      </c>
      <c r="F93">
        <v>0</v>
      </c>
      <c r="G93">
        <v>2</v>
      </c>
      <c r="H93" t="s">
        <v>64</v>
      </c>
    </row>
    <row r="94" spans="1:9" x14ac:dyDescent="0.3">
      <c r="A94" t="s">
        <v>185</v>
      </c>
      <c r="B94" t="s">
        <v>254</v>
      </c>
      <c r="C94" t="s">
        <v>255</v>
      </c>
      <c r="D94">
        <v>2</v>
      </c>
      <c r="E94">
        <v>2</v>
      </c>
      <c r="F94">
        <v>0</v>
      </c>
      <c r="G94">
        <v>2</v>
      </c>
      <c r="H94" t="s">
        <v>64</v>
      </c>
    </row>
    <row r="95" spans="1:9" x14ac:dyDescent="0.3">
      <c r="A95" t="s">
        <v>185</v>
      </c>
      <c r="B95" t="s">
        <v>256</v>
      </c>
      <c r="C95" t="s">
        <v>257</v>
      </c>
      <c r="D95">
        <v>2</v>
      </c>
      <c r="E95">
        <v>5</v>
      </c>
      <c r="F95">
        <v>1</v>
      </c>
      <c r="G95">
        <v>5</v>
      </c>
      <c r="H95" t="s">
        <v>64</v>
      </c>
    </row>
    <row r="96" spans="1:9" x14ac:dyDescent="0.3">
      <c r="A96" t="s">
        <v>185</v>
      </c>
      <c r="B96" t="s">
        <v>258</v>
      </c>
      <c r="C96" t="s">
        <v>259</v>
      </c>
      <c r="D96">
        <v>1</v>
      </c>
      <c r="E96">
        <v>4</v>
      </c>
      <c r="F96">
        <v>1</v>
      </c>
      <c r="G96">
        <v>4</v>
      </c>
      <c r="H96" t="s">
        <v>64</v>
      </c>
    </row>
    <row r="97" spans="1:9" x14ac:dyDescent="0.3">
      <c r="A97" t="s">
        <v>185</v>
      </c>
      <c r="B97" t="s">
        <v>260</v>
      </c>
      <c r="C97" t="s">
        <v>261</v>
      </c>
      <c r="D97">
        <v>1</v>
      </c>
      <c r="E97">
        <v>5</v>
      </c>
      <c r="F97">
        <v>2</v>
      </c>
      <c r="G97">
        <v>5</v>
      </c>
      <c r="H97" t="s">
        <v>64</v>
      </c>
      <c r="I97" t="s">
        <v>846</v>
      </c>
    </row>
    <row r="98" spans="1:9" x14ac:dyDescent="0.3">
      <c r="A98" t="s">
        <v>185</v>
      </c>
      <c r="B98" t="s">
        <v>262</v>
      </c>
      <c r="C98" t="s">
        <v>263</v>
      </c>
      <c r="D98">
        <v>2</v>
      </c>
      <c r="E98">
        <v>3</v>
      </c>
      <c r="F98">
        <v>1</v>
      </c>
      <c r="G98">
        <v>3</v>
      </c>
      <c r="H98" t="s">
        <v>302</v>
      </c>
      <c r="I98" t="s">
        <v>847</v>
      </c>
    </row>
    <row r="99" spans="1:9" x14ac:dyDescent="0.3">
      <c r="A99" t="s">
        <v>185</v>
      </c>
      <c r="B99" t="s">
        <v>264</v>
      </c>
      <c r="C99" t="s">
        <v>265</v>
      </c>
      <c r="D99">
        <v>1</v>
      </c>
      <c r="E99">
        <v>4</v>
      </c>
      <c r="F99">
        <v>1</v>
      </c>
      <c r="G99">
        <v>4</v>
      </c>
      <c r="H99" t="s">
        <v>64</v>
      </c>
      <c r="I99" t="s">
        <v>848</v>
      </c>
    </row>
    <row r="100" spans="1:9" x14ac:dyDescent="0.3">
      <c r="A100" t="s">
        <v>185</v>
      </c>
      <c r="B100" t="s">
        <v>266</v>
      </c>
      <c r="C100" t="s">
        <v>267</v>
      </c>
      <c r="D100">
        <v>1</v>
      </c>
      <c r="E100">
        <v>1</v>
      </c>
      <c r="F100">
        <v>0</v>
      </c>
      <c r="G100">
        <v>1</v>
      </c>
      <c r="H100" t="s">
        <v>64</v>
      </c>
    </row>
    <row r="101" spans="1:9" x14ac:dyDescent="0.3">
      <c r="A101" t="s">
        <v>185</v>
      </c>
      <c r="B101" t="s">
        <v>268</v>
      </c>
      <c r="C101" t="s">
        <v>269</v>
      </c>
      <c r="D101">
        <v>1</v>
      </c>
      <c r="E101">
        <v>4</v>
      </c>
      <c r="F101">
        <v>0</v>
      </c>
      <c r="G101">
        <v>4</v>
      </c>
      <c r="H101" t="s">
        <v>64</v>
      </c>
      <c r="I101" t="s">
        <v>849</v>
      </c>
    </row>
    <row r="102" spans="1:9" x14ac:dyDescent="0.3">
      <c r="A102" t="s">
        <v>185</v>
      </c>
      <c r="B102" t="s">
        <v>270</v>
      </c>
      <c r="C102" t="s">
        <v>271</v>
      </c>
      <c r="D102">
        <v>1</v>
      </c>
      <c r="E102">
        <v>5</v>
      </c>
      <c r="F102">
        <v>1</v>
      </c>
      <c r="G102">
        <v>5</v>
      </c>
      <c r="H102" t="s">
        <v>64</v>
      </c>
      <c r="I102" t="s">
        <v>850</v>
      </c>
    </row>
    <row r="103" spans="1:9" x14ac:dyDescent="0.3">
      <c r="A103" t="s">
        <v>185</v>
      </c>
      <c r="B103" t="s">
        <v>272</v>
      </c>
      <c r="C103" t="s">
        <v>273</v>
      </c>
      <c r="D103">
        <v>4</v>
      </c>
      <c r="E103">
        <v>8</v>
      </c>
      <c r="F103">
        <v>3</v>
      </c>
      <c r="G103">
        <v>8</v>
      </c>
      <c r="H103" t="s">
        <v>64</v>
      </c>
      <c r="I103" t="s">
        <v>846</v>
      </c>
    </row>
    <row r="104" spans="1:9" x14ac:dyDescent="0.3">
      <c r="A104" t="s">
        <v>185</v>
      </c>
      <c r="B104" t="s">
        <v>274</v>
      </c>
      <c r="C104" t="s">
        <v>275</v>
      </c>
      <c r="D104">
        <v>3</v>
      </c>
      <c r="E104">
        <v>4</v>
      </c>
      <c r="F104">
        <v>1</v>
      </c>
      <c r="G104">
        <v>4</v>
      </c>
      <c r="H104" t="s">
        <v>302</v>
      </c>
      <c r="I104" t="s">
        <v>847</v>
      </c>
    </row>
    <row r="105" spans="1:9" x14ac:dyDescent="0.3">
      <c r="A105" t="s">
        <v>185</v>
      </c>
      <c r="B105" t="s">
        <v>276</v>
      </c>
      <c r="C105" t="s">
        <v>277</v>
      </c>
      <c r="D105">
        <v>2</v>
      </c>
      <c r="E105">
        <v>6</v>
      </c>
      <c r="F105">
        <v>1</v>
      </c>
      <c r="G105">
        <v>6</v>
      </c>
      <c r="H105" t="s">
        <v>64</v>
      </c>
      <c r="I105" t="s">
        <v>850</v>
      </c>
    </row>
    <row r="106" spans="1:9" x14ac:dyDescent="0.3">
      <c r="A106" t="s">
        <v>185</v>
      </c>
      <c r="B106" t="s">
        <v>278</v>
      </c>
      <c r="C106" t="s">
        <v>279</v>
      </c>
      <c r="D106">
        <v>3</v>
      </c>
      <c r="E106">
        <v>3</v>
      </c>
      <c r="F106">
        <v>1</v>
      </c>
      <c r="G106">
        <v>3</v>
      </c>
      <c r="H106" t="s">
        <v>301</v>
      </c>
      <c r="I106" t="s">
        <v>851</v>
      </c>
    </row>
    <row r="107" spans="1:9" x14ac:dyDescent="0.3">
      <c r="A107" t="s">
        <v>185</v>
      </c>
      <c r="B107" t="s">
        <v>280</v>
      </c>
      <c r="C107" t="s">
        <v>281</v>
      </c>
      <c r="D107">
        <v>2</v>
      </c>
      <c r="E107">
        <v>6</v>
      </c>
      <c r="F107">
        <v>2</v>
      </c>
      <c r="G107">
        <v>6</v>
      </c>
      <c r="H107" t="s">
        <v>189</v>
      </c>
      <c r="I107" t="s">
        <v>852</v>
      </c>
    </row>
    <row r="108" spans="1:9" x14ac:dyDescent="0.3">
      <c r="A108" t="s">
        <v>185</v>
      </c>
      <c r="B108" t="s">
        <v>282</v>
      </c>
      <c r="C108" t="s">
        <v>283</v>
      </c>
      <c r="D108">
        <v>3</v>
      </c>
      <c r="E108">
        <v>10</v>
      </c>
      <c r="F108">
        <v>6</v>
      </c>
      <c r="G108">
        <v>10</v>
      </c>
      <c r="H108" t="s">
        <v>302</v>
      </c>
      <c r="I108" t="s">
        <v>853</v>
      </c>
    </row>
    <row r="109" spans="1:9" x14ac:dyDescent="0.3">
      <c r="A109" t="s">
        <v>185</v>
      </c>
      <c r="B109" t="s">
        <v>284</v>
      </c>
      <c r="C109" t="s">
        <v>285</v>
      </c>
      <c r="D109">
        <v>2</v>
      </c>
      <c r="E109">
        <v>2</v>
      </c>
      <c r="F109">
        <v>0</v>
      </c>
      <c r="G109">
        <v>2</v>
      </c>
      <c r="H109" t="s">
        <v>301</v>
      </c>
      <c r="I109" t="s">
        <v>851</v>
      </c>
    </row>
    <row r="110" spans="1:9" x14ac:dyDescent="0.3">
      <c r="A110" t="s">
        <v>185</v>
      </c>
      <c r="B110" t="s">
        <v>286</v>
      </c>
      <c r="C110" t="s">
        <v>287</v>
      </c>
      <c r="D110">
        <v>1</v>
      </c>
      <c r="E110">
        <v>2</v>
      </c>
      <c r="F110">
        <v>0</v>
      </c>
      <c r="G110">
        <v>2</v>
      </c>
      <c r="H110" t="s">
        <v>64</v>
      </c>
      <c r="I110" t="s">
        <v>854</v>
      </c>
    </row>
    <row r="111" spans="1:9" x14ac:dyDescent="0.3">
      <c r="A111" t="s">
        <v>185</v>
      </c>
      <c r="B111" t="s">
        <v>288</v>
      </c>
      <c r="C111" t="s">
        <v>289</v>
      </c>
      <c r="D111">
        <v>1</v>
      </c>
      <c r="E111">
        <v>4</v>
      </c>
      <c r="F111">
        <v>0</v>
      </c>
      <c r="G111">
        <v>4</v>
      </c>
      <c r="H111" t="s">
        <v>64</v>
      </c>
      <c r="I111" t="s">
        <v>849</v>
      </c>
    </row>
    <row r="112" spans="1:9" x14ac:dyDescent="0.3">
      <c r="A112" t="s">
        <v>185</v>
      </c>
      <c r="B112" t="s">
        <v>290</v>
      </c>
      <c r="C112" t="s">
        <v>291</v>
      </c>
      <c r="D112">
        <v>1</v>
      </c>
      <c r="E112">
        <v>1</v>
      </c>
      <c r="F112">
        <v>0</v>
      </c>
      <c r="G112">
        <v>1</v>
      </c>
      <c r="H112" t="s">
        <v>64</v>
      </c>
    </row>
    <row r="113" spans="1:9" x14ac:dyDescent="0.3">
      <c r="A113" t="s">
        <v>185</v>
      </c>
      <c r="B113" t="s">
        <v>292</v>
      </c>
      <c r="C113" t="s">
        <v>293</v>
      </c>
      <c r="D113">
        <v>1</v>
      </c>
      <c r="E113">
        <v>1</v>
      </c>
      <c r="F113">
        <v>0</v>
      </c>
      <c r="G113">
        <v>1</v>
      </c>
      <c r="H113" t="s">
        <v>64</v>
      </c>
    </row>
    <row r="114" spans="1:9" x14ac:dyDescent="0.3">
      <c r="A114" t="s">
        <v>185</v>
      </c>
      <c r="B114" t="s">
        <v>294</v>
      </c>
      <c r="C114" t="s">
        <v>295</v>
      </c>
      <c r="D114">
        <v>1</v>
      </c>
      <c r="E114">
        <v>1</v>
      </c>
      <c r="F114">
        <v>0</v>
      </c>
      <c r="G114">
        <v>1</v>
      </c>
      <c r="H114" t="s">
        <v>64</v>
      </c>
    </row>
    <row r="115" spans="1:9" x14ac:dyDescent="0.3">
      <c r="A115" t="s">
        <v>185</v>
      </c>
      <c r="B115" t="s">
        <v>296</v>
      </c>
      <c r="C115" t="s">
        <v>297</v>
      </c>
      <c r="D115">
        <v>2</v>
      </c>
      <c r="E115">
        <v>2</v>
      </c>
      <c r="F115">
        <v>1</v>
      </c>
      <c r="G115">
        <v>2</v>
      </c>
      <c r="H115" t="s">
        <v>64</v>
      </c>
    </row>
    <row r="116" spans="1:9" x14ac:dyDescent="0.3">
      <c r="A116" t="s">
        <v>298</v>
      </c>
      <c r="B116" t="s">
        <v>299</v>
      </c>
      <c r="C116" t="s">
        <v>300</v>
      </c>
      <c r="D116">
        <v>4</v>
      </c>
      <c r="E116">
        <v>7</v>
      </c>
      <c r="F116">
        <v>4</v>
      </c>
      <c r="G116">
        <v>7</v>
      </c>
      <c r="H116" t="s">
        <v>189</v>
      </c>
      <c r="I116" t="s">
        <v>855</v>
      </c>
    </row>
    <row r="117" spans="1:9" x14ac:dyDescent="0.3">
      <c r="A117" t="s">
        <v>298</v>
      </c>
      <c r="B117" t="s">
        <v>303</v>
      </c>
      <c r="C117" t="s">
        <v>304</v>
      </c>
      <c r="D117">
        <v>1</v>
      </c>
      <c r="E117">
        <v>1</v>
      </c>
      <c r="F117">
        <v>0</v>
      </c>
      <c r="G117">
        <v>1</v>
      </c>
      <c r="H117" t="s">
        <v>64</v>
      </c>
    </row>
    <row r="118" spans="1:9" x14ac:dyDescent="0.3">
      <c r="A118" t="s">
        <v>298</v>
      </c>
      <c r="B118" t="s">
        <v>305</v>
      </c>
      <c r="C118" t="s">
        <v>306</v>
      </c>
      <c r="D118">
        <v>4</v>
      </c>
      <c r="E118">
        <v>9</v>
      </c>
      <c r="F118">
        <v>3</v>
      </c>
      <c r="G118">
        <v>9</v>
      </c>
      <c r="H118" t="s">
        <v>302</v>
      </c>
      <c r="I118" t="s">
        <v>856</v>
      </c>
    </row>
    <row r="119" spans="1:9" x14ac:dyDescent="0.3">
      <c r="A119" t="s">
        <v>298</v>
      </c>
      <c r="B119" t="s">
        <v>307</v>
      </c>
      <c r="C119" t="s">
        <v>308</v>
      </c>
      <c r="D119">
        <v>1</v>
      </c>
      <c r="E119">
        <v>3</v>
      </c>
      <c r="F119">
        <v>1</v>
      </c>
      <c r="G119">
        <v>3</v>
      </c>
      <c r="H119" t="s">
        <v>64</v>
      </c>
    </row>
    <row r="120" spans="1:9" x14ac:dyDescent="0.3">
      <c r="A120" t="s">
        <v>298</v>
      </c>
      <c r="B120" t="s">
        <v>309</v>
      </c>
      <c r="C120" t="s">
        <v>310</v>
      </c>
      <c r="D120">
        <v>6</v>
      </c>
      <c r="E120">
        <v>10</v>
      </c>
      <c r="F120">
        <v>4</v>
      </c>
      <c r="G120">
        <v>10</v>
      </c>
      <c r="H120" t="s">
        <v>302</v>
      </c>
      <c r="I120" t="s">
        <v>857</v>
      </c>
    </row>
    <row r="121" spans="1:9" x14ac:dyDescent="0.3">
      <c r="A121" t="s">
        <v>298</v>
      </c>
      <c r="B121" t="s">
        <v>311</v>
      </c>
      <c r="C121" t="s">
        <v>312</v>
      </c>
      <c r="D121">
        <v>3</v>
      </c>
      <c r="E121">
        <v>5</v>
      </c>
      <c r="F121">
        <v>2</v>
      </c>
      <c r="G121">
        <v>5</v>
      </c>
      <c r="H121" t="s">
        <v>189</v>
      </c>
      <c r="I121" t="s">
        <v>858</v>
      </c>
    </row>
    <row r="122" spans="1:9" x14ac:dyDescent="0.3">
      <c r="A122" t="s">
        <v>298</v>
      </c>
      <c r="B122" t="s">
        <v>313</v>
      </c>
      <c r="C122" t="s">
        <v>314</v>
      </c>
      <c r="D122">
        <v>2</v>
      </c>
      <c r="E122">
        <v>4</v>
      </c>
      <c r="F122">
        <v>0</v>
      </c>
      <c r="G122">
        <v>4</v>
      </c>
      <c r="H122" t="s">
        <v>302</v>
      </c>
      <c r="I122" t="s">
        <v>859</v>
      </c>
    </row>
    <row r="123" spans="1:9" x14ac:dyDescent="0.3">
      <c r="A123" t="s">
        <v>298</v>
      </c>
      <c r="B123" t="s">
        <v>315</v>
      </c>
      <c r="C123" t="s">
        <v>316</v>
      </c>
      <c r="D123">
        <v>3</v>
      </c>
      <c r="E123">
        <v>4</v>
      </c>
      <c r="F123">
        <v>2</v>
      </c>
      <c r="G123">
        <v>4</v>
      </c>
      <c r="H123" t="s">
        <v>189</v>
      </c>
      <c r="I123" t="s">
        <v>858</v>
      </c>
    </row>
    <row r="124" spans="1:9" x14ac:dyDescent="0.3">
      <c r="A124" t="s">
        <v>298</v>
      </c>
      <c r="B124" t="s">
        <v>317</v>
      </c>
      <c r="C124" t="s">
        <v>318</v>
      </c>
      <c r="D124">
        <v>4</v>
      </c>
      <c r="E124">
        <v>10</v>
      </c>
      <c r="F124">
        <v>3</v>
      </c>
      <c r="G124">
        <v>10</v>
      </c>
      <c r="H124" t="s">
        <v>189</v>
      </c>
      <c r="I124" t="s">
        <v>860</v>
      </c>
    </row>
    <row r="125" spans="1:9" x14ac:dyDescent="0.3">
      <c r="A125" t="s">
        <v>298</v>
      </c>
      <c r="B125" t="s">
        <v>319</v>
      </c>
      <c r="C125" t="s">
        <v>320</v>
      </c>
      <c r="D125">
        <v>6</v>
      </c>
      <c r="E125">
        <v>13</v>
      </c>
      <c r="F125">
        <v>6</v>
      </c>
      <c r="G125">
        <v>14</v>
      </c>
      <c r="H125" t="s">
        <v>189</v>
      </c>
      <c r="I125" t="s">
        <v>861</v>
      </c>
    </row>
    <row r="126" spans="1:9" x14ac:dyDescent="0.3">
      <c r="A126" t="s">
        <v>298</v>
      </c>
      <c r="B126" t="s">
        <v>321</v>
      </c>
      <c r="C126" t="s">
        <v>322</v>
      </c>
      <c r="D126">
        <v>2</v>
      </c>
      <c r="E126">
        <v>4</v>
      </c>
      <c r="F126">
        <v>2</v>
      </c>
      <c r="G126">
        <v>4</v>
      </c>
      <c r="H126" t="s">
        <v>64</v>
      </c>
      <c r="I126" t="s">
        <v>862</v>
      </c>
    </row>
    <row r="127" spans="1:9" x14ac:dyDescent="0.3">
      <c r="A127" t="s">
        <v>298</v>
      </c>
      <c r="B127" t="s">
        <v>323</v>
      </c>
      <c r="C127" t="s">
        <v>324</v>
      </c>
      <c r="D127">
        <v>1</v>
      </c>
      <c r="E127">
        <v>1</v>
      </c>
      <c r="F127">
        <v>0</v>
      </c>
      <c r="G127">
        <v>1</v>
      </c>
      <c r="H127" t="s">
        <v>64</v>
      </c>
    </row>
    <row r="128" spans="1:9" x14ac:dyDescent="0.3">
      <c r="A128" t="s">
        <v>298</v>
      </c>
      <c r="B128" t="s">
        <v>325</v>
      </c>
      <c r="C128" t="s">
        <v>326</v>
      </c>
      <c r="D128">
        <v>3</v>
      </c>
      <c r="E128">
        <v>9</v>
      </c>
      <c r="F128">
        <v>3</v>
      </c>
      <c r="G128">
        <v>9</v>
      </c>
      <c r="H128" t="s">
        <v>189</v>
      </c>
      <c r="I128" t="s">
        <v>860</v>
      </c>
    </row>
    <row r="129" spans="1:9" x14ac:dyDescent="0.3">
      <c r="A129" t="s">
        <v>298</v>
      </c>
      <c r="B129" t="s">
        <v>327</v>
      </c>
      <c r="C129" t="s">
        <v>328</v>
      </c>
      <c r="D129">
        <v>2</v>
      </c>
      <c r="E129">
        <v>5</v>
      </c>
      <c r="F129">
        <v>1</v>
      </c>
      <c r="G129">
        <v>5</v>
      </c>
      <c r="H129" t="s">
        <v>189</v>
      </c>
    </row>
    <row r="130" spans="1:9" x14ac:dyDescent="0.3">
      <c r="A130" t="s">
        <v>298</v>
      </c>
      <c r="B130" t="s">
        <v>329</v>
      </c>
      <c r="C130" t="s">
        <v>330</v>
      </c>
      <c r="D130">
        <v>1</v>
      </c>
      <c r="E130">
        <v>3</v>
      </c>
      <c r="F130">
        <v>1</v>
      </c>
      <c r="G130">
        <v>3</v>
      </c>
      <c r="H130" t="s">
        <v>64</v>
      </c>
      <c r="I130" t="s">
        <v>863</v>
      </c>
    </row>
    <row r="131" spans="1:9" x14ac:dyDescent="0.3">
      <c r="A131" t="s">
        <v>298</v>
      </c>
      <c r="B131" t="s">
        <v>331</v>
      </c>
      <c r="C131" t="s">
        <v>332</v>
      </c>
      <c r="D131">
        <v>2</v>
      </c>
      <c r="E131">
        <v>2</v>
      </c>
      <c r="F131">
        <v>1</v>
      </c>
      <c r="G131">
        <v>2</v>
      </c>
      <c r="H131" t="s">
        <v>64</v>
      </c>
      <c r="I131" t="s">
        <v>864</v>
      </c>
    </row>
    <row r="132" spans="1:9" x14ac:dyDescent="0.3">
      <c r="A132" t="s">
        <v>298</v>
      </c>
      <c r="B132" t="s">
        <v>333</v>
      </c>
      <c r="C132" t="s">
        <v>334</v>
      </c>
      <c r="D132">
        <v>2</v>
      </c>
      <c r="E132">
        <v>3</v>
      </c>
      <c r="F132">
        <v>0</v>
      </c>
      <c r="G132">
        <v>3</v>
      </c>
      <c r="H132" t="s">
        <v>189</v>
      </c>
    </row>
    <row r="133" spans="1:9" x14ac:dyDescent="0.3">
      <c r="A133" t="s">
        <v>298</v>
      </c>
      <c r="B133" t="s">
        <v>335</v>
      </c>
      <c r="C133" t="s">
        <v>336</v>
      </c>
      <c r="D133">
        <v>1</v>
      </c>
      <c r="E133">
        <v>1</v>
      </c>
      <c r="F133">
        <v>0</v>
      </c>
      <c r="G133">
        <v>1</v>
      </c>
      <c r="H133" t="s">
        <v>64</v>
      </c>
    </row>
    <row r="134" spans="1:9" x14ac:dyDescent="0.3">
      <c r="A134" t="s">
        <v>298</v>
      </c>
      <c r="B134" t="s">
        <v>337</v>
      </c>
      <c r="C134" t="s">
        <v>338</v>
      </c>
      <c r="D134">
        <v>1</v>
      </c>
      <c r="E134">
        <v>1</v>
      </c>
      <c r="F134">
        <v>0</v>
      </c>
      <c r="G134">
        <v>1</v>
      </c>
      <c r="H134" t="s">
        <v>64</v>
      </c>
    </row>
    <row r="135" spans="1:9" x14ac:dyDescent="0.3">
      <c r="A135" t="s">
        <v>298</v>
      </c>
      <c r="B135" t="s">
        <v>339</v>
      </c>
      <c r="C135" t="s">
        <v>340</v>
      </c>
      <c r="D135">
        <v>2</v>
      </c>
      <c r="E135">
        <v>3</v>
      </c>
      <c r="F135">
        <v>1</v>
      </c>
      <c r="G135">
        <v>3</v>
      </c>
      <c r="H135" t="s">
        <v>64</v>
      </c>
    </row>
    <row r="136" spans="1:9" x14ac:dyDescent="0.3">
      <c r="A136" t="s">
        <v>298</v>
      </c>
      <c r="B136" t="s">
        <v>341</v>
      </c>
      <c r="C136" t="s">
        <v>342</v>
      </c>
      <c r="D136">
        <v>2</v>
      </c>
      <c r="E136">
        <v>5</v>
      </c>
      <c r="F136">
        <v>2</v>
      </c>
      <c r="G136">
        <v>5</v>
      </c>
      <c r="H136" t="s">
        <v>189</v>
      </c>
      <c r="I136" t="s">
        <v>865</v>
      </c>
    </row>
    <row r="137" spans="1:9" x14ac:dyDescent="0.3">
      <c r="A137" t="s">
        <v>298</v>
      </c>
      <c r="B137" t="s">
        <v>343</v>
      </c>
      <c r="C137" t="s">
        <v>344</v>
      </c>
      <c r="D137">
        <v>3</v>
      </c>
      <c r="E137">
        <v>7</v>
      </c>
      <c r="F137">
        <v>2</v>
      </c>
      <c r="G137">
        <v>7</v>
      </c>
      <c r="H137" t="s">
        <v>189</v>
      </c>
      <c r="I137" t="s">
        <v>866</v>
      </c>
    </row>
    <row r="138" spans="1:9" x14ac:dyDescent="0.3">
      <c r="A138" t="s">
        <v>298</v>
      </c>
      <c r="B138" t="s">
        <v>345</v>
      </c>
      <c r="C138" t="s">
        <v>346</v>
      </c>
      <c r="D138">
        <v>6</v>
      </c>
      <c r="E138">
        <v>20</v>
      </c>
      <c r="F138">
        <v>11</v>
      </c>
      <c r="G138">
        <v>21</v>
      </c>
      <c r="H138" t="s">
        <v>422</v>
      </c>
      <c r="I138" t="s">
        <v>867</v>
      </c>
    </row>
    <row r="139" spans="1:9" x14ac:dyDescent="0.3">
      <c r="A139" t="s">
        <v>298</v>
      </c>
      <c r="B139" t="s">
        <v>347</v>
      </c>
      <c r="C139" t="s">
        <v>348</v>
      </c>
      <c r="D139">
        <v>3</v>
      </c>
      <c r="E139">
        <v>10</v>
      </c>
      <c r="F139">
        <v>6</v>
      </c>
      <c r="G139">
        <v>10</v>
      </c>
      <c r="H139" t="s">
        <v>302</v>
      </c>
      <c r="I139" t="s">
        <v>853</v>
      </c>
    </row>
    <row r="140" spans="1:9" x14ac:dyDescent="0.3">
      <c r="A140" t="s">
        <v>298</v>
      </c>
      <c r="B140" t="s">
        <v>349</v>
      </c>
      <c r="C140" t="s">
        <v>350</v>
      </c>
      <c r="D140">
        <v>1</v>
      </c>
      <c r="E140">
        <v>1</v>
      </c>
      <c r="F140">
        <v>0</v>
      </c>
      <c r="G140">
        <v>1</v>
      </c>
      <c r="H140" t="s">
        <v>64</v>
      </c>
    </row>
    <row r="141" spans="1:9" x14ac:dyDescent="0.3">
      <c r="A141" t="s">
        <v>298</v>
      </c>
      <c r="B141" t="s">
        <v>351</v>
      </c>
      <c r="C141" t="s">
        <v>352</v>
      </c>
      <c r="D141">
        <v>1</v>
      </c>
      <c r="E141">
        <v>1</v>
      </c>
      <c r="F141">
        <v>0</v>
      </c>
      <c r="G141">
        <v>1</v>
      </c>
      <c r="H141" t="s">
        <v>64</v>
      </c>
    </row>
    <row r="142" spans="1:9" x14ac:dyDescent="0.3">
      <c r="A142" t="s">
        <v>298</v>
      </c>
      <c r="B142" t="s">
        <v>353</v>
      </c>
      <c r="C142" t="s">
        <v>354</v>
      </c>
      <c r="D142">
        <v>3</v>
      </c>
      <c r="E142">
        <v>6</v>
      </c>
      <c r="F142">
        <v>2</v>
      </c>
      <c r="G142">
        <v>6</v>
      </c>
      <c r="H142" t="s">
        <v>189</v>
      </c>
      <c r="I142" t="s">
        <v>868</v>
      </c>
    </row>
    <row r="143" spans="1:9" x14ac:dyDescent="0.3">
      <c r="A143" t="s">
        <v>298</v>
      </c>
      <c r="B143" t="s">
        <v>355</v>
      </c>
      <c r="C143" t="s">
        <v>356</v>
      </c>
      <c r="D143">
        <v>2</v>
      </c>
      <c r="E143">
        <v>3</v>
      </c>
      <c r="F143">
        <v>0</v>
      </c>
      <c r="G143">
        <v>3</v>
      </c>
      <c r="H143" t="s">
        <v>189</v>
      </c>
      <c r="I143" t="s">
        <v>854</v>
      </c>
    </row>
    <row r="144" spans="1:9" x14ac:dyDescent="0.3">
      <c r="A144" t="s">
        <v>298</v>
      </c>
      <c r="B144" t="s">
        <v>357</v>
      </c>
      <c r="C144" t="s">
        <v>358</v>
      </c>
      <c r="D144">
        <v>3</v>
      </c>
      <c r="E144">
        <v>4</v>
      </c>
      <c r="F144">
        <v>1</v>
      </c>
      <c r="G144">
        <v>4</v>
      </c>
      <c r="H144" t="s">
        <v>189</v>
      </c>
      <c r="I144" t="s">
        <v>858</v>
      </c>
    </row>
    <row r="145" spans="1:9" x14ac:dyDescent="0.3">
      <c r="A145" t="s">
        <v>298</v>
      </c>
      <c r="B145" t="s">
        <v>359</v>
      </c>
      <c r="C145" t="s">
        <v>360</v>
      </c>
      <c r="D145">
        <v>1</v>
      </c>
      <c r="E145">
        <v>2</v>
      </c>
      <c r="F145">
        <v>1</v>
      </c>
      <c r="G145">
        <v>2</v>
      </c>
      <c r="H145" t="s">
        <v>64</v>
      </c>
    </row>
    <row r="146" spans="1:9" x14ac:dyDescent="0.3">
      <c r="A146" t="s">
        <v>298</v>
      </c>
      <c r="B146" t="s">
        <v>361</v>
      </c>
      <c r="C146" t="s">
        <v>362</v>
      </c>
      <c r="D146">
        <v>2</v>
      </c>
      <c r="E146">
        <v>4</v>
      </c>
      <c r="F146">
        <v>0</v>
      </c>
      <c r="G146">
        <v>4</v>
      </c>
      <c r="H146" t="s">
        <v>189</v>
      </c>
      <c r="I146" t="s">
        <v>845</v>
      </c>
    </row>
    <row r="147" spans="1:9" x14ac:dyDescent="0.3">
      <c r="A147" t="s">
        <v>298</v>
      </c>
      <c r="B147" t="s">
        <v>363</v>
      </c>
      <c r="C147" t="s">
        <v>364</v>
      </c>
      <c r="D147">
        <v>2</v>
      </c>
      <c r="E147">
        <v>5</v>
      </c>
      <c r="F147">
        <v>0</v>
      </c>
      <c r="G147">
        <v>5</v>
      </c>
      <c r="H147" t="s">
        <v>302</v>
      </c>
      <c r="I147" t="s">
        <v>869</v>
      </c>
    </row>
    <row r="148" spans="1:9" x14ac:dyDescent="0.3">
      <c r="A148" t="s">
        <v>298</v>
      </c>
      <c r="B148" t="s">
        <v>365</v>
      </c>
      <c r="C148" t="s">
        <v>366</v>
      </c>
      <c r="D148">
        <v>5</v>
      </c>
      <c r="E148">
        <v>11</v>
      </c>
      <c r="F148">
        <v>5</v>
      </c>
      <c r="G148">
        <v>12</v>
      </c>
      <c r="H148" t="s">
        <v>302</v>
      </c>
      <c r="I148" t="s">
        <v>870</v>
      </c>
    </row>
    <row r="149" spans="1:9" x14ac:dyDescent="0.3">
      <c r="A149" t="s">
        <v>298</v>
      </c>
      <c r="B149" t="s">
        <v>367</v>
      </c>
      <c r="C149" t="s">
        <v>368</v>
      </c>
      <c r="D149">
        <v>2</v>
      </c>
      <c r="E149">
        <v>6</v>
      </c>
      <c r="F149">
        <v>1</v>
      </c>
      <c r="G149">
        <v>6</v>
      </c>
      <c r="H149" t="s">
        <v>189</v>
      </c>
      <c r="I149" t="s">
        <v>871</v>
      </c>
    </row>
    <row r="150" spans="1:9" x14ac:dyDescent="0.3">
      <c r="A150" t="s">
        <v>298</v>
      </c>
      <c r="B150" t="s">
        <v>369</v>
      </c>
      <c r="C150" t="s">
        <v>370</v>
      </c>
      <c r="D150">
        <v>3</v>
      </c>
      <c r="E150">
        <v>3</v>
      </c>
      <c r="F150">
        <v>1</v>
      </c>
      <c r="G150">
        <v>3</v>
      </c>
      <c r="H150" t="s">
        <v>189</v>
      </c>
    </row>
    <row r="151" spans="1:9" x14ac:dyDescent="0.3">
      <c r="A151" t="s">
        <v>298</v>
      </c>
      <c r="B151" t="s">
        <v>371</v>
      </c>
      <c r="C151" t="s">
        <v>372</v>
      </c>
      <c r="D151">
        <v>1</v>
      </c>
      <c r="E151">
        <v>4</v>
      </c>
      <c r="F151">
        <v>1</v>
      </c>
      <c r="G151">
        <v>4</v>
      </c>
      <c r="H151" t="s">
        <v>64</v>
      </c>
      <c r="I151" t="s">
        <v>871</v>
      </c>
    </row>
    <row r="152" spans="1:9" x14ac:dyDescent="0.3">
      <c r="A152" t="s">
        <v>298</v>
      </c>
      <c r="B152" t="s">
        <v>373</v>
      </c>
      <c r="C152" t="s">
        <v>374</v>
      </c>
      <c r="D152">
        <v>2</v>
      </c>
      <c r="E152">
        <v>3</v>
      </c>
      <c r="F152">
        <v>0</v>
      </c>
      <c r="G152">
        <v>3</v>
      </c>
      <c r="H152" t="s">
        <v>302</v>
      </c>
      <c r="I152" t="s">
        <v>859</v>
      </c>
    </row>
    <row r="153" spans="1:9" x14ac:dyDescent="0.3">
      <c r="A153" t="s">
        <v>298</v>
      </c>
      <c r="B153" t="s">
        <v>375</v>
      </c>
      <c r="C153" t="s">
        <v>376</v>
      </c>
      <c r="D153">
        <v>3</v>
      </c>
      <c r="E153">
        <v>8</v>
      </c>
      <c r="F153">
        <v>4</v>
      </c>
      <c r="G153">
        <v>8</v>
      </c>
      <c r="H153" t="s">
        <v>302</v>
      </c>
      <c r="I153" t="s">
        <v>872</v>
      </c>
    </row>
    <row r="154" spans="1:9" x14ac:dyDescent="0.3">
      <c r="A154" t="s">
        <v>298</v>
      </c>
      <c r="B154" t="s">
        <v>377</v>
      </c>
      <c r="C154" t="s">
        <v>378</v>
      </c>
      <c r="D154">
        <v>2</v>
      </c>
      <c r="E154">
        <v>6</v>
      </c>
      <c r="F154">
        <v>0</v>
      </c>
      <c r="G154">
        <v>6</v>
      </c>
      <c r="H154" t="s">
        <v>302</v>
      </c>
      <c r="I154" t="s">
        <v>859</v>
      </c>
    </row>
    <row r="155" spans="1:9" x14ac:dyDescent="0.3">
      <c r="A155" t="s">
        <v>298</v>
      </c>
      <c r="B155" t="s">
        <v>379</v>
      </c>
      <c r="C155" t="s">
        <v>380</v>
      </c>
      <c r="D155">
        <v>2</v>
      </c>
      <c r="E155">
        <v>2</v>
      </c>
      <c r="F155">
        <v>1</v>
      </c>
      <c r="G155">
        <v>2</v>
      </c>
      <c r="H155" t="s">
        <v>64</v>
      </c>
    </row>
    <row r="156" spans="1:9" x14ac:dyDescent="0.3">
      <c r="A156" t="s">
        <v>298</v>
      </c>
      <c r="B156" t="s">
        <v>381</v>
      </c>
      <c r="C156" t="s">
        <v>382</v>
      </c>
      <c r="D156">
        <v>5</v>
      </c>
      <c r="E156">
        <v>6</v>
      </c>
      <c r="F156">
        <v>2</v>
      </c>
      <c r="G156">
        <v>7</v>
      </c>
      <c r="H156" t="s">
        <v>302</v>
      </c>
      <c r="I156" t="s">
        <v>873</v>
      </c>
    </row>
    <row r="157" spans="1:9" x14ac:dyDescent="0.3">
      <c r="A157" t="s">
        <v>298</v>
      </c>
      <c r="B157" t="s">
        <v>383</v>
      </c>
      <c r="C157" t="s">
        <v>384</v>
      </c>
      <c r="D157">
        <v>2</v>
      </c>
      <c r="E157">
        <v>4</v>
      </c>
      <c r="F157">
        <v>0</v>
      </c>
      <c r="G157">
        <v>4</v>
      </c>
      <c r="H157" t="s">
        <v>189</v>
      </c>
    </row>
    <row r="158" spans="1:9" x14ac:dyDescent="0.3">
      <c r="A158" t="s">
        <v>298</v>
      </c>
      <c r="B158" t="s">
        <v>385</v>
      </c>
      <c r="C158" t="s">
        <v>386</v>
      </c>
      <c r="D158">
        <v>2</v>
      </c>
      <c r="E158">
        <v>4</v>
      </c>
      <c r="F158">
        <v>2</v>
      </c>
      <c r="G158">
        <v>4</v>
      </c>
      <c r="H158" t="s">
        <v>64</v>
      </c>
      <c r="I158" t="s">
        <v>874</v>
      </c>
    </row>
    <row r="159" spans="1:9" x14ac:dyDescent="0.3">
      <c r="A159" t="s">
        <v>298</v>
      </c>
      <c r="B159" t="s">
        <v>387</v>
      </c>
      <c r="C159" t="s">
        <v>388</v>
      </c>
      <c r="D159">
        <v>2</v>
      </c>
      <c r="E159">
        <v>5</v>
      </c>
      <c r="F159">
        <v>0</v>
      </c>
      <c r="G159">
        <v>5</v>
      </c>
      <c r="H159" t="s">
        <v>302</v>
      </c>
      <c r="I159" t="s">
        <v>859</v>
      </c>
    </row>
    <row r="160" spans="1:9" x14ac:dyDescent="0.3">
      <c r="A160" t="s">
        <v>298</v>
      </c>
      <c r="B160" t="s">
        <v>389</v>
      </c>
      <c r="C160" t="s">
        <v>390</v>
      </c>
      <c r="D160">
        <v>2</v>
      </c>
      <c r="E160">
        <v>3</v>
      </c>
      <c r="F160">
        <v>1</v>
      </c>
      <c r="G160">
        <v>3</v>
      </c>
      <c r="H160" t="s">
        <v>64</v>
      </c>
    </row>
    <row r="161" spans="1:9" x14ac:dyDescent="0.3">
      <c r="A161" t="s">
        <v>298</v>
      </c>
      <c r="B161" t="s">
        <v>391</v>
      </c>
      <c r="C161" t="s">
        <v>392</v>
      </c>
      <c r="D161">
        <v>6</v>
      </c>
      <c r="E161">
        <v>10</v>
      </c>
      <c r="F161">
        <v>1</v>
      </c>
      <c r="G161">
        <v>10</v>
      </c>
      <c r="H161" t="s">
        <v>301</v>
      </c>
      <c r="I161" t="s">
        <v>875</v>
      </c>
    </row>
    <row r="162" spans="1:9" x14ac:dyDescent="0.3">
      <c r="A162" t="s">
        <v>298</v>
      </c>
      <c r="B162" t="s">
        <v>393</v>
      </c>
      <c r="C162" t="s">
        <v>394</v>
      </c>
      <c r="D162">
        <v>4</v>
      </c>
      <c r="E162">
        <v>10</v>
      </c>
      <c r="F162">
        <v>6</v>
      </c>
      <c r="G162">
        <v>10</v>
      </c>
      <c r="H162" t="s">
        <v>189</v>
      </c>
      <c r="I162" t="s">
        <v>863</v>
      </c>
    </row>
    <row r="163" spans="1:9" x14ac:dyDescent="0.3">
      <c r="A163" t="s">
        <v>298</v>
      </c>
      <c r="B163" t="s">
        <v>395</v>
      </c>
      <c r="C163" t="s">
        <v>396</v>
      </c>
      <c r="D163">
        <v>2</v>
      </c>
      <c r="E163">
        <v>7</v>
      </c>
      <c r="F163">
        <v>2</v>
      </c>
      <c r="G163">
        <v>7</v>
      </c>
      <c r="H163" t="s">
        <v>302</v>
      </c>
      <c r="I163" t="s">
        <v>876</v>
      </c>
    </row>
    <row r="164" spans="1:9" x14ac:dyDescent="0.3">
      <c r="A164" t="s">
        <v>298</v>
      </c>
      <c r="B164" t="s">
        <v>397</v>
      </c>
      <c r="C164" t="s">
        <v>398</v>
      </c>
      <c r="D164">
        <v>2</v>
      </c>
      <c r="E164">
        <v>4</v>
      </c>
      <c r="F164">
        <v>2</v>
      </c>
      <c r="G164">
        <v>4</v>
      </c>
      <c r="H164" t="s">
        <v>64</v>
      </c>
    </row>
    <row r="165" spans="1:9" x14ac:dyDescent="0.3">
      <c r="A165" t="s">
        <v>298</v>
      </c>
      <c r="B165" t="s">
        <v>399</v>
      </c>
      <c r="C165" t="s">
        <v>400</v>
      </c>
      <c r="D165">
        <v>3</v>
      </c>
      <c r="E165">
        <v>8</v>
      </c>
      <c r="F165">
        <v>4</v>
      </c>
      <c r="G165">
        <v>8</v>
      </c>
      <c r="H165" t="s">
        <v>302</v>
      </c>
      <c r="I165" t="s">
        <v>872</v>
      </c>
    </row>
    <row r="166" spans="1:9" x14ac:dyDescent="0.3">
      <c r="A166" t="s">
        <v>298</v>
      </c>
      <c r="B166" t="s">
        <v>401</v>
      </c>
      <c r="C166" t="s">
        <v>402</v>
      </c>
      <c r="D166">
        <v>2</v>
      </c>
      <c r="E166">
        <v>3</v>
      </c>
      <c r="F166">
        <v>0</v>
      </c>
      <c r="G166">
        <v>3</v>
      </c>
      <c r="H166" t="s">
        <v>189</v>
      </c>
    </row>
    <row r="167" spans="1:9" x14ac:dyDescent="0.3">
      <c r="A167" t="s">
        <v>298</v>
      </c>
      <c r="B167" t="s">
        <v>403</v>
      </c>
      <c r="C167" t="s">
        <v>404</v>
      </c>
      <c r="D167">
        <v>2</v>
      </c>
      <c r="E167">
        <v>2</v>
      </c>
      <c r="F167">
        <v>1</v>
      </c>
      <c r="G167">
        <v>3</v>
      </c>
      <c r="H167" t="s">
        <v>64</v>
      </c>
    </row>
    <row r="168" spans="1:9" x14ac:dyDescent="0.3">
      <c r="A168" t="s">
        <v>298</v>
      </c>
      <c r="B168" t="s">
        <v>405</v>
      </c>
      <c r="C168" t="s">
        <v>406</v>
      </c>
      <c r="D168">
        <v>4</v>
      </c>
      <c r="E168">
        <v>8</v>
      </c>
      <c r="F168">
        <v>3</v>
      </c>
      <c r="G168">
        <v>8</v>
      </c>
      <c r="H168" t="s">
        <v>302</v>
      </c>
      <c r="I168" t="s">
        <v>851</v>
      </c>
    </row>
    <row r="169" spans="1:9" x14ac:dyDescent="0.3">
      <c r="A169" t="s">
        <v>298</v>
      </c>
      <c r="B169" t="s">
        <v>407</v>
      </c>
      <c r="C169" t="s">
        <v>408</v>
      </c>
      <c r="D169">
        <v>2</v>
      </c>
      <c r="E169">
        <v>4</v>
      </c>
      <c r="F169">
        <v>1</v>
      </c>
      <c r="G169">
        <v>4</v>
      </c>
      <c r="H169" t="s">
        <v>189</v>
      </c>
    </row>
    <row r="170" spans="1:9" x14ac:dyDescent="0.3">
      <c r="A170" t="s">
        <v>298</v>
      </c>
      <c r="B170" t="s">
        <v>409</v>
      </c>
      <c r="C170" t="s">
        <v>410</v>
      </c>
      <c r="D170">
        <v>2</v>
      </c>
      <c r="E170">
        <v>2</v>
      </c>
      <c r="F170">
        <v>1</v>
      </c>
      <c r="G170">
        <v>2</v>
      </c>
      <c r="H170" t="s">
        <v>189</v>
      </c>
    </row>
    <row r="171" spans="1:9" x14ac:dyDescent="0.3">
      <c r="A171" t="s">
        <v>298</v>
      </c>
      <c r="B171" t="s">
        <v>411</v>
      </c>
      <c r="C171" t="s">
        <v>412</v>
      </c>
      <c r="D171">
        <v>3</v>
      </c>
      <c r="E171">
        <v>7</v>
      </c>
      <c r="F171">
        <v>4</v>
      </c>
      <c r="G171">
        <v>7</v>
      </c>
      <c r="H171" t="s">
        <v>189</v>
      </c>
    </row>
    <row r="172" spans="1:9" x14ac:dyDescent="0.3">
      <c r="A172" t="s">
        <v>298</v>
      </c>
      <c r="B172" t="s">
        <v>413</v>
      </c>
      <c r="C172" t="s">
        <v>414</v>
      </c>
      <c r="D172">
        <v>2</v>
      </c>
      <c r="E172">
        <v>3</v>
      </c>
      <c r="F172">
        <v>0</v>
      </c>
      <c r="G172">
        <v>3</v>
      </c>
      <c r="H172" t="s">
        <v>189</v>
      </c>
    </row>
    <row r="173" spans="1:9" x14ac:dyDescent="0.3">
      <c r="A173" t="s">
        <v>298</v>
      </c>
      <c r="B173" t="s">
        <v>415</v>
      </c>
      <c r="C173" t="s">
        <v>416</v>
      </c>
      <c r="D173">
        <v>4</v>
      </c>
      <c r="E173">
        <v>5</v>
      </c>
      <c r="F173">
        <v>1</v>
      </c>
      <c r="G173">
        <v>6</v>
      </c>
      <c r="H173" t="s">
        <v>189</v>
      </c>
    </row>
    <row r="174" spans="1:9" x14ac:dyDescent="0.3">
      <c r="A174" t="s">
        <v>298</v>
      </c>
      <c r="B174" t="s">
        <v>417</v>
      </c>
      <c r="C174" t="s">
        <v>418</v>
      </c>
      <c r="D174">
        <v>2</v>
      </c>
      <c r="E174">
        <v>2</v>
      </c>
      <c r="F174">
        <v>1</v>
      </c>
      <c r="G174">
        <v>2</v>
      </c>
      <c r="H174" t="s">
        <v>64</v>
      </c>
    </row>
    <row r="175" spans="1:9" x14ac:dyDescent="0.3">
      <c r="A175" t="s">
        <v>419</v>
      </c>
      <c r="B175" t="s">
        <v>420</v>
      </c>
      <c r="C175" t="s">
        <v>421</v>
      </c>
      <c r="D175">
        <v>2</v>
      </c>
      <c r="E175">
        <v>2</v>
      </c>
      <c r="F175">
        <v>1</v>
      </c>
      <c r="G175">
        <v>2</v>
      </c>
      <c r="H175" t="s">
        <v>302</v>
      </c>
      <c r="I175" t="s">
        <v>877</v>
      </c>
    </row>
    <row r="176" spans="1:9" x14ac:dyDescent="0.3">
      <c r="A176" t="s">
        <v>419</v>
      </c>
      <c r="B176" t="s">
        <v>423</v>
      </c>
      <c r="C176" t="s">
        <v>424</v>
      </c>
      <c r="D176">
        <v>4</v>
      </c>
      <c r="E176">
        <v>5</v>
      </c>
      <c r="F176">
        <v>0</v>
      </c>
      <c r="G176">
        <v>5</v>
      </c>
      <c r="H176" t="s">
        <v>302</v>
      </c>
      <c r="I176" t="s">
        <v>878</v>
      </c>
    </row>
    <row r="177" spans="1:10" x14ac:dyDescent="0.3">
      <c r="A177" t="s">
        <v>419</v>
      </c>
      <c r="B177" t="s">
        <v>425</v>
      </c>
      <c r="C177" t="s">
        <v>426</v>
      </c>
      <c r="D177">
        <v>3</v>
      </c>
      <c r="E177">
        <v>10</v>
      </c>
      <c r="F177">
        <v>3</v>
      </c>
      <c r="G177">
        <v>10</v>
      </c>
      <c r="H177" t="s">
        <v>302</v>
      </c>
      <c r="I177" t="s">
        <v>879</v>
      </c>
    </row>
    <row r="178" spans="1:10" x14ac:dyDescent="0.3">
      <c r="A178" t="s">
        <v>419</v>
      </c>
      <c r="B178" t="s">
        <v>427</v>
      </c>
      <c r="C178" t="s">
        <v>428</v>
      </c>
      <c r="D178">
        <v>9</v>
      </c>
      <c r="E178">
        <v>21</v>
      </c>
      <c r="F178">
        <v>12</v>
      </c>
      <c r="G178">
        <v>24</v>
      </c>
      <c r="H178" t="s">
        <v>422</v>
      </c>
      <c r="I178" t="s">
        <v>880</v>
      </c>
    </row>
    <row r="179" spans="1:10" x14ac:dyDescent="0.3">
      <c r="A179" t="s">
        <v>419</v>
      </c>
      <c r="B179" t="s">
        <v>429</v>
      </c>
      <c r="C179" t="s">
        <v>430</v>
      </c>
      <c r="D179">
        <v>4</v>
      </c>
      <c r="E179">
        <v>12</v>
      </c>
      <c r="F179">
        <v>4</v>
      </c>
      <c r="G179">
        <v>12</v>
      </c>
      <c r="H179" t="s">
        <v>302</v>
      </c>
      <c r="I179" t="s">
        <v>881</v>
      </c>
    </row>
    <row r="180" spans="1:10" x14ac:dyDescent="0.3">
      <c r="A180" t="s">
        <v>419</v>
      </c>
      <c r="B180" t="s">
        <v>431</v>
      </c>
      <c r="C180" t="s">
        <v>432</v>
      </c>
      <c r="D180">
        <v>1</v>
      </c>
      <c r="E180">
        <v>1</v>
      </c>
      <c r="F180">
        <v>0</v>
      </c>
      <c r="G180">
        <v>1</v>
      </c>
      <c r="H180" t="s">
        <v>64</v>
      </c>
    </row>
    <row r="181" spans="1:10" x14ac:dyDescent="0.3">
      <c r="A181" t="s">
        <v>419</v>
      </c>
      <c r="B181" t="s">
        <v>433</v>
      </c>
      <c r="C181" t="s">
        <v>434</v>
      </c>
      <c r="D181">
        <v>2</v>
      </c>
      <c r="E181">
        <v>3</v>
      </c>
      <c r="F181">
        <v>0</v>
      </c>
      <c r="G181">
        <v>3</v>
      </c>
      <c r="H181" t="s">
        <v>302</v>
      </c>
      <c r="I181" t="s">
        <v>882</v>
      </c>
    </row>
    <row r="182" spans="1:10" x14ac:dyDescent="0.3">
      <c r="A182" t="s">
        <v>419</v>
      </c>
      <c r="B182" t="s">
        <v>435</v>
      </c>
      <c r="C182" t="s">
        <v>436</v>
      </c>
      <c r="D182">
        <v>4</v>
      </c>
      <c r="E182">
        <v>7</v>
      </c>
      <c r="F182">
        <v>1</v>
      </c>
      <c r="G182">
        <v>7</v>
      </c>
      <c r="H182" t="s">
        <v>302</v>
      </c>
      <c r="I182" t="s">
        <v>883</v>
      </c>
    </row>
    <row r="183" spans="1:10" x14ac:dyDescent="0.3">
      <c r="A183" t="s">
        <v>419</v>
      </c>
      <c r="B183" t="s">
        <v>437</v>
      </c>
      <c r="C183" t="s">
        <v>438</v>
      </c>
      <c r="D183">
        <v>1</v>
      </c>
      <c r="E183">
        <v>1</v>
      </c>
      <c r="F183">
        <v>0</v>
      </c>
      <c r="G183">
        <v>1</v>
      </c>
      <c r="H183" t="s">
        <v>64</v>
      </c>
    </row>
    <row r="184" spans="1:10" x14ac:dyDescent="0.3">
      <c r="A184" t="s">
        <v>419</v>
      </c>
      <c r="B184" t="s">
        <v>439</v>
      </c>
      <c r="C184" t="s">
        <v>440</v>
      </c>
      <c r="D184">
        <v>2</v>
      </c>
      <c r="E184">
        <v>4</v>
      </c>
      <c r="F184">
        <v>0</v>
      </c>
      <c r="G184">
        <v>4</v>
      </c>
      <c r="H184" t="s">
        <v>302</v>
      </c>
      <c r="I184" t="s">
        <v>884</v>
      </c>
    </row>
    <row r="185" spans="1:10" x14ac:dyDescent="0.3">
      <c r="A185" t="s">
        <v>419</v>
      </c>
      <c r="B185" t="s">
        <v>441</v>
      </c>
      <c r="C185" t="s">
        <v>442</v>
      </c>
      <c r="D185">
        <v>7</v>
      </c>
      <c r="E185">
        <v>11</v>
      </c>
      <c r="F185">
        <v>2</v>
      </c>
      <c r="G185">
        <v>11</v>
      </c>
      <c r="H185" t="s">
        <v>422</v>
      </c>
      <c r="I185" t="s">
        <v>885</v>
      </c>
    </row>
    <row r="186" spans="1:10" x14ac:dyDescent="0.3">
      <c r="A186" s="59" t="s">
        <v>419</v>
      </c>
      <c r="B186" s="59" t="s">
        <v>443</v>
      </c>
      <c r="C186" s="59" t="s">
        <v>444</v>
      </c>
      <c r="D186" s="59">
        <v>11</v>
      </c>
      <c r="E186" s="59">
        <v>25</v>
      </c>
      <c r="F186" s="59">
        <v>12</v>
      </c>
      <c r="G186" s="59">
        <v>25</v>
      </c>
      <c r="H186" s="59" t="s">
        <v>422</v>
      </c>
      <c r="I186" s="59" t="s">
        <v>886</v>
      </c>
      <c r="J186" s="59"/>
    </row>
    <row r="187" spans="1:10" x14ac:dyDescent="0.3">
      <c r="A187" t="s">
        <v>419</v>
      </c>
      <c r="B187" t="s">
        <v>445</v>
      </c>
      <c r="C187" t="s">
        <v>446</v>
      </c>
      <c r="D187">
        <v>3</v>
      </c>
      <c r="E187">
        <v>6</v>
      </c>
      <c r="F187">
        <v>2</v>
      </c>
      <c r="G187">
        <v>6</v>
      </c>
      <c r="H187" t="s">
        <v>302</v>
      </c>
      <c r="I187" t="s">
        <v>887</v>
      </c>
    </row>
    <row r="188" spans="1:10" x14ac:dyDescent="0.3">
      <c r="A188" t="s">
        <v>419</v>
      </c>
      <c r="B188" t="s">
        <v>447</v>
      </c>
      <c r="C188" t="s">
        <v>448</v>
      </c>
      <c r="D188">
        <v>2</v>
      </c>
      <c r="E188">
        <v>9</v>
      </c>
      <c r="F188">
        <v>2</v>
      </c>
      <c r="G188">
        <v>9</v>
      </c>
      <c r="H188" t="s">
        <v>422</v>
      </c>
      <c r="I188" t="s">
        <v>888</v>
      </c>
    </row>
    <row r="189" spans="1:10" x14ac:dyDescent="0.3">
      <c r="A189" t="s">
        <v>419</v>
      </c>
      <c r="B189" t="s">
        <v>449</v>
      </c>
      <c r="C189" t="s">
        <v>450</v>
      </c>
      <c r="D189">
        <v>5</v>
      </c>
      <c r="E189">
        <v>6</v>
      </c>
      <c r="F189">
        <v>2</v>
      </c>
      <c r="G189">
        <v>6</v>
      </c>
      <c r="H189" t="s">
        <v>302</v>
      </c>
      <c r="I189" t="s">
        <v>889</v>
      </c>
    </row>
    <row r="190" spans="1:10" x14ac:dyDescent="0.3">
      <c r="A190" t="s">
        <v>419</v>
      </c>
      <c r="B190" t="s">
        <v>451</v>
      </c>
      <c r="C190" t="s">
        <v>452</v>
      </c>
      <c r="D190">
        <v>2</v>
      </c>
      <c r="E190">
        <v>3</v>
      </c>
      <c r="F190">
        <v>0</v>
      </c>
      <c r="G190">
        <v>3</v>
      </c>
      <c r="H190" t="s">
        <v>302</v>
      </c>
      <c r="I190" t="s">
        <v>890</v>
      </c>
    </row>
    <row r="191" spans="1:10" x14ac:dyDescent="0.3">
      <c r="A191" t="s">
        <v>419</v>
      </c>
      <c r="B191" t="s">
        <v>453</v>
      </c>
      <c r="C191" t="s">
        <v>454</v>
      </c>
      <c r="D191">
        <v>1</v>
      </c>
      <c r="E191">
        <v>1</v>
      </c>
      <c r="F191">
        <v>0</v>
      </c>
      <c r="G191">
        <v>1</v>
      </c>
      <c r="H191" t="s">
        <v>64</v>
      </c>
    </row>
    <row r="192" spans="1:10" x14ac:dyDescent="0.3">
      <c r="A192" t="s">
        <v>419</v>
      </c>
      <c r="B192" t="s">
        <v>455</v>
      </c>
      <c r="C192" t="s">
        <v>456</v>
      </c>
      <c r="D192">
        <v>1</v>
      </c>
      <c r="E192">
        <v>1</v>
      </c>
      <c r="F192">
        <v>0</v>
      </c>
      <c r="G192">
        <v>1</v>
      </c>
      <c r="H192" t="s">
        <v>64</v>
      </c>
    </row>
    <row r="193" spans="1:9" x14ac:dyDescent="0.3">
      <c r="A193" t="s">
        <v>419</v>
      </c>
      <c r="B193" t="s">
        <v>457</v>
      </c>
      <c r="C193" t="s">
        <v>458</v>
      </c>
      <c r="D193">
        <v>1</v>
      </c>
      <c r="E193">
        <v>2</v>
      </c>
      <c r="F193">
        <v>1</v>
      </c>
      <c r="G193">
        <v>2</v>
      </c>
      <c r="H193" t="s">
        <v>64</v>
      </c>
    </row>
    <row r="194" spans="1:9" x14ac:dyDescent="0.3">
      <c r="A194" t="s">
        <v>419</v>
      </c>
      <c r="B194" t="s">
        <v>459</v>
      </c>
      <c r="C194" t="s">
        <v>460</v>
      </c>
      <c r="D194">
        <v>1</v>
      </c>
      <c r="E194">
        <v>2</v>
      </c>
      <c r="F194">
        <v>1</v>
      </c>
      <c r="G194">
        <v>2</v>
      </c>
      <c r="H194" t="s">
        <v>64</v>
      </c>
    </row>
    <row r="195" spans="1:9" x14ac:dyDescent="0.3">
      <c r="A195" t="s">
        <v>419</v>
      </c>
      <c r="B195" t="s">
        <v>461</v>
      </c>
      <c r="C195" t="s">
        <v>462</v>
      </c>
      <c r="D195">
        <v>13</v>
      </c>
      <c r="E195">
        <v>22</v>
      </c>
      <c r="F195">
        <v>9</v>
      </c>
      <c r="G195">
        <v>24</v>
      </c>
      <c r="H195" t="s">
        <v>302</v>
      </c>
      <c r="I195" t="s">
        <v>891</v>
      </c>
    </row>
    <row r="196" spans="1:9" x14ac:dyDescent="0.3">
      <c r="A196" t="s">
        <v>419</v>
      </c>
      <c r="B196" t="s">
        <v>463</v>
      </c>
      <c r="C196" t="s">
        <v>464</v>
      </c>
      <c r="D196">
        <v>2</v>
      </c>
      <c r="E196">
        <v>3</v>
      </c>
      <c r="F196">
        <v>0</v>
      </c>
      <c r="G196">
        <v>3</v>
      </c>
      <c r="H196" t="s">
        <v>302</v>
      </c>
      <c r="I196" t="s">
        <v>892</v>
      </c>
    </row>
    <row r="197" spans="1:9" x14ac:dyDescent="0.3">
      <c r="A197" t="s">
        <v>419</v>
      </c>
      <c r="B197" t="s">
        <v>465</v>
      </c>
      <c r="C197" t="s">
        <v>466</v>
      </c>
      <c r="D197">
        <v>10</v>
      </c>
      <c r="E197">
        <v>19</v>
      </c>
      <c r="F197">
        <v>8</v>
      </c>
      <c r="G197">
        <v>19</v>
      </c>
      <c r="H197" t="s">
        <v>422</v>
      </c>
      <c r="I197" t="s">
        <v>893</v>
      </c>
    </row>
    <row r="198" spans="1:9" x14ac:dyDescent="0.3">
      <c r="A198" t="s">
        <v>419</v>
      </c>
      <c r="B198" t="s">
        <v>467</v>
      </c>
      <c r="C198" t="s">
        <v>468</v>
      </c>
      <c r="D198">
        <v>3</v>
      </c>
      <c r="E198">
        <v>6</v>
      </c>
      <c r="F198">
        <v>0</v>
      </c>
      <c r="G198">
        <v>6</v>
      </c>
      <c r="H198" t="s">
        <v>302</v>
      </c>
      <c r="I198" t="s">
        <v>887</v>
      </c>
    </row>
    <row r="199" spans="1:9" x14ac:dyDescent="0.3">
      <c r="A199" t="s">
        <v>419</v>
      </c>
      <c r="B199" t="s">
        <v>469</v>
      </c>
      <c r="C199" t="s">
        <v>470</v>
      </c>
      <c r="D199">
        <v>2</v>
      </c>
      <c r="E199">
        <v>2</v>
      </c>
      <c r="F199">
        <v>1</v>
      </c>
      <c r="G199">
        <v>2</v>
      </c>
      <c r="H199" t="s">
        <v>302</v>
      </c>
      <c r="I199" t="s">
        <v>877</v>
      </c>
    </row>
    <row r="200" spans="1:9" x14ac:dyDescent="0.3">
      <c r="A200" t="s">
        <v>419</v>
      </c>
      <c r="B200" t="s">
        <v>471</v>
      </c>
      <c r="C200" t="s">
        <v>472</v>
      </c>
      <c r="D200">
        <v>2</v>
      </c>
      <c r="E200">
        <v>4</v>
      </c>
      <c r="F200">
        <v>1</v>
      </c>
      <c r="G200">
        <v>4</v>
      </c>
      <c r="H200" t="s">
        <v>422</v>
      </c>
      <c r="I200" t="s">
        <v>894</v>
      </c>
    </row>
    <row r="201" spans="1:9" x14ac:dyDescent="0.3">
      <c r="A201" t="s">
        <v>419</v>
      </c>
      <c r="B201" t="s">
        <v>473</v>
      </c>
      <c r="C201" t="s">
        <v>474</v>
      </c>
      <c r="D201">
        <v>8</v>
      </c>
      <c r="E201">
        <v>21</v>
      </c>
      <c r="F201">
        <v>11</v>
      </c>
      <c r="G201">
        <v>25</v>
      </c>
      <c r="H201" t="s">
        <v>422</v>
      </c>
      <c r="I201" t="s">
        <v>895</v>
      </c>
    </row>
    <row r="202" spans="1:9" x14ac:dyDescent="0.3">
      <c r="A202" t="s">
        <v>419</v>
      </c>
      <c r="B202" t="s">
        <v>475</v>
      </c>
      <c r="C202" t="s">
        <v>476</v>
      </c>
      <c r="D202">
        <v>7</v>
      </c>
      <c r="E202">
        <v>22</v>
      </c>
      <c r="F202">
        <v>9</v>
      </c>
      <c r="G202">
        <v>24</v>
      </c>
      <c r="H202" t="s">
        <v>422</v>
      </c>
      <c r="I202" t="s">
        <v>896</v>
      </c>
    </row>
    <row r="203" spans="1:9" x14ac:dyDescent="0.3">
      <c r="A203" t="s">
        <v>419</v>
      </c>
      <c r="B203" t="s">
        <v>477</v>
      </c>
      <c r="C203" t="s">
        <v>478</v>
      </c>
      <c r="D203">
        <v>1</v>
      </c>
      <c r="E203">
        <v>4</v>
      </c>
      <c r="F203">
        <v>1</v>
      </c>
      <c r="G203">
        <v>4</v>
      </c>
      <c r="H203" t="s">
        <v>64</v>
      </c>
      <c r="I203" t="s">
        <v>871</v>
      </c>
    </row>
    <row r="204" spans="1:9" x14ac:dyDescent="0.3">
      <c r="A204" t="s">
        <v>419</v>
      </c>
      <c r="B204" t="s">
        <v>479</v>
      </c>
      <c r="C204" t="s">
        <v>480</v>
      </c>
      <c r="D204">
        <v>4</v>
      </c>
      <c r="E204">
        <v>7</v>
      </c>
      <c r="F204">
        <v>1</v>
      </c>
      <c r="G204">
        <v>7</v>
      </c>
      <c r="H204" t="s">
        <v>422</v>
      </c>
      <c r="I204" t="s">
        <v>897</v>
      </c>
    </row>
    <row r="205" spans="1:9" x14ac:dyDescent="0.3">
      <c r="A205" t="s">
        <v>419</v>
      </c>
      <c r="B205" t="s">
        <v>481</v>
      </c>
      <c r="C205" t="s">
        <v>482</v>
      </c>
      <c r="D205">
        <v>3</v>
      </c>
      <c r="E205">
        <v>3</v>
      </c>
      <c r="F205">
        <v>0</v>
      </c>
      <c r="G205">
        <v>3</v>
      </c>
      <c r="H205" t="s">
        <v>189</v>
      </c>
    </row>
    <row r="206" spans="1:9" x14ac:dyDescent="0.3">
      <c r="A206" t="s">
        <v>419</v>
      </c>
      <c r="B206" t="s">
        <v>483</v>
      </c>
      <c r="C206" t="s">
        <v>484</v>
      </c>
      <c r="D206">
        <v>4</v>
      </c>
      <c r="E206">
        <v>13</v>
      </c>
      <c r="F206">
        <v>5</v>
      </c>
      <c r="G206">
        <v>13</v>
      </c>
      <c r="H206" t="s">
        <v>422</v>
      </c>
      <c r="I206" t="s">
        <v>898</v>
      </c>
    </row>
    <row r="207" spans="1:9" x14ac:dyDescent="0.3">
      <c r="A207" t="s">
        <v>419</v>
      </c>
      <c r="B207" t="s">
        <v>485</v>
      </c>
      <c r="C207" t="s">
        <v>486</v>
      </c>
      <c r="D207">
        <v>4</v>
      </c>
      <c r="E207">
        <v>16</v>
      </c>
      <c r="F207">
        <v>6</v>
      </c>
      <c r="G207">
        <v>16</v>
      </c>
      <c r="H207" t="s">
        <v>422</v>
      </c>
      <c r="I207" t="s">
        <v>899</v>
      </c>
    </row>
    <row r="208" spans="1:9" x14ac:dyDescent="0.3">
      <c r="A208" t="s">
        <v>419</v>
      </c>
      <c r="B208" t="s">
        <v>487</v>
      </c>
      <c r="C208" t="s">
        <v>488</v>
      </c>
      <c r="D208">
        <v>4</v>
      </c>
      <c r="E208">
        <v>7</v>
      </c>
      <c r="F208">
        <v>2</v>
      </c>
      <c r="G208">
        <v>7</v>
      </c>
      <c r="H208" t="s">
        <v>302</v>
      </c>
      <c r="I208" t="s">
        <v>900</v>
      </c>
    </row>
    <row r="209" spans="1:9" x14ac:dyDescent="0.3">
      <c r="A209" t="s">
        <v>419</v>
      </c>
      <c r="B209" t="s">
        <v>489</v>
      </c>
      <c r="C209" t="s">
        <v>490</v>
      </c>
      <c r="D209">
        <v>5</v>
      </c>
      <c r="E209">
        <v>5</v>
      </c>
      <c r="F209">
        <v>0</v>
      </c>
      <c r="G209">
        <v>5</v>
      </c>
      <c r="H209" t="s">
        <v>302</v>
      </c>
      <c r="I209" t="s">
        <v>890</v>
      </c>
    </row>
    <row r="210" spans="1:9" x14ac:dyDescent="0.3">
      <c r="A210" t="s">
        <v>419</v>
      </c>
      <c r="B210" t="s">
        <v>491</v>
      </c>
      <c r="C210" t="s">
        <v>492</v>
      </c>
      <c r="D210">
        <v>5</v>
      </c>
      <c r="E210">
        <v>9</v>
      </c>
      <c r="F210">
        <v>2</v>
      </c>
      <c r="G210">
        <v>9</v>
      </c>
      <c r="H210" t="s">
        <v>302</v>
      </c>
      <c r="I210" t="s">
        <v>901</v>
      </c>
    </row>
    <row r="211" spans="1:9" x14ac:dyDescent="0.3">
      <c r="A211" t="s">
        <v>419</v>
      </c>
      <c r="B211" t="s">
        <v>493</v>
      </c>
      <c r="C211" t="s">
        <v>494</v>
      </c>
      <c r="D211">
        <v>2</v>
      </c>
      <c r="E211">
        <v>3</v>
      </c>
      <c r="F211">
        <v>0</v>
      </c>
      <c r="G211">
        <v>3</v>
      </c>
      <c r="H211" t="s">
        <v>189</v>
      </c>
    </row>
    <row r="212" spans="1:9" x14ac:dyDescent="0.3">
      <c r="A212" t="s">
        <v>419</v>
      </c>
      <c r="B212" t="s">
        <v>495</v>
      </c>
      <c r="C212" t="s">
        <v>496</v>
      </c>
      <c r="D212">
        <v>2</v>
      </c>
      <c r="E212">
        <v>3</v>
      </c>
      <c r="F212">
        <v>1</v>
      </c>
      <c r="G212">
        <v>3</v>
      </c>
      <c r="H212" t="s">
        <v>302</v>
      </c>
      <c r="I212" t="s">
        <v>858</v>
      </c>
    </row>
    <row r="213" spans="1:9" x14ac:dyDescent="0.3">
      <c r="A213" t="s">
        <v>419</v>
      </c>
      <c r="B213" t="s">
        <v>497</v>
      </c>
      <c r="C213" t="s">
        <v>498</v>
      </c>
      <c r="D213">
        <v>1</v>
      </c>
      <c r="E213">
        <v>2</v>
      </c>
      <c r="F213">
        <v>0</v>
      </c>
      <c r="G213">
        <v>2</v>
      </c>
      <c r="H213" t="s">
        <v>64</v>
      </c>
      <c r="I213" t="s">
        <v>845</v>
      </c>
    </row>
    <row r="214" spans="1:9" x14ac:dyDescent="0.3">
      <c r="A214" t="s">
        <v>419</v>
      </c>
      <c r="B214" t="s">
        <v>499</v>
      </c>
      <c r="C214" t="s">
        <v>500</v>
      </c>
      <c r="D214">
        <v>6</v>
      </c>
      <c r="E214">
        <v>16</v>
      </c>
      <c r="F214">
        <v>8</v>
      </c>
      <c r="G214">
        <v>16</v>
      </c>
      <c r="H214" t="s">
        <v>422</v>
      </c>
      <c r="I214" t="s">
        <v>902</v>
      </c>
    </row>
    <row r="215" spans="1:9" x14ac:dyDescent="0.3">
      <c r="A215" t="s">
        <v>419</v>
      </c>
      <c r="B215" t="s">
        <v>501</v>
      </c>
      <c r="C215" t="s">
        <v>502</v>
      </c>
      <c r="D215">
        <v>6</v>
      </c>
      <c r="E215">
        <v>16</v>
      </c>
      <c r="F215">
        <v>8</v>
      </c>
      <c r="G215">
        <v>17</v>
      </c>
      <c r="H215" t="s">
        <v>422</v>
      </c>
      <c r="I215" t="s">
        <v>903</v>
      </c>
    </row>
    <row r="216" spans="1:9" x14ac:dyDescent="0.3">
      <c r="A216" t="s">
        <v>419</v>
      </c>
      <c r="B216" t="s">
        <v>503</v>
      </c>
      <c r="C216" t="s">
        <v>504</v>
      </c>
      <c r="D216">
        <v>1</v>
      </c>
      <c r="E216">
        <v>1</v>
      </c>
      <c r="F216">
        <v>0</v>
      </c>
      <c r="G216">
        <v>1</v>
      </c>
      <c r="H216" t="s">
        <v>64</v>
      </c>
    </row>
    <row r="217" spans="1:9" x14ac:dyDescent="0.3">
      <c r="A217" t="s">
        <v>419</v>
      </c>
      <c r="B217" t="s">
        <v>505</v>
      </c>
      <c r="C217" t="s">
        <v>506</v>
      </c>
      <c r="D217">
        <v>4</v>
      </c>
      <c r="E217">
        <v>5</v>
      </c>
      <c r="F217">
        <v>0</v>
      </c>
      <c r="G217">
        <v>5</v>
      </c>
      <c r="H217" t="s">
        <v>302</v>
      </c>
      <c r="I217" t="s">
        <v>878</v>
      </c>
    </row>
    <row r="218" spans="1:9" x14ac:dyDescent="0.3">
      <c r="A218" t="s">
        <v>419</v>
      </c>
      <c r="B218" t="s">
        <v>507</v>
      </c>
      <c r="C218" t="s">
        <v>508</v>
      </c>
      <c r="D218">
        <v>1</v>
      </c>
      <c r="E218">
        <v>2</v>
      </c>
      <c r="F218">
        <v>1</v>
      </c>
      <c r="G218">
        <v>2</v>
      </c>
      <c r="H218" t="s">
        <v>64</v>
      </c>
    </row>
    <row r="219" spans="1:9" x14ac:dyDescent="0.3">
      <c r="A219" t="s">
        <v>419</v>
      </c>
      <c r="B219" t="s">
        <v>509</v>
      </c>
      <c r="C219" t="s">
        <v>510</v>
      </c>
      <c r="D219">
        <v>1</v>
      </c>
      <c r="E219">
        <v>1</v>
      </c>
      <c r="F219">
        <v>0</v>
      </c>
      <c r="G219">
        <v>1</v>
      </c>
      <c r="H219" t="s">
        <v>64</v>
      </c>
    </row>
    <row r="220" spans="1:9" x14ac:dyDescent="0.3">
      <c r="A220" t="s">
        <v>419</v>
      </c>
      <c r="B220" t="s">
        <v>511</v>
      </c>
      <c r="C220" t="s">
        <v>512</v>
      </c>
      <c r="D220">
        <v>6</v>
      </c>
      <c r="E220">
        <v>22</v>
      </c>
      <c r="F220">
        <v>12</v>
      </c>
      <c r="G220">
        <v>25</v>
      </c>
      <c r="H220" t="s">
        <v>422</v>
      </c>
      <c r="I220" t="s">
        <v>904</v>
      </c>
    </row>
    <row r="221" spans="1:9" x14ac:dyDescent="0.3">
      <c r="A221" t="s">
        <v>419</v>
      </c>
      <c r="B221" t="s">
        <v>513</v>
      </c>
      <c r="C221" t="s">
        <v>514</v>
      </c>
      <c r="D221">
        <v>2</v>
      </c>
      <c r="E221">
        <v>6</v>
      </c>
      <c r="F221">
        <v>1</v>
      </c>
      <c r="G221">
        <v>6</v>
      </c>
      <c r="H221" t="s">
        <v>302</v>
      </c>
      <c r="I221" t="s">
        <v>905</v>
      </c>
    </row>
    <row r="222" spans="1:9" x14ac:dyDescent="0.3">
      <c r="A222" t="s">
        <v>419</v>
      </c>
      <c r="B222" t="s">
        <v>515</v>
      </c>
      <c r="C222" t="s">
        <v>516</v>
      </c>
      <c r="D222">
        <v>6</v>
      </c>
      <c r="E222">
        <v>16</v>
      </c>
      <c r="F222">
        <v>6</v>
      </c>
      <c r="G222">
        <v>16</v>
      </c>
      <c r="H222" t="s">
        <v>422</v>
      </c>
      <c r="I222" t="s">
        <v>906</v>
      </c>
    </row>
    <row r="223" spans="1:9" x14ac:dyDescent="0.3">
      <c r="A223" t="s">
        <v>419</v>
      </c>
      <c r="B223" t="s">
        <v>517</v>
      </c>
      <c r="C223" t="s">
        <v>518</v>
      </c>
      <c r="D223">
        <v>4</v>
      </c>
      <c r="E223">
        <v>13</v>
      </c>
      <c r="F223">
        <v>5</v>
      </c>
      <c r="G223">
        <v>14</v>
      </c>
      <c r="H223" t="s">
        <v>422</v>
      </c>
      <c r="I223" t="s">
        <v>907</v>
      </c>
    </row>
    <row r="224" spans="1:9" x14ac:dyDescent="0.3">
      <c r="A224" t="s">
        <v>419</v>
      </c>
      <c r="B224" t="s">
        <v>519</v>
      </c>
      <c r="C224" t="s">
        <v>520</v>
      </c>
      <c r="D224">
        <v>5</v>
      </c>
      <c r="E224">
        <v>10</v>
      </c>
      <c r="F224">
        <v>5</v>
      </c>
      <c r="G224">
        <v>10</v>
      </c>
      <c r="H224" t="s">
        <v>302</v>
      </c>
      <c r="I224" t="s">
        <v>908</v>
      </c>
    </row>
    <row r="225" spans="1:9" x14ac:dyDescent="0.3">
      <c r="A225" t="s">
        <v>419</v>
      </c>
      <c r="B225" t="s">
        <v>521</v>
      </c>
      <c r="C225" t="s">
        <v>522</v>
      </c>
      <c r="D225">
        <v>11</v>
      </c>
      <c r="E225">
        <v>16</v>
      </c>
      <c r="F225">
        <v>9</v>
      </c>
      <c r="G225">
        <v>18</v>
      </c>
      <c r="H225" t="s">
        <v>422</v>
      </c>
      <c r="I225" t="s">
        <v>909</v>
      </c>
    </row>
    <row r="226" spans="1:9" x14ac:dyDescent="0.3">
      <c r="A226" t="s">
        <v>419</v>
      </c>
      <c r="B226" t="s">
        <v>523</v>
      </c>
      <c r="C226" t="s">
        <v>524</v>
      </c>
      <c r="D226">
        <v>1</v>
      </c>
      <c r="E226">
        <v>2</v>
      </c>
      <c r="F226">
        <v>1</v>
      </c>
      <c r="G226">
        <v>2</v>
      </c>
      <c r="H226" t="s">
        <v>64</v>
      </c>
    </row>
    <row r="227" spans="1:9" x14ac:dyDescent="0.3">
      <c r="A227" t="s">
        <v>419</v>
      </c>
      <c r="B227" t="s">
        <v>525</v>
      </c>
      <c r="C227" t="s">
        <v>526</v>
      </c>
      <c r="D227">
        <v>1</v>
      </c>
      <c r="E227">
        <v>4</v>
      </c>
      <c r="F227">
        <v>0</v>
      </c>
      <c r="G227">
        <v>4</v>
      </c>
      <c r="H227" t="s">
        <v>64</v>
      </c>
      <c r="I227" t="s">
        <v>849</v>
      </c>
    </row>
    <row r="228" spans="1:9" x14ac:dyDescent="0.3">
      <c r="A228" t="s">
        <v>419</v>
      </c>
      <c r="B228" t="s">
        <v>527</v>
      </c>
      <c r="C228" t="s">
        <v>528</v>
      </c>
      <c r="D228">
        <v>5</v>
      </c>
      <c r="E228">
        <v>9</v>
      </c>
      <c r="F228">
        <v>6</v>
      </c>
      <c r="G228">
        <v>9</v>
      </c>
      <c r="H228" t="s">
        <v>422</v>
      </c>
      <c r="I228" t="s">
        <v>910</v>
      </c>
    </row>
    <row r="229" spans="1:9" x14ac:dyDescent="0.3">
      <c r="A229" t="s">
        <v>419</v>
      </c>
      <c r="B229" t="s">
        <v>529</v>
      </c>
      <c r="C229" t="s">
        <v>530</v>
      </c>
      <c r="D229">
        <v>2</v>
      </c>
      <c r="E229">
        <v>6</v>
      </c>
      <c r="F229">
        <v>2</v>
      </c>
      <c r="G229">
        <v>6</v>
      </c>
      <c r="H229" t="s">
        <v>189</v>
      </c>
      <c r="I229" t="s">
        <v>846</v>
      </c>
    </row>
    <row r="230" spans="1:9" x14ac:dyDescent="0.3">
      <c r="A230" t="s">
        <v>419</v>
      </c>
      <c r="B230" t="s">
        <v>531</v>
      </c>
      <c r="C230" t="s">
        <v>532</v>
      </c>
      <c r="D230">
        <v>2</v>
      </c>
      <c r="E230">
        <v>5</v>
      </c>
      <c r="F230">
        <v>2</v>
      </c>
      <c r="G230">
        <v>5</v>
      </c>
      <c r="H230" t="s">
        <v>422</v>
      </c>
      <c r="I230" t="s">
        <v>854</v>
      </c>
    </row>
    <row r="231" spans="1:9" x14ac:dyDescent="0.3">
      <c r="A231" t="s">
        <v>419</v>
      </c>
      <c r="B231" t="s">
        <v>533</v>
      </c>
      <c r="C231" t="s">
        <v>534</v>
      </c>
      <c r="D231">
        <v>8</v>
      </c>
      <c r="E231">
        <v>18</v>
      </c>
      <c r="F231">
        <v>6</v>
      </c>
      <c r="G231">
        <v>19</v>
      </c>
      <c r="H231" t="s">
        <v>422</v>
      </c>
      <c r="I231" t="s">
        <v>911</v>
      </c>
    </row>
    <row r="232" spans="1:9" x14ac:dyDescent="0.3">
      <c r="A232" t="s">
        <v>419</v>
      </c>
      <c r="B232" t="s">
        <v>535</v>
      </c>
      <c r="C232" t="s">
        <v>536</v>
      </c>
      <c r="D232">
        <v>3</v>
      </c>
      <c r="E232">
        <v>6</v>
      </c>
      <c r="F232">
        <v>1</v>
      </c>
      <c r="G232">
        <v>6</v>
      </c>
      <c r="H232" t="s">
        <v>422</v>
      </c>
      <c r="I232" t="s">
        <v>912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32"/>
  <sheetViews>
    <sheetView showGridLines="0" workbookViewId="0"/>
  </sheetViews>
  <sheetFormatPr defaultRowHeight="14.4" x14ac:dyDescent="0.3"/>
  <cols>
    <col min="1" max="1" width="16" customWidth="1"/>
    <col min="2" max="2" width="14" customWidth="1"/>
    <col min="3" max="3" width="26" customWidth="1"/>
    <col min="4" max="4" width="34" customWidth="1"/>
    <col min="5" max="5" width="14" customWidth="1"/>
    <col min="6" max="6" width="28" customWidth="1"/>
    <col min="7" max="7" width="18" customWidth="1"/>
    <col min="8" max="8" width="19" customWidth="1"/>
    <col min="9" max="9" width="10" customWidth="1"/>
    <col min="10" max="10" width="8" customWidth="1"/>
    <col min="11" max="11" width="11" customWidth="1"/>
    <col min="12" max="12" width="17" customWidth="1"/>
  </cols>
  <sheetData>
    <row r="1" spans="1:12" x14ac:dyDescent="0.3">
      <c r="A1" s="4" t="s">
        <v>39</v>
      </c>
      <c r="B1" s="4" t="s">
        <v>40</v>
      </c>
      <c r="C1" s="4" t="s">
        <v>913</v>
      </c>
      <c r="D1" s="4" t="s">
        <v>53</v>
      </c>
      <c r="E1" s="4" t="s">
        <v>914</v>
      </c>
      <c r="F1" s="4" t="s">
        <v>54</v>
      </c>
      <c r="G1" s="4" t="s">
        <v>59</v>
      </c>
      <c r="H1" s="4" t="s">
        <v>57</v>
      </c>
      <c r="I1" s="4" t="s">
        <v>915</v>
      </c>
      <c r="J1" s="4" t="s">
        <v>916</v>
      </c>
      <c r="K1" s="4" t="s">
        <v>58</v>
      </c>
      <c r="L1" s="4" t="s">
        <v>55</v>
      </c>
    </row>
    <row r="2" spans="1:12" x14ac:dyDescent="0.3">
      <c r="A2" s="2" t="s">
        <v>60</v>
      </c>
      <c r="B2" s="2" t="s">
        <v>61</v>
      </c>
      <c r="C2" s="2" t="s">
        <v>917</v>
      </c>
      <c r="D2" s="2" t="s">
        <v>918</v>
      </c>
      <c r="E2" s="2" t="s">
        <v>919</v>
      </c>
      <c r="F2" s="2" t="s">
        <v>920</v>
      </c>
      <c r="G2" s="2" t="s">
        <v>921</v>
      </c>
      <c r="H2" s="5">
        <v>96.3</v>
      </c>
      <c r="I2" s="2">
        <v>540</v>
      </c>
      <c r="J2" s="2">
        <v>390</v>
      </c>
      <c r="K2" s="2">
        <v>930</v>
      </c>
      <c r="L2" s="2" t="str">
        <f t="shared" ref="L2:L65" si="0">IF(F2="","",IF(OR(ISNUMBER(SEARCH("Engineering",F2)),ISNUMBER(SEARCH("Computer",F2)),ISNUMBER(SEARCH("Science",F2)),ISNUMBER(SEARCH("Math",F2)),ISNUMBER(SEARCH("Medicine",F2)),ISNUMBER(SEARCH("Technology",F2))),"Yes","No"))</f>
        <v>Yes</v>
      </c>
    </row>
    <row r="3" spans="1:12" x14ac:dyDescent="0.3">
      <c r="A3" s="2" t="s">
        <v>60</v>
      </c>
      <c r="B3" s="2" t="s">
        <v>67</v>
      </c>
      <c r="C3" s="2" t="s">
        <v>922</v>
      </c>
      <c r="D3" s="2" t="s">
        <v>923</v>
      </c>
      <c r="E3" s="2" t="s">
        <v>924</v>
      </c>
      <c r="F3" s="2" t="s">
        <v>925</v>
      </c>
      <c r="G3" s="2" t="s">
        <v>926</v>
      </c>
      <c r="H3" s="5">
        <v>98.2</v>
      </c>
      <c r="I3" s="2">
        <v>610</v>
      </c>
      <c r="J3" s="2">
        <v>540</v>
      </c>
      <c r="K3" s="2">
        <v>1150</v>
      </c>
      <c r="L3" s="2" t="str">
        <f t="shared" si="0"/>
        <v>Yes</v>
      </c>
    </row>
    <row r="4" spans="1:12" x14ac:dyDescent="0.3">
      <c r="A4" s="2" t="s">
        <v>60</v>
      </c>
      <c r="B4" s="2" t="s">
        <v>69</v>
      </c>
      <c r="C4" s="2" t="s">
        <v>927</v>
      </c>
      <c r="D4" s="2" t="s">
        <v>918</v>
      </c>
      <c r="E4" s="2" t="s">
        <v>919</v>
      </c>
      <c r="F4" s="2" t="s">
        <v>928</v>
      </c>
      <c r="G4" s="2" t="s">
        <v>921</v>
      </c>
      <c r="H4" s="5">
        <v>98.8</v>
      </c>
      <c r="I4" s="2">
        <v>590</v>
      </c>
      <c r="J4" s="2">
        <v>460</v>
      </c>
      <c r="K4" s="2">
        <v>1050</v>
      </c>
      <c r="L4" s="2" t="str">
        <f t="shared" si="0"/>
        <v>Yes</v>
      </c>
    </row>
    <row r="5" spans="1:12" x14ac:dyDescent="0.3">
      <c r="A5" s="2" t="s">
        <v>60</v>
      </c>
      <c r="B5" s="2" t="s">
        <v>71</v>
      </c>
      <c r="C5" s="2" t="s">
        <v>929</v>
      </c>
      <c r="D5" s="2" t="s">
        <v>930</v>
      </c>
      <c r="E5" s="2" t="s">
        <v>919</v>
      </c>
      <c r="F5" s="2" t="s">
        <v>931</v>
      </c>
      <c r="G5" s="2" t="s">
        <v>921</v>
      </c>
      <c r="H5" s="5">
        <v>94.4</v>
      </c>
      <c r="I5" s="2">
        <v>610</v>
      </c>
      <c r="J5" s="2">
        <v>500</v>
      </c>
      <c r="K5" s="2">
        <v>1110</v>
      </c>
      <c r="L5" s="2" t="str">
        <f t="shared" si="0"/>
        <v>Yes</v>
      </c>
    </row>
    <row r="6" spans="1:12" x14ac:dyDescent="0.3">
      <c r="A6" s="2" t="s">
        <v>60</v>
      </c>
      <c r="B6" s="2" t="s">
        <v>73</v>
      </c>
      <c r="C6" s="2" t="s">
        <v>932</v>
      </c>
      <c r="D6" s="2" t="s">
        <v>918</v>
      </c>
      <c r="E6" s="2" t="s">
        <v>919</v>
      </c>
      <c r="F6" s="2" t="s">
        <v>931</v>
      </c>
      <c r="G6" s="2" t="s">
        <v>933</v>
      </c>
      <c r="H6" s="5">
        <v>96.9</v>
      </c>
      <c r="I6" s="2">
        <v>590</v>
      </c>
      <c r="J6" s="2">
        <v>460</v>
      </c>
      <c r="K6" s="2">
        <v>1050</v>
      </c>
      <c r="L6" s="2" t="str">
        <f t="shared" si="0"/>
        <v>Yes</v>
      </c>
    </row>
    <row r="7" spans="1:12" x14ac:dyDescent="0.3">
      <c r="A7" s="2" t="s">
        <v>60</v>
      </c>
      <c r="B7" s="2" t="s">
        <v>75</v>
      </c>
      <c r="C7" s="2" t="s">
        <v>934</v>
      </c>
      <c r="D7" s="2" t="s">
        <v>930</v>
      </c>
      <c r="E7" s="2" t="s">
        <v>924</v>
      </c>
      <c r="F7" s="2" t="s">
        <v>928</v>
      </c>
      <c r="G7" s="2" t="s">
        <v>921</v>
      </c>
      <c r="H7" s="5">
        <v>94.9</v>
      </c>
      <c r="I7" s="2">
        <v>620</v>
      </c>
      <c r="J7" s="2">
        <v>480</v>
      </c>
      <c r="K7" s="2">
        <v>1100</v>
      </c>
      <c r="L7" s="2" t="str">
        <f t="shared" si="0"/>
        <v>Yes</v>
      </c>
    </row>
    <row r="8" spans="1:12" x14ac:dyDescent="0.3">
      <c r="A8" s="2" t="s">
        <v>60</v>
      </c>
      <c r="B8" s="2" t="s">
        <v>77</v>
      </c>
      <c r="C8" s="2" t="s">
        <v>935</v>
      </c>
      <c r="D8" s="2" t="s">
        <v>930</v>
      </c>
      <c r="E8" s="2" t="s">
        <v>924</v>
      </c>
      <c r="F8" s="2" t="s">
        <v>936</v>
      </c>
      <c r="G8" s="2" t="s">
        <v>921</v>
      </c>
      <c r="H8" s="5">
        <v>97.9</v>
      </c>
      <c r="I8" s="2">
        <v>560</v>
      </c>
      <c r="J8" s="2">
        <v>410</v>
      </c>
      <c r="K8" s="2">
        <v>970</v>
      </c>
      <c r="L8" s="2" t="str">
        <f t="shared" si="0"/>
        <v>Yes</v>
      </c>
    </row>
    <row r="9" spans="1:12" x14ac:dyDescent="0.3">
      <c r="A9" s="2" t="s">
        <v>60</v>
      </c>
      <c r="B9" s="2" t="s">
        <v>79</v>
      </c>
      <c r="C9" s="2" t="s">
        <v>937</v>
      </c>
      <c r="D9" s="2" t="s">
        <v>918</v>
      </c>
      <c r="E9" s="2" t="s">
        <v>919</v>
      </c>
      <c r="F9" s="2" t="s">
        <v>931</v>
      </c>
      <c r="G9" s="2" t="s">
        <v>938</v>
      </c>
      <c r="H9" s="5">
        <v>95.3</v>
      </c>
      <c r="I9" s="2">
        <v>650</v>
      </c>
      <c r="J9" s="2">
        <v>440</v>
      </c>
      <c r="K9" s="2">
        <v>1090</v>
      </c>
      <c r="L9" s="2" t="str">
        <f t="shared" si="0"/>
        <v>Yes</v>
      </c>
    </row>
    <row r="10" spans="1:12" x14ac:dyDescent="0.3">
      <c r="A10" s="2" t="s">
        <v>60</v>
      </c>
      <c r="B10" s="2" t="s">
        <v>81</v>
      </c>
      <c r="C10" s="2" t="s">
        <v>939</v>
      </c>
      <c r="D10" s="2" t="s">
        <v>940</v>
      </c>
      <c r="E10" s="2" t="s">
        <v>919</v>
      </c>
      <c r="F10" s="2" t="s">
        <v>920</v>
      </c>
      <c r="G10" s="2" t="s">
        <v>921</v>
      </c>
      <c r="H10" s="5">
        <v>96.7</v>
      </c>
      <c r="I10" s="2">
        <v>620</v>
      </c>
      <c r="J10" s="2">
        <v>430</v>
      </c>
      <c r="K10" s="2">
        <v>1050</v>
      </c>
      <c r="L10" s="2" t="str">
        <f t="shared" si="0"/>
        <v>Yes</v>
      </c>
    </row>
    <row r="11" spans="1:12" x14ac:dyDescent="0.3">
      <c r="A11" s="2" t="s">
        <v>60</v>
      </c>
      <c r="B11" s="2" t="s">
        <v>83</v>
      </c>
      <c r="C11" s="2" t="s">
        <v>941</v>
      </c>
      <c r="D11" s="2" t="s">
        <v>923</v>
      </c>
      <c r="E11" s="2" t="s">
        <v>924</v>
      </c>
      <c r="F11" s="2" t="s">
        <v>931</v>
      </c>
      <c r="G11" s="2" t="s">
        <v>933</v>
      </c>
      <c r="H11" s="5">
        <v>92.8</v>
      </c>
      <c r="I11" s="2">
        <v>590</v>
      </c>
      <c r="J11" s="2">
        <v>440</v>
      </c>
      <c r="K11" s="2">
        <v>1030</v>
      </c>
      <c r="L11" s="2" t="str">
        <f t="shared" si="0"/>
        <v>Yes</v>
      </c>
    </row>
    <row r="12" spans="1:12" x14ac:dyDescent="0.3">
      <c r="A12" s="2" t="s">
        <v>60</v>
      </c>
      <c r="B12" s="2" t="s">
        <v>85</v>
      </c>
      <c r="C12" s="2" t="s">
        <v>942</v>
      </c>
      <c r="D12" s="2" t="s">
        <v>930</v>
      </c>
      <c r="E12" s="2" t="s">
        <v>924</v>
      </c>
      <c r="F12" s="2" t="s">
        <v>943</v>
      </c>
      <c r="G12" s="2" t="s">
        <v>921</v>
      </c>
      <c r="H12" s="5">
        <v>91.1</v>
      </c>
      <c r="I12" s="2">
        <v>530</v>
      </c>
      <c r="J12" s="2">
        <v>530</v>
      </c>
      <c r="K12" s="2">
        <v>1060</v>
      </c>
      <c r="L12" s="2" t="str">
        <f t="shared" si="0"/>
        <v>Yes</v>
      </c>
    </row>
    <row r="13" spans="1:12" x14ac:dyDescent="0.3">
      <c r="A13" s="2" t="s">
        <v>60</v>
      </c>
      <c r="B13" s="2" t="s">
        <v>87</v>
      </c>
      <c r="C13" s="2" t="s">
        <v>944</v>
      </c>
      <c r="D13" s="2" t="s">
        <v>930</v>
      </c>
      <c r="E13" s="2" t="s">
        <v>924</v>
      </c>
      <c r="F13" s="2" t="s">
        <v>945</v>
      </c>
      <c r="G13" s="2" t="s">
        <v>921</v>
      </c>
      <c r="H13" s="5">
        <v>95.8</v>
      </c>
      <c r="I13" s="2">
        <v>610</v>
      </c>
      <c r="J13" s="2">
        <v>460</v>
      </c>
      <c r="K13" s="2">
        <v>1070</v>
      </c>
      <c r="L13" s="2" t="str">
        <f t="shared" si="0"/>
        <v>Yes</v>
      </c>
    </row>
    <row r="14" spans="1:12" x14ac:dyDescent="0.3">
      <c r="A14" s="2" t="s">
        <v>60</v>
      </c>
      <c r="B14" s="2" t="s">
        <v>89</v>
      </c>
      <c r="C14" s="2" t="s">
        <v>946</v>
      </c>
      <c r="D14" s="2" t="s">
        <v>947</v>
      </c>
      <c r="E14" s="2" t="s">
        <v>924</v>
      </c>
      <c r="F14" s="2" t="s">
        <v>936</v>
      </c>
      <c r="G14" s="2" t="s">
        <v>921</v>
      </c>
      <c r="H14" s="5">
        <v>96.8</v>
      </c>
      <c r="I14" s="2">
        <v>630</v>
      </c>
      <c r="J14" s="2">
        <v>470</v>
      </c>
      <c r="K14" s="2">
        <v>1100</v>
      </c>
      <c r="L14" s="2" t="str">
        <f t="shared" si="0"/>
        <v>Yes</v>
      </c>
    </row>
    <row r="15" spans="1:12" x14ac:dyDescent="0.3">
      <c r="A15" s="2" t="s">
        <v>60</v>
      </c>
      <c r="B15" s="2" t="s">
        <v>91</v>
      </c>
      <c r="C15" s="2" t="s">
        <v>948</v>
      </c>
      <c r="D15" s="2" t="s">
        <v>949</v>
      </c>
      <c r="E15" s="2" t="s">
        <v>919</v>
      </c>
      <c r="F15" s="2" t="s">
        <v>950</v>
      </c>
      <c r="G15" s="2" t="s">
        <v>921</v>
      </c>
      <c r="H15" s="5">
        <v>94.2</v>
      </c>
      <c r="I15" s="2">
        <v>610</v>
      </c>
      <c r="J15" s="2">
        <v>410</v>
      </c>
      <c r="K15" s="2">
        <v>1020</v>
      </c>
      <c r="L15" s="2" t="str">
        <f t="shared" si="0"/>
        <v>Yes</v>
      </c>
    </row>
    <row r="16" spans="1:12" x14ac:dyDescent="0.3">
      <c r="A16" s="2" t="s">
        <v>60</v>
      </c>
      <c r="B16" s="2" t="s">
        <v>93</v>
      </c>
      <c r="C16" s="2" t="s">
        <v>951</v>
      </c>
      <c r="D16" s="2" t="s">
        <v>923</v>
      </c>
      <c r="E16" s="2" t="s">
        <v>924</v>
      </c>
      <c r="F16" s="2" t="s">
        <v>952</v>
      </c>
      <c r="G16" s="2" t="s">
        <v>953</v>
      </c>
      <c r="H16" s="5">
        <v>95</v>
      </c>
      <c r="I16" s="2">
        <v>530</v>
      </c>
      <c r="J16" s="2">
        <v>430</v>
      </c>
      <c r="K16" s="2">
        <v>960</v>
      </c>
      <c r="L16" s="2" t="str">
        <f t="shared" si="0"/>
        <v>Yes</v>
      </c>
    </row>
    <row r="17" spans="1:12" x14ac:dyDescent="0.3">
      <c r="A17" s="2" t="s">
        <v>60</v>
      </c>
      <c r="B17" s="2" t="s">
        <v>95</v>
      </c>
      <c r="C17" s="2" t="s">
        <v>954</v>
      </c>
      <c r="D17" s="2" t="s">
        <v>930</v>
      </c>
      <c r="E17" s="2" t="s">
        <v>924</v>
      </c>
      <c r="F17" s="2" t="s">
        <v>955</v>
      </c>
      <c r="G17" s="2" t="s">
        <v>921</v>
      </c>
      <c r="H17" s="5">
        <v>86.9</v>
      </c>
      <c r="I17" s="2">
        <v>490</v>
      </c>
      <c r="J17" s="2">
        <v>400</v>
      </c>
      <c r="K17" s="2">
        <v>890</v>
      </c>
      <c r="L17" s="2" t="str">
        <f t="shared" si="0"/>
        <v>Yes</v>
      </c>
    </row>
    <row r="18" spans="1:12" x14ac:dyDescent="0.3">
      <c r="A18" s="2" t="s">
        <v>60</v>
      </c>
      <c r="B18" s="2" t="s">
        <v>97</v>
      </c>
      <c r="C18" s="2" t="s">
        <v>956</v>
      </c>
      <c r="D18" s="2" t="s">
        <v>923</v>
      </c>
      <c r="E18" s="2" t="s">
        <v>924</v>
      </c>
      <c r="F18" s="2" t="s">
        <v>957</v>
      </c>
      <c r="G18" s="2" t="s">
        <v>958</v>
      </c>
      <c r="H18" s="5">
        <v>87.1</v>
      </c>
      <c r="I18" s="2"/>
      <c r="J18" s="2"/>
      <c r="K18" s="2"/>
      <c r="L18" s="2" t="str">
        <f t="shared" si="0"/>
        <v>No</v>
      </c>
    </row>
    <row r="19" spans="1:12" x14ac:dyDescent="0.3">
      <c r="A19" s="2" t="s">
        <v>60</v>
      </c>
      <c r="B19" s="2" t="s">
        <v>100</v>
      </c>
      <c r="C19" s="2" t="s">
        <v>959</v>
      </c>
      <c r="D19" s="2" t="s">
        <v>960</v>
      </c>
      <c r="E19" s="2" t="s">
        <v>919</v>
      </c>
      <c r="F19" s="2" t="s">
        <v>961</v>
      </c>
      <c r="G19" s="2" t="s">
        <v>921</v>
      </c>
      <c r="H19" s="5">
        <v>87.9</v>
      </c>
      <c r="I19" s="2">
        <v>500</v>
      </c>
      <c r="J19" s="2">
        <v>420</v>
      </c>
      <c r="K19" s="2">
        <v>920</v>
      </c>
      <c r="L19" s="2" t="str">
        <f t="shared" si="0"/>
        <v>Yes</v>
      </c>
    </row>
    <row r="20" spans="1:12" x14ac:dyDescent="0.3">
      <c r="A20" s="2" t="s">
        <v>60</v>
      </c>
      <c r="B20" s="2" t="s">
        <v>102</v>
      </c>
      <c r="C20" s="2" t="s">
        <v>962</v>
      </c>
      <c r="D20" s="2" t="s">
        <v>947</v>
      </c>
      <c r="E20" s="2" t="s">
        <v>924</v>
      </c>
      <c r="F20" s="2" t="s">
        <v>963</v>
      </c>
      <c r="G20" s="2" t="s">
        <v>958</v>
      </c>
      <c r="H20" s="5">
        <v>96.6</v>
      </c>
      <c r="I20" s="2">
        <v>510</v>
      </c>
      <c r="J20" s="2">
        <v>370</v>
      </c>
      <c r="K20" s="2">
        <v>880</v>
      </c>
      <c r="L20" s="2" t="str">
        <f t="shared" si="0"/>
        <v>No</v>
      </c>
    </row>
    <row r="21" spans="1:12" x14ac:dyDescent="0.3">
      <c r="A21" s="2" t="s">
        <v>60</v>
      </c>
      <c r="B21" s="2" t="s">
        <v>104</v>
      </c>
      <c r="C21" s="2" t="s">
        <v>964</v>
      </c>
      <c r="D21" s="2" t="s">
        <v>965</v>
      </c>
      <c r="E21" s="2" t="s">
        <v>924</v>
      </c>
      <c r="F21" s="2" t="s">
        <v>966</v>
      </c>
      <c r="G21" s="2" t="s">
        <v>958</v>
      </c>
      <c r="H21" s="5">
        <v>91.3</v>
      </c>
      <c r="I21" s="2">
        <v>530</v>
      </c>
      <c r="J21" s="2">
        <v>450</v>
      </c>
      <c r="K21" s="2">
        <v>980</v>
      </c>
      <c r="L21" s="2" t="str">
        <f t="shared" si="0"/>
        <v>No</v>
      </c>
    </row>
    <row r="22" spans="1:12" x14ac:dyDescent="0.3">
      <c r="A22" s="2" t="s">
        <v>60</v>
      </c>
      <c r="B22" s="2" t="s">
        <v>106</v>
      </c>
      <c r="C22" s="2" t="s">
        <v>967</v>
      </c>
      <c r="D22" s="2" t="s">
        <v>965</v>
      </c>
      <c r="E22" s="2" t="s">
        <v>924</v>
      </c>
      <c r="F22" s="2" t="s">
        <v>968</v>
      </c>
      <c r="G22" s="2" t="s">
        <v>958</v>
      </c>
      <c r="H22" s="5">
        <v>97.2</v>
      </c>
      <c r="I22" s="2">
        <v>550</v>
      </c>
      <c r="J22" s="2">
        <v>380</v>
      </c>
      <c r="K22" s="2">
        <v>930</v>
      </c>
      <c r="L22" s="2" t="str">
        <f t="shared" si="0"/>
        <v>No</v>
      </c>
    </row>
    <row r="23" spans="1:12" x14ac:dyDescent="0.3">
      <c r="A23" s="2" t="s">
        <v>60</v>
      </c>
      <c r="B23" s="2" t="s">
        <v>108</v>
      </c>
      <c r="C23" s="2" t="s">
        <v>969</v>
      </c>
      <c r="D23" s="2" t="s">
        <v>970</v>
      </c>
      <c r="E23" s="2" t="s">
        <v>924</v>
      </c>
      <c r="F23" s="2" t="s">
        <v>925</v>
      </c>
      <c r="G23" s="2" t="s">
        <v>933</v>
      </c>
      <c r="H23" s="5">
        <v>85.3</v>
      </c>
      <c r="I23" s="2">
        <v>450</v>
      </c>
      <c r="J23" s="2">
        <v>400</v>
      </c>
      <c r="K23" s="2">
        <v>850</v>
      </c>
      <c r="L23" s="2" t="str">
        <f t="shared" si="0"/>
        <v>Yes</v>
      </c>
    </row>
    <row r="24" spans="1:12" x14ac:dyDescent="0.3">
      <c r="A24" s="2" t="s">
        <v>60</v>
      </c>
      <c r="B24" s="2" t="s">
        <v>110</v>
      </c>
      <c r="C24" s="2" t="s">
        <v>971</v>
      </c>
      <c r="D24" s="2" t="s">
        <v>918</v>
      </c>
      <c r="E24" s="2" t="s">
        <v>919</v>
      </c>
      <c r="F24" s="2" t="s">
        <v>931</v>
      </c>
      <c r="G24" s="2" t="s">
        <v>921</v>
      </c>
      <c r="H24" s="5">
        <v>94.4</v>
      </c>
      <c r="I24" s="2">
        <v>510</v>
      </c>
      <c r="J24" s="2">
        <v>460</v>
      </c>
      <c r="K24" s="2">
        <v>970</v>
      </c>
      <c r="L24" s="2" t="str">
        <f t="shared" si="0"/>
        <v>Yes</v>
      </c>
    </row>
    <row r="25" spans="1:12" x14ac:dyDescent="0.3">
      <c r="A25" s="2" t="s">
        <v>60</v>
      </c>
      <c r="B25" s="2" t="s">
        <v>112</v>
      </c>
      <c r="C25" s="2" t="s">
        <v>972</v>
      </c>
      <c r="D25" s="2" t="s">
        <v>918</v>
      </c>
      <c r="E25" s="2" t="s">
        <v>919</v>
      </c>
      <c r="F25" s="2" t="s">
        <v>945</v>
      </c>
      <c r="G25" s="2" t="s">
        <v>921</v>
      </c>
      <c r="H25" s="5">
        <v>94.4</v>
      </c>
      <c r="I25" s="2">
        <v>520</v>
      </c>
      <c r="J25" s="2">
        <v>470</v>
      </c>
      <c r="K25" s="2">
        <v>990</v>
      </c>
      <c r="L25" s="2" t="str">
        <f t="shared" si="0"/>
        <v>Yes</v>
      </c>
    </row>
    <row r="26" spans="1:12" x14ac:dyDescent="0.3">
      <c r="A26" s="2" t="s">
        <v>60</v>
      </c>
      <c r="B26" s="2" t="s">
        <v>114</v>
      </c>
      <c r="C26" s="2" t="s">
        <v>973</v>
      </c>
      <c r="D26" s="2" t="s">
        <v>930</v>
      </c>
      <c r="E26" s="2" t="s">
        <v>924</v>
      </c>
      <c r="F26" s="2" t="s">
        <v>945</v>
      </c>
      <c r="G26" s="2" t="s">
        <v>933</v>
      </c>
      <c r="H26" s="5">
        <v>92.9</v>
      </c>
      <c r="I26" s="2">
        <v>520</v>
      </c>
      <c r="J26" s="2">
        <v>500</v>
      </c>
      <c r="K26" s="2">
        <v>1020</v>
      </c>
      <c r="L26" s="2" t="str">
        <f t="shared" si="0"/>
        <v>Yes</v>
      </c>
    </row>
    <row r="27" spans="1:12" x14ac:dyDescent="0.3">
      <c r="A27" s="2" t="s">
        <v>60</v>
      </c>
      <c r="B27" s="2" t="s">
        <v>116</v>
      </c>
      <c r="C27" s="2" t="s">
        <v>974</v>
      </c>
      <c r="D27" s="2" t="s">
        <v>975</v>
      </c>
      <c r="E27" s="2" t="s">
        <v>976</v>
      </c>
      <c r="F27" s="2" t="s">
        <v>936</v>
      </c>
      <c r="G27" s="2" t="s">
        <v>921</v>
      </c>
      <c r="H27" s="5">
        <v>99</v>
      </c>
      <c r="I27" s="2">
        <v>590</v>
      </c>
      <c r="J27" s="2">
        <v>430</v>
      </c>
      <c r="K27" s="2">
        <v>1020</v>
      </c>
      <c r="L27" s="2" t="str">
        <f t="shared" si="0"/>
        <v>Yes</v>
      </c>
    </row>
    <row r="28" spans="1:12" x14ac:dyDescent="0.3">
      <c r="A28" s="2" t="s">
        <v>60</v>
      </c>
      <c r="B28" s="2" t="s">
        <v>118</v>
      </c>
      <c r="C28" s="2" t="s">
        <v>977</v>
      </c>
      <c r="D28" s="2" t="s">
        <v>918</v>
      </c>
      <c r="E28" s="2" t="s">
        <v>919</v>
      </c>
      <c r="F28" s="2" t="s">
        <v>978</v>
      </c>
      <c r="G28" s="2" t="s">
        <v>921</v>
      </c>
      <c r="H28" s="5">
        <v>97.9</v>
      </c>
      <c r="I28" s="2">
        <v>780</v>
      </c>
      <c r="J28" s="2">
        <v>670</v>
      </c>
      <c r="K28" s="2">
        <v>1450</v>
      </c>
      <c r="L28" s="2" t="str">
        <f t="shared" si="0"/>
        <v>Yes</v>
      </c>
    </row>
    <row r="29" spans="1:12" x14ac:dyDescent="0.3">
      <c r="A29" s="2" t="s">
        <v>60</v>
      </c>
      <c r="B29" s="2" t="s">
        <v>121</v>
      </c>
      <c r="C29" s="2" t="s">
        <v>979</v>
      </c>
      <c r="D29" s="2" t="s">
        <v>918</v>
      </c>
      <c r="E29" s="2" t="s">
        <v>919</v>
      </c>
      <c r="F29" s="2" t="s">
        <v>925</v>
      </c>
      <c r="G29" s="2" t="s">
        <v>921</v>
      </c>
      <c r="H29" s="5">
        <v>97.2</v>
      </c>
      <c r="I29" s="2">
        <v>630</v>
      </c>
      <c r="J29" s="2">
        <v>510</v>
      </c>
      <c r="K29" s="2">
        <v>1140</v>
      </c>
      <c r="L29" s="2" t="str">
        <f t="shared" si="0"/>
        <v>Yes</v>
      </c>
    </row>
    <row r="30" spans="1:12" x14ac:dyDescent="0.3">
      <c r="A30" s="2" t="s">
        <v>60</v>
      </c>
      <c r="B30" s="2" t="s">
        <v>123</v>
      </c>
      <c r="C30" s="2" t="s">
        <v>980</v>
      </c>
      <c r="D30" s="2" t="s">
        <v>965</v>
      </c>
      <c r="E30" s="2" t="s">
        <v>924</v>
      </c>
      <c r="F30" s="2" t="s">
        <v>966</v>
      </c>
      <c r="G30" s="2" t="s">
        <v>958</v>
      </c>
      <c r="H30" s="5">
        <v>91.7</v>
      </c>
      <c r="I30" s="2">
        <v>530</v>
      </c>
      <c r="J30" s="2">
        <v>430</v>
      </c>
      <c r="K30" s="2">
        <v>960</v>
      </c>
      <c r="L30" s="2" t="str">
        <f t="shared" si="0"/>
        <v>No</v>
      </c>
    </row>
    <row r="31" spans="1:12" x14ac:dyDescent="0.3">
      <c r="A31" s="2" t="s">
        <v>60</v>
      </c>
      <c r="B31" s="2" t="s">
        <v>125</v>
      </c>
      <c r="C31" s="2" t="s">
        <v>981</v>
      </c>
      <c r="D31" s="2" t="s">
        <v>918</v>
      </c>
      <c r="E31" s="2" t="s">
        <v>919</v>
      </c>
      <c r="F31" s="2" t="s">
        <v>982</v>
      </c>
      <c r="G31" s="2" t="s">
        <v>933</v>
      </c>
      <c r="H31" s="5">
        <v>90.6</v>
      </c>
      <c r="I31" s="2">
        <v>630</v>
      </c>
      <c r="J31" s="2">
        <v>530</v>
      </c>
      <c r="K31" s="2">
        <v>1160</v>
      </c>
      <c r="L31" s="2" t="str">
        <f t="shared" si="0"/>
        <v>Yes</v>
      </c>
    </row>
    <row r="32" spans="1:12" x14ac:dyDescent="0.3">
      <c r="A32" s="2" t="s">
        <v>60</v>
      </c>
      <c r="B32" s="2" t="s">
        <v>127</v>
      </c>
      <c r="C32" s="2" t="s">
        <v>983</v>
      </c>
      <c r="D32" s="2" t="s">
        <v>923</v>
      </c>
      <c r="E32" s="2" t="s">
        <v>924</v>
      </c>
      <c r="F32" s="2" t="s">
        <v>925</v>
      </c>
      <c r="G32" s="2" t="s">
        <v>933</v>
      </c>
      <c r="H32" s="5">
        <v>96.8</v>
      </c>
      <c r="I32" s="2">
        <v>570</v>
      </c>
      <c r="J32" s="2">
        <v>400</v>
      </c>
      <c r="K32" s="2">
        <v>970</v>
      </c>
      <c r="L32" s="2" t="str">
        <f t="shared" si="0"/>
        <v>Yes</v>
      </c>
    </row>
    <row r="33" spans="1:12" x14ac:dyDescent="0.3">
      <c r="A33" s="2" t="s">
        <v>60</v>
      </c>
      <c r="B33" s="2" t="s">
        <v>129</v>
      </c>
      <c r="C33" s="2" t="s">
        <v>984</v>
      </c>
      <c r="D33" s="2" t="s">
        <v>930</v>
      </c>
      <c r="E33" s="2" t="s">
        <v>924</v>
      </c>
      <c r="F33" s="2" t="s">
        <v>943</v>
      </c>
      <c r="G33" s="2" t="s">
        <v>933</v>
      </c>
      <c r="H33" s="5">
        <v>98.3</v>
      </c>
      <c r="I33" s="2">
        <v>570</v>
      </c>
      <c r="J33" s="2">
        <v>630</v>
      </c>
      <c r="K33" s="2">
        <v>1200</v>
      </c>
      <c r="L33" s="2" t="str">
        <f t="shared" si="0"/>
        <v>Yes</v>
      </c>
    </row>
    <row r="34" spans="1:12" x14ac:dyDescent="0.3">
      <c r="A34" s="2" t="s">
        <v>60</v>
      </c>
      <c r="B34" s="2" t="s">
        <v>131</v>
      </c>
      <c r="C34" s="2" t="s">
        <v>985</v>
      </c>
      <c r="D34" s="2" t="s">
        <v>918</v>
      </c>
      <c r="E34" s="2" t="s">
        <v>919</v>
      </c>
      <c r="F34" s="2" t="s">
        <v>986</v>
      </c>
      <c r="G34" s="2" t="s">
        <v>933</v>
      </c>
      <c r="H34" s="5">
        <v>99.4</v>
      </c>
      <c r="I34" s="2">
        <v>720</v>
      </c>
      <c r="J34" s="2">
        <v>610</v>
      </c>
      <c r="K34" s="2">
        <v>1330</v>
      </c>
      <c r="L34" s="2" t="str">
        <f t="shared" si="0"/>
        <v>Yes</v>
      </c>
    </row>
    <row r="35" spans="1:12" x14ac:dyDescent="0.3">
      <c r="A35" s="2" t="s">
        <v>60</v>
      </c>
      <c r="B35" s="2" t="s">
        <v>133</v>
      </c>
      <c r="C35" s="2" t="s">
        <v>987</v>
      </c>
      <c r="D35" s="2" t="s">
        <v>965</v>
      </c>
      <c r="E35" s="2" t="s">
        <v>924</v>
      </c>
      <c r="F35" s="2" t="s">
        <v>966</v>
      </c>
      <c r="G35" s="2" t="s">
        <v>958</v>
      </c>
      <c r="H35" s="5">
        <v>95.8</v>
      </c>
      <c r="I35" s="2">
        <v>650</v>
      </c>
      <c r="J35" s="2">
        <v>490</v>
      </c>
      <c r="K35" s="2">
        <v>1140</v>
      </c>
      <c r="L35" s="2" t="str">
        <f t="shared" si="0"/>
        <v>No</v>
      </c>
    </row>
    <row r="36" spans="1:12" x14ac:dyDescent="0.3">
      <c r="A36" s="2" t="s">
        <v>60</v>
      </c>
      <c r="B36" s="2" t="s">
        <v>135</v>
      </c>
      <c r="C36" s="2" t="s">
        <v>988</v>
      </c>
      <c r="D36" s="2" t="s">
        <v>965</v>
      </c>
      <c r="E36" s="2" t="s">
        <v>924</v>
      </c>
      <c r="F36" s="2" t="s">
        <v>966</v>
      </c>
      <c r="G36" s="2" t="s">
        <v>958</v>
      </c>
      <c r="H36" s="5">
        <v>90.9</v>
      </c>
      <c r="I36" s="2">
        <v>580</v>
      </c>
      <c r="J36" s="2">
        <v>520</v>
      </c>
      <c r="K36" s="2">
        <v>1100</v>
      </c>
      <c r="L36" s="2" t="str">
        <f t="shared" si="0"/>
        <v>No</v>
      </c>
    </row>
    <row r="37" spans="1:12" x14ac:dyDescent="0.3">
      <c r="A37" s="2" t="s">
        <v>60</v>
      </c>
      <c r="B37" s="2" t="s">
        <v>137</v>
      </c>
      <c r="C37" s="2" t="s">
        <v>989</v>
      </c>
      <c r="D37" s="2" t="s">
        <v>930</v>
      </c>
      <c r="E37" s="2" t="s">
        <v>924</v>
      </c>
      <c r="F37" s="2" t="s">
        <v>920</v>
      </c>
      <c r="G37" s="2" t="s">
        <v>921</v>
      </c>
      <c r="H37" s="5">
        <v>94.1</v>
      </c>
      <c r="I37" s="2">
        <v>600</v>
      </c>
      <c r="J37" s="2">
        <v>370</v>
      </c>
      <c r="K37" s="2">
        <v>970</v>
      </c>
      <c r="L37" s="2" t="str">
        <f t="shared" si="0"/>
        <v>Yes</v>
      </c>
    </row>
    <row r="38" spans="1:12" x14ac:dyDescent="0.3">
      <c r="A38" s="2" t="s">
        <v>60</v>
      </c>
      <c r="B38" s="2" t="s">
        <v>139</v>
      </c>
      <c r="C38" s="2" t="s">
        <v>990</v>
      </c>
      <c r="D38" s="2" t="s">
        <v>965</v>
      </c>
      <c r="E38" s="2" t="s">
        <v>924</v>
      </c>
      <c r="F38" s="2" t="s">
        <v>966</v>
      </c>
      <c r="G38" s="2" t="s">
        <v>958</v>
      </c>
      <c r="H38" s="5">
        <v>94.6</v>
      </c>
      <c r="I38" s="2">
        <v>450</v>
      </c>
      <c r="J38" s="2">
        <v>410</v>
      </c>
      <c r="K38" s="2">
        <v>860</v>
      </c>
      <c r="L38" s="2" t="str">
        <f t="shared" si="0"/>
        <v>No</v>
      </c>
    </row>
    <row r="39" spans="1:12" x14ac:dyDescent="0.3">
      <c r="A39" s="2" t="s">
        <v>60</v>
      </c>
      <c r="B39" s="2" t="s">
        <v>141</v>
      </c>
      <c r="C39" s="2" t="s">
        <v>991</v>
      </c>
      <c r="D39" s="2" t="s">
        <v>918</v>
      </c>
      <c r="E39" s="2" t="s">
        <v>919</v>
      </c>
      <c r="F39" s="2" t="s">
        <v>931</v>
      </c>
      <c r="G39" s="2" t="s">
        <v>921</v>
      </c>
      <c r="H39" s="5">
        <v>98.1</v>
      </c>
      <c r="I39" s="2">
        <v>620</v>
      </c>
      <c r="J39" s="2">
        <v>480</v>
      </c>
      <c r="K39" s="2">
        <v>1100</v>
      </c>
      <c r="L39" s="2" t="str">
        <f t="shared" si="0"/>
        <v>Yes</v>
      </c>
    </row>
    <row r="40" spans="1:12" x14ac:dyDescent="0.3">
      <c r="A40" s="2" t="s">
        <v>60</v>
      </c>
      <c r="B40" s="2" t="s">
        <v>143</v>
      </c>
      <c r="C40" s="2" t="s">
        <v>992</v>
      </c>
      <c r="D40" s="2" t="s">
        <v>965</v>
      </c>
      <c r="E40" s="2" t="s">
        <v>924</v>
      </c>
      <c r="F40" s="2" t="s">
        <v>966</v>
      </c>
      <c r="G40" s="2" t="s">
        <v>958</v>
      </c>
      <c r="H40" s="5">
        <v>99.5</v>
      </c>
      <c r="I40" s="2">
        <v>770</v>
      </c>
      <c r="J40" s="2">
        <v>570</v>
      </c>
      <c r="K40" s="2">
        <v>1340</v>
      </c>
      <c r="L40" s="2" t="str">
        <f t="shared" si="0"/>
        <v>No</v>
      </c>
    </row>
    <row r="41" spans="1:12" x14ac:dyDescent="0.3">
      <c r="A41" s="2" t="s">
        <v>60</v>
      </c>
      <c r="B41" s="2" t="s">
        <v>145</v>
      </c>
      <c r="C41" s="2" t="s">
        <v>993</v>
      </c>
      <c r="D41" s="2" t="s">
        <v>965</v>
      </c>
      <c r="E41" s="2" t="s">
        <v>924</v>
      </c>
      <c r="F41" s="2" t="s">
        <v>966</v>
      </c>
      <c r="G41" s="2" t="s">
        <v>958</v>
      </c>
      <c r="H41" s="5">
        <v>80.400000000000006</v>
      </c>
      <c r="I41" s="2">
        <v>390</v>
      </c>
      <c r="J41" s="2">
        <v>360</v>
      </c>
      <c r="K41" s="2">
        <v>750</v>
      </c>
      <c r="L41" s="2" t="str">
        <f t="shared" si="0"/>
        <v>No</v>
      </c>
    </row>
    <row r="42" spans="1:12" x14ac:dyDescent="0.3">
      <c r="A42" s="2" t="s">
        <v>60</v>
      </c>
      <c r="B42" s="2" t="s">
        <v>147</v>
      </c>
      <c r="C42" s="2" t="s">
        <v>994</v>
      </c>
      <c r="D42" s="2" t="s">
        <v>918</v>
      </c>
      <c r="E42" s="2" t="s">
        <v>919</v>
      </c>
      <c r="F42" s="2" t="s">
        <v>925</v>
      </c>
      <c r="G42" s="2" t="s">
        <v>933</v>
      </c>
      <c r="H42" s="5">
        <v>90.1</v>
      </c>
      <c r="I42" s="2">
        <v>560</v>
      </c>
      <c r="J42" s="2">
        <v>380</v>
      </c>
      <c r="K42" s="2">
        <v>940</v>
      </c>
      <c r="L42" s="2" t="str">
        <f t="shared" si="0"/>
        <v>Yes</v>
      </c>
    </row>
    <row r="43" spans="1:12" x14ac:dyDescent="0.3">
      <c r="A43" s="2" t="s">
        <v>60</v>
      </c>
      <c r="B43" s="2" t="s">
        <v>149</v>
      </c>
      <c r="C43" s="2" t="s">
        <v>995</v>
      </c>
      <c r="D43" s="2" t="s">
        <v>965</v>
      </c>
      <c r="E43" s="2" t="s">
        <v>924</v>
      </c>
      <c r="F43" s="2" t="s">
        <v>966</v>
      </c>
      <c r="G43" s="2" t="s">
        <v>958</v>
      </c>
      <c r="H43" s="5">
        <v>89.3</v>
      </c>
      <c r="I43" s="2">
        <v>520</v>
      </c>
      <c r="J43" s="2">
        <v>390</v>
      </c>
      <c r="K43" s="2">
        <v>910</v>
      </c>
      <c r="L43" s="2" t="str">
        <f t="shared" si="0"/>
        <v>No</v>
      </c>
    </row>
    <row r="44" spans="1:12" x14ac:dyDescent="0.3">
      <c r="A44" s="2" t="s">
        <v>60</v>
      </c>
      <c r="B44" s="2" t="s">
        <v>151</v>
      </c>
      <c r="C44" s="2" t="s">
        <v>996</v>
      </c>
      <c r="D44" s="2" t="s">
        <v>949</v>
      </c>
      <c r="E44" s="2" t="s">
        <v>919</v>
      </c>
      <c r="F44" s="2" t="s">
        <v>963</v>
      </c>
      <c r="G44" s="2" t="s">
        <v>933</v>
      </c>
      <c r="H44" s="5">
        <v>81.900000000000006</v>
      </c>
      <c r="I44" s="2">
        <v>580</v>
      </c>
      <c r="J44" s="2">
        <v>490</v>
      </c>
      <c r="K44" s="2">
        <v>1070</v>
      </c>
      <c r="L44" s="2" t="str">
        <f t="shared" si="0"/>
        <v>No</v>
      </c>
    </row>
    <row r="45" spans="1:12" x14ac:dyDescent="0.3">
      <c r="A45" s="2" t="s">
        <v>60</v>
      </c>
      <c r="B45" s="2" t="s">
        <v>153</v>
      </c>
      <c r="C45" s="2" t="s">
        <v>997</v>
      </c>
      <c r="D45" s="2" t="s">
        <v>930</v>
      </c>
      <c r="E45" s="2" t="s">
        <v>924</v>
      </c>
      <c r="F45" s="2" t="s">
        <v>955</v>
      </c>
      <c r="G45" s="2" t="s">
        <v>921</v>
      </c>
      <c r="H45" s="5">
        <v>85.9</v>
      </c>
      <c r="I45" s="2">
        <v>500</v>
      </c>
      <c r="J45" s="2">
        <v>490</v>
      </c>
      <c r="K45" s="2">
        <v>990</v>
      </c>
      <c r="L45" s="2" t="str">
        <f t="shared" si="0"/>
        <v>Yes</v>
      </c>
    </row>
    <row r="46" spans="1:12" x14ac:dyDescent="0.3">
      <c r="A46" s="2" t="s">
        <v>60</v>
      </c>
      <c r="B46" s="2" t="s">
        <v>155</v>
      </c>
      <c r="C46" s="2" t="s">
        <v>998</v>
      </c>
      <c r="D46" s="2" t="s">
        <v>918</v>
      </c>
      <c r="E46" s="2" t="s">
        <v>919</v>
      </c>
      <c r="F46" s="2" t="s">
        <v>999</v>
      </c>
      <c r="G46" s="2" t="s">
        <v>958</v>
      </c>
      <c r="H46" s="5">
        <v>88.4</v>
      </c>
      <c r="I46" s="2">
        <v>590</v>
      </c>
      <c r="J46" s="2">
        <v>470</v>
      </c>
      <c r="K46" s="2">
        <v>1060</v>
      </c>
      <c r="L46" s="2" t="str">
        <f t="shared" si="0"/>
        <v>Yes</v>
      </c>
    </row>
    <row r="47" spans="1:12" x14ac:dyDescent="0.3">
      <c r="A47" s="2" t="s">
        <v>60</v>
      </c>
      <c r="B47" s="2" t="s">
        <v>157</v>
      </c>
      <c r="C47" s="2" t="s">
        <v>1000</v>
      </c>
      <c r="D47" s="2" t="s">
        <v>918</v>
      </c>
      <c r="E47" s="2" t="s">
        <v>919</v>
      </c>
      <c r="F47" s="2" t="s">
        <v>925</v>
      </c>
      <c r="G47" s="2" t="s">
        <v>933</v>
      </c>
      <c r="H47" s="5">
        <v>94.3</v>
      </c>
      <c r="I47" s="2">
        <v>490</v>
      </c>
      <c r="J47" s="2">
        <v>340</v>
      </c>
      <c r="K47" s="2">
        <v>830</v>
      </c>
      <c r="L47" s="2" t="str">
        <f t="shared" si="0"/>
        <v>Yes</v>
      </c>
    </row>
    <row r="48" spans="1:12" x14ac:dyDescent="0.3">
      <c r="A48" s="2" t="s">
        <v>60</v>
      </c>
      <c r="B48" s="2" t="s">
        <v>159</v>
      </c>
      <c r="C48" s="2" t="s">
        <v>1001</v>
      </c>
      <c r="D48" s="2" t="s">
        <v>918</v>
      </c>
      <c r="E48" s="2" t="s">
        <v>919</v>
      </c>
      <c r="F48" s="2" t="s">
        <v>928</v>
      </c>
      <c r="G48" s="2" t="s">
        <v>921</v>
      </c>
      <c r="H48" s="5">
        <v>93.3</v>
      </c>
      <c r="I48" s="2">
        <v>480</v>
      </c>
      <c r="J48" s="2">
        <v>430</v>
      </c>
      <c r="K48" s="2">
        <v>910</v>
      </c>
      <c r="L48" s="2" t="str">
        <f t="shared" si="0"/>
        <v>Yes</v>
      </c>
    </row>
    <row r="49" spans="1:12" x14ac:dyDescent="0.3">
      <c r="A49" s="2" t="s">
        <v>60</v>
      </c>
      <c r="B49" s="2" t="s">
        <v>161</v>
      </c>
      <c r="C49" s="2" t="s">
        <v>1002</v>
      </c>
      <c r="D49" s="2" t="s">
        <v>923</v>
      </c>
      <c r="E49" s="2" t="s">
        <v>924</v>
      </c>
      <c r="F49" s="2" t="s">
        <v>1003</v>
      </c>
      <c r="G49" s="2" t="s">
        <v>926</v>
      </c>
      <c r="H49" s="5">
        <v>83.1</v>
      </c>
      <c r="I49" s="2">
        <v>380</v>
      </c>
      <c r="J49" s="2">
        <v>430</v>
      </c>
      <c r="K49" s="2">
        <v>810</v>
      </c>
      <c r="L49" s="2" t="str">
        <f t="shared" si="0"/>
        <v>No</v>
      </c>
    </row>
    <row r="50" spans="1:12" x14ac:dyDescent="0.3">
      <c r="A50" s="2" t="s">
        <v>60</v>
      </c>
      <c r="B50" s="2" t="s">
        <v>163</v>
      </c>
      <c r="C50" s="2" t="s">
        <v>1004</v>
      </c>
      <c r="D50" s="2" t="s">
        <v>960</v>
      </c>
      <c r="E50" s="2" t="s">
        <v>919</v>
      </c>
      <c r="F50" s="2" t="s">
        <v>1005</v>
      </c>
      <c r="G50" s="2" t="s">
        <v>921</v>
      </c>
      <c r="H50" s="5">
        <v>90.6</v>
      </c>
      <c r="I50" s="2">
        <v>530</v>
      </c>
      <c r="J50" s="2">
        <v>350</v>
      </c>
      <c r="K50" s="2">
        <v>880</v>
      </c>
      <c r="L50" s="2" t="str">
        <f t="shared" si="0"/>
        <v>Yes</v>
      </c>
    </row>
    <row r="51" spans="1:12" x14ac:dyDescent="0.3">
      <c r="A51" s="2" t="s">
        <v>60</v>
      </c>
      <c r="B51" s="2" t="s">
        <v>165</v>
      </c>
      <c r="C51" s="2" t="s">
        <v>1006</v>
      </c>
      <c r="D51" s="2" t="s">
        <v>923</v>
      </c>
      <c r="E51" s="2" t="s">
        <v>924</v>
      </c>
      <c r="F51" s="2" t="s">
        <v>1007</v>
      </c>
      <c r="G51" s="2" t="s">
        <v>933</v>
      </c>
      <c r="H51" s="5">
        <v>93.9</v>
      </c>
      <c r="I51" s="2">
        <v>530</v>
      </c>
      <c r="J51" s="2">
        <v>420</v>
      </c>
      <c r="K51" s="2">
        <v>950</v>
      </c>
      <c r="L51" s="2" t="str">
        <f t="shared" si="0"/>
        <v>Yes</v>
      </c>
    </row>
    <row r="52" spans="1:12" x14ac:dyDescent="0.3">
      <c r="A52" s="2" t="s">
        <v>60</v>
      </c>
      <c r="B52" s="2" t="s">
        <v>167</v>
      </c>
      <c r="C52" s="2" t="s">
        <v>1008</v>
      </c>
      <c r="D52" s="2" t="s">
        <v>1009</v>
      </c>
      <c r="E52" s="2" t="s">
        <v>1010</v>
      </c>
      <c r="F52" s="2" t="s">
        <v>950</v>
      </c>
      <c r="G52" s="2" t="s">
        <v>953</v>
      </c>
      <c r="H52" s="5">
        <v>90.6</v>
      </c>
      <c r="I52" s="2">
        <v>520</v>
      </c>
      <c r="J52" s="2">
        <v>410</v>
      </c>
      <c r="K52" s="2">
        <v>930</v>
      </c>
      <c r="L52" s="2" t="str">
        <f t="shared" si="0"/>
        <v>Yes</v>
      </c>
    </row>
    <row r="53" spans="1:12" x14ac:dyDescent="0.3">
      <c r="A53" s="2" t="s">
        <v>60</v>
      </c>
      <c r="B53" s="2" t="s">
        <v>169</v>
      </c>
      <c r="C53" s="2" t="s">
        <v>1011</v>
      </c>
      <c r="D53" s="2" t="s">
        <v>949</v>
      </c>
      <c r="E53" s="2" t="s">
        <v>919</v>
      </c>
      <c r="F53" s="2" t="s">
        <v>950</v>
      </c>
      <c r="G53" s="2" t="s">
        <v>921</v>
      </c>
      <c r="H53" s="5">
        <v>95.6</v>
      </c>
      <c r="I53" s="2">
        <v>480</v>
      </c>
      <c r="J53" s="2">
        <v>350</v>
      </c>
      <c r="K53" s="2">
        <v>830</v>
      </c>
      <c r="L53" s="2" t="str">
        <f t="shared" si="0"/>
        <v>Yes</v>
      </c>
    </row>
    <row r="54" spans="1:12" x14ac:dyDescent="0.3">
      <c r="A54" s="2" t="s">
        <v>60</v>
      </c>
      <c r="B54" s="2" t="s">
        <v>171</v>
      </c>
      <c r="C54" s="2" t="s">
        <v>1012</v>
      </c>
      <c r="D54" s="2" t="s">
        <v>930</v>
      </c>
      <c r="E54" s="2" t="s">
        <v>924</v>
      </c>
      <c r="F54" s="2" t="s">
        <v>945</v>
      </c>
      <c r="G54" s="2" t="s">
        <v>933</v>
      </c>
      <c r="H54" s="5">
        <v>90.5</v>
      </c>
      <c r="I54" s="2">
        <v>500</v>
      </c>
      <c r="J54" s="2">
        <v>480</v>
      </c>
      <c r="K54" s="2">
        <v>980</v>
      </c>
      <c r="L54" s="2" t="str">
        <f t="shared" si="0"/>
        <v>Yes</v>
      </c>
    </row>
    <row r="55" spans="1:12" x14ac:dyDescent="0.3">
      <c r="A55" s="2" t="s">
        <v>60</v>
      </c>
      <c r="B55" s="2" t="s">
        <v>173</v>
      </c>
      <c r="C55" s="2" t="s">
        <v>1013</v>
      </c>
      <c r="D55" s="2" t="s">
        <v>923</v>
      </c>
      <c r="E55" s="2" t="s">
        <v>924</v>
      </c>
      <c r="F55" s="2" t="s">
        <v>1007</v>
      </c>
      <c r="G55" s="2" t="s">
        <v>933</v>
      </c>
      <c r="H55" s="5">
        <v>99.4</v>
      </c>
      <c r="I55" s="2">
        <v>530</v>
      </c>
      <c r="J55" s="2">
        <v>450</v>
      </c>
      <c r="K55" s="2">
        <v>980</v>
      </c>
      <c r="L55" s="2" t="str">
        <f t="shared" si="0"/>
        <v>Yes</v>
      </c>
    </row>
    <row r="56" spans="1:12" x14ac:dyDescent="0.3">
      <c r="A56" s="2" t="s">
        <v>60</v>
      </c>
      <c r="B56" s="2" t="s">
        <v>175</v>
      </c>
      <c r="C56" s="2" t="s">
        <v>1014</v>
      </c>
      <c r="D56" s="2" t="s">
        <v>1015</v>
      </c>
      <c r="E56" s="2" t="s">
        <v>919</v>
      </c>
      <c r="F56" s="2" t="s">
        <v>936</v>
      </c>
      <c r="G56" s="2" t="s">
        <v>921</v>
      </c>
      <c r="H56" s="5">
        <v>88.3</v>
      </c>
      <c r="I56" s="2">
        <v>640</v>
      </c>
      <c r="J56" s="2">
        <v>560</v>
      </c>
      <c r="K56" s="2">
        <v>1200</v>
      </c>
      <c r="L56" s="2" t="str">
        <f t="shared" si="0"/>
        <v>Yes</v>
      </c>
    </row>
    <row r="57" spans="1:12" x14ac:dyDescent="0.3">
      <c r="A57" s="2" t="s">
        <v>60</v>
      </c>
      <c r="B57" s="2" t="s">
        <v>177</v>
      </c>
      <c r="C57" s="2" t="s">
        <v>1016</v>
      </c>
      <c r="D57" s="2" t="s">
        <v>923</v>
      </c>
      <c r="E57" s="2" t="s">
        <v>924</v>
      </c>
      <c r="F57" s="2" t="s">
        <v>1007</v>
      </c>
      <c r="G57" s="2" t="s">
        <v>933</v>
      </c>
      <c r="H57" s="5">
        <v>90.4</v>
      </c>
      <c r="I57" s="2">
        <v>520</v>
      </c>
      <c r="J57" s="2">
        <v>380</v>
      </c>
      <c r="K57" s="2">
        <v>900</v>
      </c>
      <c r="L57" s="2" t="str">
        <f t="shared" si="0"/>
        <v>Yes</v>
      </c>
    </row>
    <row r="58" spans="1:12" x14ac:dyDescent="0.3">
      <c r="A58" s="2" t="s">
        <v>60</v>
      </c>
      <c r="B58" s="2" t="s">
        <v>179</v>
      </c>
      <c r="C58" s="2" t="s">
        <v>1017</v>
      </c>
      <c r="D58" s="2" t="s">
        <v>918</v>
      </c>
      <c r="E58" s="2" t="s">
        <v>924</v>
      </c>
      <c r="F58" s="2" t="s">
        <v>920</v>
      </c>
      <c r="G58" s="2" t="s">
        <v>921</v>
      </c>
      <c r="H58" s="5">
        <v>96.8</v>
      </c>
      <c r="I58" s="2">
        <v>610</v>
      </c>
      <c r="J58" s="2">
        <v>470</v>
      </c>
      <c r="K58" s="2">
        <v>1080</v>
      </c>
      <c r="L58" s="2" t="str">
        <f t="shared" si="0"/>
        <v>Yes</v>
      </c>
    </row>
    <row r="59" spans="1:12" x14ac:dyDescent="0.3">
      <c r="A59" s="2" t="s">
        <v>60</v>
      </c>
      <c r="B59" s="2" t="s">
        <v>181</v>
      </c>
      <c r="C59" s="2" t="s">
        <v>1018</v>
      </c>
      <c r="D59" s="2" t="s">
        <v>923</v>
      </c>
      <c r="E59" s="2" t="s">
        <v>924</v>
      </c>
      <c r="F59" s="2" t="s">
        <v>1007</v>
      </c>
      <c r="G59" s="2" t="s">
        <v>933</v>
      </c>
      <c r="H59" s="5">
        <v>96.5</v>
      </c>
      <c r="I59" s="2">
        <v>530</v>
      </c>
      <c r="J59" s="2">
        <v>460</v>
      </c>
      <c r="K59" s="2">
        <v>990</v>
      </c>
      <c r="L59" s="2" t="str">
        <f t="shared" si="0"/>
        <v>Yes</v>
      </c>
    </row>
    <row r="60" spans="1:12" x14ac:dyDescent="0.3">
      <c r="A60" s="2" t="s">
        <v>60</v>
      </c>
      <c r="B60" s="2" t="s">
        <v>183</v>
      </c>
      <c r="C60" s="2" t="s">
        <v>1019</v>
      </c>
      <c r="D60" s="2" t="s">
        <v>1020</v>
      </c>
      <c r="E60" s="2" t="s">
        <v>919</v>
      </c>
      <c r="F60" s="2" t="s">
        <v>1021</v>
      </c>
      <c r="G60" s="2" t="s">
        <v>933</v>
      </c>
      <c r="H60" s="5">
        <v>84.3</v>
      </c>
      <c r="I60" s="2">
        <v>430</v>
      </c>
      <c r="J60" s="2">
        <v>340</v>
      </c>
      <c r="K60" s="2">
        <v>770</v>
      </c>
      <c r="L60" s="2" t="str">
        <f t="shared" si="0"/>
        <v>No</v>
      </c>
    </row>
    <row r="61" spans="1:12" x14ac:dyDescent="0.3">
      <c r="A61" s="2" t="s">
        <v>185</v>
      </c>
      <c r="B61" s="2" t="s">
        <v>186</v>
      </c>
      <c r="C61" s="2" t="s">
        <v>1022</v>
      </c>
      <c r="D61" s="2" t="s">
        <v>1023</v>
      </c>
      <c r="E61" s="2" t="s">
        <v>919</v>
      </c>
      <c r="F61" s="2" t="s">
        <v>945</v>
      </c>
      <c r="G61" s="2" t="s">
        <v>921</v>
      </c>
      <c r="H61" s="5">
        <v>97.9</v>
      </c>
      <c r="I61" s="2">
        <v>750</v>
      </c>
      <c r="J61" s="2">
        <v>570</v>
      </c>
      <c r="K61" s="2">
        <v>1320</v>
      </c>
      <c r="L61" s="2" t="str">
        <f t="shared" si="0"/>
        <v>Yes</v>
      </c>
    </row>
    <row r="62" spans="1:12" x14ac:dyDescent="0.3">
      <c r="A62" s="2" t="s">
        <v>185</v>
      </c>
      <c r="B62" s="2" t="s">
        <v>190</v>
      </c>
      <c r="C62" s="2" t="s">
        <v>1024</v>
      </c>
      <c r="D62" s="2" t="s">
        <v>923</v>
      </c>
      <c r="E62" s="2"/>
      <c r="F62" s="2" t="s">
        <v>1025</v>
      </c>
      <c r="G62" s="2" t="s">
        <v>1026</v>
      </c>
      <c r="H62" s="5">
        <v>94</v>
      </c>
      <c r="I62" s="2">
        <v>700</v>
      </c>
      <c r="J62" s="2">
        <v>480</v>
      </c>
      <c r="K62" s="2">
        <v>1180</v>
      </c>
      <c r="L62" s="2" t="str">
        <f t="shared" si="0"/>
        <v>Yes</v>
      </c>
    </row>
    <row r="63" spans="1:12" x14ac:dyDescent="0.3">
      <c r="A63" s="2" t="s">
        <v>185</v>
      </c>
      <c r="B63" s="2" t="s">
        <v>192</v>
      </c>
      <c r="C63" s="2" t="s">
        <v>1027</v>
      </c>
      <c r="D63" s="2" t="s">
        <v>923</v>
      </c>
      <c r="E63" s="2" t="s">
        <v>924</v>
      </c>
      <c r="F63" s="2" t="s">
        <v>1025</v>
      </c>
      <c r="G63" s="2" t="s">
        <v>1026</v>
      </c>
      <c r="H63" s="5">
        <v>76.099999999999994</v>
      </c>
      <c r="I63" s="2">
        <v>420</v>
      </c>
      <c r="J63" s="2">
        <v>360</v>
      </c>
      <c r="K63" s="2">
        <v>780</v>
      </c>
      <c r="L63" s="2" t="str">
        <f t="shared" si="0"/>
        <v>Yes</v>
      </c>
    </row>
    <row r="64" spans="1:12" x14ac:dyDescent="0.3">
      <c r="A64" s="2" t="s">
        <v>185</v>
      </c>
      <c r="B64" s="2" t="s">
        <v>194</v>
      </c>
      <c r="C64" s="2" t="s">
        <v>1028</v>
      </c>
      <c r="D64" s="2" t="s">
        <v>1029</v>
      </c>
      <c r="E64" s="2" t="s">
        <v>919</v>
      </c>
      <c r="F64" s="2" t="s">
        <v>1025</v>
      </c>
      <c r="G64" s="2" t="s">
        <v>921</v>
      </c>
      <c r="H64" s="5">
        <v>93.5</v>
      </c>
      <c r="I64" s="2"/>
      <c r="J64" s="2"/>
      <c r="K64" s="2"/>
      <c r="L64" s="2" t="str">
        <f t="shared" si="0"/>
        <v>Yes</v>
      </c>
    </row>
    <row r="65" spans="1:12" x14ac:dyDescent="0.3">
      <c r="A65" s="2" t="s">
        <v>185</v>
      </c>
      <c r="B65" s="2" t="s">
        <v>196</v>
      </c>
      <c r="C65" s="2" t="s">
        <v>1030</v>
      </c>
      <c r="D65" s="2" t="s">
        <v>1029</v>
      </c>
      <c r="E65" s="2" t="s">
        <v>919</v>
      </c>
      <c r="F65" s="2" t="s">
        <v>1025</v>
      </c>
      <c r="G65" s="2" t="s">
        <v>921</v>
      </c>
      <c r="H65" s="5">
        <v>96.4</v>
      </c>
      <c r="I65" s="2">
        <v>560</v>
      </c>
      <c r="J65" s="2">
        <v>410</v>
      </c>
      <c r="K65" s="2">
        <v>970</v>
      </c>
      <c r="L65" s="2" t="str">
        <f t="shared" si="0"/>
        <v>Yes</v>
      </c>
    </row>
    <row r="66" spans="1:12" x14ac:dyDescent="0.3">
      <c r="A66" s="2" t="s">
        <v>185</v>
      </c>
      <c r="B66" s="2" t="s">
        <v>198</v>
      </c>
      <c r="C66" s="2" t="s">
        <v>1031</v>
      </c>
      <c r="D66" s="2" t="s">
        <v>1032</v>
      </c>
      <c r="E66" s="2" t="s">
        <v>919</v>
      </c>
      <c r="F66" s="2" t="s">
        <v>945</v>
      </c>
      <c r="G66" s="2" t="s">
        <v>921</v>
      </c>
      <c r="H66" s="5">
        <v>97.3</v>
      </c>
      <c r="I66" s="2">
        <v>630</v>
      </c>
      <c r="J66" s="2">
        <v>570</v>
      </c>
      <c r="K66" s="2">
        <v>1200</v>
      </c>
      <c r="L66" s="2" t="str">
        <f t="shared" ref="L66:L129" si="1">IF(F66="","",IF(OR(ISNUMBER(SEARCH("Engineering",F66)),ISNUMBER(SEARCH("Computer",F66)),ISNUMBER(SEARCH("Science",F66)),ISNUMBER(SEARCH("Math",F66)),ISNUMBER(SEARCH("Medicine",F66)),ISNUMBER(SEARCH("Technology",F66))),"Yes","No"))</f>
        <v>Yes</v>
      </c>
    </row>
    <row r="67" spans="1:12" x14ac:dyDescent="0.3">
      <c r="A67" s="2" t="s">
        <v>185</v>
      </c>
      <c r="B67" s="2" t="s">
        <v>200</v>
      </c>
      <c r="C67" s="2" t="s">
        <v>1033</v>
      </c>
      <c r="D67" s="2" t="s">
        <v>930</v>
      </c>
      <c r="E67" s="2" t="s">
        <v>924</v>
      </c>
      <c r="F67" s="2" t="s">
        <v>931</v>
      </c>
      <c r="G67" s="2" t="s">
        <v>921</v>
      </c>
      <c r="H67" s="5">
        <v>92.4</v>
      </c>
      <c r="I67" s="2">
        <v>530</v>
      </c>
      <c r="J67" s="2">
        <v>450</v>
      </c>
      <c r="K67" s="2">
        <v>980</v>
      </c>
      <c r="L67" s="2" t="str">
        <f t="shared" si="1"/>
        <v>Yes</v>
      </c>
    </row>
    <row r="68" spans="1:12" x14ac:dyDescent="0.3">
      <c r="A68" s="2" t="s">
        <v>185</v>
      </c>
      <c r="B68" s="2" t="s">
        <v>202</v>
      </c>
      <c r="C68" s="2" t="s">
        <v>1034</v>
      </c>
      <c r="D68" s="2" t="s">
        <v>1035</v>
      </c>
      <c r="E68" s="2" t="s">
        <v>1036</v>
      </c>
      <c r="F68" s="2" t="s">
        <v>963</v>
      </c>
      <c r="G68" s="2" t="s">
        <v>1037</v>
      </c>
      <c r="H68" s="5">
        <v>94.6</v>
      </c>
      <c r="I68" s="2">
        <v>630</v>
      </c>
      <c r="J68" s="2">
        <v>440</v>
      </c>
      <c r="K68" s="2">
        <v>1070</v>
      </c>
      <c r="L68" s="2" t="str">
        <f t="shared" si="1"/>
        <v>No</v>
      </c>
    </row>
    <row r="69" spans="1:12" x14ac:dyDescent="0.3">
      <c r="A69" s="2" t="s">
        <v>185</v>
      </c>
      <c r="B69" s="2" t="s">
        <v>204</v>
      </c>
      <c r="C69" s="2" t="s">
        <v>1038</v>
      </c>
      <c r="D69" s="2" t="s">
        <v>1029</v>
      </c>
      <c r="E69" s="2" t="s">
        <v>919</v>
      </c>
      <c r="F69" s="2" t="s">
        <v>1025</v>
      </c>
      <c r="G69" s="2" t="s">
        <v>921</v>
      </c>
      <c r="H69" s="5">
        <v>92.8</v>
      </c>
      <c r="I69" s="2">
        <v>480</v>
      </c>
      <c r="J69" s="2">
        <v>370</v>
      </c>
      <c r="K69" s="2">
        <v>850</v>
      </c>
      <c r="L69" s="2" t="str">
        <f t="shared" si="1"/>
        <v>Yes</v>
      </c>
    </row>
    <row r="70" spans="1:12" x14ac:dyDescent="0.3">
      <c r="A70" s="2" t="s">
        <v>185</v>
      </c>
      <c r="B70" s="2" t="s">
        <v>206</v>
      </c>
      <c r="C70" s="2" t="s">
        <v>1039</v>
      </c>
      <c r="D70" s="2" t="s">
        <v>1040</v>
      </c>
      <c r="E70" s="2" t="s">
        <v>919</v>
      </c>
      <c r="F70" s="2" t="s">
        <v>1025</v>
      </c>
      <c r="G70" s="2" t="s">
        <v>921</v>
      </c>
      <c r="H70" s="5">
        <v>98.4</v>
      </c>
      <c r="I70" s="2">
        <v>690</v>
      </c>
      <c r="J70" s="2">
        <v>520</v>
      </c>
      <c r="K70" s="2">
        <v>1210</v>
      </c>
      <c r="L70" s="2" t="str">
        <f t="shared" si="1"/>
        <v>Yes</v>
      </c>
    </row>
    <row r="71" spans="1:12" x14ac:dyDescent="0.3">
      <c r="A71" s="2" t="s">
        <v>185</v>
      </c>
      <c r="B71" s="2" t="s">
        <v>208</v>
      </c>
      <c r="C71" s="2" t="s">
        <v>1041</v>
      </c>
      <c r="D71" s="2" t="s">
        <v>1042</v>
      </c>
      <c r="E71" s="2" t="s">
        <v>924</v>
      </c>
      <c r="F71" s="2" t="s">
        <v>978</v>
      </c>
      <c r="G71" s="2" t="s">
        <v>933</v>
      </c>
      <c r="H71" s="5">
        <v>89.3</v>
      </c>
      <c r="I71" s="2">
        <v>540</v>
      </c>
      <c r="J71" s="2">
        <v>410</v>
      </c>
      <c r="K71" s="2">
        <v>950</v>
      </c>
      <c r="L71" s="2" t="str">
        <f t="shared" si="1"/>
        <v>Yes</v>
      </c>
    </row>
    <row r="72" spans="1:12" x14ac:dyDescent="0.3">
      <c r="A72" s="2" t="s">
        <v>185</v>
      </c>
      <c r="B72" s="2" t="s">
        <v>210</v>
      </c>
      <c r="C72" s="2" t="s">
        <v>1043</v>
      </c>
      <c r="D72" s="2" t="s">
        <v>923</v>
      </c>
      <c r="E72" s="2" t="s">
        <v>924</v>
      </c>
      <c r="F72" s="2" t="s">
        <v>928</v>
      </c>
      <c r="G72" s="2" t="s">
        <v>921</v>
      </c>
      <c r="H72" s="5">
        <v>95.3</v>
      </c>
      <c r="I72" s="2">
        <v>640</v>
      </c>
      <c r="J72" s="2">
        <v>440</v>
      </c>
      <c r="K72" s="2">
        <v>1080</v>
      </c>
      <c r="L72" s="2" t="str">
        <f t="shared" si="1"/>
        <v>Yes</v>
      </c>
    </row>
    <row r="73" spans="1:12" x14ac:dyDescent="0.3">
      <c r="A73" s="2" t="s">
        <v>185</v>
      </c>
      <c r="B73" s="2" t="s">
        <v>212</v>
      </c>
      <c r="C73" s="2" t="s">
        <v>1044</v>
      </c>
      <c r="D73" s="2" t="s">
        <v>965</v>
      </c>
      <c r="E73" s="2" t="s">
        <v>924</v>
      </c>
      <c r="F73" s="2" t="s">
        <v>966</v>
      </c>
      <c r="G73" s="2" t="s">
        <v>953</v>
      </c>
      <c r="H73" s="5">
        <v>82.4</v>
      </c>
      <c r="I73" s="2">
        <v>450</v>
      </c>
      <c r="J73" s="2">
        <v>380</v>
      </c>
      <c r="K73" s="2">
        <v>830</v>
      </c>
      <c r="L73" s="2" t="str">
        <f t="shared" si="1"/>
        <v>No</v>
      </c>
    </row>
    <row r="74" spans="1:12" x14ac:dyDescent="0.3">
      <c r="A74" s="2" t="s">
        <v>185</v>
      </c>
      <c r="B74" s="2" t="s">
        <v>214</v>
      </c>
      <c r="C74" s="2" t="s">
        <v>1045</v>
      </c>
      <c r="D74" s="2" t="s">
        <v>1046</v>
      </c>
      <c r="E74" s="2" t="s">
        <v>1010</v>
      </c>
      <c r="F74" s="2" t="s">
        <v>968</v>
      </c>
      <c r="G74" s="2" t="s">
        <v>1047</v>
      </c>
      <c r="H74" s="5">
        <v>88.8</v>
      </c>
      <c r="I74" s="2">
        <v>420</v>
      </c>
      <c r="J74" s="2">
        <v>310</v>
      </c>
      <c r="K74" s="2">
        <v>730</v>
      </c>
      <c r="L74" s="2" t="str">
        <f t="shared" si="1"/>
        <v>No</v>
      </c>
    </row>
    <row r="75" spans="1:12" x14ac:dyDescent="0.3">
      <c r="A75" s="2" t="s">
        <v>185</v>
      </c>
      <c r="B75" s="2" t="s">
        <v>216</v>
      </c>
      <c r="C75" s="2" t="s">
        <v>1048</v>
      </c>
      <c r="D75" s="2" t="s">
        <v>1049</v>
      </c>
      <c r="E75" s="2" t="s">
        <v>919</v>
      </c>
      <c r="F75" s="2" t="s">
        <v>950</v>
      </c>
      <c r="G75" s="2" t="s">
        <v>921</v>
      </c>
      <c r="H75" s="5">
        <v>85.4</v>
      </c>
      <c r="I75" s="2">
        <v>580</v>
      </c>
      <c r="J75" s="2">
        <v>390</v>
      </c>
      <c r="K75" s="2">
        <v>970</v>
      </c>
      <c r="L75" s="2" t="str">
        <f t="shared" si="1"/>
        <v>Yes</v>
      </c>
    </row>
    <row r="76" spans="1:12" x14ac:dyDescent="0.3">
      <c r="A76" s="2" t="s">
        <v>185</v>
      </c>
      <c r="B76" s="2" t="s">
        <v>218</v>
      </c>
      <c r="C76" s="2" t="s">
        <v>1050</v>
      </c>
      <c r="D76" s="2" t="s">
        <v>1049</v>
      </c>
      <c r="E76" s="2" t="s">
        <v>919</v>
      </c>
      <c r="F76" s="2" t="s">
        <v>950</v>
      </c>
      <c r="G76" s="2" t="s">
        <v>921</v>
      </c>
      <c r="H76" s="5">
        <v>96.6</v>
      </c>
      <c r="I76" s="2">
        <v>660</v>
      </c>
      <c r="J76" s="2">
        <v>610</v>
      </c>
      <c r="K76" s="2">
        <v>1270</v>
      </c>
      <c r="L76" s="2" t="str">
        <f t="shared" si="1"/>
        <v>Yes</v>
      </c>
    </row>
    <row r="77" spans="1:12" x14ac:dyDescent="0.3">
      <c r="A77" s="2" t="s">
        <v>185</v>
      </c>
      <c r="B77" s="2" t="s">
        <v>220</v>
      </c>
      <c r="C77" s="2" t="s">
        <v>1051</v>
      </c>
      <c r="D77" s="2" t="s">
        <v>1042</v>
      </c>
      <c r="E77" s="2" t="s">
        <v>919</v>
      </c>
      <c r="F77" s="2" t="s">
        <v>1025</v>
      </c>
      <c r="G77" s="2" t="s">
        <v>921</v>
      </c>
      <c r="H77" s="5">
        <v>92.7</v>
      </c>
      <c r="I77" s="2">
        <v>530</v>
      </c>
      <c r="J77" s="2">
        <v>440</v>
      </c>
      <c r="K77" s="2">
        <v>970</v>
      </c>
      <c r="L77" s="2" t="str">
        <f t="shared" si="1"/>
        <v>Yes</v>
      </c>
    </row>
    <row r="78" spans="1:12" x14ac:dyDescent="0.3">
      <c r="A78" s="2" t="s">
        <v>185</v>
      </c>
      <c r="B78" s="2" t="s">
        <v>222</v>
      </c>
      <c r="C78" s="2" t="s">
        <v>1052</v>
      </c>
      <c r="D78" s="2" t="s">
        <v>1053</v>
      </c>
      <c r="E78" s="2" t="s">
        <v>919</v>
      </c>
      <c r="F78" s="2" t="s">
        <v>928</v>
      </c>
      <c r="G78" s="2" t="s">
        <v>921</v>
      </c>
      <c r="H78" s="5">
        <v>89.1</v>
      </c>
      <c r="I78" s="2">
        <v>540</v>
      </c>
      <c r="J78" s="2">
        <v>360</v>
      </c>
      <c r="K78" s="2">
        <v>900</v>
      </c>
      <c r="L78" s="2" t="str">
        <f t="shared" si="1"/>
        <v>Yes</v>
      </c>
    </row>
    <row r="79" spans="1:12" x14ac:dyDescent="0.3">
      <c r="A79" s="2" t="s">
        <v>185</v>
      </c>
      <c r="B79" s="2" t="s">
        <v>224</v>
      </c>
      <c r="C79" s="2" t="s">
        <v>1054</v>
      </c>
      <c r="D79" s="2" t="s">
        <v>930</v>
      </c>
      <c r="E79" s="2" t="s">
        <v>919</v>
      </c>
      <c r="F79" s="2" t="s">
        <v>1025</v>
      </c>
      <c r="G79" s="2" t="s">
        <v>921</v>
      </c>
      <c r="H79" s="5">
        <v>83.2</v>
      </c>
      <c r="I79" s="2">
        <v>530</v>
      </c>
      <c r="J79" s="2">
        <v>360</v>
      </c>
      <c r="K79" s="2">
        <v>890</v>
      </c>
      <c r="L79" s="2" t="str">
        <f t="shared" si="1"/>
        <v>Yes</v>
      </c>
    </row>
    <row r="80" spans="1:12" x14ac:dyDescent="0.3">
      <c r="A80" s="2" t="s">
        <v>185</v>
      </c>
      <c r="B80" s="2" t="s">
        <v>226</v>
      </c>
      <c r="C80" s="2" t="s">
        <v>1055</v>
      </c>
      <c r="D80" s="2" t="s">
        <v>1029</v>
      </c>
      <c r="E80" s="2" t="s">
        <v>919</v>
      </c>
      <c r="F80" s="2" t="s">
        <v>925</v>
      </c>
      <c r="G80" s="2" t="s">
        <v>921</v>
      </c>
      <c r="H80" s="5">
        <v>90.5</v>
      </c>
      <c r="I80" s="2">
        <v>450</v>
      </c>
      <c r="J80" s="2">
        <v>400</v>
      </c>
      <c r="K80" s="2">
        <v>850</v>
      </c>
      <c r="L80" s="2" t="str">
        <f t="shared" si="1"/>
        <v>Yes</v>
      </c>
    </row>
    <row r="81" spans="1:12" x14ac:dyDescent="0.3">
      <c r="A81" s="2" t="s">
        <v>185</v>
      </c>
      <c r="B81" s="2" t="s">
        <v>228</v>
      </c>
      <c r="C81" s="2" t="s">
        <v>1056</v>
      </c>
      <c r="D81" s="2" t="s">
        <v>930</v>
      </c>
      <c r="E81" s="2" t="s">
        <v>924</v>
      </c>
      <c r="F81" s="2" t="s">
        <v>945</v>
      </c>
      <c r="G81" s="2" t="s">
        <v>921</v>
      </c>
      <c r="H81" s="5">
        <v>86.5</v>
      </c>
      <c r="I81" s="2">
        <v>490</v>
      </c>
      <c r="J81" s="2">
        <v>370</v>
      </c>
      <c r="K81" s="2">
        <v>860</v>
      </c>
      <c r="L81" s="2" t="str">
        <f t="shared" si="1"/>
        <v>Yes</v>
      </c>
    </row>
    <row r="82" spans="1:12" x14ac:dyDescent="0.3">
      <c r="A82" s="2" t="s">
        <v>185</v>
      </c>
      <c r="B82" s="2" t="s">
        <v>230</v>
      </c>
      <c r="C82" s="2" t="s">
        <v>1057</v>
      </c>
      <c r="D82" s="2" t="s">
        <v>1053</v>
      </c>
      <c r="E82" s="2" t="s">
        <v>919</v>
      </c>
      <c r="F82" s="2" t="s">
        <v>1025</v>
      </c>
      <c r="G82" s="2" t="s">
        <v>921</v>
      </c>
      <c r="H82" s="5">
        <v>93.8</v>
      </c>
      <c r="I82" s="2">
        <v>490</v>
      </c>
      <c r="J82" s="2">
        <v>370</v>
      </c>
      <c r="K82" s="2">
        <v>860</v>
      </c>
      <c r="L82" s="2" t="str">
        <f t="shared" si="1"/>
        <v>Yes</v>
      </c>
    </row>
    <row r="83" spans="1:12" x14ac:dyDescent="0.3">
      <c r="A83" s="2" t="s">
        <v>185</v>
      </c>
      <c r="B83" s="2" t="s">
        <v>232</v>
      </c>
      <c r="C83" s="2" t="s">
        <v>1058</v>
      </c>
      <c r="D83" s="2" t="s">
        <v>1042</v>
      </c>
      <c r="E83" s="2" t="s">
        <v>919</v>
      </c>
      <c r="F83" s="2" t="s">
        <v>936</v>
      </c>
      <c r="G83" s="2" t="s">
        <v>921</v>
      </c>
      <c r="H83" s="5">
        <v>87.9</v>
      </c>
      <c r="I83" s="2">
        <v>480</v>
      </c>
      <c r="J83" s="2">
        <v>340</v>
      </c>
      <c r="K83" s="2">
        <v>820</v>
      </c>
      <c r="L83" s="2" t="str">
        <f t="shared" si="1"/>
        <v>Yes</v>
      </c>
    </row>
    <row r="84" spans="1:12" x14ac:dyDescent="0.3">
      <c r="A84" s="2" t="s">
        <v>185</v>
      </c>
      <c r="B84" s="2" t="s">
        <v>234</v>
      </c>
      <c r="C84" s="2" t="s">
        <v>1059</v>
      </c>
      <c r="D84" s="2" t="s">
        <v>1060</v>
      </c>
      <c r="E84" s="2" t="s">
        <v>919</v>
      </c>
      <c r="F84" s="2" t="s">
        <v>925</v>
      </c>
      <c r="G84" s="2" t="s">
        <v>921</v>
      </c>
      <c r="H84" s="5">
        <v>96.9</v>
      </c>
      <c r="I84" s="2">
        <v>710</v>
      </c>
      <c r="J84" s="2">
        <v>420</v>
      </c>
      <c r="K84" s="2">
        <v>1130</v>
      </c>
      <c r="L84" s="2" t="str">
        <f t="shared" si="1"/>
        <v>Yes</v>
      </c>
    </row>
    <row r="85" spans="1:12" x14ac:dyDescent="0.3">
      <c r="A85" s="2" t="s">
        <v>185</v>
      </c>
      <c r="B85" s="2" t="s">
        <v>236</v>
      </c>
      <c r="C85" s="2" t="s">
        <v>1061</v>
      </c>
      <c r="D85" s="2" t="s">
        <v>930</v>
      </c>
      <c r="E85" s="2" t="s">
        <v>924</v>
      </c>
      <c r="F85" s="2" t="s">
        <v>931</v>
      </c>
      <c r="G85" s="2" t="s">
        <v>953</v>
      </c>
      <c r="H85" s="5">
        <v>76.8</v>
      </c>
      <c r="I85" s="2">
        <v>490</v>
      </c>
      <c r="J85" s="2">
        <v>370</v>
      </c>
      <c r="K85" s="2">
        <v>860</v>
      </c>
      <c r="L85" s="2" t="str">
        <f t="shared" si="1"/>
        <v>Yes</v>
      </c>
    </row>
    <row r="86" spans="1:12" x14ac:dyDescent="0.3">
      <c r="A86" s="2" t="s">
        <v>185</v>
      </c>
      <c r="B86" s="2" t="s">
        <v>238</v>
      </c>
      <c r="C86" s="2" t="s">
        <v>1062</v>
      </c>
      <c r="D86" s="2" t="s">
        <v>1063</v>
      </c>
      <c r="E86" s="2" t="s">
        <v>924</v>
      </c>
      <c r="F86" s="2" t="s">
        <v>931</v>
      </c>
      <c r="G86" s="2" t="s">
        <v>921</v>
      </c>
      <c r="H86" s="5">
        <v>94.1</v>
      </c>
      <c r="I86" s="2">
        <v>510</v>
      </c>
      <c r="J86" s="2">
        <v>420</v>
      </c>
      <c r="K86" s="2">
        <v>930</v>
      </c>
      <c r="L86" s="2" t="str">
        <f t="shared" si="1"/>
        <v>Yes</v>
      </c>
    </row>
    <row r="87" spans="1:12" x14ac:dyDescent="0.3">
      <c r="A87" s="2" t="s">
        <v>185</v>
      </c>
      <c r="B87" s="2" t="s">
        <v>240</v>
      </c>
      <c r="C87" s="2" t="s">
        <v>1064</v>
      </c>
      <c r="D87" s="2" t="s">
        <v>949</v>
      </c>
      <c r="E87" s="2" t="s">
        <v>919</v>
      </c>
      <c r="F87" s="2" t="s">
        <v>1025</v>
      </c>
      <c r="G87" s="2" t="s">
        <v>921</v>
      </c>
      <c r="H87" s="5">
        <v>90.9</v>
      </c>
      <c r="I87" s="2">
        <v>580</v>
      </c>
      <c r="J87" s="2">
        <v>530</v>
      </c>
      <c r="K87" s="2">
        <v>1110</v>
      </c>
      <c r="L87" s="2" t="str">
        <f t="shared" si="1"/>
        <v>Yes</v>
      </c>
    </row>
    <row r="88" spans="1:12" x14ac:dyDescent="0.3">
      <c r="A88" s="2" t="s">
        <v>185</v>
      </c>
      <c r="B88" s="2" t="s">
        <v>242</v>
      </c>
      <c r="C88" s="2" t="s">
        <v>1065</v>
      </c>
      <c r="D88" s="2" t="s">
        <v>949</v>
      </c>
      <c r="E88" s="2" t="s">
        <v>919</v>
      </c>
      <c r="F88" s="2" t="s">
        <v>936</v>
      </c>
      <c r="G88" s="2" t="s">
        <v>921</v>
      </c>
      <c r="H88" s="5">
        <v>95.9</v>
      </c>
      <c r="I88" s="2">
        <v>620</v>
      </c>
      <c r="J88" s="2">
        <v>630</v>
      </c>
      <c r="K88" s="2">
        <v>1250</v>
      </c>
      <c r="L88" s="2" t="str">
        <f t="shared" si="1"/>
        <v>Yes</v>
      </c>
    </row>
    <row r="89" spans="1:12" x14ac:dyDescent="0.3">
      <c r="A89" s="2" t="s">
        <v>185</v>
      </c>
      <c r="B89" s="2" t="s">
        <v>244</v>
      </c>
      <c r="C89" s="2" t="s">
        <v>1066</v>
      </c>
      <c r="D89" s="2" t="s">
        <v>1040</v>
      </c>
      <c r="E89" s="2" t="s">
        <v>919</v>
      </c>
      <c r="F89" s="2" t="s">
        <v>925</v>
      </c>
      <c r="G89" s="2" t="s">
        <v>921</v>
      </c>
      <c r="H89" s="5">
        <v>96.3</v>
      </c>
      <c r="I89" s="2">
        <v>540</v>
      </c>
      <c r="J89" s="2">
        <v>400</v>
      </c>
      <c r="K89" s="2">
        <v>940</v>
      </c>
      <c r="L89" s="2" t="str">
        <f t="shared" si="1"/>
        <v>Yes</v>
      </c>
    </row>
    <row r="90" spans="1:12" x14ac:dyDescent="0.3">
      <c r="A90" s="2" t="s">
        <v>185</v>
      </c>
      <c r="B90" s="2" t="s">
        <v>246</v>
      </c>
      <c r="C90" s="2" t="s">
        <v>1067</v>
      </c>
      <c r="D90" s="2" t="s">
        <v>923</v>
      </c>
      <c r="E90" s="2" t="s">
        <v>924</v>
      </c>
      <c r="F90" s="2" t="s">
        <v>1068</v>
      </c>
      <c r="G90" s="2" t="s">
        <v>1026</v>
      </c>
      <c r="H90" s="5">
        <v>90.9</v>
      </c>
      <c r="I90" s="2">
        <v>480</v>
      </c>
      <c r="J90" s="2">
        <v>370</v>
      </c>
      <c r="K90" s="2">
        <v>850</v>
      </c>
      <c r="L90" s="2" t="str">
        <f t="shared" si="1"/>
        <v>No</v>
      </c>
    </row>
    <row r="91" spans="1:12" x14ac:dyDescent="0.3">
      <c r="A91" s="2" t="s">
        <v>185</v>
      </c>
      <c r="B91" s="2" t="s">
        <v>248</v>
      </c>
      <c r="C91" s="2" t="s">
        <v>1069</v>
      </c>
      <c r="D91" s="2" t="s">
        <v>1029</v>
      </c>
      <c r="E91" s="2" t="s">
        <v>919</v>
      </c>
      <c r="F91" s="2" t="s">
        <v>1025</v>
      </c>
      <c r="G91" s="2" t="s">
        <v>921</v>
      </c>
      <c r="H91" s="5">
        <v>95.1</v>
      </c>
      <c r="I91" s="2">
        <v>660</v>
      </c>
      <c r="J91" s="2">
        <v>560</v>
      </c>
      <c r="K91" s="2">
        <v>1220</v>
      </c>
      <c r="L91" s="2" t="str">
        <f t="shared" si="1"/>
        <v>Yes</v>
      </c>
    </row>
    <row r="92" spans="1:12" x14ac:dyDescent="0.3">
      <c r="A92" s="2" t="s">
        <v>185</v>
      </c>
      <c r="B92" s="2" t="s">
        <v>250</v>
      </c>
      <c r="C92" s="2" t="s">
        <v>1070</v>
      </c>
      <c r="D92" s="2" t="s">
        <v>1029</v>
      </c>
      <c r="E92" s="2" t="s">
        <v>919</v>
      </c>
      <c r="F92" s="2" t="s">
        <v>1025</v>
      </c>
      <c r="G92" s="2" t="s">
        <v>921</v>
      </c>
      <c r="H92" s="5">
        <v>94.5</v>
      </c>
      <c r="I92" s="2">
        <v>420</v>
      </c>
      <c r="J92" s="2">
        <v>350</v>
      </c>
      <c r="K92" s="2">
        <v>770</v>
      </c>
      <c r="L92" s="2" t="str">
        <f t="shared" si="1"/>
        <v>Yes</v>
      </c>
    </row>
    <row r="93" spans="1:12" x14ac:dyDescent="0.3">
      <c r="A93" s="2" t="s">
        <v>185</v>
      </c>
      <c r="B93" s="2" t="s">
        <v>252</v>
      </c>
      <c r="C93" s="2" t="s">
        <v>1071</v>
      </c>
      <c r="D93" s="2" t="s">
        <v>1072</v>
      </c>
      <c r="E93" s="2" t="s">
        <v>924</v>
      </c>
      <c r="F93" s="2" t="s">
        <v>1073</v>
      </c>
      <c r="G93" s="2" t="s">
        <v>1026</v>
      </c>
      <c r="H93" s="5">
        <v>85.3</v>
      </c>
      <c r="I93" s="2">
        <v>430</v>
      </c>
      <c r="J93" s="2">
        <v>390</v>
      </c>
      <c r="K93" s="2">
        <v>820</v>
      </c>
      <c r="L93" s="2" t="str">
        <f t="shared" si="1"/>
        <v>No</v>
      </c>
    </row>
    <row r="94" spans="1:12" x14ac:dyDescent="0.3">
      <c r="A94" s="2" t="s">
        <v>185</v>
      </c>
      <c r="B94" s="2" t="s">
        <v>254</v>
      </c>
      <c r="C94" s="2" t="s">
        <v>1074</v>
      </c>
      <c r="D94" s="2" t="s">
        <v>949</v>
      </c>
      <c r="E94" s="2" t="s">
        <v>919</v>
      </c>
      <c r="F94" s="2" t="s">
        <v>1025</v>
      </c>
      <c r="G94" s="2" t="s">
        <v>921</v>
      </c>
      <c r="H94" s="5">
        <v>97.8</v>
      </c>
      <c r="I94" s="2">
        <v>700</v>
      </c>
      <c r="J94" s="2">
        <v>570</v>
      </c>
      <c r="K94" s="2">
        <v>1270</v>
      </c>
      <c r="L94" s="2" t="str">
        <f t="shared" si="1"/>
        <v>Yes</v>
      </c>
    </row>
    <row r="95" spans="1:12" x14ac:dyDescent="0.3">
      <c r="A95" s="2" t="s">
        <v>185</v>
      </c>
      <c r="B95" s="2" t="s">
        <v>256</v>
      </c>
      <c r="C95" s="2" t="s">
        <v>1075</v>
      </c>
      <c r="D95" s="2" t="s">
        <v>923</v>
      </c>
      <c r="E95" s="2" t="s">
        <v>924</v>
      </c>
      <c r="F95" s="2" t="s">
        <v>925</v>
      </c>
      <c r="G95" s="2" t="s">
        <v>958</v>
      </c>
      <c r="H95" s="5">
        <v>90.6</v>
      </c>
      <c r="I95" s="2">
        <v>570</v>
      </c>
      <c r="J95" s="2">
        <v>420</v>
      </c>
      <c r="K95" s="2">
        <v>990</v>
      </c>
      <c r="L95" s="2" t="str">
        <f t="shared" si="1"/>
        <v>Yes</v>
      </c>
    </row>
    <row r="96" spans="1:12" x14ac:dyDescent="0.3">
      <c r="A96" s="2" t="s">
        <v>185</v>
      </c>
      <c r="B96" s="2" t="s">
        <v>258</v>
      </c>
      <c r="C96" s="2" t="s">
        <v>1076</v>
      </c>
      <c r="D96" s="2" t="s">
        <v>949</v>
      </c>
      <c r="E96" s="2" t="s">
        <v>919</v>
      </c>
      <c r="F96" s="2" t="s">
        <v>925</v>
      </c>
      <c r="G96" s="2" t="s">
        <v>921</v>
      </c>
      <c r="H96" s="5">
        <v>93.7</v>
      </c>
      <c r="I96" s="2">
        <v>540</v>
      </c>
      <c r="J96" s="2">
        <v>360</v>
      </c>
      <c r="K96" s="2">
        <v>900</v>
      </c>
      <c r="L96" s="2" t="str">
        <f t="shared" si="1"/>
        <v>Yes</v>
      </c>
    </row>
    <row r="97" spans="1:12" x14ac:dyDescent="0.3">
      <c r="A97" s="2" t="s">
        <v>185</v>
      </c>
      <c r="B97" s="2" t="s">
        <v>260</v>
      </c>
      <c r="C97" s="2" t="s">
        <v>1077</v>
      </c>
      <c r="D97" s="2" t="s">
        <v>923</v>
      </c>
      <c r="E97" s="2" t="s">
        <v>924</v>
      </c>
      <c r="F97" s="2" t="s">
        <v>925</v>
      </c>
      <c r="G97" s="2"/>
      <c r="H97" s="5">
        <v>77.5</v>
      </c>
      <c r="I97" s="2">
        <v>450</v>
      </c>
      <c r="J97" s="2">
        <v>370</v>
      </c>
      <c r="K97" s="2">
        <v>820</v>
      </c>
      <c r="L97" s="2" t="str">
        <f t="shared" si="1"/>
        <v>Yes</v>
      </c>
    </row>
    <row r="98" spans="1:12" x14ac:dyDescent="0.3">
      <c r="A98" s="2" t="s">
        <v>185</v>
      </c>
      <c r="B98" s="2" t="s">
        <v>262</v>
      </c>
      <c r="C98" s="2" t="s">
        <v>1078</v>
      </c>
      <c r="D98" s="2" t="s">
        <v>970</v>
      </c>
      <c r="E98" s="2" t="s">
        <v>924</v>
      </c>
      <c r="F98" s="2" t="s">
        <v>925</v>
      </c>
      <c r="G98" s="2" t="s">
        <v>921</v>
      </c>
      <c r="H98" s="5">
        <v>96.8</v>
      </c>
      <c r="I98" s="2">
        <v>680</v>
      </c>
      <c r="J98" s="2">
        <v>470</v>
      </c>
      <c r="K98" s="2">
        <v>1150</v>
      </c>
      <c r="L98" s="2" t="str">
        <f t="shared" si="1"/>
        <v>Yes</v>
      </c>
    </row>
    <row r="99" spans="1:12" x14ac:dyDescent="0.3">
      <c r="A99" s="2" t="s">
        <v>185</v>
      </c>
      <c r="B99" s="2" t="s">
        <v>264</v>
      </c>
      <c r="C99" s="2" t="s">
        <v>1079</v>
      </c>
      <c r="D99" s="2" t="s">
        <v>1049</v>
      </c>
      <c r="E99" s="2" t="s">
        <v>919</v>
      </c>
      <c r="F99" s="2" t="s">
        <v>950</v>
      </c>
      <c r="G99" s="2" t="s">
        <v>921</v>
      </c>
      <c r="H99" s="5">
        <v>82.1</v>
      </c>
      <c r="I99" s="2">
        <v>480</v>
      </c>
      <c r="J99" s="2">
        <v>410</v>
      </c>
      <c r="K99" s="2">
        <v>890</v>
      </c>
      <c r="L99" s="2" t="str">
        <f t="shared" si="1"/>
        <v>Yes</v>
      </c>
    </row>
    <row r="100" spans="1:12" x14ac:dyDescent="0.3">
      <c r="A100" s="2" t="s">
        <v>185</v>
      </c>
      <c r="B100" s="2" t="s">
        <v>266</v>
      </c>
      <c r="C100" s="2" t="s">
        <v>1080</v>
      </c>
      <c r="D100" s="2" t="s">
        <v>923</v>
      </c>
      <c r="E100" s="2" t="s">
        <v>924</v>
      </c>
      <c r="F100" s="2" t="s">
        <v>1081</v>
      </c>
      <c r="G100" s="2" t="s">
        <v>1026</v>
      </c>
      <c r="H100" s="5">
        <v>90.7</v>
      </c>
      <c r="I100" s="2">
        <v>420</v>
      </c>
      <c r="J100" s="2">
        <v>360</v>
      </c>
      <c r="K100" s="2">
        <v>780</v>
      </c>
      <c r="L100" s="2" t="str">
        <f t="shared" si="1"/>
        <v>Yes</v>
      </c>
    </row>
    <row r="101" spans="1:12" x14ac:dyDescent="0.3">
      <c r="A101" s="2" t="s">
        <v>185</v>
      </c>
      <c r="B101" s="2" t="s">
        <v>268</v>
      </c>
      <c r="C101" s="2" t="s">
        <v>1082</v>
      </c>
      <c r="D101" s="2" t="s">
        <v>970</v>
      </c>
      <c r="E101" s="2" t="s">
        <v>924</v>
      </c>
      <c r="F101" s="2" t="s">
        <v>925</v>
      </c>
      <c r="G101" s="2" t="s">
        <v>1083</v>
      </c>
      <c r="H101" s="5">
        <v>95.9</v>
      </c>
      <c r="I101" s="2">
        <v>620</v>
      </c>
      <c r="J101" s="2">
        <v>420</v>
      </c>
      <c r="K101" s="2">
        <v>1040</v>
      </c>
      <c r="L101" s="2" t="str">
        <f t="shared" si="1"/>
        <v>Yes</v>
      </c>
    </row>
    <row r="102" spans="1:12" x14ac:dyDescent="0.3">
      <c r="A102" s="2" t="s">
        <v>185</v>
      </c>
      <c r="B102" s="2" t="s">
        <v>270</v>
      </c>
      <c r="C102" s="2" t="s">
        <v>1084</v>
      </c>
      <c r="D102" s="2" t="s">
        <v>1042</v>
      </c>
      <c r="E102" s="2" t="s">
        <v>919</v>
      </c>
      <c r="F102" s="2" t="s">
        <v>936</v>
      </c>
      <c r="G102" s="2" t="s">
        <v>921</v>
      </c>
      <c r="H102" s="5">
        <v>93.4</v>
      </c>
      <c r="I102" s="2">
        <v>580</v>
      </c>
      <c r="J102" s="2">
        <v>460</v>
      </c>
      <c r="K102" s="2">
        <v>1040</v>
      </c>
      <c r="L102" s="2" t="str">
        <f t="shared" si="1"/>
        <v>Yes</v>
      </c>
    </row>
    <row r="103" spans="1:12" x14ac:dyDescent="0.3">
      <c r="A103" s="2" t="s">
        <v>185</v>
      </c>
      <c r="B103" s="2" t="s">
        <v>272</v>
      </c>
      <c r="C103" s="2" t="s">
        <v>1085</v>
      </c>
      <c r="D103" s="2" t="s">
        <v>970</v>
      </c>
      <c r="E103" s="2" t="s">
        <v>924</v>
      </c>
      <c r="F103" s="2" t="s">
        <v>925</v>
      </c>
      <c r="G103" s="2" t="s">
        <v>953</v>
      </c>
      <c r="H103" s="5">
        <v>95.4</v>
      </c>
      <c r="I103" s="2">
        <v>670</v>
      </c>
      <c r="J103" s="2">
        <v>460</v>
      </c>
      <c r="K103" s="2">
        <v>1130</v>
      </c>
      <c r="L103" s="2" t="str">
        <f t="shared" si="1"/>
        <v>Yes</v>
      </c>
    </row>
    <row r="104" spans="1:12" x14ac:dyDescent="0.3">
      <c r="A104" s="2" t="s">
        <v>185</v>
      </c>
      <c r="B104" s="2" t="s">
        <v>274</v>
      </c>
      <c r="C104" s="2" t="s">
        <v>1086</v>
      </c>
      <c r="D104" s="2" t="s">
        <v>970</v>
      </c>
      <c r="E104" s="2" t="s">
        <v>924</v>
      </c>
      <c r="F104" s="2" t="s">
        <v>1087</v>
      </c>
      <c r="G104" s="2" t="s">
        <v>1088</v>
      </c>
      <c r="H104" s="5">
        <v>92.3</v>
      </c>
      <c r="I104" s="2">
        <v>520</v>
      </c>
      <c r="J104" s="2">
        <v>470</v>
      </c>
      <c r="K104" s="2">
        <v>990</v>
      </c>
      <c r="L104" s="2" t="str">
        <f t="shared" si="1"/>
        <v>Yes</v>
      </c>
    </row>
    <row r="105" spans="1:12" x14ac:dyDescent="0.3">
      <c r="A105" s="2" t="s">
        <v>185</v>
      </c>
      <c r="B105" s="2" t="s">
        <v>276</v>
      </c>
      <c r="C105" s="2" t="s">
        <v>1089</v>
      </c>
      <c r="D105" s="2" t="s">
        <v>923</v>
      </c>
      <c r="E105" s="2" t="s">
        <v>924</v>
      </c>
      <c r="F105" s="2" t="s">
        <v>925</v>
      </c>
      <c r="G105" s="2" t="s">
        <v>933</v>
      </c>
      <c r="H105" s="5">
        <v>89</v>
      </c>
      <c r="I105" s="2">
        <v>480</v>
      </c>
      <c r="J105" s="2">
        <v>410</v>
      </c>
      <c r="K105" s="2">
        <v>890</v>
      </c>
      <c r="L105" s="2" t="str">
        <f t="shared" si="1"/>
        <v>Yes</v>
      </c>
    </row>
    <row r="106" spans="1:12" x14ac:dyDescent="0.3">
      <c r="A106" s="2" t="s">
        <v>185</v>
      </c>
      <c r="B106" s="2" t="s">
        <v>278</v>
      </c>
      <c r="C106" s="2" t="s">
        <v>1090</v>
      </c>
      <c r="D106" s="2" t="s">
        <v>1091</v>
      </c>
      <c r="E106" s="2" t="s">
        <v>924</v>
      </c>
      <c r="F106" s="2" t="s">
        <v>1007</v>
      </c>
      <c r="G106" s="2" t="s">
        <v>933</v>
      </c>
      <c r="H106" s="5">
        <v>97.6</v>
      </c>
      <c r="I106" s="2">
        <v>670</v>
      </c>
      <c r="J106" s="2">
        <v>530</v>
      </c>
      <c r="K106" s="2">
        <v>1200</v>
      </c>
      <c r="L106" s="2" t="str">
        <f t="shared" si="1"/>
        <v>Yes</v>
      </c>
    </row>
    <row r="107" spans="1:12" x14ac:dyDescent="0.3">
      <c r="A107" s="2" t="s">
        <v>185</v>
      </c>
      <c r="B107" s="2" t="s">
        <v>280</v>
      </c>
      <c r="C107" s="2" t="s">
        <v>1092</v>
      </c>
      <c r="D107" s="2" t="s">
        <v>970</v>
      </c>
      <c r="E107" s="2" t="s">
        <v>924</v>
      </c>
      <c r="F107" s="2" t="s">
        <v>925</v>
      </c>
      <c r="G107" s="2" t="s">
        <v>933</v>
      </c>
      <c r="H107" s="5">
        <v>92.3</v>
      </c>
      <c r="I107" s="2">
        <v>610</v>
      </c>
      <c r="J107" s="2">
        <v>420</v>
      </c>
      <c r="K107" s="2">
        <v>1030</v>
      </c>
      <c r="L107" s="2" t="str">
        <f t="shared" si="1"/>
        <v>Yes</v>
      </c>
    </row>
    <row r="108" spans="1:12" x14ac:dyDescent="0.3">
      <c r="A108" s="2" t="s">
        <v>185</v>
      </c>
      <c r="B108" s="2" t="s">
        <v>282</v>
      </c>
      <c r="C108" s="2" t="s">
        <v>1093</v>
      </c>
      <c r="D108" s="2" t="s">
        <v>1094</v>
      </c>
      <c r="E108" s="2" t="s">
        <v>919</v>
      </c>
      <c r="F108" s="2" t="s">
        <v>1095</v>
      </c>
      <c r="G108" s="2" t="s">
        <v>921</v>
      </c>
      <c r="H108" s="5">
        <v>95.9</v>
      </c>
      <c r="I108" s="2">
        <v>590</v>
      </c>
      <c r="J108" s="2">
        <v>340</v>
      </c>
      <c r="K108" s="2">
        <v>930</v>
      </c>
      <c r="L108" s="2" t="str">
        <f t="shared" si="1"/>
        <v>No</v>
      </c>
    </row>
    <row r="109" spans="1:12" x14ac:dyDescent="0.3">
      <c r="A109" s="2" t="s">
        <v>185</v>
      </c>
      <c r="B109" s="2" t="s">
        <v>284</v>
      </c>
      <c r="C109" s="2" t="s">
        <v>1096</v>
      </c>
      <c r="D109" s="2" t="s">
        <v>923</v>
      </c>
      <c r="E109" s="2" t="s">
        <v>924</v>
      </c>
      <c r="F109" s="2" t="s">
        <v>1007</v>
      </c>
      <c r="G109" s="2" t="s">
        <v>933</v>
      </c>
      <c r="H109" s="5">
        <v>97.5</v>
      </c>
      <c r="I109" s="2">
        <v>510</v>
      </c>
      <c r="J109" s="2">
        <v>420</v>
      </c>
      <c r="K109" s="2">
        <v>930</v>
      </c>
      <c r="L109" s="2" t="str">
        <f t="shared" si="1"/>
        <v>Yes</v>
      </c>
    </row>
    <row r="110" spans="1:12" x14ac:dyDescent="0.3">
      <c r="A110" s="2" t="s">
        <v>185</v>
      </c>
      <c r="B110" s="2" t="s">
        <v>286</v>
      </c>
      <c r="C110" s="2" t="s">
        <v>1097</v>
      </c>
      <c r="D110" s="2" t="s">
        <v>923</v>
      </c>
      <c r="E110" s="2" t="s">
        <v>924</v>
      </c>
      <c r="F110" s="2" t="s">
        <v>945</v>
      </c>
      <c r="G110" s="2" t="s">
        <v>1026</v>
      </c>
      <c r="H110" s="5">
        <v>93.7</v>
      </c>
      <c r="I110" s="2">
        <v>450</v>
      </c>
      <c r="J110" s="2">
        <v>400</v>
      </c>
      <c r="K110" s="2">
        <v>850</v>
      </c>
      <c r="L110" s="2" t="str">
        <f t="shared" si="1"/>
        <v>Yes</v>
      </c>
    </row>
    <row r="111" spans="1:12" x14ac:dyDescent="0.3">
      <c r="A111" s="2" t="s">
        <v>185</v>
      </c>
      <c r="B111" s="2" t="s">
        <v>288</v>
      </c>
      <c r="C111" s="2" t="s">
        <v>1098</v>
      </c>
      <c r="D111" s="2" t="s">
        <v>1035</v>
      </c>
      <c r="E111" s="2" t="s">
        <v>1036</v>
      </c>
      <c r="F111" s="2" t="s">
        <v>963</v>
      </c>
      <c r="G111" s="2" t="s">
        <v>1037</v>
      </c>
      <c r="H111" s="5">
        <v>96.4</v>
      </c>
      <c r="I111" s="2">
        <v>710</v>
      </c>
      <c r="J111" s="2">
        <v>530</v>
      </c>
      <c r="K111" s="2">
        <v>1090</v>
      </c>
      <c r="L111" s="2" t="str">
        <f t="shared" si="1"/>
        <v>No</v>
      </c>
    </row>
    <row r="112" spans="1:12" x14ac:dyDescent="0.3">
      <c r="A112" s="2" t="s">
        <v>185</v>
      </c>
      <c r="B112" s="2" t="s">
        <v>290</v>
      </c>
      <c r="C112" s="2" t="s">
        <v>1099</v>
      </c>
      <c r="D112" s="2" t="s">
        <v>923</v>
      </c>
      <c r="E112" s="2" t="s">
        <v>924</v>
      </c>
      <c r="F112" s="2" t="s">
        <v>1007</v>
      </c>
      <c r="G112" s="2" t="s">
        <v>933</v>
      </c>
      <c r="H112" s="5">
        <v>91.8</v>
      </c>
      <c r="I112" s="2">
        <v>630</v>
      </c>
      <c r="J112" s="2">
        <v>510</v>
      </c>
      <c r="K112" s="2">
        <v>1140</v>
      </c>
      <c r="L112" s="2" t="str">
        <f t="shared" si="1"/>
        <v>Yes</v>
      </c>
    </row>
    <row r="113" spans="1:12" x14ac:dyDescent="0.3">
      <c r="A113" s="2" t="s">
        <v>185</v>
      </c>
      <c r="B113" s="2" t="s">
        <v>292</v>
      </c>
      <c r="C113" s="2" t="s">
        <v>1100</v>
      </c>
      <c r="D113" s="2" t="s">
        <v>923</v>
      </c>
      <c r="E113" s="2" t="s">
        <v>924</v>
      </c>
      <c r="F113" s="2" t="s">
        <v>945</v>
      </c>
      <c r="G113" s="2" t="s">
        <v>1026</v>
      </c>
      <c r="H113" s="5">
        <v>79.7</v>
      </c>
      <c r="I113" s="2">
        <v>530</v>
      </c>
      <c r="J113" s="2">
        <v>320</v>
      </c>
      <c r="K113" s="2">
        <v>900</v>
      </c>
      <c r="L113" s="2" t="str">
        <f t="shared" si="1"/>
        <v>Yes</v>
      </c>
    </row>
    <row r="114" spans="1:12" x14ac:dyDescent="0.3">
      <c r="A114" s="2" t="s">
        <v>185</v>
      </c>
      <c r="B114" s="2" t="s">
        <v>294</v>
      </c>
      <c r="C114" s="2" t="s">
        <v>1101</v>
      </c>
      <c r="D114" s="2" t="s">
        <v>970</v>
      </c>
      <c r="E114" s="2" t="s">
        <v>924</v>
      </c>
      <c r="F114" s="2" t="s">
        <v>1087</v>
      </c>
      <c r="G114" s="2" t="s">
        <v>933</v>
      </c>
      <c r="H114" s="5">
        <v>98.4</v>
      </c>
      <c r="I114" s="2">
        <v>630</v>
      </c>
      <c r="J114" s="2">
        <v>570</v>
      </c>
      <c r="K114" s="2">
        <v>1200</v>
      </c>
      <c r="L114" s="2" t="str">
        <f t="shared" si="1"/>
        <v>Yes</v>
      </c>
    </row>
    <row r="115" spans="1:12" x14ac:dyDescent="0.3">
      <c r="A115" s="2" t="s">
        <v>185</v>
      </c>
      <c r="B115" s="2" t="s">
        <v>296</v>
      </c>
      <c r="C115" s="2" t="s">
        <v>1102</v>
      </c>
      <c r="D115" s="2" t="s">
        <v>965</v>
      </c>
      <c r="E115" s="2" t="s">
        <v>924</v>
      </c>
      <c r="F115" s="2" t="s">
        <v>966</v>
      </c>
      <c r="G115" s="2" t="s">
        <v>958</v>
      </c>
      <c r="H115" s="5">
        <v>93.6</v>
      </c>
      <c r="I115" s="2">
        <v>580</v>
      </c>
      <c r="J115" s="2">
        <v>450</v>
      </c>
      <c r="K115" s="2">
        <v>1030</v>
      </c>
      <c r="L115" s="2" t="str">
        <f t="shared" si="1"/>
        <v>No</v>
      </c>
    </row>
    <row r="116" spans="1:12" x14ac:dyDescent="0.3">
      <c r="A116" s="2" t="s">
        <v>298</v>
      </c>
      <c r="B116" s="2" t="s">
        <v>299</v>
      </c>
      <c r="C116" s="2" t="s">
        <v>1103</v>
      </c>
      <c r="D116" s="2" t="s">
        <v>1104</v>
      </c>
      <c r="E116" s="2" t="s">
        <v>924</v>
      </c>
      <c r="F116" s="2" t="s">
        <v>1105</v>
      </c>
      <c r="G116" s="2" t="s">
        <v>921</v>
      </c>
      <c r="H116" s="5">
        <v>89.5</v>
      </c>
      <c r="I116" s="2">
        <v>510</v>
      </c>
      <c r="J116" s="2">
        <v>470</v>
      </c>
      <c r="K116" s="2">
        <v>980</v>
      </c>
      <c r="L116" s="2" t="str">
        <f t="shared" si="1"/>
        <v>Yes</v>
      </c>
    </row>
    <row r="117" spans="1:12" x14ac:dyDescent="0.3">
      <c r="A117" s="2" t="s">
        <v>298</v>
      </c>
      <c r="B117" s="2" t="s">
        <v>303</v>
      </c>
      <c r="C117" s="2" t="s">
        <v>1106</v>
      </c>
      <c r="D117" s="2" t="s">
        <v>1053</v>
      </c>
      <c r="E117" s="2" t="s">
        <v>919</v>
      </c>
      <c r="F117" s="2" t="s">
        <v>1105</v>
      </c>
      <c r="G117" s="2" t="s">
        <v>921</v>
      </c>
      <c r="H117" s="5">
        <v>90.38</v>
      </c>
      <c r="I117" s="2">
        <v>540</v>
      </c>
      <c r="J117" s="2">
        <v>390</v>
      </c>
      <c r="K117" s="2">
        <v>930</v>
      </c>
      <c r="L117" s="2" t="str">
        <f t="shared" si="1"/>
        <v>Yes</v>
      </c>
    </row>
    <row r="118" spans="1:12" x14ac:dyDescent="0.3">
      <c r="A118" s="2" t="s">
        <v>298</v>
      </c>
      <c r="B118" s="2" t="s">
        <v>305</v>
      </c>
      <c r="C118" s="2" t="s">
        <v>1107</v>
      </c>
      <c r="D118" s="2" t="s">
        <v>1108</v>
      </c>
      <c r="E118" s="2" t="s">
        <v>1036</v>
      </c>
      <c r="F118" s="2" t="s">
        <v>1109</v>
      </c>
      <c r="G118" s="2" t="s">
        <v>921</v>
      </c>
      <c r="H118" s="5">
        <v>96</v>
      </c>
      <c r="I118" s="2">
        <v>750</v>
      </c>
      <c r="J118" s="2">
        <v>640</v>
      </c>
      <c r="K118" s="2">
        <v>1390</v>
      </c>
      <c r="L118" s="2" t="str">
        <f t="shared" si="1"/>
        <v>Yes</v>
      </c>
    </row>
    <row r="119" spans="1:12" x14ac:dyDescent="0.3">
      <c r="A119" s="2" t="s">
        <v>298</v>
      </c>
      <c r="B119" s="2" t="s">
        <v>307</v>
      </c>
      <c r="C119" s="2" t="s">
        <v>1110</v>
      </c>
      <c r="D119" s="2" t="s">
        <v>923</v>
      </c>
      <c r="E119" s="2" t="s">
        <v>924</v>
      </c>
      <c r="F119" s="2" t="s">
        <v>920</v>
      </c>
      <c r="G119" s="2" t="s">
        <v>921</v>
      </c>
      <c r="H119" s="5">
        <v>95</v>
      </c>
      <c r="I119" s="2">
        <v>530</v>
      </c>
      <c r="J119" s="2">
        <v>380</v>
      </c>
      <c r="K119" s="2">
        <v>910</v>
      </c>
      <c r="L119" s="2" t="str">
        <f t="shared" si="1"/>
        <v>Yes</v>
      </c>
    </row>
    <row r="120" spans="1:12" x14ac:dyDescent="0.3">
      <c r="A120" s="2" t="s">
        <v>298</v>
      </c>
      <c r="B120" s="2" t="s">
        <v>309</v>
      </c>
      <c r="C120" s="2" t="s">
        <v>1111</v>
      </c>
      <c r="D120" s="2" t="s">
        <v>1112</v>
      </c>
      <c r="E120" s="2" t="s">
        <v>919</v>
      </c>
      <c r="F120" s="2" t="s">
        <v>1109</v>
      </c>
      <c r="G120" s="2" t="s">
        <v>921</v>
      </c>
      <c r="H120" s="5">
        <v>95</v>
      </c>
      <c r="I120" s="2">
        <v>610</v>
      </c>
      <c r="J120" s="2">
        <v>620</v>
      </c>
      <c r="K120" s="2">
        <v>1230</v>
      </c>
      <c r="L120" s="2" t="str">
        <f t="shared" si="1"/>
        <v>Yes</v>
      </c>
    </row>
    <row r="121" spans="1:12" x14ac:dyDescent="0.3">
      <c r="A121" s="2" t="s">
        <v>298</v>
      </c>
      <c r="B121" s="2" t="s">
        <v>311</v>
      </c>
      <c r="C121" s="2" t="s">
        <v>1113</v>
      </c>
      <c r="D121" s="2" t="s">
        <v>1053</v>
      </c>
      <c r="E121" s="2" t="s">
        <v>919</v>
      </c>
      <c r="F121" s="2" t="s">
        <v>931</v>
      </c>
      <c r="G121" s="2" t="s">
        <v>921</v>
      </c>
      <c r="H121" s="5">
        <v>93.13</v>
      </c>
      <c r="I121" s="2">
        <v>480</v>
      </c>
      <c r="J121" s="2">
        <v>400</v>
      </c>
      <c r="K121" s="2">
        <v>880</v>
      </c>
      <c r="L121" s="2" t="str">
        <f t="shared" si="1"/>
        <v>Yes</v>
      </c>
    </row>
    <row r="122" spans="1:12" x14ac:dyDescent="0.3">
      <c r="A122" s="2" t="s">
        <v>298</v>
      </c>
      <c r="B122" s="2" t="s">
        <v>313</v>
      </c>
      <c r="C122" s="2" t="s">
        <v>1114</v>
      </c>
      <c r="D122" s="2" t="s">
        <v>1053</v>
      </c>
      <c r="E122" s="2" t="s">
        <v>919</v>
      </c>
      <c r="F122" s="2" t="s">
        <v>920</v>
      </c>
      <c r="G122" s="2" t="s">
        <v>921</v>
      </c>
      <c r="H122" s="5">
        <v>88.88</v>
      </c>
      <c r="I122" s="2">
        <v>530</v>
      </c>
      <c r="J122" s="2">
        <v>460</v>
      </c>
      <c r="K122" s="2">
        <v>990</v>
      </c>
      <c r="L122" s="2" t="str">
        <f t="shared" si="1"/>
        <v>Yes</v>
      </c>
    </row>
    <row r="123" spans="1:12" x14ac:dyDescent="0.3">
      <c r="A123" s="2" t="s">
        <v>298</v>
      </c>
      <c r="B123" s="2" t="s">
        <v>315</v>
      </c>
      <c r="C123" s="2" t="s">
        <v>1115</v>
      </c>
      <c r="D123" s="2" t="s">
        <v>965</v>
      </c>
      <c r="E123" s="2" t="s">
        <v>924</v>
      </c>
      <c r="F123" s="2" t="s">
        <v>1116</v>
      </c>
      <c r="G123" s="2" t="s">
        <v>958</v>
      </c>
      <c r="H123" s="5">
        <v>83.44</v>
      </c>
      <c r="I123" s="2">
        <v>420</v>
      </c>
      <c r="J123" s="2">
        <v>390</v>
      </c>
      <c r="K123" s="2">
        <v>810</v>
      </c>
      <c r="L123" s="2" t="str">
        <f t="shared" si="1"/>
        <v>No</v>
      </c>
    </row>
    <row r="124" spans="1:12" x14ac:dyDescent="0.3">
      <c r="A124" s="2" t="s">
        <v>298</v>
      </c>
      <c r="B124" s="2" t="s">
        <v>317</v>
      </c>
      <c r="C124" s="2" t="s">
        <v>1117</v>
      </c>
      <c r="D124" s="2" t="s">
        <v>923</v>
      </c>
      <c r="E124" s="2" t="s">
        <v>924</v>
      </c>
      <c r="F124" s="2" t="s">
        <v>931</v>
      </c>
      <c r="G124" s="2" t="s">
        <v>921</v>
      </c>
      <c r="H124" s="5">
        <v>94.38</v>
      </c>
      <c r="I124" s="2">
        <v>530</v>
      </c>
      <c r="J124" s="2">
        <v>430</v>
      </c>
      <c r="K124" s="2">
        <v>960</v>
      </c>
      <c r="L124" s="2" t="str">
        <f t="shared" si="1"/>
        <v>Yes</v>
      </c>
    </row>
    <row r="125" spans="1:12" x14ac:dyDescent="0.3">
      <c r="A125" s="2" t="s">
        <v>298</v>
      </c>
      <c r="B125" s="2" t="s">
        <v>319</v>
      </c>
      <c r="C125" s="2" t="s">
        <v>1118</v>
      </c>
      <c r="D125" s="2" t="s">
        <v>1119</v>
      </c>
      <c r="E125" s="2" t="s">
        <v>924</v>
      </c>
      <c r="F125" s="2" t="s">
        <v>920</v>
      </c>
      <c r="G125" s="2" t="s">
        <v>958</v>
      </c>
      <c r="H125" s="5">
        <v>89.96</v>
      </c>
      <c r="I125" s="2">
        <v>530</v>
      </c>
      <c r="J125" s="2">
        <v>490</v>
      </c>
      <c r="K125" s="2">
        <v>1020</v>
      </c>
      <c r="L125" s="2" t="str">
        <f t="shared" si="1"/>
        <v>Yes</v>
      </c>
    </row>
    <row r="126" spans="1:12" x14ac:dyDescent="0.3">
      <c r="A126" s="2" t="s">
        <v>298</v>
      </c>
      <c r="B126" s="2" t="s">
        <v>321</v>
      </c>
      <c r="C126" s="2" t="s">
        <v>1120</v>
      </c>
      <c r="D126" s="2" t="s">
        <v>923</v>
      </c>
      <c r="E126" s="2" t="s">
        <v>924</v>
      </c>
      <c r="F126" s="2" t="s">
        <v>931</v>
      </c>
      <c r="G126" s="2" t="s">
        <v>921</v>
      </c>
      <c r="H126" s="5">
        <v>96.56</v>
      </c>
      <c r="I126" s="2">
        <v>600</v>
      </c>
      <c r="J126" s="2">
        <v>600</v>
      </c>
      <c r="K126" s="2">
        <v>1200</v>
      </c>
      <c r="L126" s="2" t="str">
        <f t="shared" si="1"/>
        <v>Yes</v>
      </c>
    </row>
    <row r="127" spans="1:12" x14ac:dyDescent="0.3">
      <c r="A127" s="2" t="s">
        <v>298</v>
      </c>
      <c r="B127" s="2" t="s">
        <v>323</v>
      </c>
      <c r="C127" s="2" t="s">
        <v>1121</v>
      </c>
      <c r="D127" s="2" t="s">
        <v>965</v>
      </c>
      <c r="E127" s="2" t="s">
        <v>924</v>
      </c>
      <c r="F127" s="2" t="s">
        <v>1116</v>
      </c>
      <c r="G127" s="2" t="s">
        <v>958</v>
      </c>
      <c r="H127" s="5">
        <v>83.69</v>
      </c>
      <c r="I127" s="2">
        <v>410</v>
      </c>
      <c r="J127" s="2">
        <v>430</v>
      </c>
      <c r="K127" s="2">
        <v>840</v>
      </c>
      <c r="L127" s="2" t="str">
        <f t="shared" si="1"/>
        <v>No</v>
      </c>
    </row>
    <row r="128" spans="1:12" x14ac:dyDescent="0.3">
      <c r="A128" s="2" t="s">
        <v>298</v>
      </c>
      <c r="B128" s="2" t="s">
        <v>325</v>
      </c>
      <c r="C128" s="2" t="s">
        <v>1122</v>
      </c>
      <c r="D128" s="2" t="s">
        <v>965</v>
      </c>
      <c r="E128" s="2" t="s">
        <v>924</v>
      </c>
      <c r="F128" s="2" t="s">
        <v>1116</v>
      </c>
      <c r="G128" s="2" t="s">
        <v>958</v>
      </c>
      <c r="H128" s="5">
        <v>91.88</v>
      </c>
      <c r="I128" s="2">
        <v>580</v>
      </c>
      <c r="J128" s="2">
        <v>450</v>
      </c>
      <c r="K128" s="2">
        <v>1030</v>
      </c>
      <c r="L128" s="2" t="str">
        <f t="shared" si="1"/>
        <v>No</v>
      </c>
    </row>
    <row r="129" spans="1:12" x14ac:dyDescent="0.3">
      <c r="A129" s="2" t="s">
        <v>298</v>
      </c>
      <c r="B129" s="2" t="s">
        <v>327</v>
      </c>
      <c r="C129" s="2" t="s">
        <v>1123</v>
      </c>
      <c r="D129" s="2" t="s">
        <v>1119</v>
      </c>
      <c r="E129" s="2" t="s">
        <v>924</v>
      </c>
      <c r="F129" s="2" t="s">
        <v>920</v>
      </c>
      <c r="G129" s="2" t="s">
        <v>921</v>
      </c>
      <c r="H129" s="5">
        <v>88.94</v>
      </c>
      <c r="I129" s="2">
        <v>600</v>
      </c>
      <c r="J129" s="2">
        <v>490</v>
      </c>
      <c r="K129" s="2">
        <v>1090</v>
      </c>
      <c r="L129" s="2" t="str">
        <f t="shared" si="1"/>
        <v>Yes</v>
      </c>
    </row>
    <row r="130" spans="1:12" x14ac:dyDescent="0.3">
      <c r="A130" s="2" t="s">
        <v>298</v>
      </c>
      <c r="B130" s="2" t="s">
        <v>329</v>
      </c>
      <c r="C130" s="2" t="s">
        <v>1124</v>
      </c>
      <c r="D130" s="2" t="s">
        <v>923</v>
      </c>
      <c r="E130" s="2" t="s">
        <v>924</v>
      </c>
      <c r="F130" s="2" t="s">
        <v>978</v>
      </c>
      <c r="G130" s="2" t="s">
        <v>1125</v>
      </c>
      <c r="H130" s="5">
        <v>81</v>
      </c>
      <c r="I130" s="2">
        <v>490</v>
      </c>
      <c r="J130" s="2">
        <v>440</v>
      </c>
      <c r="K130" s="2">
        <v>930</v>
      </c>
      <c r="L130" s="2" t="str">
        <f t="shared" ref="L130:L193" si="2">IF(F130="","",IF(OR(ISNUMBER(SEARCH("Engineering",F130)),ISNUMBER(SEARCH("Computer",F130)),ISNUMBER(SEARCH("Science",F130)),ISNUMBER(SEARCH("Math",F130)),ISNUMBER(SEARCH("Medicine",F130)),ISNUMBER(SEARCH("Technology",F130))),"Yes","No"))</f>
        <v>Yes</v>
      </c>
    </row>
    <row r="131" spans="1:12" x14ac:dyDescent="0.3">
      <c r="A131" s="2" t="s">
        <v>298</v>
      </c>
      <c r="B131" s="2" t="s">
        <v>331</v>
      </c>
      <c r="C131" s="2" t="s">
        <v>1126</v>
      </c>
      <c r="D131" s="2" t="s">
        <v>965</v>
      </c>
      <c r="E131" s="2" t="s">
        <v>924</v>
      </c>
      <c r="F131" s="2" t="s">
        <v>1116</v>
      </c>
      <c r="G131" s="2" t="s">
        <v>958</v>
      </c>
      <c r="H131" s="5">
        <v>81.5</v>
      </c>
      <c r="I131" s="2">
        <v>460</v>
      </c>
      <c r="J131" s="2">
        <v>360</v>
      </c>
      <c r="K131" s="2">
        <v>820</v>
      </c>
      <c r="L131" s="2" t="str">
        <f t="shared" si="2"/>
        <v>No</v>
      </c>
    </row>
    <row r="132" spans="1:12" x14ac:dyDescent="0.3">
      <c r="A132" s="2" t="s">
        <v>298</v>
      </c>
      <c r="B132" s="2" t="s">
        <v>333</v>
      </c>
      <c r="C132" s="2" t="s">
        <v>1127</v>
      </c>
      <c r="D132" s="2" t="s">
        <v>923</v>
      </c>
      <c r="E132" s="2" t="s">
        <v>924</v>
      </c>
      <c r="F132" s="2" t="s">
        <v>978</v>
      </c>
      <c r="G132" s="2" t="s">
        <v>1128</v>
      </c>
      <c r="H132" s="5">
        <v>84</v>
      </c>
      <c r="I132" s="2">
        <v>420</v>
      </c>
      <c r="J132" s="2">
        <v>300</v>
      </c>
      <c r="K132" s="2">
        <v>720</v>
      </c>
      <c r="L132" s="2" t="str">
        <f t="shared" si="2"/>
        <v>Yes</v>
      </c>
    </row>
    <row r="133" spans="1:12" x14ac:dyDescent="0.3">
      <c r="A133" s="2" t="s">
        <v>298</v>
      </c>
      <c r="B133" s="2" t="s">
        <v>335</v>
      </c>
      <c r="C133" s="2" t="s">
        <v>1129</v>
      </c>
      <c r="D133" s="2" t="s">
        <v>923</v>
      </c>
      <c r="E133" s="2" t="s">
        <v>924</v>
      </c>
      <c r="F133" s="2" t="s">
        <v>931</v>
      </c>
      <c r="G133" s="2" t="s">
        <v>1026</v>
      </c>
      <c r="H133" s="5">
        <v>82.25</v>
      </c>
      <c r="I133" s="2">
        <v>560</v>
      </c>
      <c r="J133" s="2">
        <v>520</v>
      </c>
      <c r="K133" s="2">
        <v>1080</v>
      </c>
      <c r="L133" s="2" t="str">
        <f t="shared" si="2"/>
        <v>Yes</v>
      </c>
    </row>
    <row r="134" spans="1:12" x14ac:dyDescent="0.3">
      <c r="A134" s="2" t="s">
        <v>298</v>
      </c>
      <c r="B134" s="2" t="s">
        <v>337</v>
      </c>
      <c r="C134" s="2" t="s">
        <v>1130</v>
      </c>
      <c r="D134" s="2" t="s">
        <v>1131</v>
      </c>
      <c r="E134" s="2" t="s">
        <v>924</v>
      </c>
      <c r="F134" s="2"/>
      <c r="G134" s="2"/>
      <c r="H134" s="5">
        <v>71</v>
      </c>
      <c r="I134" s="2">
        <v>410</v>
      </c>
      <c r="J134" s="2">
        <v>390</v>
      </c>
      <c r="K134" s="2">
        <v>800</v>
      </c>
      <c r="L134" s="2" t="str">
        <f t="shared" si="2"/>
        <v/>
      </c>
    </row>
    <row r="135" spans="1:12" x14ac:dyDescent="0.3">
      <c r="A135" s="2" t="s">
        <v>298</v>
      </c>
      <c r="B135" s="2" t="s">
        <v>339</v>
      </c>
      <c r="C135" s="2" t="s">
        <v>1132</v>
      </c>
      <c r="D135" s="2" t="s">
        <v>1133</v>
      </c>
      <c r="E135" s="2" t="s">
        <v>924</v>
      </c>
      <c r="F135" s="2" t="s">
        <v>1007</v>
      </c>
      <c r="G135" s="2" t="s">
        <v>1128</v>
      </c>
      <c r="H135" s="5">
        <v>87.75</v>
      </c>
      <c r="I135" s="2">
        <v>600</v>
      </c>
      <c r="J135" s="2">
        <v>590</v>
      </c>
      <c r="K135" s="2">
        <v>1190</v>
      </c>
      <c r="L135" s="2" t="str">
        <f t="shared" si="2"/>
        <v>Yes</v>
      </c>
    </row>
    <row r="136" spans="1:12" x14ac:dyDescent="0.3">
      <c r="A136" s="2" t="s">
        <v>298</v>
      </c>
      <c r="B136" s="2" t="s">
        <v>341</v>
      </c>
      <c r="C136" s="2" t="s">
        <v>1134</v>
      </c>
      <c r="D136" s="2" t="s">
        <v>1135</v>
      </c>
      <c r="E136" s="2" t="s">
        <v>924</v>
      </c>
      <c r="F136" s="2" t="s">
        <v>925</v>
      </c>
      <c r="G136" s="2" t="s">
        <v>1128</v>
      </c>
      <c r="H136" s="5">
        <v>93.75</v>
      </c>
      <c r="I136" s="2">
        <v>93.755700000000004</v>
      </c>
      <c r="J136" s="2">
        <v>520</v>
      </c>
      <c r="K136" s="2">
        <v>1090</v>
      </c>
      <c r="L136" s="2" t="str">
        <f t="shared" si="2"/>
        <v>Yes</v>
      </c>
    </row>
    <row r="137" spans="1:12" x14ac:dyDescent="0.3">
      <c r="A137" s="2" t="s">
        <v>298</v>
      </c>
      <c r="B137" s="2" t="s">
        <v>343</v>
      </c>
      <c r="C137" s="2" t="s">
        <v>1136</v>
      </c>
      <c r="D137" s="2" t="s">
        <v>1137</v>
      </c>
      <c r="E137" s="2" t="s">
        <v>919</v>
      </c>
      <c r="F137" s="2" t="s">
        <v>931</v>
      </c>
      <c r="G137" s="2" t="s">
        <v>1128</v>
      </c>
      <c r="H137" s="5">
        <v>93.19</v>
      </c>
      <c r="I137" s="2">
        <v>650</v>
      </c>
      <c r="J137" s="2">
        <v>600</v>
      </c>
      <c r="K137" s="2">
        <v>1250</v>
      </c>
      <c r="L137" s="2" t="str">
        <f t="shared" si="2"/>
        <v>Yes</v>
      </c>
    </row>
    <row r="138" spans="1:12" x14ac:dyDescent="0.3">
      <c r="A138" s="2" t="s">
        <v>298</v>
      </c>
      <c r="B138" s="2" t="s">
        <v>345</v>
      </c>
      <c r="C138" s="2" t="s">
        <v>1138</v>
      </c>
      <c r="D138" s="2" t="s">
        <v>923</v>
      </c>
      <c r="E138" s="2" t="s">
        <v>924</v>
      </c>
      <c r="F138" s="2" t="s">
        <v>931</v>
      </c>
      <c r="G138" s="2" t="s">
        <v>1128</v>
      </c>
      <c r="H138" s="5">
        <v>93.81</v>
      </c>
      <c r="I138" s="2">
        <v>640</v>
      </c>
      <c r="J138" s="2">
        <v>470</v>
      </c>
      <c r="K138" s="2">
        <v>1110</v>
      </c>
      <c r="L138" s="2" t="str">
        <f t="shared" si="2"/>
        <v>Yes</v>
      </c>
    </row>
    <row r="139" spans="1:12" x14ac:dyDescent="0.3">
      <c r="A139" s="2" t="s">
        <v>298</v>
      </c>
      <c r="B139" s="2" t="s">
        <v>347</v>
      </c>
      <c r="C139" s="2" t="s">
        <v>1139</v>
      </c>
      <c r="D139" s="2" t="s">
        <v>1053</v>
      </c>
      <c r="E139" s="2" t="s">
        <v>919</v>
      </c>
      <c r="F139" s="2" t="s">
        <v>931</v>
      </c>
      <c r="G139" s="2" t="s">
        <v>921</v>
      </c>
      <c r="H139" s="5">
        <v>96.81</v>
      </c>
      <c r="I139" s="2">
        <v>580</v>
      </c>
      <c r="J139" s="2">
        <v>510</v>
      </c>
      <c r="K139" s="2">
        <v>1090</v>
      </c>
      <c r="L139" s="2" t="str">
        <f t="shared" si="2"/>
        <v>Yes</v>
      </c>
    </row>
    <row r="140" spans="1:12" x14ac:dyDescent="0.3">
      <c r="A140" s="2" t="s">
        <v>298</v>
      </c>
      <c r="B140" s="2" t="s">
        <v>349</v>
      </c>
      <c r="C140" s="2" t="s">
        <v>1140</v>
      </c>
      <c r="D140" s="2" t="s">
        <v>1141</v>
      </c>
      <c r="E140" s="2" t="s">
        <v>919</v>
      </c>
      <c r="F140" s="2" t="s">
        <v>1007</v>
      </c>
      <c r="G140" s="2" t="s">
        <v>1128</v>
      </c>
      <c r="H140" s="5">
        <v>88</v>
      </c>
      <c r="I140" s="2">
        <v>530</v>
      </c>
      <c r="J140" s="2">
        <v>430</v>
      </c>
      <c r="K140" s="2">
        <v>960</v>
      </c>
      <c r="L140" s="2" t="str">
        <f t="shared" si="2"/>
        <v>Yes</v>
      </c>
    </row>
    <row r="141" spans="1:12" x14ac:dyDescent="0.3">
      <c r="A141" s="2" t="s">
        <v>298</v>
      </c>
      <c r="B141" s="2" t="s">
        <v>351</v>
      </c>
      <c r="C141" s="2" t="s">
        <v>1142</v>
      </c>
      <c r="D141" s="2" t="s">
        <v>1053</v>
      </c>
      <c r="E141" s="2" t="s">
        <v>919</v>
      </c>
      <c r="F141" s="2" t="s">
        <v>931</v>
      </c>
      <c r="G141" s="2" t="s">
        <v>921</v>
      </c>
      <c r="H141" s="5">
        <v>92.31</v>
      </c>
      <c r="I141" s="2">
        <v>530</v>
      </c>
      <c r="J141" s="2">
        <v>470</v>
      </c>
      <c r="K141" s="2">
        <v>1000</v>
      </c>
      <c r="L141" s="2" t="str">
        <f t="shared" si="2"/>
        <v>Yes</v>
      </c>
    </row>
    <row r="142" spans="1:12" x14ac:dyDescent="0.3">
      <c r="A142" s="2" t="s">
        <v>298</v>
      </c>
      <c r="B142" s="2" t="s">
        <v>353</v>
      </c>
      <c r="C142" s="2" t="s">
        <v>1143</v>
      </c>
      <c r="D142" s="2" t="s">
        <v>1119</v>
      </c>
      <c r="E142" s="2" t="s">
        <v>924</v>
      </c>
      <c r="F142" s="2" t="s">
        <v>931</v>
      </c>
      <c r="G142" s="2" t="s">
        <v>1026</v>
      </c>
      <c r="H142" s="5">
        <v>67.88</v>
      </c>
      <c r="I142" s="2">
        <v>430</v>
      </c>
      <c r="J142" s="2">
        <v>450</v>
      </c>
      <c r="K142" s="2">
        <v>880</v>
      </c>
      <c r="L142" s="2" t="str">
        <f t="shared" si="2"/>
        <v>Yes</v>
      </c>
    </row>
    <row r="143" spans="1:12" x14ac:dyDescent="0.3">
      <c r="A143" s="2" t="s">
        <v>298</v>
      </c>
      <c r="B143" s="2" t="s">
        <v>355</v>
      </c>
      <c r="C143" s="2" t="s">
        <v>1144</v>
      </c>
      <c r="D143" s="2" t="s">
        <v>923</v>
      </c>
      <c r="E143" s="2" t="s">
        <v>924</v>
      </c>
      <c r="F143" s="2" t="s">
        <v>925</v>
      </c>
      <c r="G143" s="2" t="s">
        <v>1128</v>
      </c>
      <c r="H143" s="5">
        <v>94.19</v>
      </c>
      <c r="I143" s="2">
        <v>540</v>
      </c>
      <c r="J143" s="2">
        <v>390</v>
      </c>
      <c r="K143" s="2">
        <v>930</v>
      </c>
      <c r="L143" s="2" t="str">
        <f t="shared" si="2"/>
        <v>Yes</v>
      </c>
    </row>
    <row r="144" spans="1:12" x14ac:dyDescent="0.3">
      <c r="A144" s="2" t="s">
        <v>298</v>
      </c>
      <c r="B144" s="2" t="s">
        <v>357</v>
      </c>
      <c r="C144" s="2" t="s">
        <v>1145</v>
      </c>
      <c r="D144" s="2" t="s">
        <v>1146</v>
      </c>
      <c r="E144" s="2" t="s">
        <v>919</v>
      </c>
      <c r="F144" s="2" t="s">
        <v>931</v>
      </c>
      <c r="G144" s="2" t="s">
        <v>1147</v>
      </c>
      <c r="H144" s="5">
        <v>94.94</v>
      </c>
      <c r="I144" s="2">
        <v>560</v>
      </c>
      <c r="J144" s="2">
        <v>420</v>
      </c>
      <c r="K144" s="2">
        <v>980</v>
      </c>
      <c r="L144" s="2" t="str">
        <f t="shared" si="2"/>
        <v>Yes</v>
      </c>
    </row>
    <row r="145" spans="1:12" x14ac:dyDescent="0.3">
      <c r="A145" s="2" t="s">
        <v>298</v>
      </c>
      <c r="B145" s="2" t="s">
        <v>359</v>
      </c>
      <c r="C145" s="2" t="s">
        <v>1148</v>
      </c>
      <c r="D145" s="2" t="s">
        <v>923</v>
      </c>
      <c r="E145" s="2" t="s">
        <v>924</v>
      </c>
      <c r="F145" s="2" t="s">
        <v>920</v>
      </c>
      <c r="G145" s="2" t="s">
        <v>1149</v>
      </c>
      <c r="H145" s="5">
        <v>75.31</v>
      </c>
      <c r="I145" s="2">
        <v>500</v>
      </c>
      <c r="J145" s="2">
        <v>460</v>
      </c>
      <c r="K145" s="2">
        <v>960</v>
      </c>
      <c r="L145" s="2" t="str">
        <f t="shared" si="2"/>
        <v>Yes</v>
      </c>
    </row>
    <row r="146" spans="1:12" x14ac:dyDescent="0.3">
      <c r="A146" s="2" t="s">
        <v>298</v>
      </c>
      <c r="B146" s="2" t="s">
        <v>361</v>
      </c>
      <c r="C146" s="2" t="s">
        <v>1150</v>
      </c>
      <c r="D146" s="2" t="s">
        <v>923</v>
      </c>
      <c r="E146" s="2" t="s">
        <v>924</v>
      </c>
      <c r="F146" s="2" t="s">
        <v>920</v>
      </c>
      <c r="G146" s="2" t="s">
        <v>921</v>
      </c>
      <c r="H146" s="5">
        <v>86</v>
      </c>
      <c r="I146" s="2">
        <v>460</v>
      </c>
      <c r="J146" s="2">
        <v>440</v>
      </c>
      <c r="K146" s="2">
        <v>900</v>
      </c>
      <c r="L146" s="2" t="str">
        <f t="shared" si="2"/>
        <v>Yes</v>
      </c>
    </row>
    <row r="147" spans="1:12" x14ac:dyDescent="0.3">
      <c r="A147" s="2" t="s">
        <v>298</v>
      </c>
      <c r="B147" s="2" t="s">
        <v>363</v>
      </c>
      <c r="C147" s="2" t="s">
        <v>1151</v>
      </c>
      <c r="D147" s="2" t="s">
        <v>1135</v>
      </c>
      <c r="E147" s="2" t="s">
        <v>924</v>
      </c>
      <c r="F147" s="2" t="s">
        <v>925</v>
      </c>
      <c r="G147" s="2" t="s">
        <v>1128</v>
      </c>
      <c r="H147" s="5">
        <v>98.94</v>
      </c>
      <c r="I147" s="2">
        <v>790</v>
      </c>
      <c r="J147" s="2">
        <v>610</v>
      </c>
      <c r="K147" s="2">
        <v>1400</v>
      </c>
      <c r="L147" s="2" t="str">
        <f t="shared" si="2"/>
        <v>Yes</v>
      </c>
    </row>
    <row r="148" spans="1:12" x14ac:dyDescent="0.3">
      <c r="A148" s="2" t="s">
        <v>298</v>
      </c>
      <c r="B148" s="2" t="s">
        <v>365</v>
      </c>
      <c r="C148" s="2" t="s">
        <v>1152</v>
      </c>
      <c r="D148" s="2" t="s">
        <v>1153</v>
      </c>
      <c r="E148" s="2" t="s">
        <v>924</v>
      </c>
      <c r="F148" s="2" t="s">
        <v>1154</v>
      </c>
      <c r="G148" s="2" t="s">
        <v>1149</v>
      </c>
      <c r="H148" s="5">
        <v>88.38</v>
      </c>
      <c r="I148" s="2">
        <v>550</v>
      </c>
      <c r="J148" s="2">
        <v>480</v>
      </c>
      <c r="K148" s="2">
        <v>1030</v>
      </c>
      <c r="L148" s="2" t="str">
        <f t="shared" si="2"/>
        <v>No</v>
      </c>
    </row>
    <row r="149" spans="1:12" x14ac:dyDescent="0.3">
      <c r="A149" s="2" t="s">
        <v>298</v>
      </c>
      <c r="B149" s="2" t="s">
        <v>367</v>
      </c>
      <c r="C149" s="2" t="s">
        <v>1155</v>
      </c>
      <c r="D149" s="2" t="s">
        <v>1135</v>
      </c>
      <c r="E149" s="2" t="s">
        <v>924</v>
      </c>
      <c r="F149" s="2" t="s">
        <v>925</v>
      </c>
      <c r="G149" s="2" t="s">
        <v>1128</v>
      </c>
      <c r="H149" s="5">
        <v>97.19</v>
      </c>
      <c r="I149" s="2">
        <v>680</v>
      </c>
      <c r="J149" s="2">
        <v>630</v>
      </c>
      <c r="K149" s="2">
        <v>1310</v>
      </c>
      <c r="L149" s="2" t="str">
        <f t="shared" si="2"/>
        <v>Yes</v>
      </c>
    </row>
    <row r="150" spans="1:12" x14ac:dyDescent="0.3">
      <c r="A150" s="2" t="s">
        <v>298</v>
      </c>
      <c r="B150" s="2" t="s">
        <v>369</v>
      </c>
      <c r="C150" s="2" t="s">
        <v>1156</v>
      </c>
      <c r="D150" s="2" t="s">
        <v>923</v>
      </c>
      <c r="E150" s="2" t="s">
        <v>924</v>
      </c>
      <c r="F150" s="2" t="s">
        <v>931</v>
      </c>
      <c r="G150" s="2" t="s">
        <v>921</v>
      </c>
      <c r="H150" s="5">
        <v>87.44</v>
      </c>
      <c r="I150" s="2">
        <v>590</v>
      </c>
      <c r="J150" s="2">
        <v>470</v>
      </c>
      <c r="K150" s="2">
        <v>1060</v>
      </c>
      <c r="L150" s="2" t="str">
        <f t="shared" si="2"/>
        <v>Yes</v>
      </c>
    </row>
    <row r="151" spans="1:12" x14ac:dyDescent="0.3">
      <c r="A151" s="2" t="s">
        <v>298</v>
      </c>
      <c r="B151" s="2" t="s">
        <v>371</v>
      </c>
      <c r="C151" s="2" t="s">
        <v>1157</v>
      </c>
      <c r="D151" s="2" t="s">
        <v>1135</v>
      </c>
      <c r="E151" s="2" t="s">
        <v>924</v>
      </c>
      <c r="F151" s="2" t="s">
        <v>1158</v>
      </c>
      <c r="G151" s="2" t="s">
        <v>1128</v>
      </c>
      <c r="H151" s="5">
        <v>94</v>
      </c>
      <c r="I151" s="2">
        <v>580</v>
      </c>
      <c r="J151" s="2">
        <v>500</v>
      </c>
      <c r="K151" s="2">
        <v>1080</v>
      </c>
      <c r="L151" s="2" t="str">
        <f t="shared" si="2"/>
        <v>Yes</v>
      </c>
    </row>
    <row r="152" spans="1:12" x14ac:dyDescent="0.3">
      <c r="A152" s="2" t="s">
        <v>298</v>
      </c>
      <c r="B152" s="2" t="s">
        <v>373</v>
      </c>
      <c r="C152" s="2" t="s">
        <v>1159</v>
      </c>
      <c r="D152" s="2" t="s">
        <v>923</v>
      </c>
      <c r="E152" s="2" t="s">
        <v>924</v>
      </c>
      <c r="F152" s="2" t="s">
        <v>925</v>
      </c>
      <c r="G152" s="2" t="s">
        <v>1128</v>
      </c>
      <c r="H152" s="5">
        <v>81.88</v>
      </c>
      <c r="I152" s="2">
        <v>550</v>
      </c>
      <c r="J152" s="2">
        <v>430</v>
      </c>
      <c r="K152" s="2">
        <v>980</v>
      </c>
      <c r="L152" s="2" t="str">
        <f t="shared" si="2"/>
        <v>Yes</v>
      </c>
    </row>
    <row r="153" spans="1:12" x14ac:dyDescent="0.3">
      <c r="A153" s="2" t="s">
        <v>298</v>
      </c>
      <c r="B153" s="2" t="s">
        <v>375</v>
      </c>
      <c r="C153" s="2" t="s">
        <v>1160</v>
      </c>
      <c r="D153" s="2" t="s">
        <v>1131</v>
      </c>
      <c r="E153" s="2" t="s">
        <v>924</v>
      </c>
      <c r="F153" s="2" t="s">
        <v>1161</v>
      </c>
      <c r="G153" s="2" t="s">
        <v>1161</v>
      </c>
      <c r="H153" s="5">
        <v>67.75</v>
      </c>
      <c r="I153" s="2">
        <v>400</v>
      </c>
      <c r="J153" s="2">
        <v>350</v>
      </c>
      <c r="K153" s="2">
        <v>750</v>
      </c>
      <c r="L153" s="2" t="str">
        <f t="shared" si="2"/>
        <v>No</v>
      </c>
    </row>
    <row r="154" spans="1:12" x14ac:dyDescent="0.3">
      <c r="A154" s="2" t="s">
        <v>298</v>
      </c>
      <c r="B154" s="2" t="s">
        <v>377</v>
      </c>
      <c r="C154" s="2" t="s">
        <v>1162</v>
      </c>
      <c r="D154" s="2" t="s">
        <v>923</v>
      </c>
      <c r="E154" s="2" t="s">
        <v>924</v>
      </c>
      <c r="F154" s="2" t="s">
        <v>920</v>
      </c>
      <c r="G154" s="2" t="s">
        <v>958</v>
      </c>
      <c r="H154" s="5">
        <v>82.06</v>
      </c>
      <c r="I154" s="2">
        <v>540</v>
      </c>
      <c r="J154" s="2">
        <v>490</v>
      </c>
      <c r="K154" s="2">
        <v>1030</v>
      </c>
      <c r="L154" s="2" t="str">
        <f t="shared" si="2"/>
        <v>Yes</v>
      </c>
    </row>
    <row r="155" spans="1:12" x14ac:dyDescent="0.3">
      <c r="A155" s="2" t="s">
        <v>298</v>
      </c>
      <c r="B155" s="2" t="s">
        <v>379</v>
      </c>
      <c r="C155" s="2" t="s">
        <v>1163</v>
      </c>
      <c r="D155" s="2" t="s">
        <v>1164</v>
      </c>
      <c r="E155" s="2" t="s">
        <v>1036</v>
      </c>
      <c r="F155" s="2" t="s">
        <v>943</v>
      </c>
      <c r="G155" s="2" t="s">
        <v>921</v>
      </c>
      <c r="H155" s="5">
        <v>82.56</v>
      </c>
      <c r="I155" s="2">
        <v>500</v>
      </c>
      <c r="J155" s="2">
        <v>490</v>
      </c>
      <c r="K155" s="2">
        <v>990</v>
      </c>
      <c r="L155" s="2" t="str">
        <f t="shared" si="2"/>
        <v>Yes</v>
      </c>
    </row>
    <row r="156" spans="1:12" x14ac:dyDescent="0.3">
      <c r="A156" s="2" t="s">
        <v>298</v>
      </c>
      <c r="B156" s="2" t="s">
        <v>381</v>
      </c>
      <c r="C156" s="2" t="s">
        <v>1165</v>
      </c>
      <c r="D156" s="2" t="s">
        <v>1135</v>
      </c>
      <c r="E156" s="2" t="s">
        <v>924</v>
      </c>
      <c r="F156" s="2" t="s">
        <v>925</v>
      </c>
      <c r="G156" s="2" t="s">
        <v>1128</v>
      </c>
      <c r="H156" s="5">
        <v>96.69</v>
      </c>
      <c r="I156" s="2">
        <v>600</v>
      </c>
      <c r="J156" s="2">
        <v>600</v>
      </c>
      <c r="K156" s="2">
        <v>1200</v>
      </c>
      <c r="L156" s="2" t="str">
        <f t="shared" si="2"/>
        <v>Yes</v>
      </c>
    </row>
    <row r="157" spans="1:12" x14ac:dyDescent="0.3">
      <c r="A157" s="2" t="s">
        <v>298</v>
      </c>
      <c r="B157" s="2" t="s">
        <v>383</v>
      </c>
      <c r="C157" s="2" t="s">
        <v>1166</v>
      </c>
      <c r="D157" s="2" t="s">
        <v>923</v>
      </c>
      <c r="E157" s="2" t="s">
        <v>924</v>
      </c>
      <c r="F157" s="2" t="s">
        <v>925</v>
      </c>
      <c r="G157" s="2" t="s">
        <v>1128</v>
      </c>
      <c r="H157" s="5">
        <v>93.81</v>
      </c>
      <c r="I157" s="2">
        <v>570</v>
      </c>
      <c r="J157" s="2">
        <v>430</v>
      </c>
      <c r="K157" s="2">
        <v>1000</v>
      </c>
      <c r="L157" s="2" t="str">
        <f t="shared" si="2"/>
        <v>Yes</v>
      </c>
    </row>
    <row r="158" spans="1:12" x14ac:dyDescent="0.3">
      <c r="A158" s="2" t="s">
        <v>298</v>
      </c>
      <c r="B158" s="2" t="s">
        <v>385</v>
      </c>
      <c r="C158" s="2" t="s">
        <v>1167</v>
      </c>
      <c r="D158" s="2" t="s">
        <v>923</v>
      </c>
      <c r="E158" s="2" t="s">
        <v>924</v>
      </c>
      <c r="F158" s="2" t="s">
        <v>952</v>
      </c>
      <c r="G158" s="2" t="s">
        <v>1149</v>
      </c>
      <c r="H158" s="5">
        <v>85.38</v>
      </c>
      <c r="I158" s="2">
        <v>560</v>
      </c>
      <c r="J158" s="2">
        <v>580</v>
      </c>
      <c r="K158" s="2">
        <v>1140</v>
      </c>
      <c r="L158" s="2" t="str">
        <f t="shared" si="2"/>
        <v>Yes</v>
      </c>
    </row>
    <row r="159" spans="1:12" x14ac:dyDescent="0.3">
      <c r="A159" s="2" t="s">
        <v>298</v>
      </c>
      <c r="B159" s="2" t="s">
        <v>387</v>
      </c>
      <c r="C159" s="2" t="s">
        <v>1168</v>
      </c>
      <c r="D159" s="2" t="s">
        <v>923</v>
      </c>
      <c r="E159" s="2" t="s">
        <v>924</v>
      </c>
      <c r="F159" s="2" t="s">
        <v>1109</v>
      </c>
      <c r="G159" s="2" t="s">
        <v>958</v>
      </c>
      <c r="H159" s="5">
        <v>89.81</v>
      </c>
      <c r="I159" s="2">
        <v>510</v>
      </c>
      <c r="J159" s="2">
        <v>440</v>
      </c>
      <c r="K159" s="2">
        <v>950</v>
      </c>
      <c r="L159" s="2" t="str">
        <f t="shared" si="2"/>
        <v>Yes</v>
      </c>
    </row>
    <row r="160" spans="1:12" x14ac:dyDescent="0.3">
      <c r="A160" s="2" t="s">
        <v>298</v>
      </c>
      <c r="B160" s="2" t="s">
        <v>389</v>
      </c>
      <c r="C160" s="2" t="s">
        <v>1169</v>
      </c>
      <c r="D160" s="2" t="s">
        <v>923</v>
      </c>
      <c r="E160" s="2" t="s">
        <v>924</v>
      </c>
      <c r="F160" s="2" t="s">
        <v>1007</v>
      </c>
      <c r="G160" s="2" t="s">
        <v>1128</v>
      </c>
      <c r="H160" s="5">
        <v>93.69</v>
      </c>
      <c r="I160" s="2">
        <v>570</v>
      </c>
      <c r="J160" s="2">
        <v>500</v>
      </c>
      <c r="K160" s="2">
        <v>1070</v>
      </c>
      <c r="L160" s="2" t="str">
        <f t="shared" si="2"/>
        <v>Yes</v>
      </c>
    </row>
    <row r="161" spans="1:12" x14ac:dyDescent="0.3">
      <c r="A161" s="2" t="s">
        <v>298</v>
      </c>
      <c r="B161" s="2" t="s">
        <v>391</v>
      </c>
      <c r="C161" s="2" t="s">
        <v>1170</v>
      </c>
      <c r="D161" s="2" t="s">
        <v>923</v>
      </c>
      <c r="E161" s="2" t="s">
        <v>924</v>
      </c>
      <c r="F161" s="2" t="s">
        <v>1007</v>
      </c>
      <c r="G161" s="2" t="s">
        <v>1128</v>
      </c>
      <c r="H161" s="5">
        <v>94.25</v>
      </c>
      <c r="I161" s="2">
        <v>610</v>
      </c>
      <c r="J161" s="2">
        <v>570</v>
      </c>
      <c r="K161" s="2">
        <v>1180</v>
      </c>
      <c r="L161" s="2" t="str">
        <f t="shared" si="2"/>
        <v>Yes</v>
      </c>
    </row>
    <row r="162" spans="1:12" x14ac:dyDescent="0.3">
      <c r="A162" s="2" t="s">
        <v>298</v>
      </c>
      <c r="B162" s="2" t="s">
        <v>393</v>
      </c>
      <c r="C162" s="2" t="s">
        <v>1171</v>
      </c>
      <c r="D162" s="2" t="s">
        <v>923</v>
      </c>
      <c r="E162" s="2" t="s">
        <v>924</v>
      </c>
      <c r="F162" s="2" t="s">
        <v>1007</v>
      </c>
      <c r="G162" s="2" t="s">
        <v>1128</v>
      </c>
      <c r="H162" s="5">
        <v>92.38</v>
      </c>
      <c r="I162" s="2">
        <v>670</v>
      </c>
      <c r="J162" s="2">
        <v>480</v>
      </c>
      <c r="K162" s="2">
        <v>1140</v>
      </c>
      <c r="L162" s="2" t="str">
        <f t="shared" si="2"/>
        <v>Yes</v>
      </c>
    </row>
    <row r="163" spans="1:12" x14ac:dyDescent="0.3">
      <c r="A163" s="2" t="s">
        <v>298</v>
      </c>
      <c r="B163" s="2" t="s">
        <v>395</v>
      </c>
      <c r="C163" s="2" t="s">
        <v>1172</v>
      </c>
      <c r="D163" s="2" t="s">
        <v>1153</v>
      </c>
      <c r="E163" s="2" t="s">
        <v>924</v>
      </c>
      <c r="F163" s="2" t="s">
        <v>1173</v>
      </c>
      <c r="G163" s="2" t="s">
        <v>1149</v>
      </c>
      <c r="H163" s="5">
        <v>94</v>
      </c>
      <c r="I163" s="2">
        <v>580</v>
      </c>
      <c r="J163" s="2">
        <v>520</v>
      </c>
      <c r="K163" s="2">
        <v>110</v>
      </c>
      <c r="L163" s="2" t="str">
        <f t="shared" si="2"/>
        <v>No</v>
      </c>
    </row>
    <row r="164" spans="1:12" x14ac:dyDescent="0.3">
      <c r="A164" s="2" t="s">
        <v>298</v>
      </c>
      <c r="B164" s="2" t="s">
        <v>397</v>
      </c>
      <c r="C164" s="2" t="s">
        <v>1174</v>
      </c>
      <c r="D164" s="2" t="s">
        <v>965</v>
      </c>
      <c r="E164" s="2" t="s">
        <v>924</v>
      </c>
      <c r="F164" s="2" t="s">
        <v>1037</v>
      </c>
      <c r="G164" s="2" t="s">
        <v>1175</v>
      </c>
      <c r="H164" s="5">
        <v>93.63</v>
      </c>
      <c r="I164" s="2">
        <v>620</v>
      </c>
      <c r="J164" s="2">
        <v>420</v>
      </c>
      <c r="K164" s="2">
        <v>1040</v>
      </c>
      <c r="L164" s="2" t="str">
        <f t="shared" si="2"/>
        <v>No</v>
      </c>
    </row>
    <row r="165" spans="1:12" x14ac:dyDescent="0.3">
      <c r="A165" s="2" t="s">
        <v>298</v>
      </c>
      <c r="B165" s="2" t="s">
        <v>399</v>
      </c>
      <c r="C165" s="2" t="s">
        <v>1176</v>
      </c>
      <c r="D165" s="2" t="s">
        <v>1133</v>
      </c>
      <c r="E165" s="2" t="s">
        <v>924</v>
      </c>
      <c r="F165" s="2" t="s">
        <v>1007</v>
      </c>
      <c r="G165" s="2" t="s">
        <v>1128</v>
      </c>
      <c r="H165" s="5">
        <v>97.44</v>
      </c>
      <c r="I165" s="2">
        <v>650</v>
      </c>
      <c r="J165" s="2">
        <v>600</v>
      </c>
      <c r="K165" s="2">
        <v>1250</v>
      </c>
      <c r="L165" s="2" t="str">
        <f t="shared" si="2"/>
        <v>Yes</v>
      </c>
    </row>
    <row r="166" spans="1:12" x14ac:dyDescent="0.3">
      <c r="A166" s="2" t="s">
        <v>298</v>
      </c>
      <c r="B166" s="2" t="s">
        <v>401</v>
      </c>
      <c r="C166" s="2" t="s">
        <v>1177</v>
      </c>
      <c r="D166" s="2" t="s">
        <v>1133</v>
      </c>
      <c r="E166" s="2" t="s">
        <v>924</v>
      </c>
      <c r="F166" s="2" t="s">
        <v>1007</v>
      </c>
      <c r="G166" s="2" t="s">
        <v>958</v>
      </c>
      <c r="H166" s="5">
        <v>99</v>
      </c>
      <c r="I166" s="2">
        <v>760</v>
      </c>
      <c r="J166" s="2">
        <v>600</v>
      </c>
      <c r="K166" s="2">
        <v>1360</v>
      </c>
      <c r="L166" s="2" t="str">
        <f t="shared" si="2"/>
        <v>Yes</v>
      </c>
    </row>
    <row r="167" spans="1:12" x14ac:dyDescent="0.3">
      <c r="A167" s="2" t="s">
        <v>298</v>
      </c>
      <c r="B167" s="2" t="s">
        <v>403</v>
      </c>
      <c r="C167" s="2" t="s">
        <v>1178</v>
      </c>
      <c r="D167" s="2" t="s">
        <v>1141</v>
      </c>
      <c r="E167" s="2" t="s">
        <v>919</v>
      </c>
      <c r="F167" s="2" t="s">
        <v>1007</v>
      </c>
      <c r="G167" s="2" t="s">
        <v>958</v>
      </c>
      <c r="H167" s="5">
        <v>91.13</v>
      </c>
      <c r="I167" s="2">
        <v>550</v>
      </c>
      <c r="J167" s="2">
        <v>420</v>
      </c>
      <c r="K167" s="2">
        <v>970</v>
      </c>
      <c r="L167" s="2" t="str">
        <f t="shared" si="2"/>
        <v>Yes</v>
      </c>
    </row>
    <row r="168" spans="1:12" x14ac:dyDescent="0.3">
      <c r="A168" s="2" t="s">
        <v>298</v>
      </c>
      <c r="B168" s="2" t="s">
        <v>405</v>
      </c>
      <c r="C168" s="2" t="s">
        <v>1179</v>
      </c>
      <c r="D168" s="2" t="s">
        <v>1133</v>
      </c>
      <c r="E168" s="2" t="s">
        <v>924</v>
      </c>
      <c r="F168" s="2" t="s">
        <v>1007</v>
      </c>
      <c r="G168" s="2" t="s">
        <v>1128</v>
      </c>
      <c r="H168" s="5">
        <v>99.56</v>
      </c>
      <c r="I168" s="2">
        <v>760</v>
      </c>
      <c r="J168" s="2">
        <v>690</v>
      </c>
      <c r="K168" s="2">
        <v>1450</v>
      </c>
      <c r="L168" s="2" t="str">
        <f t="shared" si="2"/>
        <v>Yes</v>
      </c>
    </row>
    <row r="169" spans="1:12" x14ac:dyDescent="0.3">
      <c r="A169" s="2" t="s">
        <v>298</v>
      </c>
      <c r="B169" s="2" t="s">
        <v>407</v>
      </c>
      <c r="C169" s="2" t="s">
        <v>1180</v>
      </c>
      <c r="D169" s="2" t="s">
        <v>1181</v>
      </c>
      <c r="E169" s="2" t="s">
        <v>1036</v>
      </c>
      <c r="F169" s="2" t="s">
        <v>1182</v>
      </c>
      <c r="G169" s="2" t="s">
        <v>1128</v>
      </c>
      <c r="H169" s="5">
        <v>92.88</v>
      </c>
      <c r="I169" s="2">
        <v>610</v>
      </c>
      <c r="J169" s="2">
        <v>510</v>
      </c>
      <c r="K169" s="2">
        <v>1120</v>
      </c>
      <c r="L169" s="2" t="str">
        <f t="shared" si="2"/>
        <v>No</v>
      </c>
    </row>
    <row r="170" spans="1:12" x14ac:dyDescent="0.3">
      <c r="A170" s="2" t="s">
        <v>298</v>
      </c>
      <c r="B170" s="2" t="s">
        <v>409</v>
      </c>
      <c r="C170" s="2" t="s">
        <v>1183</v>
      </c>
      <c r="D170" s="2" t="s">
        <v>923</v>
      </c>
      <c r="E170" s="2" t="s">
        <v>924</v>
      </c>
      <c r="F170" s="2" t="s">
        <v>1007</v>
      </c>
      <c r="G170" s="2" t="s">
        <v>1128</v>
      </c>
      <c r="H170" s="5">
        <v>92</v>
      </c>
      <c r="I170" s="2">
        <v>570</v>
      </c>
      <c r="J170" s="2">
        <v>470</v>
      </c>
      <c r="K170" s="2">
        <v>1040</v>
      </c>
      <c r="L170" s="2" t="str">
        <f t="shared" si="2"/>
        <v>Yes</v>
      </c>
    </row>
    <row r="171" spans="1:12" x14ac:dyDescent="0.3">
      <c r="A171" s="2" t="s">
        <v>298</v>
      </c>
      <c r="B171" s="2" t="s">
        <v>411</v>
      </c>
      <c r="C171" s="2" t="s">
        <v>1184</v>
      </c>
      <c r="D171" s="2" t="s">
        <v>1185</v>
      </c>
      <c r="E171" s="2" t="s">
        <v>1036</v>
      </c>
      <c r="F171" s="2" t="s">
        <v>920</v>
      </c>
      <c r="G171" s="2" t="s">
        <v>921</v>
      </c>
      <c r="H171" s="5">
        <v>89.44</v>
      </c>
      <c r="I171" s="2">
        <v>510</v>
      </c>
      <c r="J171" s="2">
        <v>620</v>
      </c>
      <c r="K171" s="2">
        <v>1130</v>
      </c>
      <c r="L171" s="2" t="str">
        <f t="shared" si="2"/>
        <v>Yes</v>
      </c>
    </row>
    <row r="172" spans="1:12" x14ac:dyDescent="0.3">
      <c r="A172" s="2" t="s">
        <v>298</v>
      </c>
      <c r="B172" s="2" t="s">
        <v>413</v>
      </c>
      <c r="C172" s="2" t="s">
        <v>1186</v>
      </c>
      <c r="D172" s="2" t="s">
        <v>1187</v>
      </c>
      <c r="E172" s="2" t="s">
        <v>924</v>
      </c>
      <c r="F172" s="2" t="s">
        <v>1007</v>
      </c>
      <c r="G172" s="2" t="s">
        <v>1128</v>
      </c>
      <c r="H172" s="5">
        <v>95.5</v>
      </c>
      <c r="I172" s="2">
        <v>540</v>
      </c>
      <c r="J172" s="2">
        <v>410</v>
      </c>
      <c r="K172" s="2">
        <v>950</v>
      </c>
      <c r="L172" s="2" t="str">
        <f t="shared" si="2"/>
        <v>Yes</v>
      </c>
    </row>
    <row r="173" spans="1:12" x14ac:dyDescent="0.3">
      <c r="A173" s="2" t="s">
        <v>298</v>
      </c>
      <c r="B173" s="2" t="s">
        <v>415</v>
      </c>
      <c r="C173" s="2" t="s">
        <v>1188</v>
      </c>
      <c r="D173" s="2" t="s">
        <v>1133</v>
      </c>
      <c r="E173" s="2" t="s">
        <v>924</v>
      </c>
      <c r="F173" s="2" t="s">
        <v>1007</v>
      </c>
      <c r="G173" s="2" t="s">
        <v>1128</v>
      </c>
      <c r="H173" s="5">
        <v>97</v>
      </c>
      <c r="I173" s="2">
        <v>620</v>
      </c>
      <c r="J173" s="2">
        <v>540</v>
      </c>
      <c r="K173" s="2">
        <v>1160</v>
      </c>
      <c r="L173" s="2" t="str">
        <f t="shared" si="2"/>
        <v>Yes</v>
      </c>
    </row>
    <row r="174" spans="1:12" x14ac:dyDescent="0.3">
      <c r="A174" s="2" t="s">
        <v>298</v>
      </c>
      <c r="B174" s="2" t="s">
        <v>417</v>
      </c>
      <c r="C174" s="2" t="s">
        <v>1189</v>
      </c>
      <c r="D174" s="2" t="s">
        <v>1141</v>
      </c>
      <c r="E174" s="2" t="s">
        <v>919</v>
      </c>
      <c r="F174" s="2" t="s">
        <v>1007</v>
      </c>
      <c r="G174" s="2" t="s">
        <v>958</v>
      </c>
      <c r="H174" s="5">
        <v>89</v>
      </c>
      <c r="I174" s="2">
        <v>610</v>
      </c>
      <c r="J174" s="2">
        <v>500</v>
      </c>
      <c r="K174" s="2">
        <v>1110</v>
      </c>
      <c r="L174" s="2" t="str">
        <f t="shared" si="2"/>
        <v>Yes</v>
      </c>
    </row>
    <row r="175" spans="1:12" x14ac:dyDescent="0.3">
      <c r="A175" s="2" t="s">
        <v>419</v>
      </c>
      <c r="B175" s="2" t="s">
        <v>420</v>
      </c>
      <c r="C175" s="2" t="s">
        <v>1190</v>
      </c>
      <c r="D175" s="2" t="s">
        <v>1053</v>
      </c>
      <c r="E175" s="2"/>
      <c r="F175" s="2" t="s">
        <v>920</v>
      </c>
      <c r="G175" s="2"/>
      <c r="H175" s="5">
        <v>89.75</v>
      </c>
      <c r="I175" s="2">
        <v>0</v>
      </c>
      <c r="J175" s="2">
        <v>0</v>
      </c>
      <c r="K175" s="2">
        <v>0</v>
      </c>
      <c r="L175" s="2" t="str">
        <f t="shared" si="2"/>
        <v>Yes</v>
      </c>
    </row>
    <row r="176" spans="1:12" x14ac:dyDescent="0.3">
      <c r="A176" s="2" t="s">
        <v>419</v>
      </c>
      <c r="B176" s="2" t="s">
        <v>423</v>
      </c>
      <c r="C176" s="2" t="s">
        <v>1191</v>
      </c>
      <c r="D176" s="2" t="s">
        <v>965</v>
      </c>
      <c r="E176" s="2"/>
      <c r="F176" s="2" t="s">
        <v>1116</v>
      </c>
      <c r="G176" s="2"/>
      <c r="H176" s="5">
        <v>82.19</v>
      </c>
      <c r="I176" s="2">
        <v>370</v>
      </c>
      <c r="J176" s="2">
        <v>430</v>
      </c>
      <c r="K176" s="2">
        <v>800</v>
      </c>
      <c r="L176" s="2" t="str">
        <f t="shared" si="2"/>
        <v>No</v>
      </c>
    </row>
    <row r="177" spans="1:12" x14ac:dyDescent="0.3">
      <c r="A177" s="2" t="s">
        <v>419</v>
      </c>
      <c r="B177" s="2" t="s">
        <v>425</v>
      </c>
      <c r="C177" s="2" t="s">
        <v>1192</v>
      </c>
      <c r="D177" s="2" t="s">
        <v>923</v>
      </c>
      <c r="E177" s="2"/>
      <c r="F177" s="2" t="s">
        <v>931</v>
      </c>
      <c r="G177" s="2"/>
      <c r="H177" s="5">
        <v>95.94</v>
      </c>
      <c r="I177" s="2">
        <v>440</v>
      </c>
      <c r="J177" s="2">
        <v>600</v>
      </c>
      <c r="K177" s="2">
        <v>1040</v>
      </c>
      <c r="L177" s="2" t="str">
        <f t="shared" si="2"/>
        <v>Yes</v>
      </c>
    </row>
    <row r="178" spans="1:12" x14ac:dyDescent="0.3">
      <c r="A178" s="2" t="s">
        <v>419</v>
      </c>
      <c r="B178" s="2" t="s">
        <v>427</v>
      </c>
      <c r="C178" s="2" t="s">
        <v>1193</v>
      </c>
      <c r="D178" s="2" t="s">
        <v>1135</v>
      </c>
      <c r="E178" s="2"/>
      <c r="F178" s="2" t="s">
        <v>1158</v>
      </c>
      <c r="G178" s="2"/>
      <c r="H178" s="5">
        <v>97.88</v>
      </c>
      <c r="I178" s="2">
        <v>400</v>
      </c>
      <c r="J178" s="2">
        <v>540</v>
      </c>
      <c r="K178" s="2">
        <v>940</v>
      </c>
      <c r="L178" s="2" t="str">
        <f t="shared" si="2"/>
        <v>Yes</v>
      </c>
    </row>
    <row r="179" spans="1:12" x14ac:dyDescent="0.3">
      <c r="A179" s="2" t="s">
        <v>419</v>
      </c>
      <c r="B179" s="2" t="s">
        <v>429</v>
      </c>
      <c r="C179" s="2" t="s">
        <v>1194</v>
      </c>
      <c r="D179" s="2" t="s">
        <v>1053</v>
      </c>
      <c r="E179" s="2"/>
      <c r="F179" s="2" t="s">
        <v>931</v>
      </c>
      <c r="G179" s="2"/>
      <c r="H179" s="5">
        <v>87.75</v>
      </c>
      <c r="I179" s="2">
        <v>520</v>
      </c>
      <c r="J179" s="2">
        <v>540</v>
      </c>
      <c r="K179" s="2">
        <v>1060</v>
      </c>
      <c r="L179" s="2" t="str">
        <f t="shared" si="2"/>
        <v>Yes</v>
      </c>
    </row>
    <row r="180" spans="1:12" x14ac:dyDescent="0.3">
      <c r="A180" s="2" t="s">
        <v>419</v>
      </c>
      <c r="B180" s="2" t="s">
        <v>431</v>
      </c>
      <c r="C180" s="2" t="s">
        <v>1195</v>
      </c>
      <c r="D180" s="2" t="s">
        <v>1196</v>
      </c>
      <c r="E180" s="2"/>
      <c r="F180" s="2" t="s">
        <v>931</v>
      </c>
      <c r="G180" s="2"/>
      <c r="H180" s="5">
        <v>81.63</v>
      </c>
      <c r="I180" s="2">
        <v>490</v>
      </c>
      <c r="J180" s="2">
        <v>520</v>
      </c>
      <c r="K180" s="2">
        <v>1010</v>
      </c>
      <c r="L180" s="2" t="str">
        <f t="shared" si="2"/>
        <v>Yes</v>
      </c>
    </row>
    <row r="181" spans="1:12" x14ac:dyDescent="0.3">
      <c r="A181" s="2" t="s">
        <v>419</v>
      </c>
      <c r="B181" s="2" t="s">
        <v>433</v>
      </c>
      <c r="C181" s="2" t="s">
        <v>1197</v>
      </c>
      <c r="D181" s="2" t="s">
        <v>1135</v>
      </c>
      <c r="E181" s="2"/>
      <c r="F181" s="2" t="s">
        <v>1158</v>
      </c>
      <c r="G181" s="2"/>
      <c r="H181" s="5">
        <v>96.81</v>
      </c>
      <c r="I181" s="2">
        <v>500</v>
      </c>
      <c r="J181" s="2">
        <v>580</v>
      </c>
      <c r="K181" s="2">
        <v>1080</v>
      </c>
      <c r="L181" s="2" t="str">
        <f t="shared" si="2"/>
        <v>Yes</v>
      </c>
    </row>
    <row r="182" spans="1:12" x14ac:dyDescent="0.3">
      <c r="A182" s="2" t="s">
        <v>419</v>
      </c>
      <c r="B182" s="2" t="s">
        <v>435</v>
      </c>
      <c r="C182" s="2" t="s">
        <v>1198</v>
      </c>
      <c r="D182" s="2" t="s">
        <v>1196</v>
      </c>
      <c r="E182" s="2"/>
      <c r="F182" s="2" t="s">
        <v>931</v>
      </c>
      <c r="G182" s="2"/>
      <c r="H182" s="5">
        <v>95.69</v>
      </c>
      <c r="I182" s="2">
        <v>590</v>
      </c>
      <c r="J182" s="2">
        <v>620</v>
      </c>
      <c r="K182" s="2">
        <v>1210</v>
      </c>
      <c r="L182" s="2" t="str">
        <f t="shared" si="2"/>
        <v>Yes</v>
      </c>
    </row>
    <row r="183" spans="1:12" x14ac:dyDescent="0.3">
      <c r="A183" s="2" t="s">
        <v>419</v>
      </c>
      <c r="B183" s="2" t="s">
        <v>437</v>
      </c>
      <c r="C183" s="2" t="s">
        <v>1199</v>
      </c>
      <c r="D183" s="2" t="s">
        <v>1196</v>
      </c>
      <c r="E183" s="2"/>
      <c r="F183" s="2" t="s">
        <v>1109</v>
      </c>
      <c r="G183" s="2"/>
      <c r="H183" s="5">
        <v>87.44</v>
      </c>
      <c r="I183" s="2">
        <v>550</v>
      </c>
      <c r="J183" s="2">
        <v>580</v>
      </c>
      <c r="K183" s="2">
        <v>1130</v>
      </c>
      <c r="L183" s="2" t="str">
        <f t="shared" si="2"/>
        <v>Yes</v>
      </c>
    </row>
    <row r="184" spans="1:12" x14ac:dyDescent="0.3">
      <c r="A184" s="2" t="s">
        <v>419</v>
      </c>
      <c r="B184" s="2" t="s">
        <v>439</v>
      </c>
      <c r="C184" s="2" t="s">
        <v>1200</v>
      </c>
      <c r="D184" s="2" t="s">
        <v>1185</v>
      </c>
      <c r="E184" s="2"/>
      <c r="F184" s="2" t="s">
        <v>931</v>
      </c>
      <c r="G184" s="2"/>
      <c r="H184" s="5">
        <v>91.63</v>
      </c>
      <c r="I184" s="2">
        <v>470</v>
      </c>
      <c r="J184" s="2">
        <v>670</v>
      </c>
      <c r="K184" s="2">
        <v>1140</v>
      </c>
      <c r="L184" s="2" t="str">
        <f t="shared" si="2"/>
        <v>Yes</v>
      </c>
    </row>
    <row r="185" spans="1:12" x14ac:dyDescent="0.3">
      <c r="A185" s="2" t="s">
        <v>419</v>
      </c>
      <c r="B185" s="2" t="s">
        <v>441</v>
      </c>
      <c r="C185" s="2" t="s">
        <v>1201</v>
      </c>
      <c r="D185" s="2" t="s">
        <v>1196</v>
      </c>
      <c r="E185" s="2"/>
      <c r="F185" s="2" t="s">
        <v>1202</v>
      </c>
      <c r="G185" s="2"/>
      <c r="H185" s="5">
        <v>90</v>
      </c>
      <c r="I185" s="2">
        <v>460</v>
      </c>
      <c r="J185" s="2">
        <v>580</v>
      </c>
      <c r="K185" s="2">
        <v>1040</v>
      </c>
      <c r="L185" s="2" t="str">
        <f t="shared" si="2"/>
        <v>Yes</v>
      </c>
    </row>
    <row r="186" spans="1:12" x14ac:dyDescent="0.3">
      <c r="A186" s="2" t="s">
        <v>419</v>
      </c>
      <c r="B186" s="2" t="s">
        <v>443</v>
      </c>
      <c r="C186" s="2" t="s">
        <v>1203</v>
      </c>
      <c r="D186" s="2" t="s">
        <v>1204</v>
      </c>
      <c r="E186" s="2"/>
      <c r="F186" s="2" t="s">
        <v>931</v>
      </c>
      <c r="G186" s="2"/>
      <c r="H186" s="5">
        <v>99.13</v>
      </c>
      <c r="I186" s="2">
        <v>540</v>
      </c>
      <c r="J186" s="2">
        <v>720</v>
      </c>
      <c r="K186" s="2">
        <v>1260</v>
      </c>
      <c r="L186" s="2" t="str">
        <f t="shared" si="2"/>
        <v>Yes</v>
      </c>
    </row>
    <row r="187" spans="1:12" x14ac:dyDescent="0.3">
      <c r="A187" s="2" t="s">
        <v>419</v>
      </c>
      <c r="B187" s="2" t="s">
        <v>445</v>
      </c>
      <c r="C187" s="2" t="s">
        <v>1205</v>
      </c>
      <c r="D187" s="2" t="s">
        <v>1196</v>
      </c>
      <c r="E187" s="2"/>
      <c r="F187" s="2" t="s">
        <v>1109</v>
      </c>
      <c r="G187" s="2"/>
      <c r="H187" s="5">
        <v>87.05</v>
      </c>
      <c r="I187" s="2">
        <v>510</v>
      </c>
      <c r="J187" s="2">
        <v>570</v>
      </c>
      <c r="K187" s="2">
        <v>1080</v>
      </c>
      <c r="L187" s="2" t="str">
        <f t="shared" si="2"/>
        <v>Yes</v>
      </c>
    </row>
    <row r="188" spans="1:12" x14ac:dyDescent="0.3">
      <c r="A188" s="2" t="s">
        <v>419</v>
      </c>
      <c r="B188" s="2" t="s">
        <v>447</v>
      </c>
      <c r="C188" s="2" t="s">
        <v>1206</v>
      </c>
      <c r="D188" s="2" t="s">
        <v>923</v>
      </c>
      <c r="E188" s="2"/>
      <c r="F188" s="2" t="s">
        <v>931</v>
      </c>
      <c r="G188" s="2"/>
      <c r="H188" s="5">
        <v>94.94</v>
      </c>
      <c r="I188" s="2">
        <v>530</v>
      </c>
      <c r="J188" s="2">
        <v>570</v>
      </c>
      <c r="K188" s="2">
        <v>1100</v>
      </c>
      <c r="L188" s="2" t="str">
        <f t="shared" si="2"/>
        <v>Yes</v>
      </c>
    </row>
    <row r="189" spans="1:12" x14ac:dyDescent="0.3">
      <c r="A189" s="2" t="s">
        <v>419</v>
      </c>
      <c r="B189" s="2" t="s">
        <v>449</v>
      </c>
      <c r="C189" s="2" t="s">
        <v>1207</v>
      </c>
      <c r="D189" s="2" t="s">
        <v>960</v>
      </c>
      <c r="E189" s="2"/>
      <c r="F189" s="2" t="s">
        <v>950</v>
      </c>
      <c r="G189" s="2"/>
      <c r="H189" s="5">
        <v>91.38</v>
      </c>
      <c r="I189" s="2">
        <v>440</v>
      </c>
      <c r="J189" s="2">
        <v>510</v>
      </c>
      <c r="K189" s="2">
        <v>950</v>
      </c>
      <c r="L189" s="2" t="str">
        <f t="shared" si="2"/>
        <v>Yes</v>
      </c>
    </row>
    <row r="190" spans="1:12" x14ac:dyDescent="0.3">
      <c r="A190" s="2" t="s">
        <v>419</v>
      </c>
      <c r="B190" s="2" t="s">
        <v>451</v>
      </c>
      <c r="C190" s="2" t="s">
        <v>1208</v>
      </c>
      <c r="D190" s="2" t="s">
        <v>1063</v>
      </c>
      <c r="E190" s="2"/>
      <c r="F190" s="2" t="s">
        <v>925</v>
      </c>
      <c r="G190" s="2"/>
      <c r="H190" s="5">
        <v>74.05</v>
      </c>
      <c r="I190" s="2">
        <v>450</v>
      </c>
      <c r="J190" s="2">
        <v>510</v>
      </c>
      <c r="K190" s="2">
        <v>960</v>
      </c>
      <c r="L190" s="2" t="str">
        <f t="shared" si="2"/>
        <v>Yes</v>
      </c>
    </row>
    <row r="191" spans="1:12" x14ac:dyDescent="0.3">
      <c r="A191" s="2" t="s">
        <v>419</v>
      </c>
      <c r="B191" s="2" t="s">
        <v>453</v>
      </c>
      <c r="C191" s="2" t="s">
        <v>1209</v>
      </c>
      <c r="D191" s="2" t="s">
        <v>1185</v>
      </c>
      <c r="E191" s="2"/>
      <c r="F191" s="2" t="s">
        <v>943</v>
      </c>
      <c r="G191" s="2"/>
      <c r="H191" s="5">
        <v>92.69</v>
      </c>
      <c r="I191" s="2">
        <v>530</v>
      </c>
      <c r="J191" s="2">
        <v>620</v>
      </c>
      <c r="K191" s="2">
        <v>1150</v>
      </c>
      <c r="L191" s="2" t="str">
        <f t="shared" si="2"/>
        <v>Yes</v>
      </c>
    </row>
    <row r="192" spans="1:12" x14ac:dyDescent="0.3">
      <c r="A192" s="2" t="s">
        <v>419</v>
      </c>
      <c r="B192" s="2" t="s">
        <v>455</v>
      </c>
      <c r="C192" s="2" t="s">
        <v>1210</v>
      </c>
      <c r="D192" s="2" t="s">
        <v>1211</v>
      </c>
      <c r="E192" s="2"/>
      <c r="F192" s="2" t="s">
        <v>931</v>
      </c>
      <c r="G192" s="2"/>
      <c r="H192" s="5">
        <v>85.75</v>
      </c>
      <c r="I192" s="2">
        <v>510</v>
      </c>
      <c r="J192" s="2">
        <v>510</v>
      </c>
      <c r="K192" s="2">
        <v>1020</v>
      </c>
      <c r="L192" s="2" t="str">
        <f t="shared" si="2"/>
        <v>Yes</v>
      </c>
    </row>
    <row r="193" spans="1:12" x14ac:dyDescent="0.3">
      <c r="A193" s="2" t="s">
        <v>419</v>
      </c>
      <c r="B193" s="2" t="s">
        <v>457</v>
      </c>
      <c r="C193" s="2" t="s">
        <v>1212</v>
      </c>
      <c r="D193" s="2" t="s">
        <v>1053</v>
      </c>
      <c r="E193" s="2"/>
      <c r="F193" s="2" t="s">
        <v>931</v>
      </c>
      <c r="G193" s="2"/>
      <c r="H193" s="5">
        <v>94.88</v>
      </c>
      <c r="I193" s="2">
        <v>540</v>
      </c>
      <c r="J193" s="2">
        <v>610</v>
      </c>
      <c r="K193" s="2">
        <v>1150</v>
      </c>
      <c r="L193" s="2" t="str">
        <f t="shared" si="2"/>
        <v>Yes</v>
      </c>
    </row>
    <row r="194" spans="1:12" x14ac:dyDescent="0.3">
      <c r="A194" s="2" t="s">
        <v>419</v>
      </c>
      <c r="B194" s="2" t="s">
        <v>459</v>
      </c>
      <c r="C194" s="2" t="s">
        <v>1213</v>
      </c>
      <c r="D194" s="2" t="s">
        <v>923</v>
      </c>
      <c r="E194" s="2"/>
      <c r="F194" s="2" t="s">
        <v>1109</v>
      </c>
      <c r="G194" s="2"/>
      <c r="H194" s="5">
        <v>95.69</v>
      </c>
      <c r="I194" s="2">
        <v>400</v>
      </c>
      <c r="J194" s="2">
        <v>370</v>
      </c>
      <c r="K194" s="2">
        <v>870</v>
      </c>
      <c r="L194" s="2" t="str">
        <f t="shared" ref="L194:L232" si="3">IF(F194="","",IF(OR(ISNUMBER(SEARCH("Engineering",F194)),ISNUMBER(SEARCH("Computer",F194)),ISNUMBER(SEARCH("Science",F194)),ISNUMBER(SEARCH("Math",F194)),ISNUMBER(SEARCH("Medicine",F194)),ISNUMBER(SEARCH("Technology",F194))),"Yes","No"))</f>
        <v>Yes</v>
      </c>
    </row>
    <row r="195" spans="1:12" x14ac:dyDescent="0.3">
      <c r="A195" s="2" t="s">
        <v>419</v>
      </c>
      <c r="B195" s="2" t="s">
        <v>461</v>
      </c>
      <c r="C195" s="2" t="s">
        <v>1214</v>
      </c>
      <c r="D195" s="2" t="s">
        <v>1196</v>
      </c>
      <c r="E195" s="2"/>
      <c r="F195" s="2" t="s">
        <v>1109</v>
      </c>
      <c r="G195" s="2"/>
      <c r="H195" s="5">
        <v>90.75</v>
      </c>
      <c r="I195" s="2">
        <v>610</v>
      </c>
      <c r="J195" s="2">
        <v>640</v>
      </c>
      <c r="K195" s="2">
        <v>1250</v>
      </c>
      <c r="L195" s="2" t="str">
        <f t="shared" si="3"/>
        <v>Yes</v>
      </c>
    </row>
    <row r="196" spans="1:12" x14ac:dyDescent="0.3">
      <c r="A196" s="2" t="s">
        <v>419</v>
      </c>
      <c r="B196" s="2" t="s">
        <v>463</v>
      </c>
      <c r="C196" s="2" t="s">
        <v>1215</v>
      </c>
      <c r="D196" s="2" t="s">
        <v>1135</v>
      </c>
      <c r="E196" s="2"/>
      <c r="F196" s="2" t="s">
        <v>1158</v>
      </c>
      <c r="G196" s="2"/>
      <c r="H196" s="5">
        <v>91.44</v>
      </c>
      <c r="I196" s="2">
        <v>570</v>
      </c>
      <c r="J196" s="2">
        <v>620</v>
      </c>
      <c r="K196" s="2">
        <v>1190</v>
      </c>
      <c r="L196" s="2" t="str">
        <f t="shared" si="3"/>
        <v>Yes</v>
      </c>
    </row>
    <row r="197" spans="1:12" x14ac:dyDescent="0.3">
      <c r="A197" s="2" t="s">
        <v>419</v>
      </c>
      <c r="B197" s="2" t="s">
        <v>465</v>
      </c>
      <c r="C197" s="2" t="s">
        <v>1216</v>
      </c>
      <c r="D197" s="2" t="s">
        <v>1053</v>
      </c>
      <c r="E197" s="2"/>
      <c r="F197" s="2" t="s">
        <v>931</v>
      </c>
      <c r="G197" s="2"/>
      <c r="H197" s="5">
        <v>95.69</v>
      </c>
      <c r="I197" s="2">
        <v>570</v>
      </c>
      <c r="J197" s="2">
        <v>670</v>
      </c>
      <c r="K197" s="2">
        <v>1190</v>
      </c>
      <c r="L197" s="2" t="str">
        <f t="shared" si="3"/>
        <v>Yes</v>
      </c>
    </row>
    <row r="198" spans="1:12" x14ac:dyDescent="0.3">
      <c r="A198" s="2" t="s">
        <v>419</v>
      </c>
      <c r="B198" s="2" t="s">
        <v>467</v>
      </c>
      <c r="C198" s="2" t="s">
        <v>1217</v>
      </c>
      <c r="D198" s="2" t="s">
        <v>923</v>
      </c>
      <c r="E198" s="2"/>
      <c r="F198" s="2" t="s">
        <v>931</v>
      </c>
      <c r="G198" s="2"/>
      <c r="H198" s="5">
        <v>88.25</v>
      </c>
      <c r="I198" s="2"/>
      <c r="J198" s="2"/>
      <c r="K198" s="2"/>
      <c r="L198" s="2" t="str">
        <f t="shared" si="3"/>
        <v>Yes</v>
      </c>
    </row>
    <row r="199" spans="1:12" x14ac:dyDescent="0.3">
      <c r="A199" s="2" t="s">
        <v>419</v>
      </c>
      <c r="B199" s="2" t="s">
        <v>469</v>
      </c>
      <c r="C199" s="2" t="s">
        <v>1218</v>
      </c>
      <c r="D199" s="2" t="s">
        <v>1135</v>
      </c>
      <c r="E199" s="2"/>
      <c r="F199" s="2" t="s">
        <v>1158</v>
      </c>
      <c r="G199" s="2"/>
      <c r="H199" s="5">
        <v>88.31</v>
      </c>
      <c r="I199" s="2">
        <v>490</v>
      </c>
      <c r="J199" s="2">
        <v>560</v>
      </c>
      <c r="K199" s="2">
        <v>1050</v>
      </c>
      <c r="L199" s="2" t="str">
        <f t="shared" si="3"/>
        <v>Yes</v>
      </c>
    </row>
    <row r="200" spans="1:12" x14ac:dyDescent="0.3">
      <c r="A200" s="2" t="s">
        <v>419</v>
      </c>
      <c r="B200" s="2" t="s">
        <v>471</v>
      </c>
      <c r="C200" s="2" t="s">
        <v>1219</v>
      </c>
      <c r="D200" s="2" t="s">
        <v>923</v>
      </c>
      <c r="E200" s="2"/>
      <c r="F200" s="2" t="s">
        <v>931</v>
      </c>
      <c r="G200" s="2"/>
      <c r="H200" s="5">
        <v>92.56</v>
      </c>
      <c r="I200" s="2">
        <v>510</v>
      </c>
      <c r="J200" s="2">
        <v>660</v>
      </c>
      <c r="K200" s="2">
        <v>1170</v>
      </c>
      <c r="L200" s="2" t="str">
        <f t="shared" si="3"/>
        <v>Yes</v>
      </c>
    </row>
    <row r="201" spans="1:12" x14ac:dyDescent="0.3">
      <c r="A201" s="2" t="s">
        <v>419</v>
      </c>
      <c r="B201" s="2" t="s">
        <v>473</v>
      </c>
      <c r="C201" s="2" t="s">
        <v>1220</v>
      </c>
      <c r="D201" s="2" t="s">
        <v>1204</v>
      </c>
      <c r="E201" s="2"/>
      <c r="F201" s="2" t="s">
        <v>931</v>
      </c>
      <c r="G201" s="2"/>
      <c r="H201" s="5">
        <v>90.56</v>
      </c>
      <c r="I201" s="2">
        <v>530</v>
      </c>
      <c r="J201" s="2">
        <v>950</v>
      </c>
      <c r="K201" s="2">
        <v>420</v>
      </c>
      <c r="L201" s="2" t="str">
        <f t="shared" si="3"/>
        <v>Yes</v>
      </c>
    </row>
    <row r="202" spans="1:12" x14ac:dyDescent="0.3">
      <c r="A202" s="2" t="s">
        <v>419</v>
      </c>
      <c r="B202" s="2" t="s">
        <v>475</v>
      </c>
      <c r="C202" s="2" t="s">
        <v>1221</v>
      </c>
      <c r="D202" s="2" t="s">
        <v>923</v>
      </c>
      <c r="E202" s="2"/>
      <c r="F202" s="2" t="s">
        <v>931</v>
      </c>
      <c r="G202" s="2"/>
      <c r="H202" s="5">
        <v>95.75</v>
      </c>
      <c r="I202" s="2">
        <v>640</v>
      </c>
      <c r="J202" s="2">
        <v>750</v>
      </c>
      <c r="K202" s="2">
        <v>1390</v>
      </c>
      <c r="L202" s="2" t="str">
        <f t="shared" si="3"/>
        <v>Yes</v>
      </c>
    </row>
    <row r="203" spans="1:12" x14ac:dyDescent="0.3">
      <c r="A203" s="2" t="s">
        <v>419</v>
      </c>
      <c r="B203" s="2" t="s">
        <v>477</v>
      </c>
      <c r="C203" s="2" t="s">
        <v>1222</v>
      </c>
      <c r="D203" s="2" t="s">
        <v>1211</v>
      </c>
      <c r="E203" s="2"/>
      <c r="F203" s="2" t="s">
        <v>931</v>
      </c>
      <c r="G203" s="2"/>
      <c r="H203" s="5">
        <v>85.44</v>
      </c>
      <c r="I203" s="2">
        <v>370</v>
      </c>
      <c r="J203" s="2">
        <v>470</v>
      </c>
      <c r="K203" s="2">
        <v>840</v>
      </c>
      <c r="L203" s="2" t="str">
        <f t="shared" si="3"/>
        <v>Yes</v>
      </c>
    </row>
    <row r="204" spans="1:12" x14ac:dyDescent="0.3">
      <c r="A204" s="2" t="s">
        <v>419</v>
      </c>
      <c r="B204" s="2" t="s">
        <v>479</v>
      </c>
      <c r="C204" s="2" t="s">
        <v>1223</v>
      </c>
      <c r="D204" s="2" t="s">
        <v>923</v>
      </c>
      <c r="E204" s="2"/>
      <c r="F204" s="2" t="s">
        <v>1224</v>
      </c>
      <c r="G204" s="2"/>
      <c r="H204" s="5">
        <v>94.19</v>
      </c>
      <c r="I204" s="2">
        <v>530</v>
      </c>
      <c r="J204" s="2">
        <v>600</v>
      </c>
      <c r="K204" s="2">
        <v>1130</v>
      </c>
      <c r="L204" s="2" t="str">
        <f t="shared" si="3"/>
        <v>Yes</v>
      </c>
    </row>
    <row r="205" spans="1:12" x14ac:dyDescent="0.3">
      <c r="A205" s="2" t="s">
        <v>419</v>
      </c>
      <c r="B205" s="2" t="s">
        <v>481</v>
      </c>
      <c r="C205" s="2" t="s">
        <v>1225</v>
      </c>
      <c r="D205" s="2" t="s">
        <v>1226</v>
      </c>
      <c r="E205" s="2"/>
      <c r="F205" s="2" t="s">
        <v>1224</v>
      </c>
      <c r="G205" s="2"/>
      <c r="H205" s="5">
        <v>96.94</v>
      </c>
      <c r="I205" s="2">
        <v>600</v>
      </c>
      <c r="J205" s="2">
        <v>660</v>
      </c>
      <c r="K205" s="2">
        <v>1260</v>
      </c>
      <c r="L205" s="2" t="str">
        <f t="shared" si="3"/>
        <v>Yes</v>
      </c>
    </row>
    <row r="206" spans="1:12" x14ac:dyDescent="0.3">
      <c r="A206" s="2" t="s">
        <v>419</v>
      </c>
      <c r="B206" s="2" t="s">
        <v>483</v>
      </c>
      <c r="C206" s="2" t="s">
        <v>1227</v>
      </c>
      <c r="D206" s="2" t="s">
        <v>1211</v>
      </c>
      <c r="E206" s="2"/>
      <c r="F206" s="2" t="s">
        <v>931</v>
      </c>
      <c r="G206" s="2"/>
      <c r="H206" s="5">
        <v>93.44</v>
      </c>
      <c r="I206" s="2">
        <v>490</v>
      </c>
      <c r="J206" s="2">
        <v>490</v>
      </c>
      <c r="K206" s="2">
        <v>980</v>
      </c>
      <c r="L206" s="2" t="str">
        <f t="shared" si="3"/>
        <v>Yes</v>
      </c>
    </row>
    <row r="207" spans="1:12" x14ac:dyDescent="0.3">
      <c r="A207" s="2" t="s">
        <v>419</v>
      </c>
      <c r="B207" s="2" t="s">
        <v>485</v>
      </c>
      <c r="C207" s="2" t="s">
        <v>1228</v>
      </c>
      <c r="D207" s="2" t="s">
        <v>1053</v>
      </c>
      <c r="E207" s="2"/>
      <c r="F207" s="2" t="s">
        <v>931</v>
      </c>
      <c r="G207" s="2"/>
      <c r="H207" s="5">
        <v>98</v>
      </c>
      <c r="I207" s="2">
        <v>580</v>
      </c>
      <c r="J207" s="2">
        <v>620</v>
      </c>
      <c r="K207" s="2">
        <v>1200</v>
      </c>
      <c r="L207" s="2" t="str">
        <f t="shared" si="3"/>
        <v>Yes</v>
      </c>
    </row>
    <row r="208" spans="1:12" x14ac:dyDescent="0.3">
      <c r="A208" s="2" t="s">
        <v>419</v>
      </c>
      <c r="B208" s="2" t="s">
        <v>487</v>
      </c>
      <c r="C208" s="2" t="s">
        <v>1229</v>
      </c>
      <c r="D208" s="2" t="s">
        <v>1053</v>
      </c>
      <c r="E208" s="2"/>
      <c r="F208" s="2" t="s">
        <v>1109</v>
      </c>
      <c r="G208" s="2"/>
      <c r="H208" s="5">
        <v>94.88</v>
      </c>
      <c r="I208" s="2">
        <v>400</v>
      </c>
      <c r="J208" s="2">
        <v>540</v>
      </c>
      <c r="K208" s="2">
        <v>940</v>
      </c>
      <c r="L208" s="2" t="str">
        <f t="shared" si="3"/>
        <v>Yes</v>
      </c>
    </row>
    <row r="209" spans="1:12" x14ac:dyDescent="0.3">
      <c r="A209" s="2" t="s">
        <v>419</v>
      </c>
      <c r="B209" s="2" t="s">
        <v>489</v>
      </c>
      <c r="C209" s="2" t="s">
        <v>1230</v>
      </c>
      <c r="D209" s="2" t="s">
        <v>1211</v>
      </c>
      <c r="E209" s="2"/>
      <c r="F209" s="2" t="s">
        <v>952</v>
      </c>
      <c r="G209" s="2"/>
      <c r="H209" s="5">
        <v>90</v>
      </c>
      <c r="I209" s="2">
        <v>430</v>
      </c>
      <c r="J209" s="2">
        <v>590</v>
      </c>
      <c r="K209" s="2">
        <v>1020</v>
      </c>
      <c r="L209" s="2" t="str">
        <f t="shared" si="3"/>
        <v>Yes</v>
      </c>
    </row>
    <row r="210" spans="1:12" x14ac:dyDescent="0.3">
      <c r="A210" s="2" t="s">
        <v>419</v>
      </c>
      <c r="B210" s="2" t="s">
        <v>491</v>
      </c>
      <c r="C210" s="2" t="s">
        <v>1231</v>
      </c>
      <c r="D210" s="2" t="s">
        <v>1196</v>
      </c>
      <c r="E210" s="2"/>
      <c r="F210" s="2" t="s">
        <v>1232</v>
      </c>
      <c r="G210" s="2"/>
      <c r="H210" s="5">
        <v>95.88</v>
      </c>
      <c r="I210" s="2">
        <v>0</v>
      </c>
      <c r="J210" s="2">
        <v>0</v>
      </c>
      <c r="K210" s="2">
        <v>0</v>
      </c>
      <c r="L210" s="2" t="str">
        <f t="shared" si="3"/>
        <v>Yes</v>
      </c>
    </row>
    <row r="211" spans="1:12" x14ac:dyDescent="0.3">
      <c r="A211" s="2" t="s">
        <v>419</v>
      </c>
      <c r="B211" s="2" t="s">
        <v>493</v>
      </c>
      <c r="C211" s="2" t="s">
        <v>1233</v>
      </c>
      <c r="D211" s="2" t="s">
        <v>923</v>
      </c>
      <c r="E211" s="2"/>
      <c r="F211" s="2" t="s">
        <v>931</v>
      </c>
      <c r="G211" s="2"/>
      <c r="H211" s="5">
        <v>79.88</v>
      </c>
      <c r="I211" s="2">
        <v>430</v>
      </c>
      <c r="J211" s="2">
        <v>450</v>
      </c>
      <c r="K211" s="2">
        <v>880</v>
      </c>
      <c r="L211" s="2" t="str">
        <f t="shared" si="3"/>
        <v>Yes</v>
      </c>
    </row>
    <row r="212" spans="1:12" x14ac:dyDescent="0.3">
      <c r="A212" s="2" t="s">
        <v>419</v>
      </c>
      <c r="B212" s="2" t="s">
        <v>495</v>
      </c>
      <c r="C212" s="2" t="s">
        <v>1234</v>
      </c>
      <c r="D212" s="2" t="s">
        <v>923</v>
      </c>
      <c r="E212" s="2"/>
      <c r="F212" s="2" t="s">
        <v>931</v>
      </c>
      <c r="G212" s="2"/>
      <c r="H212" s="5">
        <v>88.44</v>
      </c>
      <c r="I212" s="2">
        <v>430</v>
      </c>
      <c r="J212" s="2">
        <v>500</v>
      </c>
      <c r="K212" s="2">
        <v>930</v>
      </c>
      <c r="L212" s="2" t="str">
        <f t="shared" si="3"/>
        <v>Yes</v>
      </c>
    </row>
    <row r="213" spans="1:12" x14ac:dyDescent="0.3">
      <c r="A213" s="2" t="s">
        <v>419</v>
      </c>
      <c r="B213" s="2" t="s">
        <v>497</v>
      </c>
      <c r="C213" s="2" t="s">
        <v>1235</v>
      </c>
      <c r="D213" s="2" t="s">
        <v>923</v>
      </c>
      <c r="E213" s="2"/>
      <c r="F213" s="2" t="s">
        <v>1224</v>
      </c>
      <c r="G213" s="2"/>
      <c r="H213" s="5">
        <v>86</v>
      </c>
      <c r="I213" s="2">
        <v>470</v>
      </c>
      <c r="J213" s="2">
        <v>530</v>
      </c>
      <c r="K213" s="2">
        <v>1000</v>
      </c>
      <c r="L213" s="2" t="str">
        <f t="shared" si="3"/>
        <v>Yes</v>
      </c>
    </row>
    <row r="214" spans="1:12" x14ac:dyDescent="0.3">
      <c r="A214" s="2" t="s">
        <v>419</v>
      </c>
      <c r="B214" s="2" t="s">
        <v>499</v>
      </c>
      <c r="C214" s="2" t="s">
        <v>1236</v>
      </c>
      <c r="D214" s="2" t="s">
        <v>1204</v>
      </c>
      <c r="E214" s="2"/>
      <c r="F214" s="2" t="s">
        <v>931</v>
      </c>
      <c r="G214" s="2"/>
      <c r="H214" s="5">
        <v>98.63</v>
      </c>
      <c r="I214" s="2">
        <v>390</v>
      </c>
      <c r="J214" s="2">
        <v>580</v>
      </c>
      <c r="K214" s="2">
        <v>970</v>
      </c>
      <c r="L214" s="2" t="str">
        <f t="shared" si="3"/>
        <v>Yes</v>
      </c>
    </row>
    <row r="215" spans="1:12" x14ac:dyDescent="0.3">
      <c r="A215" s="2" t="s">
        <v>419</v>
      </c>
      <c r="B215" s="2" t="s">
        <v>501</v>
      </c>
      <c r="C215" s="2" t="s">
        <v>1237</v>
      </c>
      <c r="D215" s="2" t="s">
        <v>1204</v>
      </c>
      <c r="E215" s="2"/>
      <c r="F215" s="2" t="s">
        <v>931</v>
      </c>
      <c r="G215" s="2"/>
      <c r="H215" s="5">
        <v>98.13</v>
      </c>
      <c r="I215" s="2">
        <v>490</v>
      </c>
      <c r="J215" s="2">
        <v>600</v>
      </c>
      <c r="K215" s="2">
        <v>1090</v>
      </c>
      <c r="L215" s="2" t="str">
        <f t="shared" si="3"/>
        <v>Yes</v>
      </c>
    </row>
    <row r="216" spans="1:12" x14ac:dyDescent="0.3">
      <c r="A216" s="2" t="s">
        <v>419</v>
      </c>
      <c r="B216" s="2" t="s">
        <v>503</v>
      </c>
      <c r="C216" s="2" t="s">
        <v>1238</v>
      </c>
      <c r="D216" s="2" t="s">
        <v>923</v>
      </c>
      <c r="E216" s="2"/>
      <c r="F216" s="2" t="s">
        <v>952</v>
      </c>
      <c r="G216" s="2"/>
      <c r="H216" s="5">
        <v>80.38</v>
      </c>
      <c r="I216" s="2">
        <v>500</v>
      </c>
      <c r="J216" s="2">
        <v>560</v>
      </c>
      <c r="K216" s="2">
        <v>1060</v>
      </c>
      <c r="L216" s="2" t="str">
        <f t="shared" si="3"/>
        <v>Yes</v>
      </c>
    </row>
    <row r="217" spans="1:12" x14ac:dyDescent="0.3">
      <c r="A217" s="2" t="s">
        <v>419</v>
      </c>
      <c r="B217" s="2" t="s">
        <v>505</v>
      </c>
      <c r="C217" s="2" t="s">
        <v>1239</v>
      </c>
      <c r="D217" s="2" t="s">
        <v>965</v>
      </c>
      <c r="E217" s="2"/>
      <c r="F217" s="2" t="s">
        <v>1116</v>
      </c>
      <c r="G217" s="2"/>
      <c r="H217" s="5">
        <v>90.13</v>
      </c>
      <c r="I217" s="2">
        <v>440</v>
      </c>
      <c r="J217" s="2">
        <v>510</v>
      </c>
      <c r="K217" s="2">
        <v>950</v>
      </c>
      <c r="L217" s="2" t="str">
        <f t="shared" si="3"/>
        <v>No</v>
      </c>
    </row>
    <row r="218" spans="1:12" x14ac:dyDescent="0.3">
      <c r="A218" s="2" t="s">
        <v>419</v>
      </c>
      <c r="B218" s="2" t="s">
        <v>507</v>
      </c>
      <c r="C218" s="2" t="s">
        <v>1240</v>
      </c>
      <c r="D218" s="2" t="s">
        <v>1241</v>
      </c>
      <c r="E218" s="2"/>
      <c r="F218" s="2" t="s">
        <v>1109</v>
      </c>
      <c r="G218" s="2"/>
      <c r="H218" s="5"/>
      <c r="I218" s="2">
        <v>520</v>
      </c>
      <c r="J218" s="2">
        <v>500</v>
      </c>
      <c r="K218" s="2">
        <v>1020</v>
      </c>
      <c r="L218" s="2" t="str">
        <f t="shared" si="3"/>
        <v>Yes</v>
      </c>
    </row>
    <row r="219" spans="1:12" x14ac:dyDescent="0.3">
      <c r="A219" s="2" t="s">
        <v>419</v>
      </c>
      <c r="B219" s="2" t="s">
        <v>509</v>
      </c>
      <c r="C219" s="2" t="s">
        <v>1242</v>
      </c>
      <c r="D219" s="2" t="s">
        <v>1211</v>
      </c>
      <c r="E219" s="2"/>
      <c r="F219" s="2" t="s">
        <v>920</v>
      </c>
      <c r="G219" s="2"/>
      <c r="H219" s="5">
        <v>98.39</v>
      </c>
      <c r="I219" s="2">
        <v>410</v>
      </c>
      <c r="J219" s="2">
        <v>620</v>
      </c>
      <c r="K219" s="2">
        <v>1030</v>
      </c>
      <c r="L219" s="2" t="str">
        <f t="shared" si="3"/>
        <v>Yes</v>
      </c>
    </row>
    <row r="220" spans="1:12" x14ac:dyDescent="0.3">
      <c r="A220" s="2" t="s">
        <v>419</v>
      </c>
      <c r="B220" s="2" t="s">
        <v>511</v>
      </c>
      <c r="C220" s="2" t="s">
        <v>1243</v>
      </c>
      <c r="D220" s="2" t="s">
        <v>1053</v>
      </c>
      <c r="E220" s="2"/>
      <c r="F220" s="2" t="s">
        <v>931</v>
      </c>
      <c r="G220" s="2"/>
      <c r="H220" s="5">
        <v>95.94</v>
      </c>
      <c r="I220" s="2">
        <v>520</v>
      </c>
      <c r="J220" s="2">
        <v>720</v>
      </c>
      <c r="K220" s="2">
        <v>1240</v>
      </c>
      <c r="L220" s="2" t="str">
        <f t="shared" si="3"/>
        <v>Yes</v>
      </c>
    </row>
    <row r="221" spans="1:12" x14ac:dyDescent="0.3">
      <c r="A221" s="2" t="s">
        <v>419</v>
      </c>
      <c r="B221" s="2" t="s">
        <v>513</v>
      </c>
      <c r="C221" s="2" t="s">
        <v>1244</v>
      </c>
      <c r="D221" s="2" t="s">
        <v>923</v>
      </c>
      <c r="E221" s="2"/>
      <c r="F221" s="2" t="s">
        <v>931</v>
      </c>
      <c r="G221" s="2"/>
      <c r="H221" s="5">
        <v>88.06</v>
      </c>
      <c r="I221" s="2">
        <v>500</v>
      </c>
      <c r="J221" s="2">
        <v>570</v>
      </c>
      <c r="K221" s="2">
        <v>1070</v>
      </c>
      <c r="L221" s="2" t="str">
        <f t="shared" si="3"/>
        <v>Yes</v>
      </c>
    </row>
    <row r="222" spans="1:12" x14ac:dyDescent="0.3">
      <c r="A222" s="2" t="s">
        <v>419</v>
      </c>
      <c r="B222" s="2" t="s">
        <v>515</v>
      </c>
      <c r="C222" s="2" t="s">
        <v>1245</v>
      </c>
      <c r="D222" s="2" t="s">
        <v>1226</v>
      </c>
      <c r="E222" s="2"/>
      <c r="F222" s="2" t="s">
        <v>1224</v>
      </c>
      <c r="G222" s="2"/>
      <c r="H222" s="5">
        <v>88.44</v>
      </c>
      <c r="I222" s="2">
        <v>590</v>
      </c>
      <c r="J222" s="2">
        <v>610</v>
      </c>
      <c r="K222" s="2">
        <v>1200</v>
      </c>
      <c r="L222" s="2" t="str">
        <f t="shared" si="3"/>
        <v>Yes</v>
      </c>
    </row>
    <row r="223" spans="1:12" x14ac:dyDescent="0.3">
      <c r="A223" s="2" t="s">
        <v>419</v>
      </c>
      <c r="B223" s="2" t="s">
        <v>517</v>
      </c>
      <c r="C223" s="2" t="s">
        <v>1246</v>
      </c>
      <c r="D223" s="2" t="s">
        <v>1133</v>
      </c>
      <c r="E223" s="2"/>
      <c r="F223" s="2" t="s">
        <v>1224</v>
      </c>
      <c r="G223" s="2"/>
      <c r="H223" s="5">
        <v>98.19</v>
      </c>
      <c r="I223" s="2">
        <v>570</v>
      </c>
      <c r="J223" s="2">
        <v>670</v>
      </c>
      <c r="K223" s="2">
        <v>1240</v>
      </c>
      <c r="L223" s="2" t="str">
        <f t="shared" si="3"/>
        <v>Yes</v>
      </c>
    </row>
    <row r="224" spans="1:12" x14ac:dyDescent="0.3">
      <c r="A224" s="2" t="s">
        <v>419</v>
      </c>
      <c r="B224" s="2" t="s">
        <v>519</v>
      </c>
      <c r="C224" s="2" t="s">
        <v>1247</v>
      </c>
      <c r="D224" s="2" t="s">
        <v>1133</v>
      </c>
      <c r="E224" s="2"/>
      <c r="F224" s="2" t="s">
        <v>1224</v>
      </c>
      <c r="G224" s="2"/>
      <c r="H224" s="5">
        <v>93.38</v>
      </c>
      <c r="I224" s="2">
        <v>550</v>
      </c>
      <c r="J224" s="2">
        <v>680</v>
      </c>
      <c r="K224" s="2">
        <v>1190</v>
      </c>
      <c r="L224" s="2" t="str">
        <f t="shared" si="3"/>
        <v>Yes</v>
      </c>
    </row>
    <row r="225" spans="1:12" x14ac:dyDescent="0.3">
      <c r="A225" s="2" t="s">
        <v>419</v>
      </c>
      <c r="B225" s="2" t="s">
        <v>521</v>
      </c>
      <c r="C225" s="2" t="s">
        <v>1248</v>
      </c>
      <c r="D225" s="2" t="s">
        <v>1133</v>
      </c>
      <c r="E225" s="2"/>
      <c r="F225" s="2" t="s">
        <v>1224</v>
      </c>
      <c r="G225" s="2"/>
      <c r="H225" s="5">
        <v>96.25</v>
      </c>
      <c r="I225" s="2">
        <v>560</v>
      </c>
      <c r="J225" s="2">
        <v>760</v>
      </c>
      <c r="K225" s="2">
        <v>1320</v>
      </c>
      <c r="L225" s="2" t="str">
        <f t="shared" si="3"/>
        <v>Yes</v>
      </c>
    </row>
    <row r="226" spans="1:12" x14ac:dyDescent="0.3">
      <c r="A226" s="2" t="s">
        <v>419</v>
      </c>
      <c r="B226" s="2" t="s">
        <v>523</v>
      </c>
      <c r="C226" s="2" t="s">
        <v>1249</v>
      </c>
      <c r="D226" s="2" t="s">
        <v>923</v>
      </c>
      <c r="E226" s="2"/>
      <c r="F226" s="2" t="s">
        <v>1224</v>
      </c>
      <c r="G226" s="2"/>
      <c r="H226" s="5">
        <v>90.75</v>
      </c>
      <c r="I226" s="2">
        <v>490</v>
      </c>
      <c r="J226" s="2">
        <v>590</v>
      </c>
      <c r="K226" s="2">
        <v>1080</v>
      </c>
      <c r="L226" s="2" t="str">
        <f t="shared" si="3"/>
        <v>Yes</v>
      </c>
    </row>
    <row r="227" spans="1:12" x14ac:dyDescent="0.3">
      <c r="A227" s="2" t="s">
        <v>419</v>
      </c>
      <c r="B227" s="2" t="s">
        <v>525</v>
      </c>
      <c r="C227" s="2" t="s">
        <v>1250</v>
      </c>
      <c r="D227" s="2" t="s">
        <v>1185</v>
      </c>
      <c r="E227" s="2"/>
      <c r="F227" s="2" t="s">
        <v>943</v>
      </c>
      <c r="G227" s="2"/>
      <c r="H227" s="5">
        <v>86.38</v>
      </c>
      <c r="I227" s="2">
        <v>550</v>
      </c>
      <c r="J227" s="2">
        <v>560</v>
      </c>
      <c r="K227" s="2">
        <v>1110</v>
      </c>
      <c r="L227" s="2" t="str">
        <f t="shared" si="3"/>
        <v>Yes</v>
      </c>
    </row>
    <row r="228" spans="1:12" x14ac:dyDescent="0.3">
      <c r="A228" s="2" t="s">
        <v>419</v>
      </c>
      <c r="B228" s="2" t="s">
        <v>527</v>
      </c>
      <c r="C228" s="2" t="s">
        <v>1251</v>
      </c>
      <c r="D228" s="2" t="s">
        <v>1141</v>
      </c>
      <c r="E228" s="2"/>
      <c r="F228" s="2" t="s">
        <v>1224</v>
      </c>
      <c r="G228" s="2"/>
      <c r="H228" s="5">
        <v>96.38</v>
      </c>
      <c r="I228" s="2">
        <v>430</v>
      </c>
      <c r="J228" s="2">
        <v>580</v>
      </c>
      <c r="K228" s="2">
        <v>1010</v>
      </c>
      <c r="L228" s="2" t="str">
        <f t="shared" si="3"/>
        <v>Yes</v>
      </c>
    </row>
    <row r="229" spans="1:12" x14ac:dyDescent="0.3">
      <c r="A229" s="2" t="s">
        <v>419</v>
      </c>
      <c r="B229" s="2" t="s">
        <v>529</v>
      </c>
      <c r="C229" s="2" t="s">
        <v>1252</v>
      </c>
      <c r="D229" s="2" t="s">
        <v>1141</v>
      </c>
      <c r="E229" s="2"/>
      <c r="F229" s="2" t="s">
        <v>1224</v>
      </c>
      <c r="G229" s="2"/>
      <c r="H229" s="5">
        <v>94.75</v>
      </c>
      <c r="I229" s="2">
        <v>570</v>
      </c>
      <c r="J229" s="2">
        <v>650</v>
      </c>
      <c r="K229" s="2">
        <v>1220</v>
      </c>
      <c r="L229" s="2" t="str">
        <f t="shared" si="3"/>
        <v>Yes</v>
      </c>
    </row>
    <row r="230" spans="1:12" x14ac:dyDescent="0.3">
      <c r="A230" s="2" t="s">
        <v>419</v>
      </c>
      <c r="B230" s="2" t="s">
        <v>531</v>
      </c>
      <c r="C230" s="2" t="s">
        <v>1253</v>
      </c>
      <c r="D230" s="2" t="s">
        <v>1254</v>
      </c>
      <c r="E230" s="2"/>
      <c r="F230" s="2" t="s">
        <v>1255</v>
      </c>
      <c r="G230" s="2"/>
      <c r="H230" s="5">
        <v>97</v>
      </c>
      <c r="I230" s="2">
        <v>460</v>
      </c>
      <c r="J230" s="2">
        <v>630</v>
      </c>
      <c r="K230" s="2">
        <v>1090</v>
      </c>
      <c r="L230" s="2" t="str">
        <f t="shared" si="3"/>
        <v>Yes</v>
      </c>
    </row>
    <row r="231" spans="1:12" x14ac:dyDescent="0.3">
      <c r="A231" s="2" t="s">
        <v>419</v>
      </c>
      <c r="B231" s="2" t="s">
        <v>533</v>
      </c>
      <c r="C231" s="2" t="s">
        <v>1256</v>
      </c>
      <c r="D231" s="2" t="s">
        <v>1133</v>
      </c>
      <c r="E231" s="2"/>
      <c r="F231" s="2" t="s">
        <v>1224</v>
      </c>
      <c r="G231" s="2"/>
      <c r="H231" s="5">
        <v>92.19</v>
      </c>
      <c r="I231" s="2">
        <v>490</v>
      </c>
      <c r="J231" s="2">
        <v>680</v>
      </c>
      <c r="K231" s="2">
        <v>1170</v>
      </c>
      <c r="L231" s="2" t="str">
        <f t="shared" si="3"/>
        <v>Yes</v>
      </c>
    </row>
    <row r="232" spans="1:12" x14ac:dyDescent="0.3">
      <c r="A232" s="2" t="s">
        <v>419</v>
      </c>
      <c r="B232" s="2" t="s">
        <v>535</v>
      </c>
      <c r="C232" s="2" t="s">
        <v>1257</v>
      </c>
      <c r="D232" s="2" t="s">
        <v>1141</v>
      </c>
      <c r="E232" s="2"/>
      <c r="F232" s="2" t="s">
        <v>1224</v>
      </c>
      <c r="G232" s="2"/>
      <c r="H232" s="5">
        <v>94.69</v>
      </c>
      <c r="I232" s="2">
        <v>700</v>
      </c>
      <c r="J232" s="2">
        <v>570</v>
      </c>
      <c r="K232" s="2">
        <v>1270</v>
      </c>
      <c r="L232" s="2" t="str">
        <f t="shared" si="3"/>
        <v>Yes</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
  <sheetViews>
    <sheetView showGridLines="0" workbookViewId="0"/>
  </sheetViews>
  <sheetFormatPr defaultRowHeight="14.4" x14ac:dyDescent="0.3"/>
  <cols>
    <col min="1" max="1" width="14" customWidth="1"/>
    <col min="2" max="5" width="12" customWidth="1"/>
    <col min="6" max="6" width="20" customWidth="1"/>
    <col min="7" max="7" width="18" customWidth="1"/>
    <col min="8" max="8" width="16" customWidth="1"/>
  </cols>
  <sheetData>
    <row r="1" spans="1:8" ht="21" customHeight="1" x14ac:dyDescent="0.3">
      <c r="A1" s="64" t="s">
        <v>1258</v>
      </c>
      <c r="B1" s="63"/>
      <c r="C1" s="63"/>
      <c r="D1" s="63"/>
      <c r="E1" s="63"/>
      <c r="F1" s="63"/>
      <c r="G1" s="63"/>
      <c r="H1" s="65"/>
    </row>
    <row r="2" spans="1:8" ht="28.8" customHeight="1" x14ac:dyDescent="0.3">
      <c r="A2" s="1" t="s">
        <v>782</v>
      </c>
      <c r="B2" s="1" t="s">
        <v>1259</v>
      </c>
      <c r="C2" s="1" t="s">
        <v>1260</v>
      </c>
      <c r="D2" s="1" t="s">
        <v>1261</v>
      </c>
      <c r="E2" s="1" t="s">
        <v>1262</v>
      </c>
      <c r="F2" s="1" t="s">
        <v>1263</v>
      </c>
      <c r="G2" s="1" t="s">
        <v>1264</v>
      </c>
      <c r="H2" s="1" t="s">
        <v>1265</v>
      </c>
    </row>
    <row r="3" spans="1:8" x14ac:dyDescent="0.3">
      <c r="A3" s="3" t="s">
        <v>301</v>
      </c>
      <c r="B3" s="7">
        <v>1012</v>
      </c>
      <c r="C3" s="7">
        <v>6.4</v>
      </c>
      <c r="D3" s="7">
        <v>2.4</v>
      </c>
      <c r="E3" s="7"/>
      <c r="F3" s="7"/>
      <c r="G3" s="7"/>
      <c r="H3" s="7"/>
    </row>
    <row r="4" spans="1:8" x14ac:dyDescent="0.3">
      <c r="A4" s="2" t="s">
        <v>64</v>
      </c>
      <c r="B4" s="5">
        <v>995</v>
      </c>
      <c r="C4" s="5">
        <v>6.5</v>
      </c>
      <c r="D4" s="5">
        <v>3.17</v>
      </c>
      <c r="E4" s="5">
        <v>57</v>
      </c>
      <c r="F4" s="5">
        <v>90</v>
      </c>
      <c r="G4" s="5">
        <v>93</v>
      </c>
      <c r="H4" s="5">
        <v>93</v>
      </c>
    </row>
    <row r="5" spans="1:8" x14ac:dyDescent="0.3">
      <c r="A5" s="3" t="s">
        <v>189</v>
      </c>
      <c r="B5" s="7">
        <v>1062</v>
      </c>
      <c r="C5" s="7">
        <v>6.5</v>
      </c>
      <c r="D5" s="7">
        <v>2.95</v>
      </c>
      <c r="E5" s="7">
        <v>76</v>
      </c>
      <c r="F5" s="7">
        <v>93</v>
      </c>
      <c r="G5" s="7">
        <v>100</v>
      </c>
      <c r="H5" s="7">
        <v>100</v>
      </c>
    </row>
    <row r="6" spans="1:8" x14ac:dyDescent="0.3">
      <c r="A6" s="2" t="s">
        <v>302</v>
      </c>
      <c r="B6" s="5">
        <v>1073</v>
      </c>
      <c r="C6" s="5">
        <v>6.76</v>
      </c>
      <c r="D6" s="5">
        <v>2.7</v>
      </c>
      <c r="E6" s="5">
        <v>67</v>
      </c>
      <c r="F6" s="5">
        <v>92</v>
      </c>
      <c r="G6" s="5">
        <v>100</v>
      </c>
      <c r="H6" s="5">
        <v>100</v>
      </c>
    </row>
    <row r="7" spans="1:8" x14ac:dyDescent="0.3">
      <c r="A7" s="3" t="s">
        <v>422</v>
      </c>
      <c r="B7" s="7">
        <v>1143</v>
      </c>
      <c r="C7" s="7">
        <v>6.87</v>
      </c>
      <c r="D7" s="7">
        <v>3.22</v>
      </c>
      <c r="E7" s="7">
        <v>66</v>
      </c>
      <c r="F7" s="7">
        <v>91</v>
      </c>
      <c r="G7" s="7">
        <v>100</v>
      </c>
      <c r="H7" s="7">
        <v>100</v>
      </c>
    </row>
  </sheetData>
  <mergeCells count="1">
    <mergeCell ref="A1:H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6"/>
  <sheetViews>
    <sheetView showGridLines="0" workbookViewId="0"/>
  </sheetViews>
  <sheetFormatPr defaultRowHeight="14.4" x14ac:dyDescent="0.3"/>
  <cols>
    <col min="1" max="1" width="16" customWidth="1"/>
    <col min="2" max="2" width="10" customWidth="1"/>
    <col min="3" max="4" width="19" customWidth="1"/>
    <col min="5" max="6" width="20" customWidth="1"/>
    <col min="7" max="8" width="19" customWidth="1"/>
    <col min="9" max="10" width="20" customWidth="1"/>
    <col min="11" max="12" width="19" customWidth="1"/>
    <col min="13" max="14" width="20" customWidth="1"/>
    <col min="15" max="17" width="19" customWidth="1"/>
    <col min="18" max="18" width="20" customWidth="1"/>
    <col min="19" max="20" width="19" customWidth="1"/>
    <col min="21" max="22" width="20" customWidth="1"/>
    <col min="23" max="24" width="19" customWidth="1"/>
    <col min="25" max="26" width="20" customWidth="1"/>
    <col min="27" max="27" width="19" customWidth="1"/>
    <col min="28" max="28" width="20" customWidth="1"/>
    <col min="29" max="29" width="21" customWidth="1"/>
    <col min="30" max="31" width="20" customWidth="1"/>
  </cols>
  <sheetData>
    <row r="1" spans="1:31" ht="21" customHeight="1" x14ac:dyDescent="0.3">
      <c r="A1" s="64" t="s">
        <v>1266</v>
      </c>
      <c r="B1" s="63"/>
      <c r="C1" s="63"/>
      <c r="D1" s="63"/>
      <c r="E1" s="63"/>
      <c r="F1" s="63"/>
      <c r="G1" s="63"/>
      <c r="H1" s="63"/>
      <c r="I1" s="63"/>
      <c r="J1" s="63"/>
      <c r="K1" s="63"/>
      <c r="L1" s="63"/>
      <c r="M1" s="63"/>
      <c r="N1" s="63"/>
      <c r="O1" s="63"/>
      <c r="P1" s="63"/>
      <c r="Q1" s="65"/>
    </row>
    <row r="2" spans="1:31" x14ac:dyDescent="0.3">
      <c r="A2" s="1" t="s">
        <v>39</v>
      </c>
      <c r="B2" s="1" t="s">
        <v>1267</v>
      </c>
      <c r="C2" s="1" t="s">
        <v>1268</v>
      </c>
      <c r="D2" s="1" t="s">
        <v>1269</v>
      </c>
      <c r="E2" s="1" t="s">
        <v>1270</v>
      </c>
      <c r="F2" s="1" t="s">
        <v>1271</v>
      </c>
      <c r="G2" s="1" t="s">
        <v>1272</v>
      </c>
      <c r="H2" s="1" t="s">
        <v>1273</v>
      </c>
      <c r="I2" s="1" t="s">
        <v>1274</v>
      </c>
      <c r="J2" s="1" t="s">
        <v>1275</v>
      </c>
      <c r="K2" s="1" t="s">
        <v>1276</v>
      </c>
      <c r="L2" s="1" t="s">
        <v>1277</v>
      </c>
      <c r="M2" s="1" t="s">
        <v>1278</v>
      </c>
      <c r="N2" s="1" t="s">
        <v>1279</v>
      </c>
      <c r="O2" s="1" t="s">
        <v>1280</v>
      </c>
      <c r="P2" s="1" t="s">
        <v>1281</v>
      </c>
      <c r="Q2" s="1" t="s">
        <v>1282</v>
      </c>
      <c r="R2" s="1" t="s">
        <v>1283</v>
      </c>
      <c r="S2" s="1" t="s">
        <v>1284</v>
      </c>
      <c r="T2" s="1" t="s">
        <v>1285</v>
      </c>
      <c r="U2" s="1" t="s">
        <v>1286</v>
      </c>
      <c r="V2" s="1" t="s">
        <v>1287</v>
      </c>
      <c r="W2" s="1" t="s">
        <v>1288</v>
      </c>
      <c r="X2" s="1" t="s">
        <v>1289</v>
      </c>
      <c r="Y2" s="1" t="s">
        <v>1290</v>
      </c>
      <c r="Z2" s="1" t="s">
        <v>1291</v>
      </c>
      <c r="AA2" s="1" t="s">
        <v>1292</v>
      </c>
      <c r="AB2" s="1" t="s">
        <v>1259</v>
      </c>
      <c r="AC2" s="1" t="s">
        <v>1293</v>
      </c>
      <c r="AD2" s="1" t="s">
        <v>1264</v>
      </c>
      <c r="AE2" s="1" t="s">
        <v>1265</v>
      </c>
    </row>
    <row r="3" spans="1:31" x14ac:dyDescent="0.3">
      <c r="A3" s="3" t="s">
        <v>60</v>
      </c>
      <c r="B3" s="3">
        <v>59</v>
      </c>
      <c r="C3" s="7">
        <v>85.088813559322034</v>
      </c>
      <c r="D3" s="7">
        <v>89.645932203389847</v>
      </c>
      <c r="E3" s="7">
        <v>4.5571186440677964</v>
      </c>
      <c r="F3" s="8">
        <v>0.74576271186440679</v>
      </c>
      <c r="G3" s="7">
        <v>88.071864406779653</v>
      </c>
      <c r="H3" s="7">
        <v>93.171355932203397</v>
      </c>
      <c r="I3" s="7">
        <v>5.0994915254237281</v>
      </c>
      <c r="J3" s="8">
        <v>0.88135593220338981</v>
      </c>
      <c r="K3" s="7">
        <v>78.949152542372886</v>
      </c>
      <c r="L3" s="7">
        <v>92.991525423728817</v>
      </c>
      <c r="M3" s="7">
        <v>14.042372881355931</v>
      </c>
      <c r="N3" s="8">
        <v>0.98305084745762716</v>
      </c>
      <c r="O3" s="7">
        <v>89.101694915254242</v>
      </c>
      <c r="P3" s="7">
        <v>92.644067796610173</v>
      </c>
      <c r="Q3" s="7">
        <v>3.5423728813559321</v>
      </c>
      <c r="R3" s="8">
        <v>0.67796610169491522</v>
      </c>
      <c r="S3" s="7">
        <v>85.811864406779691</v>
      </c>
      <c r="T3" s="7">
        <v>93.288135593220332</v>
      </c>
      <c r="U3" s="7">
        <v>7.4762711864406786</v>
      </c>
      <c r="V3" s="8">
        <v>0.89830508474576276</v>
      </c>
      <c r="W3" s="7">
        <v>85.404677966101687</v>
      </c>
      <c r="X3" s="7">
        <v>92.348203389830516</v>
      </c>
      <c r="Y3" s="7">
        <v>6.9435254237288113</v>
      </c>
      <c r="Z3" s="8">
        <v>0.88135593220338981</v>
      </c>
      <c r="AA3" s="7">
        <v>61.149152542372867</v>
      </c>
      <c r="AB3" s="7">
        <v>1011.551724137931</v>
      </c>
      <c r="AC3" s="7">
        <v>93.162711864406788</v>
      </c>
      <c r="AD3" s="8">
        <v>1</v>
      </c>
      <c r="AE3" s="8">
        <v>0.76271186440677963</v>
      </c>
    </row>
    <row r="4" spans="1:31" x14ac:dyDescent="0.3">
      <c r="A4" s="2" t="s">
        <v>185</v>
      </c>
      <c r="B4" s="2">
        <v>55</v>
      </c>
      <c r="C4" s="5">
        <v>79.910181818181826</v>
      </c>
      <c r="D4" s="5">
        <v>89.00709090909092</v>
      </c>
      <c r="E4" s="5">
        <v>9.0969090909090884</v>
      </c>
      <c r="F4" s="9">
        <v>0.8</v>
      </c>
      <c r="G4" s="5">
        <v>82.873818181818194</v>
      </c>
      <c r="H4" s="5">
        <v>92.043454545454551</v>
      </c>
      <c r="I4" s="5">
        <v>9.1696363636363607</v>
      </c>
      <c r="J4" s="9">
        <v>0.81818181818181823</v>
      </c>
      <c r="K4" s="5">
        <v>80.981818181818184</v>
      </c>
      <c r="L4" s="5">
        <v>91.6</v>
      </c>
      <c r="M4" s="5">
        <v>10.618181818181821</v>
      </c>
      <c r="N4" s="9">
        <v>0.87272727272727268</v>
      </c>
      <c r="O4" s="5">
        <v>81.372727272727275</v>
      </c>
      <c r="P4" s="5">
        <v>90.963636363636368</v>
      </c>
      <c r="Q4" s="5">
        <v>9.5909090909090917</v>
      </c>
      <c r="R4" s="9">
        <v>0.69090909090909092</v>
      </c>
      <c r="S4" s="5">
        <v>75.172727272727272</v>
      </c>
      <c r="T4" s="5">
        <v>95.854545454545459</v>
      </c>
      <c r="U4" s="5">
        <v>20.681818181818169</v>
      </c>
      <c r="V4" s="9">
        <v>0.98181818181818181</v>
      </c>
      <c r="W4" s="5">
        <v>80.06225454545455</v>
      </c>
      <c r="X4" s="5">
        <v>91.893745454545467</v>
      </c>
      <c r="Y4" s="5">
        <v>11.83149090909091</v>
      </c>
      <c r="Z4" s="9">
        <v>0.8545454545454545</v>
      </c>
      <c r="AA4" s="5"/>
      <c r="AB4" s="5"/>
      <c r="AC4" s="5"/>
      <c r="AD4" s="9">
        <v>1</v>
      </c>
      <c r="AE4" s="9"/>
    </row>
    <row r="5" spans="1:31" x14ac:dyDescent="0.3">
      <c r="A5" s="3" t="s">
        <v>298</v>
      </c>
      <c r="B5" s="3">
        <v>59</v>
      </c>
      <c r="C5" s="7">
        <v>82.570508474576258</v>
      </c>
      <c r="D5" s="7">
        <v>86.168305084745768</v>
      </c>
      <c r="E5" s="7">
        <v>3.5977966101694911</v>
      </c>
      <c r="F5" s="8">
        <v>0.77966101694915257</v>
      </c>
      <c r="G5" s="7">
        <v>85.756949152542362</v>
      </c>
      <c r="H5" s="7">
        <v>89.693728813559332</v>
      </c>
      <c r="I5" s="7">
        <v>3.9367796610169479</v>
      </c>
      <c r="J5" s="8">
        <v>0.86440677966101698</v>
      </c>
      <c r="K5" s="7">
        <v>85.644067796610173</v>
      </c>
      <c r="L5" s="7">
        <v>91.872881355932208</v>
      </c>
      <c r="M5" s="7">
        <v>6.2288135593220337</v>
      </c>
      <c r="N5" s="8">
        <v>0.9152542372881356</v>
      </c>
      <c r="O5" s="7">
        <v>85.381355932203391</v>
      </c>
      <c r="P5" s="7">
        <v>88.36440677966101</v>
      </c>
      <c r="Q5" s="7">
        <v>2.9830508474576272</v>
      </c>
      <c r="R5" s="8">
        <v>0.66101694915254239</v>
      </c>
      <c r="S5" s="7">
        <v>78.147457627118655</v>
      </c>
      <c r="T5" s="7">
        <v>89.771186440677965</v>
      </c>
      <c r="U5" s="7">
        <v>11.623728813559319</v>
      </c>
      <c r="V5" s="8">
        <v>0.98305084745762716</v>
      </c>
      <c r="W5" s="7">
        <v>83.500067796610182</v>
      </c>
      <c r="X5" s="7">
        <v>89.174101694915265</v>
      </c>
      <c r="Y5" s="7">
        <v>5.6740338983050824</v>
      </c>
      <c r="Z5" s="8">
        <v>0.89830508474576276</v>
      </c>
      <c r="AA5" s="7"/>
      <c r="AB5" s="7"/>
      <c r="AC5" s="7"/>
      <c r="AD5" s="8">
        <v>1</v>
      </c>
      <c r="AE5" s="8"/>
    </row>
    <row r="6" spans="1:31" x14ac:dyDescent="0.3">
      <c r="A6" t="s">
        <v>419</v>
      </c>
      <c r="B6">
        <v>58</v>
      </c>
      <c r="C6" s="44">
        <v>84.608620689655169</v>
      </c>
      <c r="D6" s="44">
        <v>88.131379310344812</v>
      </c>
      <c r="E6" s="44">
        <v>3.5227586206896531</v>
      </c>
      <c r="F6" s="44">
        <v>0.77586206896551724</v>
      </c>
      <c r="G6" s="44">
        <v>88.091379310344834</v>
      </c>
      <c r="H6" s="44">
        <v>91.57965517241378</v>
      </c>
      <c r="I6" s="44">
        <v>3.4882758620689631</v>
      </c>
      <c r="J6" s="44">
        <v>0.81034482758620685</v>
      </c>
      <c r="K6" s="44">
        <v>88.422413793103445</v>
      </c>
      <c r="L6" s="44">
        <v>94.172413793103445</v>
      </c>
      <c r="M6" s="44">
        <v>5.75</v>
      </c>
      <c r="N6" s="44">
        <v>0.94827586206896552</v>
      </c>
      <c r="O6" s="44">
        <v>86.146551724137936</v>
      </c>
      <c r="P6" s="44">
        <v>91.129310344827587</v>
      </c>
      <c r="Q6" s="44">
        <v>4.9827586206896548</v>
      </c>
      <c r="R6" s="44">
        <v>0.86206896551724133</v>
      </c>
      <c r="S6" s="44">
        <v>82.775862068965523</v>
      </c>
      <c r="T6" s="44">
        <v>90.965517241379317</v>
      </c>
      <c r="U6" s="44">
        <v>8.1896551724137918</v>
      </c>
      <c r="V6" s="44">
        <v>0.87931034482758619</v>
      </c>
      <c r="W6" s="44">
        <v>86.008965517241364</v>
      </c>
      <c r="X6" s="44">
        <v>91.195655172413794</v>
      </c>
      <c r="Y6" s="44">
        <v>5.1866896551724144</v>
      </c>
      <c r="Z6" s="44">
        <v>0.93103448275862066</v>
      </c>
      <c r="AD6">
        <v>1</v>
      </c>
    </row>
  </sheetData>
  <mergeCells count="1">
    <mergeCell ref="A1:Q1"/>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7"/>
  <sheetViews>
    <sheetView showGridLines="0" workbookViewId="0"/>
  </sheetViews>
  <sheetFormatPr defaultRowHeight="14.4" x14ac:dyDescent="0.3"/>
  <cols>
    <col min="1" max="1" width="16" customWidth="1"/>
    <col min="2" max="2" width="12" customWidth="1"/>
    <col min="3" max="3" width="14" customWidth="1"/>
    <col min="4" max="9" width="19" customWidth="1"/>
  </cols>
  <sheetData>
    <row r="1" spans="1:15" x14ac:dyDescent="0.3">
      <c r="A1" s="4" t="s">
        <v>39</v>
      </c>
      <c r="B1" s="4" t="s">
        <v>783</v>
      </c>
      <c r="C1" s="4" t="s">
        <v>782</v>
      </c>
      <c r="D1" s="4" t="s">
        <v>1294</v>
      </c>
      <c r="E1" s="4" t="s">
        <v>1295</v>
      </c>
      <c r="F1" s="4" t="s">
        <v>1296</v>
      </c>
      <c r="G1" s="4" t="s">
        <v>1297</v>
      </c>
      <c r="H1" s="4" t="s">
        <v>1298</v>
      </c>
      <c r="I1" s="4" t="s">
        <v>1299</v>
      </c>
      <c r="K1" t="s">
        <v>783</v>
      </c>
      <c r="L1" t="s">
        <v>60</v>
      </c>
      <c r="M1" t="s">
        <v>185</v>
      </c>
      <c r="N1" t="s">
        <v>298</v>
      </c>
      <c r="O1" t="s">
        <v>419</v>
      </c>
    </row>
    <row r="2" spans="1:15" x14ac:dyDescent="0.3">
      <c r="A2" s="2" t="s">
        <v>60</v>
      </c>
      <c r="B2" s="2">
        <v>1</v>
      </c>
      <c r="C2" s="2" t="s">
        <v>63</v>
      </c>
      <c r="D2" s="2">
        <v>85.088813559322034</v>
      </c>
      <c r="E2" s="2">
        <v>88.071864406779653</v>
      </c>
      <c r="F2" s="2">
        <v>78.949152542372886</v>
      </c>
      <c r="G2" s="2">
        <v>89.101694915254242</v>
      </c>
      <c r="H2" s="2">
        <v>85.811864406779691</v>
      </c>
      <c r="I2" s="2">
        <v>85.404677966101687</v>
      </c>
      <c r="K2">
        <v>1</v>
      </c>
      <c r="L2">
        <v>85.404677966101687</v>
      </c>
      <c r="M2">
        <v>80.06225454545455</v>
      </c>
      <c r="N2">
        <v>83.500067796610182</v>
      </c>
      <c r="O2">
        <v>86.008965517241364</v>
      </c>
    </row>
    <row r="3" spans="1:15" x14ac:dyDescent="0.3">
      <c r="A3" s="3" t="s">
        <v>60</v>
      </c>
      <c r="B3" s="3">
        <v>2</v>
      </c>
      <c r="C3" s="3" t="s">
        <v>188</v>
      </c>
      <c r="D3" s="3">
        <v>88.40745762711866</v>
      </c>
      <c r="E3" s="3">
        <v>91.339661016949165</v>
      </c>
      <c r="F3" s="3">
        <v>82.881355932203391</v>
      </c>
      <c r="G3" s="3">
        <v>91.576271186440678</v>
      </c>
      <c r="H3" s="3">
        <v>88.247457627118635</v>
      </c>
      <c r="I3" s="3">
        <v>88.490440677966106</v>
      </c>
      <c r="K3">
        <v>2</v>
      </c>
      <c r="L3">
        <v>88.490440677966106</v>
      </c>
      <c r="M3">
        <v>85.360945454545458</v>
      </c>
      <c r="N3">
        <v>86.81606779661017</v>
      </c>
      <c r="O3">
        <v>90.626241379310343</v>
      </c>
    </row>
    <row r="4" spans="1:15" x14ac:dyDescent="0.3">
      <c r="A4" s="2" t="s">
        <v>60</v>
      </c>
      <c r="B4" s="2">
        <v>3</v>
      </c>
      <c r="C4" s="2" t="s">
        <v>301</v>
      </c>
      <c r="D4" s="2">
        <v>87.442372881355936</v>
      </c>
      <c r="E4" s="2">
        <v>90.815254237288144</v>
      </c>
      <c r="F4" s="2">
        <v>82.508474576271183</v>
      </c>
      <c r="G4" s="2">
        <v>84.974576271186436</v>
      </c>
      <c r="H4" s="2">
        <v>86.169491525423723</v>
      </c>
      <c r="I4" s="2">
        <v>86.382033898305082</v>
      </c>
      <c r="K4">
        <v>3</v>
      </c>
      <c r="L4">
        <v>86.382033898305082</v>
      </c>
      <c r="M4">
        <v>87.635563636363628</v>
      </c>
      <c r="N4">
        <v>90.343050847457619</v>
      </c>
      <c r="O4">
        <v>89.136206896551727</v>
      </c>
    </row>
    <row r="5" spans="1:15" x14ac:dyDescent="0.3">
      <c r="A5" s="3" t="s">
        <v>60</v>
      </c>
      <c r="B5" s="3">
        <v>4</v>
      </c>
      <c r="C5" s="3" t="s">
        <v>64</v>
      </c>
      <c r="D5" s="3">
        <v>89.645932203389847</v>
      </c>
      <c r="E5" s="3">
        <v>93.171355932203397</v>
      </c>
      <c r="F5" s="3">
        <v>92.991525423728817</v>
      </c>
      <c r="G5" s="3">
        <v>92.644067796610173</v>
      </c>
      <c r="H5" s="3">
        <v>93.288135593220332</v>
      </c>
      <c r="I5" s="3">
        <v>92.348203389830516</v>
      </c>
      <c r="K5">
        <v>4</v>
      </c>
      <c r="L5">
        <v>92.348203389830516</v>
      </c>
      <c r="M5">
        <v>91.893745454545467</v>
      </c>
      <c r="N5">
        <v>89.174101694915265</v>
      </c>
      <c r="O5">
        <v>91.195655172413794</v>
      </c>
    </row>
    <row r="6" spans="1:15" x14ac:dyDescent="0.3">
      <c r="A6" s="2" t="s">
        <v>185</v>
      </c>
      <c r="B6" s="2">
        <v>1</v>
      </c>
      <c r="C6" s="2" t="s">
        <v>188</v>
      </c>
      <c r="D6" s="2">
        <v>79.910181818181826</v>
      </c>
      <c r="E6" s="2">
        <v>82.873818181818194</v>
      </c>
      <c r="F6" s="2">
        <v>80.981818181818184</v>
      </c>
      <c r="G6" s="2">
        <v>81.372727272727275</v>
      </c>
      <c r="H6" s="2">
        <v>75.172727272727272</v>
      </c>
      <c r="I6" s="2">
        <v>80.06225454545455</v>
      </c>
    </row>
    <row r="7" spans="1:15" x14ac:dyDescent="0.3">
      <c r="A7" s="3" t="s">
        <v>185</v>
      </c>
      <c r="B7" s="3">
        <v>2</v>
      </c>
      <c r="C7" s="3" t="s">
        <v>301</v>
      </c>
      <c r="D7" s="3">
        <v>84.619636363636374</v>
      </c>
      <c r="E7" s="3">
        <v>87.856000000000009</v>
      </c>
      <c r="F7" s="3">
        <v>85.927272727272722</v>
      </c>
      <c r="G7" s="3">
        <v>86.963636363636368</v>
      </c>
      <c r="H7" s="3">
        <v>81.438181818181803</v>
      </c>
      <c r="I7" s="3">
        <v>85.360945454545458</v>
      </c>
    </row>
    <row r="8" spans="1:15" x14ac:dyDescent="0.3">
      <c r="A8" s="2" t="s">
        <v>185</v>
      </c>
      <c r="B8" s="2">
        <v>3</v>
      </c>
      <c r="C8" s="2" t="s">
        <v>64</v>
      </c>
      <c r="D8" s="2">
        <v>87.320727272727268</v>
      </c>
      <c r="E8" s="2">
        <v>90.393454545454532</v>
      </c>
      <c r="F8" s="2">
        <v>84.963636363636368</v>
      </c>
      <c r="G8" s="2">
        <v>87.345454545454544</v>
      </c>
      <c r="H8" s="2">
        <v>88.154545454545456</v>
      </c>
      <c r="I8" s="2">
        <v>87.635563636363628</v>
      </c>
    </row>
    <row r="9" spans="1:15" x14ac:dyDescent="0.3">
      <c r="A9" s="3" t="s">
        <v>185</v>
      </c>
      <c r="B9" s="3">
        <v>4</v>
      </c>
      <c r="C9" s="3" t="s">
        <v>189</v>
      </c>
      <c r="D9" s="3">
        <v>89.00709090909092</v>
      </c>
      <c r="E9" s="3">
        <v>92.043454545454551</v>
      </c>
      <c r="F9" s="3">
        <v>91.6</v>
      </c>
      <c r="G9" s="3">
        <v>90.963636363636368</v>
      </c>
      <c r="H9" s="3">
        <v>95.854545454545459</v>
      </c>
      <c r="I9" s="3">
        <v>91.893745454545467</v>
      </c>
    </row>
    <row r="10" spans="1:15" x14ac:dyDescent="0.3">
      <c r="A10" s="2" t="s">
        <v>298</v>
      </c>
      <c r="B10" s="2">
        <v>1</v>
      </c>
      <c r="C10" s="2" t="s">
        <v>301</v>
      </c>
      <c r="D10" s="2">
        <v>82.570508474576258</v>
      </c>
      <c r="E10" s="2">
        <v>85.756949152542362</v>
      </c>
      <c r="F10" s="2">
        <v>85.644067796610173</v>
      </c>
      <c r="G10" s="2">
        <v>85.381355932203391</v>
      </c>
      <c r="H10" s="2">
        <v>78.147457627118655</v>
      </c>
      <c r="I10" s="2">
        <v>83.500067796610182</v>
      </c>
    </row>
    <row r="11" spans="1:15" x14ac:dyDescent="0.3">
      <c r="A11" s="3" t="s">
        <v>298</v>
      </c>
      <c r="B11" s="3">
        <v>2</v>
      </c>
      <c r="C11" s="3" t="s">
        <v>64</v>
      </c>
      <c r="D11" s="3">
        <v>86.47999999999999</v>
      </c>
      <c r="E11" s="3">
        <v>89.412203389830509</v>
      </c>
      <c r="F11" s="3">
        <v>87.059322033898312</v>
      </c>
      <c r="G11" s="3">
        <v>85.533898305084747</v>
      </c>
      <c r="H11" s="3">
        <v>85.594915254237293</v>
      </c>
      <c r="I11" s="3">
        <v>86.81606779661017</v>
      </c>
    </row>
    <row r="12" spans="1:15" x14ac:dyDescent="0.3">
      <c r="A12" s="2" t="s">
        <v>298</v>
      </c>
      <c r="B12" s="2">
        <v>3</v>
      </c>
      <c r="C12" s="2" t="s">
        <v>189</v>
      </c>
      <c r="D12" s="2">
        <v>89.251694915254248</v>
      </c>
      <c r="E12" s="2">
        <v>92.048305084745763</v>
      </c>
      <c r="F12" s="2">
        <v>89.415254237288138</v>
      </c>
      <c r="G12" s="2">
        <v>91.567796610169495</v>
      </c>
      <c r="H12" s="2">
        <v>89.432203389830505</v>
      </c>
      <c r="I12" s="2">
        <v>90.343050847457619</v>
      </c>
    </row>
    <row r="13" spans="1:15" x14ac:dyDescent="0.3">
      <c r="A13" s="3" t="s">
        <v>298</v>
      </c>
      <c r="B13" s="3">
        <v>4</v>
      </c>
      <c r="C13" s="3" t="s">
        <v>302</v>
      </c>
      <c r="D13" s="3">
        <v>86.168305084745768</v>
      </c>
      <c r="E13" s="3">
        <v>89.693728813559332</v>
      </c>
      <c r="F13" s="3">
        <v>91.872881355932208</v>
      </c>
      <c r="G13" s="3">
        <v>88.36440677966101</v>
      </c>
      <c r="H13" s="3">
        <v>89.771186440677965</v>
      </c>
      <c r="I13" s="3">
        <v>89.174101694915265</v>
      </c>
    </row>
    <row r="14" spans="1:15" x14ac:dyDescent="0.3">
      <c r="A14" s="3" t="s">
        <v>419</v>
      </c>
      <c r="B14" s="3">
        <v>1</v>
      </c>
      <c r="C14" s="3" t="s">
        <v>64</v>
      </c>
      <c r="D14" s="3">
        <v>84.608620689655169</v>
      </c>
      <c r="E14" s="3">
        <v>88.091379310344834</v>
      </c>
      <c r="F14" s="3">
        <v>88.422413793103445</v>
      </c>
      <c r="G14" s="3">
        <v>86.146551724137936</v>
      </c>
      <c r="H14" s="3">
        <v>82.775862068965523</v>
      </c>
      <c r="I14" s="3">
        <v>86.008965517241364</v>
      </c>
    </row>
    <row r="15" spans="1:15" x14ac:dyDescent="0.3">
      <c r="A15" s="3" t="s">
        <v>419</v>
      </c>
      <c r="B15" s="3">
        <v>2</v>
      </c>
      <c r="C15" s="3" t="s">
        <v>189</v>
      </c>
      <c r="D15" s="3">
        <v>87.387931034482762</v>
      </c>
      <c r="E15" s="3">
        <v>90.008620689655174</v>
      </c>
      <c r="F15" s="3">
        <v>91.948275862068968</v>
      </c>
      <c r="G15" s="3">
        <v>90.620689655172413</v>
      </c>
      <c r="H15" s="3">
        <v>93.165689655172415</v>
      </c>
      <c r="I15" s="3">
        <v>90.626241379310343</v>
      </c>
    </row>
    <row r="16" spans="1:15" x14ac:dyDescent="0.3">
      <c r="A16" s="3" t="s">
        <v>419</v>
      </c>
      <c r="B16" s="3">
        <v>3</v>
      </c>
      <c r="C16" s="3" t="s">
        <v>302</v>
      </c>
      <c r="D16" s="3">
        <v>88.620689655172413</v>
      </c>
      <c r="E16" s="3">
        <v>91.568965517241381</v>
      </c>
      <c r="F16" s="3">
        <v>90.258620689655174</v>
      </c>
      <c r="G16" s="3">
        <v>88.741379310344826</v>
      </c>
      <c r="H16" s="3">
        <v>86.491379310344826</v>
      </c>
      <c r="I16" s="3">
        <v>89.136206896551727</v>
      </c>
    </row>
    <row r="17" spans="1:9" x14ac:dyDescent="0.3">
      <c r="A17" s="3" t="s">
        <v>419</v>
      </c>
      <c r="B17" s="3">
        <v>4</v>
      </c>
      <c r="C17" s="3" t="s">
        <v>422</v>
      </c>
      <c r="D17" s="3">
        <v>88.131379310344812</v>
      </c>
      <c r="E17" s="3">
        <v>91.57965517241378</v>
      </c>
      <c r="F17" s="3">
        <v>94.172413793103445</v>
      </c>
      <c r="G17" s="3">
        <v>91.129310344827587</v>
      </c>
      <c r="H17" s="3">
        <v>90.965517241379317</v>
      </c>
      <c r="I17" s="3">
        <v>91.195655172413794</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7"/>
  <sheetViews>
    <sheetView showGridLines="0" workbookViewId="0"/>
  </sheetViews>
  <sheetFormatPr defaultRowHeight="14.4" x14ac:dyDescent="0.3"/>
  <cols>
    <col min="1" max="1" width="12" customWidth="1"/>
    <col min="2" max="4" width="19" customWidth="1"/>
    <col min="5" max="5" width="20" customWidth="1"/>
    <col min="6" max="6" width="21" customWidth="1"/>
    <col min="7" max="7" width="10" customWidth="1"/>
  </cols>
  <sheetData>
    <row r="1" spans="1:7" ht="21" customHeight="1" x14ac:dyDescent="0.3">
      <c r="A1" s="64" t="s">
        <v>1300</v>
      </c>
      <c r="B1" s="63"/>
      <c r="C1" s="63"/>
      <c r="D1" s="63"/>
      <c r="E1" s="63"/>
      <c r="F1" s="63"/>
      <c r="G1" s="65"/>
    </row>
    <row r="2" spans="1:7" x14ac:dyDescent="0.3">
      <c r="A2" s="1" t="s">
        <v>1301</v>
      </c>
      <c r="B2" s="1" t="s">
        <v>1302</v>
      </c>
      <c r="C2" s="1" t="s">
        <v>1303</v>
      </c>
      <c r="D2" s="1" t="s">
        <v>1304</v>
      </c>
      <c r="E2" s="1" t="s">
        <v>1305</v>
      </c>
      <c r="F2" s="1" t="s">
        <v>1306</v>
      </c>
      <c r="G2" s="1" t="s">
        <v>1307</v>
      </c>
    </row>
    <row r="3" spans="1:7" x14ac:dyDescent="0.3">
      <c r="A3" s="3" t="s">
        <v>785</v>
      </c>
      <c r="B3" s="7">
        <v>83.092034632034611</v>
      </c>
      <c r="C3" s="7">
        <v>88.225324675324686</v>
      </c>
      <c r="D3" s="7">
        <v>5.1332900432900423</v>
      </c>
      <c r="E3" s="8">
        <v>0.77489177489177485</v>
      </c>
      <c r="F3" s="7">
        <v>-13.94</v>
      </c>
      <c r="G3" s="7">
        <v>97.88</v>
      </c>
    </row>
    <row r="4" spans="1:7" x14ac:dyDescent="0.3">
      <c r="A4" s="2" t="s">
        <v>786</v>
      </c>
      <c r="B4" s="5">
        <v>86.247878787878761</v>
      </c>
      <c r="C4" s="5">
        <v>91.614935064935082</v>
      </c>
      <c r="D4" s="5">
        <v>5.3670562770562764</v>
      </c>
      <c r="E4" s="9">
        <v>0.8441558441558441</v>
      </c>
      <c r="F4" s="5">
        <v>-12.94</v>
      </c>
      <c r="G4" s="5">
        <v>97.88</v>
      </c>
    </row>
    <row r="5" spans="1:7" x14ac:dyDescent="0.3">
      <c r="A5" s="3" t="s">
        <v>787</v>
      </c>
      <c r="B5" s="7">
        <v>83.521645021645028</v>
      </c>
      <c r="C5" s="7">
        <v>92.670995670995666</v>
      </c>
      <c r="D5" s="7">
        <v>9.1493506493506498</v>
      </c>
      <c r="E5" s="8">
        <v>0.93073593073593075</v>
      </c>
      <c r="F5" s="7">
        <v>-9.5</v>
      </c>
      <c r="G5" s="7">
        <v>98</v>
      </c>
    </row>
    <row r="6" spans="1:7" x14ac:dyDescent="0.3">
      <c r="A6" s="2" t="s">
        <v>788</v>
      </c>
      <c r="B6" s="5">
        <v>85.569264069264065</v>
      </c>
      <c r="C6" s="5">
        <v>90.770562770562776</v>
      </c>
      <c r="D6" s="5">
        <v>5.2012987012987013</v>
      </c>
      <c r="E6" s="9">
        <v>0.72294372294372289</v>
      </c>
      <c r="F6" s="5">
        <v>-26</v>
      </c>
      <c r="G6" s="5">
        <v>99.5</v>
      </c>
    </row>
    <row r="7" spans="1:7" x14ac:dyDescent="0.3">
      <c r="A7" s="3" t="s">
        <v>789</v>
      </c>
      <c r="B7" s="7">
        <v>80.55887445887447</v>
      </c>
      <c r="C7" s="7">
        <v>92.417748917748924</v>
      </c>
      <c r="D7" s="7">
        <v>11.85887445887446</v>
      </c>
      <c r="E7" s="8">
        <v>0.93506493506493504</v>
      </c>
      <c r="F7" s="7">
        <v>-16.099999999999991</v>
      </c>
      <c r="G7" s="7">
        <v>99.5</v>
      </c>
    </row>
  </sheetData>
  <mergeCells count="1">
    <mergeCell ref="A1:G1"/>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2"/>
  <sheetViews>
    <sheetView showGridLines="0" workbookViewId="0"/>
  </sheetViews>
  <sheetFormatPr defaultRowHeight="14.4" x14ac:dyDescent="0.3"/>
  <cols>
    <col min="1" max="1" width="14" customWidth="1"/>
    <col min="2" max="2" width="10" customWidth="1"/>
    <col min="3" max="6" width="20" customWidth="1"/>
    <col min="7" max="10" width="2" customWidth="1"/>
  </cols>
  <sheetData>
    <row r="1" spans="1:10" ht="21" customHeight="1" x14ac:dyDescent="0.3">
      <c r="A1" s="64" t="s">
        <v>1308</v>
      </c>
      <c r="B1" s="63"/>
      <c r="C1" s="63"/>
      <c r="D1" s="63"/>
      <c r="E1" s="63"/>
      <c r="F1" s="63"/>
      <c r="G1" s="63"/>
      <c r="H1" s="63"/>
      <c r="I1" s="63"/>
      <c r="J1" s="65"/>
    </row>
    <row r="2" spans="1:10" x14ac:dyDescent="0.3">
      <c r="A2" s="1" t="s">
        <v>50</v>
      </c>
      <c r="B2" s="1" t="s">
        <v>120</v>
      </c>
      <c r="C2" s="1" t="s">
        <v>99</v>
      </c>
      <c r="D2" s="1" t="s">
        <v>65</v>
      </c>
      <c r="E2" s="1" t="s">
        <v>66</v>
      </c>
    </row>
    <row r="3" spans="1:10" x14ac:dyDescent="0.3">
      <c r="A3" s="3" t="s">
        <v>120</v>
      </c>
      <c r="B3" s="3">
        <v>0</v>
      </c>
      <c r="C3" s="3">
        <v>2</v>
      </c>
      <c r="D3" s="3">
        <v>1</v>
      </c>
      <c r="E3" s="3">
        <v>4</v>
      </c>
    </row>
    <row r="4" spans="1:10" x14ac:dyDescent="0.3">
      <c r="A4" s="2" t="s">
        <v>99</v>
      </c>
      <c r="B4" s="2">
        <v>2</v>
      </c>
      <c r="C4" s="2">
        <v>4</v>
      </c>
      <c r="D4" s="2">
        <v>21</v>
      </c>
      <c r="E4" s="2">
        <v>24</v>
      </c>
    </row>
    <row r="5" spans="1:10" x14ac:dyDescent="0.3">
      <c r="A5" s="3" t="s">
        <v>65</v>
      </c>
      <c r="B5" s="3">
        <v>0</v>
      </c>
      <c r="C5" s="3">
        <v>4</v>
      </c>
      <c r="D5" s="3">
        <v>42</v>
      </c>
      <c r="E5" s="3">
        <v>73</v>
      </c>
    </row>
    <row r="6" spans="1:10" x14ac:dyDescent="0.3">
      <c r="A6" s="2" t="s">
        <v>66</v>
      </c>
      <c r="B6" s="2">
        <v>0</v>
      </c>
      <c r="C6" s="2">
        <v>0</v>
      </c>
      <c r="D6" s="2">
        <v>8</v>
      </c>
      <c r="E6" s="2">
        <v>46</v>
      </c>
    </row>
    <row r="9" spans="1:10" x14ac:dyDescent="0.3">
      <c r="A9" s="1" t="s">
        <v>1309</v>
      </c>
      <c r="B9" s="1" t="s">
        <v>1310</v>
      </c>
      <c r="C9" s="1" t="s">
        <v>1311</v>
      </c>
      <c r="D9" s="1" t="s">
        <v>1312</v>
      </c>
      <c r="E9" s="1" t="s">
        <v>1305</v>
      </c>
      <c r="F9" s="1" t="s">
        <v>1313</v>
      </c>
    </row>
    <row r="10" spans="1:10" x14ac:dyDescent="0.3">
      <c r="A10" s="2" t="s">
        <v>819</v>
      </c>
      <c r="B10" s="2">
        <v>52</v>
      </c>
      <c r="C10" s="5">
        <v>59.633333333333333</v>
      </c>
      <c r="D10" s="9">
        <v>7.9209999999999967</v>
      </c>
      <c r="E10" s="5">
        <v>0.92307692307692313</v>
      </c>
      <c r="F10" s="9">
        <v>92.420538461538484</v>
      </c>
    </row>
    <row r="11" spans="1:10" x14ac:dyDescent="0.3">
      <c r="A11" s="3" t="s">
        <v>820</v>
      </c>
      <c r="B11" s="3">
        <v>7</v>
      </c>
      <c r="C11" s="7">
        <v>72.409523809523805</v>
      </c>
      <c r="D11" s="8">
        <v>-0.31771428571428217</v>
      </c>
      <c r="E11" s="7">
        <v>0.5714285714285714</v>
      </c>
      <c r="F11" s="8">
        <v>91.810857142857145</v>
      </c>
    </row>
    <row r="12" spans="1:10" x14ac:dyDescent="0.3">
      <c r="A12" s="2" t="s">
        <v>1314</v>
      </c>
      <c r="B12" s="2">
        <v>0</v>
      </c>
      <c r="C12" s="5"/>
      <c r="D12" s="9"/>
      <c r="E12" s="5"/>
      <c r="F12" s="9"/>
    </row>
  </sheetData>
  <mergeCells count="1">
    <mergeCell ref="A1:J1"/>
  </mergeCells>
  <conditionalFormatting sqref="B3:E6">
    <cfRule type="colorScale" priority="1">
      <colorScale>
        <cfvo type="min"/>
        <cfvo type="percentile" val="50"/>
        <cfvo type="max"/>
        <color rgb="FFFFF2CC"/>
        <color rgb="FFBDD7EE"/>
        <color rgb="FFA9D18E"/>
      </colorScale>
    </cfRule>
  </conditionalFormatting>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7"/>
  <sheetViews>
    <sheetView showGridLines="0" workbookViewId="0"/>
  </sheetViews>
  <sheetFormatPr defaultRowHeight="14.4" x14ac:dyDescent="0.3"/>
  <cols>
    <col min="1" max="1" width="14" customWidth="1"/>
    <col min="2" max="2" width="22" customWidth="1"/>
    <col min="3" max="3" width="34" customWidth="1"/>
    <col min="4" max="4" width="24" customWidth="1"/>
    <col min="5" max="5" width="30" customWidth="1"/>
    <col min="6" max="6" width="12" customWidth="1"/>
    <col min="7" max="7" width="18" customWidth="1"/>
    <col min="8" max="8" width="28" customWidth="1"/>
  </cols>
  <sheetData>
    <row r="1" spans="1:8" ht="21" customHeight="1" x14ac:dyDescent="0.3">
      <c r="A1" s="64" t="s">
        <v>1315</v>
      </c>
      <c r="B1" s="63"/>
      <c r="C1" s="63"/>
      <c r="D1" s="63"/>
      <c r="E1" s="63"/>
      <c r="F1" s="63"/>
      <c r="G1" s="63"/>
      <c r="H1" s="65"/>
    </row>
    <row r="2" spans="1:8" x14ac:dyDescent="0.3">
      <c r="A2" s="1" t="s">
        <v>1316</v>
      </c>
      <c r="B2" s="1" t="s">
        <v>784</v>
      </c>
      <c r="C2" s="1" t="s">
        <v>1317</v>
      </c>
      <c r="D2" s="1" t="s">
        <v>1318</v>
      </c>
      <c r="E2" s="1" t="s">
        <v>1319</v>
      </c>
      <c r="F2" s="1" t="s">
        <v>1320</v>
      </c>
      <c r="G2" s="1" t="s">
        <v>1321</v>
      </c>
      <c r="H2" s="1" t="s">
        <v>1322</v>
      </c>
    </row>
    <row r="3" spans="1:8" x14ac:dyDescent="0.3">
      <c r="A3" s="3" t="s">
        <v>1323</v>
      </c>
      <c r="B3" s="3" t="s">
        <v>791</v>
      </c>
      <c r="C3" s="3" t="s">
        <v>1324</v>
      </c>
      <c r="D3" s="3" t="s">
        <v>1325</v>
      </c>
      <c r="E3" s="3" t="s">
        <v>1326</v>
      </c>
      <c r="F3" s="3" t="s">
        <v>1327</v>
      </c>
      <c r="G3" s="3"/>
      <c r="H3" s="3" t="s">
        <v>1328</v>
      </c>
    </row>
    <row r="4" spans="1:8" x14ac:dyDescent="0.3">
      <c r="A4" s="2" t="s">
        <v>1329</v>
      </c>
      <c r="B4" s="2" t="s">
        <v>795</v>
      </c>
      <c r="C4" s="2" t="s">
        <v>1324</v>
      </c>
      <c r="D4" s="2" t="s">
        <v>1325</v>
      </c>
      <c r="E4" s="2" t="s">
        <v>1326</v>
      </c>
      <c r="F4" s="2" t="s">
        <v>1327</v>
      </c>
      <c r="G4" s="2"/>
      <c r="H4" s="2" t="s">
        <v>1328</v>
      </c>
    </row>
    <row r="5" spans="1:8" x14ac:dyDescent="0.3">
      <c r="A5" s="3" t="s">
        <v>1330</v>
      </c>
      <c r="B5" s="3" t="s">
        <v>796</v>
      </c>
      <c r="C5" s="3" t="s">
        <v>1331</v>
      </c>
      <c r="D5" s="3" t="s">
        <v>1325</v>
      </c>
      <c r="E5" s="3" t="s">
        <v>1326</v>
      </c>
      <c r="F5" s="3" t="s">
        <v>1332</v>
      </c>
      <c r="G5" s="3"/>
      <c r="H5" s="3" t="s">
        <v>1328</v>
      </c>
    </row>
    <row r="6" spans="1:8" x14ac:dyDescent="0.3">
      <c r="A6" s="2" t="s">
        <v>1333</v>
      </c>
      <c r="B6" s="2" t="s">
        <v>1334</v>
      </c>
      <c r="C6" s="2" t="s">
        <v>1335</v>
      </c>
      <c r="D6" s="2" t="s">
        <v>1336</v>
      </c>
      <c r="E6" s="2" t="s">
        <v>1337</v>
      </c>
      <c r="F6" s="2" t="s">
        <v>1338</v>
      </c>
      <c r="G6" s="2"/>
      <c r="H6" s="2" t="s">
        <v>1328</v>
      </c>
    </row>
    <row r="7" spans="1:8" x14ac:dyDescent="0.3">
      <c r="A7" s="3" t="s">
        <v>1333</v>
      </c>
      <c r="B7" s="3" t="s">
        <v>1334</v>
      </c>
      <c r="C7" s="3" t="s">
        <v>1339</v>
      </c>
      <c r="D7" s="3" t="s">
        <v>1340</v>
      </c>
      <c r="E7" s="3" t="s">
        <v>1341</v>
      </c>
      <c r="F7" s="3" t="s">
        <v>1327</v>
      </c>
      <c r="G7" s="3"/>
      <c r="H7" s="3" t="s">
        <v>1328</v>
      </c>
    </row>
  </sheetData>
  <mergeCells count="1">
    <mergeCell ref="A1:H1"/>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5"/>
  <sheetViews>
    <sheetView showGridLines="0" workbookViewId="0"/>
  </sheetViews>
  <sheetFormatPr defaultRowHeight="14.4" x14ac:dyDescent="0.3"/>
  <cols>
    <col min="1" max="1" width="22.33203125" customWidth="1"/>
    <col min="2" max="3" width="14" customWidth="1"/>
    <col min="4" max="4" width="24" customWidth="1"/>
    <col min="5" max="5" width="36" customWidth="1"/>
    <col min="6" max="7" width="2" customWidth="1"/>
  </cols>
  <sheetData>
    <row r="1" spans="1:7" ht="21" customHeight="1" x14ac:dyDescent="0.3">
      <c r="A1" s="64" t="s">
        <v>1342</v>
      </c>
      <c r="B1" s="63"/>
      <c r="C1" s="63"/>
      <c r="D1" s="63"/>
      <c r="E1" s="63"/>
      <c r="F1" s="63"/>
      <c r="G1" s="65"/>
    </row>
    <row r="2" spans="1:7" x14ac:dyDescent="0.3">
      <c r="A2" s="1" t="s">
        <v>782</v>
      </c>
      <c r="B2" s="1" t="s">
        <v>1343</v>
      </c>
      <c r="C2" s="1" t="s">
        <v>1344</v>
      </c>
      <c r="D2" s="1" t="s">
        <v>1345</v>
      </c>
    </row>
    <row r="3" spans="1:7" x14ac:dyDescent="0.3">
      <c r="A3" s="3" t="s">
        <v>63</v>
      </c>
      <c r="B3" s="3">
        <v>14</v>
      </c>
      <c r="C3" s="3">
        <v>21</v>
      </c>
      <c r="D3" s="3">
        <v>50</v>
      </c>
      <c r="E3" s="10" t="s">
        <v>1346</v>
      </c>
    </row>
    <row r="4" spans="1:7" x14ac:dyDescent="0.3">
      <c r="A4" s="2" t="s">
        <v>188</v>
      </c>
      <c r="B4" s="2">
        <v>13</v>
      </c>
      <c r="C4" s="2">
        <v>23</v>
      </c>
      <c r="D4" s="2">
        <v>52</v>
      </c>
      <c r="E4" s="10" t="s">
        <v>1347</v>
      </c>
    </row>
    <row r="5" spans="1:7" x14ac:dyDescent="0.3">
      <c r="A5" s="3" t="s">
        <v>301</v>
      </c>
      <c r="B5" s="3">
        <v>14</v>
      </c>
      <c r="C5" s="3">
        <v>32</v>
      </c>
      <c r="D5" s="3">
        <v>61</v>
      </c>
      <c r="E5" s="10" t="s">
        <v>1348</v>
      </c>
    </row>
    <row r="6" spans="1:7" x14ac:dyDescent="0.3">
      <c r="A6" s="2" t="s">
        <v>64</v>
      </c>
      <c r="B6" s="2">
        <v>23</v>
      </c>
      <c r="C6" s="2">
        <v>61</v>
      </c>
      <c r="D6" s="2">
        <v>123</v>
      </c>
    </row>
    <row r="7" spans="1:7" x14ac:dyDescent="0.3">
      <c r="A7" s="3" t="s">
        <v>189</v>
      </c>
      <c r="B7" s="3">
        <v>32</v>
      </c>
      <c r="C7" s="3">
        <v>68</v>
      </c>
      <c r="D7" s="3">
        <v>180</v>
      </c>
    </row>
    <row r="10" spans="1:7" x14ac:dyDescent="0.3">
      <c r="A10" s="1" t="s">
        <v>1349</v>
      </c>
      <c r="B10" s="1" t="s">
        <v>1310</v>
      </c>
    </row>
    <row r="11" spans="1:7" x14ac:dyDescent="0.3">
      <c r="A11" s="3" t="s">
        <v>1350</v>
      </c>
      <c r="B11" s="3">
        <v>50</v>
      </c>
    </row>
    <row r="12" spans="1:7" x14ac:dyDescent="0.3">
      <c r="A12" s="2" t="s">
        <v>1351</v>
      </c>
      <c r="B12" s="2">
        <v>112</v>
      </c>
    </row>
    <row r="13" spans="1:7" x14ac:dyDescent="0.3">
      <c r="A13" s="3" t="s">
        <v>1352</v>
      </c>
      <c r="B13" s="3">
        <v>29</v>
      </c>
    </row>
    <row r="14" spans="1:7" x14ac:dyDescent="0.3">
      <c r="A14" s="2" t="s">
        <v>1353</v>
      </c>
      <c r="B14" s="2">
        <v>17</v>
      </c>
    </row>
    <row r="15" spans="1:7" x14ac:dyDescent="0.3">
      <c r="A15" s="3" t="s">
        <v>1354</v>
      </c>
      <c r="B15" s="3">
        <v>4</v>
      </c>
    </row>
  </sheetData>
  <mergeCells count="1">
    <mergeCell ref="A1:G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36"/>
  <sheetViews>
    <sheetView workbookViewId="0">
      <selection activeCell="D6" sqref="D6"/>
    </sheetView>
  </sheetViews>
  <sheetFormatPr defaultRowHeight="14.4" x14ac:dyDescent="0.3"/>
  <cols>
    <col min="1" max="1" width="22" customWidth="1"/>
    <col min="2" max="2" width="23" customWidth="1"/>
    <col min="3" max="3" width="14" customWidth="1"/>
    <col min="4" max="5" width="18" customWidth="1"/>
    <col min="6" max="6" width="18" hidden="1" customWidth="1"/>
    <col min="7" max="7" width="18" customWidth="1"/>
    <col min="8" max="12" width="12" customWidth="1"/>
    <col min="13" max="13" width="4" customWidth="1"/>
    <col min="14" max="14" width="18" customWidth="1"/>
    <col min="15" max="19" width="14" customWidth="1"/>
  </cols>
  <sheetData>
    <row r="1" spans="1:19" ht="22.05" customHeight="1" x14ac:dyDescent="0.3">
      <c r="A1" s="12" t="s">
        <v>1355</v>
      </c>
      <c r="B1" s="13"/>
      <c r="C1" s="13"/>
      <c r="D1" s="13"/>
      <c r="E1" s="13"/>
      <c r="F1" s="30" t="s">
        <v>1356</v>
      </c>
      <c r="G1" s="32" t="s">
        <v>1357</v>
      </c>
    </row>
    <row r="2" spans="1:19" ht="28.8" customHeight="1" x14ac:dyDescent="0.3">
      <c r="A2" s="29" t="s">
        <v>1358</v>
      </c>
      <c r="B2" s="33" t="s">
        <v>355</v>
      </c>
      <c r="D2" s="29" t="s">
        <v>1359</v>
      </c>
      <c r="E2" s="33"/>
      <c r="F2" s="33" t="str">
        <f>IF($E$2&lt;&gt;"",IFERROR(INDEX(Student_Master!$B$2:$B$232,MATCH($E$2,Student_Master!$C$2:$C$232,0)),""),IF($B$2&lt;&gt;"",IFERROR(LOOKUP(2,1/((Student_Master!$B$2:$B$232&amp;"")=($B$2&amp;"")),Student_Master!$B$2:$B$232),""),""))</f>
        <v>30663405537</v>
      </c>
      <c r="H2" s="11" t="s">
        <v>783</v>
      </c>
      <c r="I2" s="11" t="s">
        <v>785</v>
      </c>
      <c r="J2" s="11" t="s">
        <v>786</v>
      </c>
      <c r="K2" s="11" t="s">
        <v>787</v>
      </c>
      <c r="L2" s="11" t="s">
        <v>788</v>
      </c>
      <c r="M2" s="11" t="s">
        <v>789</v>
      </c>
      <c r="N2" s="15" t="s">
        <v>1360</v>
      </c>
      <c r="O2" s="15" t="s">
        <v>1361</v>
      </c>
      <c r="Q2" s="16" t="s">
        <v>1362</v>
      </c>
      <c r="R2" s="16" t="s">
        <v>1363</v>
      </c>
      <c r="S2" s="16" t="s">
        <v>1364</v>
      </c>
    </row>
    <row r="3" spans="1:19" x14ac:dyDescent="0.3">
      <c r="A3" s="14" t="s">
        <v>1365</v>
      </c>
      <c r="B3" t="str">
        <f>IFERROR(INDEX(Student_Growth!$C$2:$C$232,MATCH($F$2,Student_Growth!$B$2:$B$232,0)),"")</f>
        <v>محمد حمد محمد الهاجري</v>
      </c>
      <c r="H3">
        <v>1</v>
      </c>
      <c r="I3">
        <f>SUMIFS(Long_Panel!$G:$G,Long_Panel!$B:$B,$F$2,Long_Panel!$E:$E,$H3)</f>
        <v>77.61</v>
      </c>
      <c r="J3">
        <f>SUMIFS(Long_Panel!$H:$H,Long_Panel!$B:$B,$F$2,Long_Panel!$E:$E,$H3)</f>
        <v>81.61</v>
      </c>
      <c r="K3">
        <f>SUMIFS(Long_Panel!$I:$I,Long_Panel!$B:$B,$F$2,Long_Panel!$E:$E,$H3)</f>
        <v>82</v>
      </c>
      <c r="L3">
        <f>SUMIFS(Long_Panel!$J:$J,Long_Panel!$B:$B,$F$2,Long_Panel!$E:$E,$H3)</f>
        <v>81</v>
      </c>
      <c r="M3">
        <f>SUMIFS(Long_Panel!$K:$K,Long_Panel!$B:$B,$F$2,Long_Panel!$E:$E,$H3)</f>
        <v>71.099999999999994</v>
      </c>
      <c r="N3" t="s">
        <v>1366</v>
      </c>
      <c r="O3">
        <f>B10</f>
        <v>50.535211267605632</v>
      </c>
      <c r="Q3" t="s">
        <v>1367</v>
      </c>
      <c r="R3">
        <f t="shared" ref="R3:S6" si="0">B23</f>
        <v>85</v>
      </c>
      <c r="S3">
        <f t="shared" si="0"/>
        <v>85</v>
      </c>
    </row>
    <row r="4" spans="1:19" x14ac:dyDescent="0.3">
      <c r="A4" s="14" t="s">
        <v>39</v>
      </c>
      <c r="B4" t="str">
        <f>IFERROR(INDEX(Student_Growth!$A$2:$A$232,MATCH($F$2,Student_Growth!$B$2:$B$232,0)),"")</f>
        <v>Class of 2024</v>
      </c>
      <c r="H4">
        <v>2</v>
      </c>
      <c r="I4">
        <f>SUMIFS(Long_Panel!$G:$G,Long_Panel!$B:$B,$F$2,Long_Panel!$E:$E,$H4)</f>
        <v>81.36</v>
      </c>
      <c r="J4">
        <f>SUMIFS(Long_Panel!$H:$H,Long_Panel!$B:$B,$F$2,Long_Panel!$E:$E,$H4)</f>
        <v>83.36</v>
      </c>
      <c r="K4">
        <f>SUMIFS(Long_Panel!$I:$I,Long_Panel!$B:$B,$F$2,Long_Panel!$E:$E,$H4)</f>
        <v>76</v>
      </c>
      <c r="L4">
        <f>SUMIFS(Long_Panel!$J:$J,Long_Panel!$B:$B,$F$2,Long_Panel!$E:$E,$H4)</f>
        <v>67</v>
      </c>
      <c r="M4">
        <f>SUMIFS(Long_Panel!$K:$K,Long_Panel!$B:$B,$F$2,Long_Panel!$E:$E,$H4)</f>
        <v>79.3</v>
      </c>
      <c r="N4" t="s">
        <v>1368</v>
      </c>
      <c r="O4">
        <f>B11</f>
        <v>78.664000000000016</v>
      </c>
      <c r="Q4" t="s">
        <v>1369</v>
      </c>
      <c r="R4">
        <f t="shared" si="0"/>
        <v>90</v>
      </c>
      <c r="S4">
        <f t="shared" si="0"/>
        <v>90</v>
      </c>
    </row>
    <row r="5" spans="1:19" x14ac:dyDescent="0.3">
      <c r="A5" s="14" t="s">
        <v>53</v>
      </c>
      <c r="B5" t="str">
        <f>IFERROR(INDEX(University_Exit!$D:$D,MATCH($F$2,University_Exit!$B:$B,0)),"")</f>
        <v>Qatar University</v>
      </c>
      <c r="H5">
        <v>3</v>
      </c>
      <c r="I5">
        <f>SUMIFS(Long_Panel!$G:$G,Long_Panel!$B:$B,$F$2,Long_Panel!$E:$E,$H5)</f>
        <v>86.15</v>
      </c>
      <c r="J5">
        <f>SUMIFS(Long_Panel!$H:$H,Long_Panel!$B:$B,$F$2,Long_Panel!$E:$E,$H5)</f>
        <v>90.15</v>
      </c>
      <c r="K5">
        <f>SUMIFS(Long_Panel!$I:$I,Long_Panel!$B:$B,$F$2,Long_Panel!$E:$E,$H5)</f>
        <v>84</v>
      </c>
      <c r="L5">
        <f>SUMIFS(Long_Panel!$J:$J,Long_Panel!$B:$B,$F$2,Long_Panel!$E:$E,$H5)</f>
        <v>93.5</v>
      </c>
      <c r="M5">
        <f>SUMIFS(Long_Panel!$K:$K,Long_Panel!$B:$B,$F$2,Long_Panel!$E:$E,$H5)</f>
        <v>83.5</v>
      </c>
      <c r="N5" t="s">
        <v>1370</v>
      </c>
      <c r="O5">
        <f>B12</f>
        <v>92.376000000000005</v>
      </c>
      <c r="Q5" t="s">
        <v>1371</v>
      </c>
      <c r="R5">
        <f t="shared" si="0"/>
        <v>97</v>
      </c>
      <c r="S5">
        <f t="shared" si="0"/>
        <v>97</v>
      </c>
    </row>
    <row r="6" spans="1:19" x14ac:dyDescent="0.3">
      <c r="A6" s="14" t="s">
        <v>54</v>
      </c>
      <c r="B6" t="str">
        <f>IFERROR(INDEX(University_Exit!$F:$F,MATCH($F$2,University_Exit!$B:$B,0)),"")</f>
        <v>Computer Science</v>
      </c>
      <c r="H6">
        <v>4</v>
      </c>
      <c r="I6">
        <f>SUMIFS(Long_Panel!$G:$G,Long_Panel!$B:$B,$F$2,Long_Panel!$E:$E,$H6)</f>
        <v>90.19</v>
      </c>
      <c r="J6">
        <f>SUMIFS(Long_Panel!$H:$H,Long_Panel!$B:$B,$F$2,Long_Panel!$E:$E,$H6)</f>
        <v>94.19</v>
      </c>
      <c r="K6">
        <f>SUMIFS(Long_Panel!$I:$I,Long_Panel!$B:$B,$F$2,Long_Panel!$E:$E,$H6)</f>
        <v>96</v>
      </c>
      <c r="L6">
        <f>SUMIFS(Long_Panel!$J:$J,Long_Panel!$B:$B,$F$2,Long_Panel!$E:$E,$H6)</f>
        <v>93</v>
      </c>
      <c r="M6">
        <f>SUMIFS(Long_Panel!$K:$K,Long_Panel!$B:$B,$F$2,Long_Panel!$E:$E,$H6)</f>
        <v>88.5</v>
      </c>
      <c r="N6" t="s">
        <v>1372</v>
      </c>
      <c r="O6">
        <f>B14</f>
        <v>94.19</v>
      </c>
      <c r="Q6" t="s">
        <v>1373</v>
      </c>
      <c r="R6">
        <f t="shared" si="0"/>
        <v>111</v>
      </c>
      <c r="S6">
        <f t="shared" si="0"/>
        <v>111</v>
      </c>
    </row>
    <row r="7" spans="1:19" x14ac:dyDescent="0.3">
      <c r="A7" s="14" t="s">
        <v>59</v>
      </c>
      <c r="B7" t="str">
        <f>IFERROR(INDEX(University_Exit!$G:$G,MATCH($F$2,University_Exit!$B:$B,0)),"")</f>
        <v>Ministry Of Education</v>
      </c>
    </row>
    <row r="9" spans="1:19" ht="17.399999999999999" customHeight="1" x14ac:dyDescent="0.3">
      <c r="A9" s="17" t="s">
        <v>1374</v>
      </c>
      <c r="B9" s="18"/>
      <c r="C9" s="18"/>
      <c r="D9" s="18"/>
      <c r="E9" s="18"/>
      <c r="F9" s="18"/>
    </row>
    <row r="10" spans="1:19" x14ac:dyDescent="0.3">
      <c r="A10" s="14" t="s">
        <v>1375</v>
      </c>
      <c r="B10">
        <f>IFERROR(INDEX(Student_Growth!$F$2:$F$232,MATCH($F$2,Student_Growth!$B$2:$B$232,0)),"")</f>
        <v>50.535211267605632</v>
      </c>
    </row>
    <row r="11" spans="1:19" x14ac:dyDescent="0.3">
      <c r="A11" s="14" t="s">
        <v>1376</v>
      </c>
      <c r="B11">
        <f>IFERROR(INDEX(Student_Growth!$H$2:$H$232,MATCH($F$2,Student_Growth!$B$2:$B$232,0)),"")</f>
        <v>78.664000000000016</v>
      </c>
    </row>
    <row r="12" spans="1:19" x14ac:dyDescent="0.3">
      <c r="A12" s="14" t="s">
        <v>1377</v>
      </c>
      <c r="B12">
        <f>IFERROR(INDEX(Student_Growth!$I$2:$I$232,MATCH($F$2,Student_Growth!$B$2:$B$232,0)),"")</f>
        <v>92.376000000000005</v>
      </c>
    </row>
    <row r="13" spans="1:19" x14ac:dyDescent="0.3">
      <c r="A13" s="14" t="s">
        <v>1378</v>
      </c>
      <c r="B13">
        <f>IFERROR(INDEX(Student_Growth!$J$2:$J$232,MATCH($F$2,Student_Growth!$B$2:$B$232,0)),"")</f>
        <v>13.711999999999991</v>
      </c>
    </row>
    <row r="14" spans="1:19" x14ac:dyDescent="0.3">
      <c r="A14" s="14" t="s">
        <v>1379</v>
      </c>
      <c r="B14">
        <f>IFERROR(INDEX(University_Exit!$H:$H,MATCH($F$2,University_Exit!$B:$B,0)),"")</f>
        <v>94.19</v>
      </c>
    </row>
    <row r="15" spans="1:19" x14ac:dyDescent="0.3">
      <c r="A15" s="14" t="s">
        <v>1380</v>
      </c>
      <c r="B15">
        <f>IFERROR(INDEX(University_Exit!$K:$K,MATCH($F$2,University_Exit!$B:$B,0)),"")</f>
        <v>930</v>
      </c>
    </row>
    <row r="16" spans="1:19" x14ac:dyDescent="0.3">
      <c r="A16" s="14" t="s">
        <v>1381</v>
      </c>
      <c r="B16">
        <f>IFERROR(INDEX(Student_Growth!$AJ$2:$AJ$232,MATCH($F$2,Student_Growth!$B$2:$B$232,0)),"")</f>
        <v>96</v>
      </c>
    </row>
    <row r="17" spans="1:7" x14ac:dyDescent="0.3">
      <c r="A17" s="14" t="s">
        <v>1382</v>
      </c>
      <c r="B17">
        <f>IFERROR(INDEX(Student_Growth!$AK$2:$AK$232,MATCH($F$2,Student_Growth!$B$2:$B$232,0)),"")</f>
        <v>96</v>
      </c>
    </row>
    <row r="18" spans="1:7" x14ac:dyDescent="0.3">
      <c r="A18" s="14" t="s">
        <v>1383</v>
      </c>
      <c r="B18">
        <f>IFERROR(INDEX(Student_Growth!$AL$2:$AL$232,MATCH($F$2,Student_Growth!$B$2:$B$232,0)),"")</f>
        <v>0</v>
      </c>
    </row>
    <row r="20" spans="1:7" ht="17.399999999999999" customHeight="1" x14ac:dyDescent="0.3">
      <c r="A20" s="17" t="s">
        <v>1384</v>
      </c>
      <c r="B20" s="18"/>
      <c r="C20" s="18"/>
      <c r="D20" s="18"/>
      <c r="E20" s="72" t="s">
        <v>1385</v>
      </c>
      <c r="F20" s="73"/>
      <c r="G20" s="74"/>
    </row>
    <row r="21" spans="1:7" x14ac:dyDescent="0.3">
      <c r="A21" s="14" t="s">
        <v>1386</v>
      </c>
      <c r="B21" t="str">
        <f>IFERROR(INDEX(Cognitive_Profile!$G$2:$G$232,MATCH($F$2,Cognitive_Profile!$B$2:$B$232,0)),"")</f>
        <v>Moderate spatial bias</v>
      </c>
      <c r="E21" s="34" t="s">
        <v>1387</v>
      </c>
      <c r="F21" s="35" t="str">
        <f>IF(COUNT($C$23:$C$26)&lt;4,"",IF(MAX($C$23:$C$26)-MIN($C$23:$C$26)&lt;=7,"Balanced profile",IF(AND($C$25=MAX($C$23:$C$26),$C$24&gt;=100),"Analytical / Abstract thinker",IF($C$24=MAX($C$23:$C$26),"Quantitative strength",IF($C$23=MAX($C$23:$C$26),"Verbal strength",IF($C$26=MAX($C$23:$C$26),"Spatial strength","Mixed profile"))))))</f>
        <v>Spatial strength</v>
      </c>
      <c r="G21" s="36"/>
    </row>
    <row r="22" spans="1:7" x14ac:dyDescent="0.3">
      <c r="A22" s="14" t="s">
        <v>1388</v>
      </c>
      <c r="B22" t="str">
        <f>IFERROR(INDEX(Cognitive_Profile!$H$2:$H$232,MATCH($F$2,Cognitive_Profile!$B$2:$B$232,0)),"")</f>
        <v>Moderate spatial bias</v>
      </c>
      <c r="E22" s="34" t="s">
        <v>1389</v>
      </c>
      <c r="F22" s="35" t="str">
        <f>IF(COUNT($C$23:$C$26)&lt;4,"",INDEX({"Verbal SAS","Quantitative SAS","Non-verbal SAS","Spatial SAS"},MATCH(MAX($C$23:$C$26),$C$23:$C$26,0)))</f>
        <v>Spatial SAS</v>
      </c>
      <c r="G22" s="36"/>
    </row>
    <row r="23" spans="1:7" ht="57.6" customHeight="1" x14ac:dyDescent="0.3">
      <c r="A23" s="14" t="s">
        <v>1367</v>
      </c>
      <c r="B23">
        <f>IFERROR(INDEX(Cognitive_Profile!$I$2:$I$232,MATCH($F$2,Cognitive_Profile!$B$2:$B$232,0)),"")</f>
        <v>85</v>
      </c>
      <c r="C23">
        <f>IFERROR(INDEX(Cognitive_Profile!$J$2:$J$232,MATCH($F$2,Cognitive_Profile!$B$2:$B$232,0)),"")</f>
        <v>85</v>
      </c>
      <c r="D23">
        <f>IFERROR(INDEX(Cognitive_Profile!$K$2:$K$232,MATCH($F$2,Cognitive_Profile!$B$2:$B$232,0)),"")</f>
        <v>0</v>
      </c>
      <c r="E23" s="34" t="s">
        <v>1390</v>
      </c>
      <c r="F23" s="35" t="str">
        <f>IF(COUNT($D$23:$D$26)=0,"No current-vs-baseline CAT4 growth values available.",IF(MAX($D$23:$D$26)&lt;=0,"Current CAT4 profile is broadly stable compared with baseline.","Greatest positive shift appears in "&amp;INDEX({"verbal","quantitative","non-verbal","spatial"},MATCH(MAX($D$23:$D$26),$D$23:$D$26,0))&amp;" reasoning."))</f>
        <v>Current CAT4 profile is broadly stable compared with baseline.</v>
      </c>
      <c r="G23" s="36"/>
    </row>
    <row r="24" spans="1:7" x14ac:dyDescent="0.3">
      <c r="A24" s="14" t="s">
        <v>1369</v>
      </c>
      <c r="B24">
        <f>IFERROR(INDEX(Cognitive_Profile!$L$2:$L$232,MATCH($F$2,Cognitive_Profile!$B$2:$B$232,0)),"")</f>
        <v>90</v>
      </c>
      <c r="C24">
        <f>IFERROR(INDEX(Cognitive_Profile!$M$2:$M$232,MATCH($F$2,Cognitive_Profile!$B$2:$B$232,0)),"")</f>
        <v>90</v>
      </c>
      <c r="D24">
        <f>IFERROR(INDEX(Cognitive_Profile!$N$2:$N$232,MATCH($F$2,Cognitive_Profile!$B$2:$B$232,0)),"")</f>
        <v>0</v>
      </c>
      <c r="E24" s="37" t="s">
        <v>1391</v>
      </c>
      <c r="F24" s="66" t="str">
        <f>IF($F$21="","",IF($F$21="Balanced profile","The student shows a balanced cognitive profile across verbal, quantitative, non-verbal, and spatial domains. This suggests broad academic adaptability and supports enrichment across subjects.",IF($F$21="Analytical / Abstract thinker","The student demonstrates strong non-verbal reasoning supported by quantitative strength. This profile is well aligned with advanced STEM, analytical problem-solving, and abstract reasoning tasks.",IF($F$21="Quantitative strength","The students strongest current domain is quantitative reasoning. Structured maths-rich and data-rich tasks are likely to suit this learner very well.",IF($F$21="Verbal strength","The students strongest current domain is verbal reasoning. Discussion, reading, writing, and evidence-based explanation are likely to be strong channels for learning and performance.",IF($F$21="Spatial strength","The students strongest current domain is spatial reasoning. Visualisation, design, modelling, and geometry-linked tasks may be particularly suitable.","The student shows a mixed cognitive pattern that benefits from differentiated instruction matched to the strongest active domain."))))))</f>
        <v>The students strongest current domain is spatial reasoning. Visualisation, design, modelling, and geometry-linked tasks may be particularly suitable.</v>
      </c>
      <c r="G24" s="67"/>
    </row>
    <row r="25" spans="1:7" x14ac:dyDescent="0.3">
      <c r="A25" s="14" t="s">
        <v>1371</v>
      </c>
      <c r="B25">
        <f>IFERROR(INDEX(Cognitive_Profile!$O$2:$O$232,MATCH($F$2,Cognitive_Profile!$B$2:$B$232,0)),"")</f>
        <v>97</v>
      </c>
      <c r="C25">
        <f>IFERROR(INDEX(Cognitive_Profile!$P$2:$P$232,MATCH($F$2,Cognitive_Profile!$B$2:$B$232,0)),"")</f>
        <v>97</v>
      </c>
      <c r="D25">
        <f>IFERROR(INDEX(Cognitive_Profile!$Q$2:$Q$232,MATCH($F$2,Cognitive_Profile!$B$2:$B$232,0)),"")</f>
        <v>0</v>
      </c>
      <c r="F25" s="68"/>
      <c r="G25" s="69"/>
    </row>
    <row r="26" spans="1:7" x14ac:dyDescent="0.3">
      <c r="A26" s="14" t="s">
        <v>1373</v>
      </c>
      <c r="B26">
        <f>IFERROR(INDEX(Cognitive_Profile!$R$2:$R$232,MATCH($F$2,Cognitive_Profile!$B$2:$B$232,0)),"")</f>
        <v>111</v>
      </c>
      <c r="C26">
        <f>IFERROR(INDEX(Cognitive_Profile!$S$2:$S$232,MATCH($F$2,Cognitive_Profile!$B$2:$B$232,0)),"")</f>
        <v>111</v>
      </c>
      <c r="D26">
        <f>IFERROR(INDEX(Cognitive_Profile!$T$2:$T$232,MATCH($F$2,Cognitive_Profile!$B$2:$B$232,0)),"")</f>
        <v>0</v>
      </c>
      <c r="F26" s="68"/>
      <c r="G26" s="69"/>
    </row>
    <row r="27" spans="1:7" x14ac:dyDescent="0.3">
      <c r="A27" s="14" t="s">
        <v>1392</v>
      </c>
      <c r="B27" t="str">
        <f>IFERROR(INDEX(Cognitive_Profile!$U$2:$U$232,MATCH($F$2,Cognitive_Profile!$B$2:$B$232,0)),"")</f>
        <v>G11</v>
      </c>
      <c r="F27" s="70"/>
      <c r="G27" s="71"/>
    </row>
    <row r="30" spans="1:7" ht="17.399999999999999" customHeight="1" x14ac:dyDescent="0.3">
      <c r="A30" s="17" t="s">
        <v>1393</v>
      </c>
      <c r="B30" s="18"/>
      <c r="C30" s="18"/>
      <c r="D30" s="18"/>
      <c r="E30" s="18"/>
      <c r="F30" s="18"/>
    </row>
    <row r="31" spans="1:7" x14ac:dyDescent="0.3">
      <c r="A31" s="14" t="s">
        <v>1394</v>
      </c>
      <c r="B31">
        <f>IFERROR(INDEX(Participation_By_Student!$D$2:$D$232,MATCH($F$2,Participation_By_Student!$B$2:$B$232,0)),"")</f>
        <v>2</v>
      </c>
    </row>
    <row r="32" spans="1:7" x14ac:dyDescent="0.3">
      <c r="A32" s="14" t="s">
        <v>1395</v>
      </c>
      <c r="B32">
        <f>IFERROR(INDEX(Participation_By_Student!$E$2:$E$232,MATCH($F$2,Participation_By_Student!$B$2:$B$232,0)),"")</f>
        <v>3</v>
      </c>
    </row>
    <row r="33" spans="1:2" x14ac:dyDescent="0.3">
      <c r="A33" s="14" t="s">
        <v>1396</v>
      </c>
      <c r="B33">
        <f>IFERROR(INDEX(Participation_By_Student!$F$2:$F$232,MATCH($F$2,Participation_By_Student!$B$2:$B$232,0)),"")</f>
        <v>0</v>
      </c>
    </row>
    <row r="34" spans="1:2" x14ac:dyDescent="0.3">
      <c r="A34" s="14" t="s">
        <v>1397</v>
      </c>
      <c r="B34">
        <f>IFERROR(INDEX(Participation_By_Student!$G$2:$G$232,MATCH($F$2,Participation_By_Student!$B$2:$B$232,0)),"")</f>
        <v>3</v>
      </c>
    </row>
    <row r="35" spans="1:2" x14ac:dyDescent="0.3">
      <c r="A35" s="14" t="s">
        <v>1398</v>
      </c>
      <c r="B35" t="str">
        <f>IFERROR(INDEX(Participation_By_Student!$H$2:$H$232,MATCH($F$2,Participation_By_Student!$B$2:$B$232,0)),"")</f>
        <v>2022/2023</v>
      </c>
    </row>
    <row r="36" spans="1:2" x14ac:dyDescent="0.3">
      <c r="A36" s="14" t="s">
        <v>1399</v>
      </c>
      <c r="B36" t="str">
        <f>IFERROR(INDEX(Participation_By_Student!$I$2:$I$232,MATCH($F$2,Participation_By_Student!$B$2:$B$232,0)),"")</f>
        <v>submitted</v>
      </c>
    </row>
  </sheetData>
  <mergeCells count="2">
    <mergeCell ref="F24:G27"/>
    <mergeCell ref="E20:G20"/>
  </mergeCells>
  <dataValidations count="2">
    <dataValidation type="list" errorStyle="warning" allowBlank="1" showErrorMessage="1" errorTitle="Invalid QID" error="Choose a QID from the list or type a valid QID." sqref="B2" xr:uid="{00000000-0002-0000-1000-000000000000}">
      <formula1>QID_List</formula1>
    </dataValidation>
    <dataValidation type="list" errorStyle="warning" allowBlank="1" showErrorMessage="1" errorTitle="Invalid student name" error="Choose a student name from the list." sqref="E2" xr:uid="{00000000-0002-0000-1000-000001000000}">
      <formula1>Student_Name_List</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30"/>
  <sheetViews>
    <sheetView workbookViewId="0"/>
  </sheetViews>
  <sheetFormatPr defaultRowHeight="14.4" x14ac:dyDescent="0.3"/>
  <cols>
    <col min="1" max="24" width="16" customWidth="1"/>
    <col min="25" max="25" width="11.77734375" customWidth="1"/>
  </cols>
  <sheetData>
    <row r="1" spans="1:43" ht="17.399999999999999" customHeight="1" x14ac:dyDescent="0.3">
      <c r="A1" s="12" t="s">
        <v>1400</v>
      </c>
      <c r="B1" s="13"/>
      <c r="C1" s="13"/>
      <c r="D1" s="13"/>
      <c r="E1" s="13"/>
      <c r="F1" s="13"/>
      <c r="G1" s="13"/>
      <c r="H1" s="13"/>
      <c r="I1" s="13"/>
      <c r="J1" s="13"/>
      <c r="K1" s="13"/>
      <c r="L1" s="13"/>
      <c r="M1" s="13"/>
      <c r="N1" s="13"/>
      <c r="O1" s="13"/>
      <c r="P1" s="13"/>
      <c r="Q1" s="13"/>
      <c r="R1" s="13"/>
      <c r="S1" s="13"/>
      <c r="T1" s="13"/>
      <c r="U1" s="13"/>
      <c r="V1" s="13"/>
      <c r="W1" s="13"/>
      <c r="X1" s="13"/>
    </row>
    <row r="2" spans="1:43" x14ac:dyDescent="0.3">
      <c r="V2" t="s">
        <v>1363</v>
      </c>
      <c r="W2" s="44">
        <v>61.149152542372867</v>
      </c>
      <c r="Y2" t="s">
        <v>60</v>
      </c>
      <c r="Z2" s="44">
        <v>6.9435254237288113</v>
      </c>
      <c r="AF2" t="s">
        <v>301</v>
      </c>
      <c r="AG2">
        <f>IFERROR(INDEX(External_Schoolwide!$B$2:$B$10,MATCH("2020/2021",External_Schoolwide!$A$2:$A$10,0)),"")</f>
        <v>1012</v>
      </c>
      <c r="AH2">
        <f>IFERROR(INDEX(External_Schoolwide!$C$2:$C$10,MATCH("2020/2021",External_Schoolwide!$A$2:$A$10,0)),"")</f>
        <v>6.4</v>
      </c>
      <c r="AI2">
        <f>IFERROR(INDEX(External_Schoolwide!$D$2:$D$10,MATCH("2020/2021",External_Schoolwide!$A$2:$A$10,0)),"")</f>
        <v>2.4</v>
      </c>
      <c r="AK2" t="s">
        <v>63</v>
      </c>
      <c r="AL2">
        <f>IFERROR(INDEX(Engagement_Indicators!$B$2:$B$10,MATCH("2018/2019",Engagement_Indicators!$A$2:$A$10,0)),"")</f>
        <v>14</v>
      </c>
      <c r="AM2">
        <f>IFERROR(INDEX(Engagement_Indicators!$C$2:$C$10,MATCH("2018/2019",Engagement_Indicators!$A$2:$A$10,0)),"")</f>
        <v>21</v>
      </c>
      <c r="AN2">
        <f>IFERROR(INDEX(Engagement_Indicators!$D$2:$D$10,MATCH("2018/2019",Engagement_Indicators!$A$2:$A$10,0)),"")</f>
        <v>50</v>
      </c>
      <c r="AP2" t="s">
        <v>819</v>
      </c>
      <c r="AQ2">
        <v>7.9209999999999967</v>
      </c>
    </row>
    <row r="3" spans="1:43" x14ac:dyDescent="0.3">
      <c r="A3" s="19" t="s">
        <v>1401</v>
      </c>
      <c r="V3" t="s">
        <v>1368</v>
      </c>
      <c r="W3" s="44">
        <v>83.797939393939401</v>
      </c>
      <c r="Y3" t="s">
        <v>185</v>
      </c>
      <c r="Z3" s="44">
        <v>11.83149090909091</v>
      </c>
      <c r="AF3" t="s">
        <v>64</v>
      </c>
      <c r="AG3">
        <f>IFERROR(INDEX(External_Schoolwide!$B$2:$B$10,MATCH("2021/2022",External_Schoolwide!$A$2:$A$10,0)),"")</f>
        <v>995</v>
      </c>
      <c r="AH3">
        <f>IFERROR(INDEX(External_Schoolwide!$C$2:$C$10,MATCH("2021/2022",External_Schoolwide!$A$2:$A$10,0)),"")</f>
        <v>6.5</v>
      </c>
      <c r="AI3">
        <f>IFERROR(INDEX(External_Schoolwide!$D$2:$D$10,MATCH("2021/2022",External_Schoolwide!$A$2:$A$10,0)),"")</f>
        <v>3.17</v>
      </c>
      <c r="AK3" t="s">
        <v>188</v>
      </c>
      <c r="AL3">
        <f>IFERROR(INDEX(Engagement_Indicators!$B$2:$B$10,MATCH("2019/2020",Engagement_Indicators!$A$2:$A$10,0)),"")</f>
        <v>13</v>
      </c>
      <c r="AM3">
        <f>IFERROR(INDEX(Engagement_Indicators!$C$2:$C$10,MATCH("2019/2020",Engagement_Indicators!$A$2:$A$10,0)),"")</f>
        <v>23</v>
      </c>
      <c r="AN3">
        <f>IFERROR(INDEX(Engagement_Indicators!$D$2:$D$10,MATCH("2019/2020",Engagement_Indicators!$A$2:$A$10,0)),"")</f>
        <v>52</v>
      </c>
      <c r="AP3" t="s">
        <v>820</v>
      </c>
      <c r="AQ3">
        <v>-0.31771428571428217</v>
      </c>
    </row>
    <row r="4" spans="1:43" x14ac:dyDescent="0.3">
      <c r="V4" t="s">
        <v>1370</v>
      </c>
      <c r="W4" s="44">
        <v>91.139913419913412</v>
      </c>
      <c r="Y4" t="s">
        <v>298</v>
      </c>
      <c r="Z4" s="44">
        <v>5.6740338983050824</v>
      </c>
      <c r="AF4" t="s">
        <v>189</v>
      </c>
      <c r="AG4">
        <f>IFERROR(INDEX(External_Schoolwide!$B$2:$B$10,MATCH("2022/2023",External_Schoolwide!$A$2:$A$10,0)),"")</f>
        <v>1062</v>
      </c>
      <c r="AH4">
        <f>IFERROR(INDEX(External_Schoolwide!$C$2:$C$10,MATCH("2022/2023",External_Schoolwide!$A$2:$A$10,0)),"")</f>
        <v>6.5</v>
      </c>
      <c r="AI4">
        <f>IFERROR(INDEX(External_Schoolwide!$D$2:$D$10,MATCH("2022/2023",External_Schoolwide!$A$2:$A$10,0)),"")</f>
        <v>2.95</v>
      </c>
      <c r="AK4" t="s">
        <v>301</v>
      </c>
      <c r="AL4">
        <f>IFERROR(INDEX(Engagement_Indicators!$B$2:$B$10,MATCH("2020/2021",Engagement_Indicators!$A$2:$A$10,0)),"")</f>
        <v>14</v>
      </c>
      <c r="AM4">
        <f>IFERROR(INDEX(Engagement_Indicators!$C$2:$C$10,MATCH("2020/2021",Engagement_Indicators!$A$2:$A$10,0)),"")</f>
        <v>32</v>
      </c>
      <c r="AN4">
        <f>IFERROR(INDEX(Engagement_Indicators!$D$2:$D$10,MATCH("2020/2021",Engagement_Indicators!$A$2:$A$10,0)),"")</f>
        <v>61</v>
      </c>
      <c r="AP4" t="s">
        <v>1314</v>
      </c>
    </row>
    <row r="5" spans="1:43" x14ac:dyDescent="0.3">
      <c r="A5" s="20" t="s">
        <v>1402</v>
      </c>
      <c r="C5" s="20" t="s">
        <v>1403</v>
      </c>
      <c r="E5" s="20" t="s">
        <v>1404</v>
      </c>
      <c r="G5" s="20" t="s">
        <v>1405</v>
      </c>
      <c r="I5" s="20" t="s">
        <v>1406</v>
      </c>
      <c r="K5" s="20" t="s">
        <v>1407</v>
      </c>
      <c r="M5" s="20" t="s">
        <v>1408</v>
      </c>
      <c r="O5" s="20" t="s">
        <v>1409</v>
      </c>
      <c r="Q5" s="20" t="s">
        <v>1410</v>
      </c>
      <c r="S5" s="20" t="s">
        <v>1411</v>
      </c>
      <c r="U5" s="20" t="s">
        <v>1412</v>
      </c>
      <c r="V5" t="s">
        <v>1413</v>
      </c>
      <c r="W5" s="44">
        <v>93.162711864406774</v>
      </c>
      <c r="Y5" t="s">
        <v>419</v>
      </c>
      <c r="Z5" s="44">
        <v>5.1866896551724144</v>
      </c>
      <c r="AF5" t="s">
        <v>302</v>
      </c>
      <c r="AG5">
        <f>IFERROR(INDEX(External_Schoolwide!$B$2:$B$10,MATCH("2023/2024",External_Schoolwide!$A$2:$A$10,0)),"")</f>
        <v>1073</v>
      </c>
      <c r="AH5">
        <f>IFERROR(INDEX(External_Schoolwide!$C$2:$C$10,MATCH("2023/2024",External_Schoolwide!$A$2:$A$10,0)),"")</f>
        <v>6.76</v>
      </c>
      <c r="AI5">
        <f>IFERROR(INDEX(External_Schoolwide!$D$2:$D$10,MATCH("2023/2024",External_Schoolwide!$A$2:$A$10,0)),"")</f>
        <v>2.7</v>
      </c>
      <c r="AK5" t="s">
        <v>64</v>
      </c>
      <c r="AL5">
        <f>IFERROR(INDEX(Engagement_Indicators!$B$2:$B$10,MATCH("2021/2022",Engagement_Indicators!$A$2:$A$10,0)),"")</f>
        <v>23</v>
      </c>
      <c r="AM5">
        <f>IFERROR(INDEX(Engagement_Indicators!$C$2:$C$10,MATCH("2021/2022",Engagement_Indicators!$A$2:$A$10,0)),"")</f>
        <v>61</v>
      </c>
      <c r="AN5">
        <f>IFERROR(INDEX(Engagement_Indicators!$D$2:$D$10,MATCH("2021/2022",Engagement_Indicators!$A$2:$A$10,0)),"")</f>
        <v>123</v>
      </c>
    </row>
    <row r="6" spans="1:43" ht="19.8" customHeight="1" x14ac:dyDescent="0.3">
      <c r="A6" s="21">
        <f>COUNTA(Student_Growth!$B$2:$B$1000)</f>
        <v>231</v>
      </c>
      <c r="C6" s="21">
        <v>231</v>
      </c>
      <c r="E6" s="22">
        <v>4</v>
      </c>
      <c r="G6" s="22">
        <v>61.149152542372867</v>
      </c>
      <c r="I6" s="22">
        <v>83.797939393939401</v>
      </c>
      <c r="K6" s="22">
        <v>91.139913419913412</v>
      </c>
      <c r="M6" s="23">
        <v>7.3419740259740252</v>
      </c>
      <c r="O6" s="23">
        <v>0.89177489177489178</v>
      </c>
      <c r="Q6" s="23">
        <v>1</v>
      </c>
      <c r="S6" s="24">
        <v>0.76271186440677963</v>
      </c>
      <c r="U6" s="22">
        <v>1011.551724137931</v>
      </c>
      <c r="AK6" t="s">
        <v>189</v>
      </c>
      <c r="AL6">
        <f>IFERROR(INDEX(Engagement_Indicators!$B$2:$B$10,MATCH("2022/2023",Engagement_Indicators!$A$2:$A$10,0)),"")</f>
        <v>32</v>
      </c>
      <c r="AM6">
        <f>IFERROR(INDEX(Engagement_Indicators!$C$2:$C$10,MATCH("2022/2023",Engagement_Indicators!$A$2:$A$10,0)),"")</f>
        <v>68</v>
      </c>
      <c r="AN6">
        <f>IFERROR(INDEX(Engagement_Indicators!$D$2:$D$10,MATCH("2022/2023",Engagement_Indicators!$A$2:$A$10,0)),"")</f>
        <v>180</v>
      </c>
    </row>
    <row r="10" spans="1:43" ht="17.399999999999999" customHeight="1" x14ac:dyDescent="0.3">
      <c r="A10" s="17" t="s">
        <v>1414</v>
      </c>
      <c r="B10" s="18"/>
      <c r="C10" s="18"/>
      <c r="D10" s="18"/>
      <c r="E10" s="18"/>
      <c r="F10" s="18"/>
      <c r="G10" s="18"/>
      <c r="I10" s="17" t="s">
        <v>1415</v>
      </c>
      <c r="J10" s="18"/>
      <c r="K10" s="18"/>
      <c r="L10" s="18"/>
      <c r="M10" s="18"/>
      <c r="N10" s="18"/>
      <c r="O10" s="18"/>
      <c r="Q10" s="17" t="s">
        <v>1416</v>
      </c>
      <c r="R10" s="18"/>
      <c r="S10" s="18"/>
      <c r="T10" s="18"/>
      <c r="U10" s="18"/>
      <c r="V10" s="18"/>
      <c r="W10" s="18"/>
    </row>
    <row r="11" spans="1:43" x14ac:dyDescent="0.3">
      <c r="W11" s="45" t="s">
        <v>1368</v>
      </c>
      <c r="X11" s="45" t="s">
        <v>1370</v>
      </c>
      <c r="Y11" s="45" t="s">
        <v>1417</v>
      </c>
    </row>
    <row r="12" spans="1:43" x14ac:dyDescent="0.3">
      <c r="V12" t="s">
        <v>785</v>
      </c>
      <c r="W12" s="44">
        <v>83.092034632034611</v>
      </c>
      <c r="X12" s="44">
        <v>88.225324675324686</v>
      </c>
      <c r="Y12" s="44">
        <v>5.1332900432900423</v>
      </c>
    </row>
    <row r="13" spans="1:43" x14ac:dyDescent="0.3">
      <c r="V13" t="s">
        <v>786</v>
      </c>
      <c r="W13" s="44">
        <v>86.247878787878761</v>
      </c>
      <c r="X13" s="44">
        <v>91.614935064935082</v>
      </c>
      <c r="Y13" s="44">
        <v>5.3670562770562764</v>
      </c>
    </row>
    <row r="14" spans="1:43" x14ac:dyDescent="0.3">
      <c r="V14" t="s">
        <v>787</v>
      </c>
      <c r="W14" s="44">
        <v>83.521645021645028</v>
      </c>
      <c r="X14" s="44">
        <v>92.670995670995666</v>
      </c>
      <c r="Y14" s="44">
        <v>9.1493506493506498</v>
      </c>
    </row>
    <row r="15" spans="1:43" x14ac:dyDescent="0.3">
      <c r="V15" t="s">
        <v>788</v>
      </c>
      <c r="W15" s="44">
        <v>85.569264069264065</v>
      </c>
      <c r="X15" s="44">
        <v>90.770562770562776</v>
      </c>
      <c r="Y15" s="44">
        <v>5.2012987012987013</v>
      </c>
    </row>
    <row r="16" spans="1:43" x14ac:dyDescent="0.3">
      <c r="V16" t="s">
        <v>789</v>
      </c>
      <c r="W16" s="44">
        <v>80.55887445887447</v>
      </c>
      <c r="X16" s="44">
        <v>92.417748917748924</v>
      </c>
      <c r="Y16" s="44">
        <v>11.85887445887446</v>
      </c>
    </row>
    <row r="30" spans="1:23" ht="17.399999999999999" customHeight="1" x14ac:dyDescent="0.3">
      <c r="A30" s="17" t="s">
        <v>1418</v>
      </c>
      <c r="B30" s="18"/>
      <c r="C30" s="18"/>
      <c r="D30" s="18"/>
      <c r="E30" s="18"/>
      <c r="F30" s="18"/>
      <c r="G30" s="18"/>
      <c r="I30" s="17" t="s">
        <v>1419</v>
      </c>
      <c r="J30" s="18"/>
      <c r="K30" s="18"/>
      <c r="L30" s="18"/>
      <c r="M30" s="18"/>
      <c r="N30" s="18"/>
      <c r="O30" s="18"/>
      <c r="Q30" s="17" t="s">
        <v>1420</v>
      </c>
      <c r="R30" s="18"/>
      <c r="S30" s="18"/>
      <c r="T30" s="18"/>
      <c r="U30" s="18"/>
      <c r="V30" s="18"/>
      <c r="W30" s="18"/>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4"/>
  <sheetViews>
    <sheetView workbookViewId="0"/>
  </sheetViews>
  <sheetFormatPr defaultRowHeight="14.4" x14ac:dyDescent="0.3"/>
  <cols>
    <col min="1" max="1" width="57.5546875" customWidth="1"/>
    <col min="2" max="2" width="89.33203125" customWidth="1"/>
  </cols>
  <sheetData>
    <row r="1" spans="1:2" ht="25.2" customHeight="1" x14ac:dyDescent="0.3">
      <c r="A1" s="46" t="s">
        <v>1421</v>
      </c>
      <c r="B1" s="46" t="s">
        <v>1422</v>
      </c>
    </row>
    <row r="2" spans="1:2" x14ac:dyDescent="0.3">
      <c r="A2" s="47" t="s">
        <v>1423</v>
      </c>
      <c r="B2" s="47" t="s">
        <v>1424</v>
      </c>
    </row>
    <row r="3" spans="1:2" x14ac:dyDescent="0.3">
      <c r="A3" s="47" t="s">
        <v>1425</v>
      </c>
      <c r="B3" s="47" t="s">
        <v>1426</v>
      </c>
    </row>
    <row r="4" spans="1:2" x14ac:dyDescent="0.3">
      <c r="A4" s="47" t="s">
        <v>1427</v>
      </c>
      <c r="B4" s="47" t="s">
        <v>1428</v>
      </c>
    </row>
    <row r="5" spans="1:2" x14ac:dyDescent="0.3">
      <c r="A5" s="47" t="s">
        <v>1429</v>
      </c>
      <c r="B5" s="47" t="s">
        <v>1430</v>
      </c>
    </row>
    <row r="6" spans="1:2" x14ac:dyDescent="0.3">
      <c r="A6" s="47" t="s">
        <v>1431</v>
      </c>
      <c r="B6" s="47" t="s">
        <v>1432</v>
      </c>
    </row>
    <row r="7" spans="1:2" x14ac:dyDescent="0.3">
      <c r="A7" s="47" t="s">
        <v>1433</v>
      </c>
      <c r="B7" s="47" t="s">
        <v>1434</v>
      </c>
    </row>
    <row r="8" spans="1:2" x14ac:dyDescent="0.3">
      <c r="A8" s="47" t="s">
        <v>1435</v>
      </c>
      <c r="B8" s="47" t="s">
        <v>1436</v>
      </c>
    </row>
    <row r="9" spans="1:2" x14ac:dyDescent="0.3">
      <c r="A9" s="47" t="s">
        <v>1437</v>
      </c>
      <c r="B9" s="47" t="s">
        <v>1438</v>
      </c>
    </row>
    <row r="10" spans="1:2" x14ac:dyDescent="0.3">
      <c r="A10" s="47" t="s">
        <v>1439</v>
      </c>
      <c r="B10" s="47" t="s">
        <v>1440</v>
      </c>
    </row>
    <row r="11" spans="1:2" x14ac:dyDescent="0.3">
      <c r="A11" s="47" t="s">
        <v>1441</v>
      </c>
      <c r="B11" s="47" t="s">
        <v>1442</v>
      </c>
    </row>
    <row r="12" spans="1:2" x14ac:dyDescent="0.3">
      <c r="A12" s="47" t="s">
        <v>1443</v>
      </c>
      <c r="B12" s="47" t="s">
        <v>1444</v>
      </c>
    </row>
    <row r="14" spans="1:2" x14ac:dyDescent="0.3">
      <c r="A14" s="4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RowHeight="14.4" x14ac:dyDescent="0.3"/>
  <cols>
    <col min="1" max="1" width="26.88671875" customWidth="1"/>
    <col min="2" max="2" width="10" customWidth="1"/>
  </cols>
  <sheetData>
    <row r="1" spans="1:2" x14ac:dyDescent="0.3">
      <c r="A1" s="46" t="s">
        <v>1445</v>
      </c>
      <c r="B1" s="57" t="s">
        <v>1446</v>
      </c>
    </row>
    <row r="2" spans="1:2" x14ac:dyDescent="0.3">
      <c r="A2" s="47" t="s">
        <v>1402</v>
      </c>
      <c r="B2" s="58">
        <f>COUNTA(Student_Growth!$B$2:$B$1000)</f>
        <v>231</v>
      </c>
    </row>
    <row r="3" spans="1:2" x14ac:dyDescent="0.3">
      <c r="A3" s="47" t="s">
        <v>1447</v>
      </c>
      <c r="B3" s="58">
        <f>COUNTIF(Student_Master!$I$2:$I$1000,"&lt;&gt;")</f>
        <v>231</v>
      </c>
    </row>
    <row r="4" spans="1:2" x14ac:dyDescent="0.3">
      <c r="A4" s="47" t="s">
        <v>1448</v>
      </c>
      <c r="B4" s="58">
        <f>COUNTIF(Cognitive_Profile!$E$2:$E$1000,"&lt;&gt;")</f>
        <v>231</v>
      </c>
    </row>
    <row r="5" spans="1:2" x14ac:dyDescent="0.3">
      <c r="A5" s="47" t="s">
        <v>1449</v>
      </c>
      <c r="B5" s="58">
        <f>COUNTIFS(Admissions_2024_2025!$A$2:$A$1000,"Class of 2023",Admissions_2024_2025!$N$2:$N$1000,"&lt;&gt;")</f>
        <v>55</v>
      </c>
    </row>
    <row r="6" spans="1:2" x14ac:dyDescent="0.3">
      <c r="A6" s="47" t="s">
        <v>1450</v>
      </c>
      <c r="B6" s="58">
        <f>COUNTIFS(Admissions_2024_2025!$A$2:$A$1000,"Class of 2024",Admissions_2024_2025!$N$2:$N$1000,"&lt;&gt;")</f>
        <v>59</v>
      </c>
    </row>
    <row r="7" spans="1:2" x14ac:dyDescent="0.3">
      <c r="A7" s="47" t="s">
        <v>1451</v>
      </c>
      <c r="B7" s="58">
        <f>COUNTIFS(Admissions_2024_2025!$A$2:$A$1000,"Class of 2025",Admissions_2024_2025!$N$2:$N$1000,"&lt;&gt;")</f>
        <v>58</v>
      </c>
    </row>
    <row r="8" spans="1:2" x14ac:dyDescent="0.3">
      <c r="A8" s="47" t="s">
        <v>1452</v>
      </c>
      <c r="B8" s="58">
        <f>COUNTA(Student_Growth!$B$2:$B$1000)</f>
        <v>231</v>
      </c>
    </row>
    <row r="9" spans="1:2" x14ac:dyDescent="0.3">
      <c r="A9" s="47" t="s">
        <v>1453</v>
      </c>
      <c r="B9" s="58">
        <v>1</v>
      </c>
    </row>
    <row r="10" spans="1:2" x14ac:dyDescent="0.3">
      <c r="A10" s="47" t="s">
        <v>1454</v>
      </c>
      <c r="B10" s="58">
        <v>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175"/>
  <sheetViews>
    <sheetView workbookViewId="0"/>
  </sheetViews>
  <sheetFormatPr defaultRowHeight="14.4" x14ac:dyDescent="0.3"/>
  <cols>
    <col min="1" max="1" width="14.6640625" customWidth="1"/>
    <col min="2" max="2" width="52.109375" customWidth="1"/>
    <col min="3" max="3" width="14.6640625" customWidth="1"/>
    <col min="4" max="4" width="11.44140625" customWidth="1"/>
    <col min="5" max="5" width="14.5546875" customWidth="1"/>
    <col min="6" max="6" width="23.33203125" customWidth="1"/>
    <col min="7" max="7" width="22.5546875" customWidth="1"/>
    <col min="8" max="8" width="29" customWidth="1"/>
    <col min="9" max="9" width="26.88671875" customWidth="1"/>
    <col min="10" max="10" width="22.88671875" customWidth="1"/>
    <col min="11" max="11" width="24.6640625" customWidth="1"/>
    <col min="12" max="12" width="38.5546875" customWidth="1"/>
  </cols>
  <sheetData>
    <row r="1" spans="1:12" x14ac:dyDescent="0.3">
      <c r="A1" s="25" t="s">
        <v>40</v>
      </c>
      <c r="B1" s="25" t="s">
        <v>41</v>
      </c>
      <c r="C1" s="25" t="s">
        <v>1455</v>
      </c>
      <c r="D1" s="25" t="s">
        <v>1456</v>
      </c>
      <c r="E1" s="25" t="s">
        <v>1457</v>
      </c>
      <c r="F1" s="25" t="s">
        <v>549</v>
      </c>
      <c r="G1" s="25" t="s">
        <v>550</v>
      </c>
      <c r="H1" s="25" t="s">
        <v>551</v>
      </c>
      <c r="I1" s="25" t="s">
        <v>552</v>
      </c>
      <c r="J1" s="25" t="s">
        <v>553</v>
      </c>
      <c r="K1" s="25" t="s">
        <v>547</v>
      </c>
      <c r="L1" s="25" t="s">
        <v>1458</v>
      </c>
    </row>
    <row r="2" spans="1:12" x14ac:dyDescent="0.3">
      <c r="A2" s="26">
        <v>30763400356</v>
      </c>
      <c r="B2" t="s">
        <v>723</v>
      </c>
      <c r="C2" t="s">
        <v>1459</v>
      </c>
      <c r="D2">
        <v>10</v>
      </c>
      <c r="E2">
        <v>1</v>
      </c>
      <c r="F2" t="s">
        <v>1460</v>
      </c>
      <c r="G2">
        <v>85</v>
      </c>
      <c r="H2">
        <v>96</v>
      </c>
      <c r="I2">
        <v>108</v>
      </c>
      <c r="J2">
        <v>116</v>
      </c>
      <c r="K2">
        <v>101</v>
      </c>
      <c r="L2" t="s">
        <v>1435</v>
      </c>
    </row>
    <row r="3" spans="1:12" x14ac:dyDescent="0.3">
      <c r="A3" s="26">
        <v>30763403436</v>
      </c>
      <c r="B3" t="s">
        <v>746</v>
      </c>
      <c r="C3" t="s">
        <v>1459</v>
      </c>
      <c r="D3">
        <v>10</v>
      </c>
      <c r="E3">
        <v>1</v>
      </c>
      <c r="F3" t="s">
        <v>1460</v>
      </c>
      <c r="G3">
        <v>79</v>
      </c>
      <c r="H3">
        <v>102</v>
      </c>
      <c r="I3">
        <v>101</v>
      </c>
      <c r="J3">
        <v>106</v>
      </c>
      <c r="K3">
        <v>97</v>
      </c>
      <c r="L3" t="s">
        <v>1435</v>
      </c>
    </row>
    <row r="4" spans="1:12" x14ac:dyDescent="0.3">
      <c r="A4" s="26">
        <v>30763401169</v>
      </c>
      <c r="B4" t="s">
        <v>744</v>
      </c>
      <c r="C4" t="s">
        <v>1459</v>
      </c>
      <c r="D4">
        <v>10</v>
      </c>
      <c r="E4">
        <v>1</v>
      </c>
      <c r="F4" t="s">
        <v>1461</v>
      </c>
      <c r="G4">
        <v>86</v>
      </c>
      <c r="H4">
        <v>116</v>
      </c>
      <c r="I4">
        <v>99</v>
      </c>
      <c r="J4">
        <v>100</v>
      </c>
      <c r="K4">
        <v>100</v>
      </c>
      <c r="L4" t="s">
        <v>1435</v>
      </c>
    </row>
    <row r="5" spans="1:12" x14ac:dyDescent="0.3">
      <c r="A5" s="26">
        <v>30763401354</v>
      </c>
      <c r="B5" t="s">
        <v>1462</v>
      </c>
      <c r="C5" t="s">
        <v>1459</v>
      </c>
      <c r="D5">
        <v>10</v>
      </c>
      <c r="E5">
        <v>1</v>
      </c>
      <c r="F5" t="s">
        <v>1461</v>
      </c>
      <c r="G5">
        <v>85</v>
      </c>
      <c r="H5">
        <v>112</v>
      </c>
      <c r="I5">
        <v>110</v>
      </c>
      <c r="J5">
        <v>97</v>
      </c>
      <c r="K5">
        <v>101</v>
      </c>
      <c r="L5" t="s">
        <v>1435</v>
      </c>
    </row>
    <row r="6" spans="1:12" x14ac:dyDescent="0.3">
      <c r="A6" s="26">
        <v>30763404809</v>
      </c>
      <c r="B6" t="s">
        <v>763</v>
      </c>
      <c r="C6" t="s">
        <v>1459</v>
      </c>
      <c r="D6">
        <v>10</v>
      </c>
      <c r="E6">
        <v>1</v>
      </c>
      <c r="F6" t="s">
        <v>1461</v>
      </c>
      <c r="G6">
        <v>81</v>
      </c>
      <c r="H6">
        <v>104</v>
      </c>
      <c r="I6">
        <v>109</v>
      </c>
      <c r="J6">
        <v>93</v>
      </c>
      <c r="K6">
        <v>97</v>
      </c>
      <c r="L6" t="s">
        <v>1435</v>
      </c>
    </row>
    <row r="7" spans="1:12" x14ac:dyDescent="0.3">
      <c r="A7" s="26">
        <v>30736400078</v>
      </c>
      <c r="B7" t="s">
        <v>724</v>
      </c>
      <c r="C7" t="s">
        <v>1459</v>
      </c>
      <c r="D7">
        <v>10</v>
      </c>
      <c r="E7">
        <v>1</v>
      </c>
      <c r="F7" t="s">
        <v>1461</v>
      </c>
      <c r="G7">
        <v>75</v>
      </c>
      <c r="H7">
        <v>110</v>
      </c>
      <c r="I7">
        <v>91</v>
      </c>
      <c r="J7">
        <v>95</v>
      </c>
      <c r="K7">
        <v>93</v>
      </c>
      <c r="L7" t="s">
        <v>1435</v>
      </c>
    </row>
    <row r="8" spans="1:12" x14ac:dyDescent="0.3">
      <c r="A8" s="26">
        <v>30763401648</v>
      </c>
      <c r="B8" t="s">
        <v>748</v>
      </c>
      <c r="C8" t="s">
        <v>1459</v>
      </c>
      <c r="D8">
        <v>10</v>
      </c>
      <c r="E8">
        <v>1</v>
      </c>
      <c r="F8" t="s">
        <v>1463</v>
      </c>
      <c r="G8">
        <v>106</v>
      </c>
      <c r="H8">
        <v>114</v>
      </c>
      <c r="I8">
        <v>120</v>
      </c>
      <c r="J8">
        <v>128</v>
      </c>
      <c r="K8">
        <v>117</v>
      </c>
      <c r="L8" t="s">
        <v>1435</v>
      </c>
    </row>
    <row r="9" spans="1:12" x14ac:dyDescent="0.3">
      <c r="A9" s="26">
        <v>30763401527</v>
      </c>
      <c r="B9" t="s">
        <v>765</v>
      </c>
      <c r="C9" t="s">
        <v>1459</v>
      </c>
      <c r="D9">
        <v>10</v>
      </c>
      <c r="E9">
        <v>1</v>
      </c>
      <c r="F9" t="s">
        <v>1463</v>
      </c>
      <c r="G9">
        <v>82</v>
      </c>
      <c r="H9">
        <v>118</v>
      </c>
      <c r="I9">
        <v>110</v>
      </c>
      <c r="J9">
        <v>106</v>
      </c>
      <c r="K9">
        <v>104</v>
      </c>
      <c r="L9" t="s">
        <v>1435</v>
      </c>
    </row>
    <row r="10" spans="1:12" x14ac:dyDescent="0.3">
      <c r="A10" s="26">
        <v>30863403214</v>
      </c>
      <c r="B10" t="s">
        <v>774</v>
      </c>
      <c r="C10" t="s">
        <v>1459</v>
      </c>
      <c r="D10">
        <v>10</v>
      </c>
      <c r="E10">
        <v>1</v>
      </c>
      <c r="F10" t="s">
        <v>1463</v>
      </c>
      <c r="G10">
        <v>91</v>
      </c>
      <c r="H10">
        <v>95</v>
      </c>
      <c r="I10">
        <v>116</v>
      </c>
      <c r="J10">
        <v>115</v>
      </c>
      <c r="K10">
        <v>104</v>
      </c>
      <c r="L10" t="s">
        <v>1435</v>
      </c>
    </row>
    <row r="11" spans="1:12" x14ac:dyDescent="0.3">
      <c r="A11" s="26">
        <v>30863400621</v>
      </c>
      <c r="B11" t="s">
        <v>721</v>
      </c>
      <c r="C11" t="s">
        <v>1459</v>
      </c>
      <c r="D11">
        <v>10</v>
      </c>
      <c r="E11">
        <v>1</v>
      </c>
      <c r="F11" t="s">
        <v>1464</v>
      </c>
      <c r="G11">
        <v>105</v>
      </c>
      <c r="H11">
        <v>97</v>
      </c>
      <c r="I11">
        <v>105</v>
      </c>
      <c r="J11">
        <v>99</v>
      </c>
      <c r="K11">
        <v>102</v>
      </c>
      <c r="L11" t="s">
        <v>1435</v>
      </c>
    </row>
    <row r="12" spans="1:12" x14ac:dyDescent="0.3">
      <c r="A12" s="26">
        <v>30763401665</v>
      </c>
      <c r="B12" t="s">
        <v>1465</v>
      </c>
      <c r="C12" t="s">
        <v>1459</v>
      </c>
      <c r="D12">
        <v>10</v>
      </c>
      <c r="E12">
        <v>1</v>
      </c>
      <c r="F12" t="s">
        <v>1464</v>
      </c>
      <c r="G12">
        <v>97</v>
      </c>
      <c r="H12">
        <v>82</v>
      </c>
      <c r="I12">
        <v>99</v>
      </c>
      <c r="J12">
        <v>99</v>
      </c>
      <c r="K12">
        <v>94</v>
      </c>
      <c r="L12" t="s">
        <v>1435</v>
      </c>
    </row>
    <row r="13" spans="1:12" x14ac:dyDescent="0.3">
      <c r="A13" s="26">
        <v>30763406686</v>
      </c>
      <c r="B13" t="s">
        <v>752</v>
      </c>
      <c r="C13" t="s">
        <v>1459</v>
      </c>
      <c r="D13">
        <v>10</v>
      </c>
      <c r="E13">
        <v>1</v>
      </c>
      <c r="F13" t="s">
        <v>1464</v>
      </c>
      <c r="G13">
        <v>89</v>
      </c>
      <c r="H13">
        <v>101</v>
      </c>
      <c r="I13">
        <v>105</v>
      </c>
      <c r="J13">
        <v>101</v>
      </c>
      <c r="K13">
        <v>99</v>
      </c>
      <c r="L13" t="s">
        <v>1435</v>
      </c>
    </row>
    <row r="14" spans="1:12" x14ac:dyDescent="0.3">
      <c r="A14" s="26">
        <v>30763407003</v>
      </c>
      <c r="B14" t="s">
        <v>779</v>
      </c>
      <c r="C14" t="s">
        <v>1459</v>
      </c>
      <c r="D14">
        <v>10</v>
      </c>
      <c r="E14">
        <v>1</v>
      </c>
      <c r="F14" t="s">
        <v>1464</v>
      </c>
      <c r="G14">
        <v>85</v>
      </c>
      <c r="H14">
        <v>108</v>
      </c>
      <c r="I14">
        <v>89</v>
      </c>
      <c r="J14">
        <v>86</v>
      </c>
      <c r="K14">
        <v>92</v>
      </c>
      <c r="L14" t="s">
        <v>1435</v>
      </c>
    </row>
    <row r="15" spans="1:12" x14ac:dyDescent="0.3">
      <c r="A15" s="26">
        <v>30763405156</v>
      </c>
      <c r="B15" t="s">
        <v>747</v>
      </c>
      <c r="C15" t="s">
        <v>1459</v>
      </c>
      <c r="D15">
        <v>10</v>
      </c>
      <c r="E15">
        <v>1</v>
      </c>
      <c r="F15" t="s">
        <v>1464</v>
      </c>
      <c r="G15">
        <v>81</v>
      </c>
      <c r="H15">
        <v>95</v>
      </c>
      <c r="I15">
        <v>109</v>
      </c>
      <c r="J15">
        <v>84</v>
      </c>
      <c r="K15">
        <v>92</v>
      </c>
      <c r="L15" t="s">
        <v>1435</v>
      </c>
    </row>
    <row r="16" spans="1:12" x14ac:dyDescent="0.3">
      <c r="A16" s="26">
        <v>30763405121</v>
      </c>
      <c r="B16" t="s">
        <v>1229</v>
      </c>
      <c r="C16" t="s">
        <v>1459</v>
      </c>
      <c r="D16">
        <v>10</v>
      </c>
      <c r="E16">
        <v>1</v>
      </c>
      <c r="F16" t="s">
        <v>1464</v>
      </c>
      <c r="G16">
        <v>76</v>
      </c>
      <c r="H16">
        <v>106</v>
      </c>
      <c r="I16">
        <v>94</v>
      </c>
      <c r="J16">
        <v>84</v>
      </c>
      <c r="K16">
        <v>90</v>
      </c>
      <c r="L16" t="s">
        <v>1435</v>
      </c>
    </row>
    <row r="17" spans="1:12" x14ac:dyDescent="0.3">
      <c r="A17" s="26">
        <v>30763404357</v>
      </c>
      <c r="B17" t="s">
        <v>728</v>
      </c>
      <c r="C17" t="s">
        <v>1459</v>
      </c>
      <c r="D17">
        <v>10</v>
      </c>
      <c r="E17">
        <v>2</v>
      </c>
      <c r="F17" t="s">
        <v>1460</v>
      </c>
      <c r="G17">
        <v>88</v>
      </c>
      <c r="H17">
        <v>123</v>
      </c>
      <c r="I17">
        <v>120</v>
      </c>
      <c r="J17">
        <v>118</v>
      </c>
      <c r="K17">
        <v>112</v>
      </c>
      <c r="L17" t="s">
        <v>1435</v>
      </c>
    </row>
    <row r="18" spans="1:12" x14ac:dyDescent="0.3">
      <c r="A18" s="26">
        <v>30763402300</v>
      </c>
      <c r="B18" t="s">
        <v>1466</v>
      </c>
      <c r="C18" t="s">
        <v>1459</v>
      </c>
      <c r="D18">
        <v>10</v>
      </c>
      <c r="E18">
        <v>2</v>
      </c>
      <c r="F18" t="s">
        <v>1460</v>
      </c>
      <c r="G18">
        <v>73</v>
      </c>
      <c r="H18">
        <v>102</v>
      </c>
      <c r="I18">
        <v>90</v>
      </c>
      <c r="J18">
        <v>97</v>
      </c>
      <c r="K18">
        <v>91</v>
      </c>
      <c r="L18" t="s">
        <v>1435</v>
      </c>
    </row>
    <row r="19" spans="1:12" x14ac:dyDescent="0.3">
      <c r="A19" s="26">
        <v>30763405258</v>
      </c>
      <c r="B19" t="s">
        <v>778</v>
      </c>
      <c r="C19" t="s">
        <v>1459</v>
      </c>
      <c r="D19">
        <v>10</v>
      </c>
      <c r="E19">
        <v>2</v>
      </c>
      <c r="F19" t="s">
        <v>1461</v>
      </c>
      <c r="G19">
        <v>89</v>
      </c>
      <c r="H19">
        <v>104</v>
      </c>
      <c r="I19">
        <v>111</v>
      </c>
      <c r="J19">
        <v>106</v>
      </c>
      <c r="K19">
        <v>103</v>
      </c>
      <c r="L19" t="s">
        <v>1435</v>
      </c>
    </row>
    <row r="20" spans="1:12" x14ac:dyDescent="0.3">
      <c r="A20" s="26">
        <v>30763403134</v>
      </c>
      <c r="B20" t="s">
        <v>735</v>
      </c>
      <c r="C20" t="s">
        <v>1459</v>
      </c>
      <c r="D20">
        <v>10</v>
      </c>
      <c r="E20">
        <v>2</v>
      </c>
      <c r="F20" t="s">
        <v>1461</v>
      </c>
      <c r="G20">
        <v>88</v>
      </c>
      <c r="H20">
        <v>107</v>
      </c>
      <c r="I20">
        <v>105</v>
      </c>
      <c r="J20">
        <v>100</v>
      </c>
      <c r="K20">
        <v>100</v>
      </c>
      <c r="L20" t="s">
        <v>1435</v>
      </c>
    </row>
    <row r="21" spans="1:12" x14ac:dyDescent="0.3">
      <c r="A21" s="26">
        <v>30763404577</v>
      </c>
      <c r="B21" t="s">
        <v>750</v>
      </c>
      <c r="C21" t="s">
        <v>1459</v>
      </c>
      <c r="D21">
        <v>10</v>
      </c>
      <c r="E21">
        <v>2</v>
      </c>
      <c r="F21" t="s">
        <v>1467</v>
      </c>
      <c r="G21">
        <v>92</v>
      </c>
      <c r="H21">
        <v>88</v>
      </c>
      <c r="I21">
        <v>85</v>
      </c>
      <c r="J21">
        <v>77</v>
      </c>
      <c r="K21">
        <v>86</v>
      </c>
      <c r="L21" t="s">
        <v>1435</v>
      </c>
    </row>
    <row r="22" spans="1:12" x14ac:dyDescent="0.3">
      <c r="A22" s="26">
        <v>30763404037</v>
      </c>
      <c r="B22" t="s">
        <v>1468</v>
      </c>
      <c r="C22" t="s">
        <v>1459</v>
      </c>
      <c r="D22">
        <v>10</v>
      </c>
      <c r="E22">
        <v>2</v>
      </c>
      <c r="F22" t="s">
        <v>1467</v>
      </c>
      <c r="G22">
        <v>105</v>
      </c>
      <c r="H22">
        <v>91</v>
      </c>
      <c r="I22">
        <v>94</v>
      </c>
      <c r="J22">
        <v>89</v>
      </c>
      <c r="K22">
        <v>95</v>
      </c>
      <c r="L22" t="s">
        <v>1435</v>
      </c>
    </row>
    <row r="23" spans="1:12" x14ac:dyDescent="0.3">
      <c r="A23" s="26">
        <v>30663406442</v>
      </c>
      <c r="B23" t="s">
        <v>726</v>
      </c>
      <c r="C23" t="s">
        <v>1459</v>
      </c>
      <c r="D23">
        <v>10</v>
      </c>
      <c r="E23">
        <v>2</v>
      </c>
      <c r="F23" t="s">
        <v>1467</v>
      </c>
      <c r="G23">
        <v>97</v>
      </c>
      <c r="H23">
        <v>107</v>
      </c>
      <c r="I23">
        <v>105</v>
      </c>
      <c r="J23">
        <v>88</v>
      </c>
      <c r="K23">
        <v>99</v>
      </c>
      <c r="L23" t="s">
        <v>1435</v>
      </c>
    </row>
    <row r="24" spans="1:12" x14ac:dyDescent="0.3">
      <c r="A24" s="26">
        <v>30763404597</v>
      </c>
      <c r="B24" t="s">
        <v>739</v>
      </c>
      <c r="C24" t="s">
        <v>1459</v>
      </c>
      <c r="D24">
        <v>10</v>
      </c>
      <c r="E24">
        <v>2</v>
      </c>
      <c r="F24" t="s">
        <v>1463</v>
      </c>
      <c r="G24">
        <v>98</v>
      </c>
      <c r="H24">
        <v>106</v>
      </c>
      <c r="I24">
        <v>114</v>
      </c>
      <c r="J24">
        <v>120</v>
      </c>
      <c r="K24">
        <v>110</v>
      </c>
      <c r="L24" t="s">
        <v>1435</v>
      </c>
    </row>
    <row r="25" spans="1:12" x14ac:dyDescent="0.3">
      <c r="A25" s="26">
        <v>30763403342</v>
      </c>
      <c r="B25" t="s">
        <v>1222</v>
      </c>
      <c r="C25" t="s">
        <v>1459</v>
      </c>
      <c r="D25">
        <v>10</v>
      </c>
      <c r="E25">
        <v>2</v>
      </c>
      <c r="F25" t="s">
        <v>1463</v>
      </c>
      <c r="G25">
        <v>77</v>
      </c>
      <c r="H25">
        <v>98</v>
      </c>
      <c r="I25">
        <v>107</v>
      </c>
      <c r="J25">
        <v>97</v>
      </c>
      <c r="K25">
        <v>95</v>
      </c>
      <c r="L25" t="s">
        <v>1435</v>
      </c>
    </row>
    <row r="26" spans="1:12" x14ac:dyDescent="0.3">
      <c r="A26" s="26">
        <v>30763406978</v>
      </c>
      <c r="B26" t="s">
        <v>716</v>
      </c>
      <c r="C26" t="s">
        <v>1459</v>
      </c>
      <c r="D26">
        <v>10</v>
      </c>
      <c r="E26">
        <v>2</v>
      </c>
      <c r="F26" t="s">
        <v>1464</v>
      </c>
      <c r="G26">
        <v>95</v>
      </c>
      <c r="H26">
        <v>89</v>
      </c>
      <c r="I26">
        <v>100</v>
      </c>
      <c r="J26">
        <v>97</v>
      </c>
      <c r="K26">
        <v>95</v>
      </c>
      <c r="L26" t="s">
        <v>1435</v>
      </c>
    </row>
    <row r="27" spans="1:12" x14ac:dyDescent="0.3">
      <c r="A27" s="26">
        <v>30763405378</v>
      </c>
      <c r="B27" t="s">
        <v>720</v>
      </c>
      <c r="C27" t="s">
        <v>1459</v>
      </c>
      <c r="D27">
        <v>10</v>
      </c>
      <c r="E27">
        <v>2</v>
      </c>
      <c r="F27" t="s">
        <v>1464</v>
      </c>
      <c r="G27">
        <v>100</v>
      </c>
      <c r="H27">
        <v>115</v>
      </c>
      <c r="I27">
        <v>111</v>
      </c>
      <c r="J27">
        <v>109</v>
      </c>
      <c r="K27">
        <v>109</v>
      </c>
      <c r="L27" t="s">
        <v>1435</v>
      </c>
    </row>
    <row r="28" spans="1:12" x14ac:dyDescent="0.3">
      <c r="A28" s="26">
        <v>30763407139</v>
      </c>
      <c r="B28" t="s">
        <v>777</v>
      </c>
      <c r="C28" t="s">
        <v>1459</v>
      </c>
      <c r="D28">
        <v>10</v>
      </c>
      <c r="E28">
        <v>2</v>
      </c>
      <c r="F28" t="s">
        <v>1464</v>
      </c>
      <c r="G28">
        <v>97</v>
      </c>
      <c r="H28">
        <v>104</v>
      </c>
      <c r="I28">
        <v>98</v>
      </c>
      <c r="J28">
        <v>93</v>
      </c>
      <c r="K28">
        <v>98</v>
      </c>
      <c r="L28" t="s">
        <v>1435</v>
      </c>
    </row>
    <row r="29" spans="1:12" x14ac:dyDescent="0.3">
      <c r="A29" s="26">
        <v>30863400252</v>
      </c>
      <c r="B29" t="s">
        <v>703</v>
      </c>
      <c r="C29" t="s">
        <v>1459</v>
      </c>
      <c r="D29">
        <v>10</v>
      </c>
      <c r="E29">
        <v>2</v>
      </c>
      <c r="F29" t="s">
        <v>1464</v>
      </c>
      <c r="G29">
        <v>88</v>
      </c>
      <c r="H29">
        <v>111</v>
      </c>
      <c r="I29">
        <v>102</v>
      </c>
      <c r="J29">
        <v>80</v>
      </c>
      <c r="K29">
        <v>95</v>
      </c>
      <c r="L29" t="s">
        <v>1435</v>
      </c>
    </row>
    <row r="30" spans="1:12" x14ac:dyDescent="0.3">
      <c r="A30" s="26">
        <v>30763403766</v>
      </c>
      <c r="B30" t="s">
        <v>1236</v>
      </c>
      <c r="C30" t="s">
        <v>1459</v>
      </c>
      <c r="D30">
        <v>10</v>
      </c>
      <c r="E30">
        <v>2</v>
      </c>
      <c r="F30" t="s">
        <v>1464</v>
      </c>
      <c r="G30">
        <v>84</v>
      </c>
      <c r="H30">
        <v>97</v>
      </c>
      <c r="I30">
        <v>82</v>
      </c>
      <c r="J30">
        <v>77</v>
      </c>
      <c r="K30">
        <v>85</v>
      </c>
      <c r="L30" t="s">
        <v>1435</v>
      </c>
    </row>
    <row r="31" spans="1:12" x14ac:dyDescent="0.3">
      <c r="A31" s="26">
        <v>30763406181</v>
      </c>
      <c r="B31" t="s">
        <v>1200</v>
      </c>
      <c r="C31" t="s">
        <v>1459</v>
      </c>
      <c r="D31">
        <v>10</v>
      </c>
      <c r="E31">
        <v>2</v>
      </c>
      <c r="F31" t="s">
        <v>1464</v>
      </c>
      <c r="G31">
        <v>87</v>
      </c>
      <c r="H31">
        <v>101</v>
      </c>
      <c r="I31">
        <v>102</v>
      </c>
      <c r="J31">
        <v>80</v>
      </c>
      <c r="K31">
        <v>93</v>
      </c>
      <c r="L31" t="s">
        <v>1435</v>
      </c>
    </row>
    <row r="32" spans="1:12" x14ac:dyDescent="0.3">
      <c r="A32" s="26">
        <v>30763401791</v>
      </c>
      <c r="B32" t="s">
        <v>719</v>
      </c>
      <c r="C32" t="s">
        <v>1459</v>
      </c>
      <c r="D32">
        <v>10</v>
      </c>
      <c r="E32">
        <v>3</v>
      </c>
      <c r="F32" t="s">
        <v>1460</v>
      </c>
      <c r="G32">
        <v>85</v>
      </c>
      <c r="H32">
        <v>110</v>
      </c>
      <c r="I32">
        <v>131</v>
      </c>
      <c r="J32">
        <v>119</v>
      </c>
      <c r="K32">
        <v>111</v>
      </c>
      <c r="L32" t="s">
        <v>1435</v>
      </c>
    </row>
    <row r="33" spans="1:12" x14ac:dyDescent="0.3">
      <c r="A33" s="26">
        <v>30763405262</v>
      </c>
      <c r="B33" t="s">
        <v>733</v>
      </c>
      <c r="C33" t="s">
        <v>1459</v>
      </c>
      <c r="D33">
        <v>10</v>
      </c>
      <c r="E33">
        <v>3</v>
      </c>
      <c r="F33" t="s">
        <v>1461</v>
      </c>
      <c r="G33">
        <v>93</v>
      </c>
      <c r="H33">
        <v>93</v>
      </c>
      <c r="I33">
        <v>105</v>
      </c>
      <c r="J33">
        <v>108</v>
      </c>
      <c r="K33">
        <v>100</v>
      </c>
      <c r="L33" t="s">
        <v>1435</v>
      </c>
    </row>
    <row r="34" spans="1:12" x14ac:dyDescent="0.3">
      <c r="A34" s="26">
        <v>30863400365</v>
      </c>
      <c r="B34" t="s">
        <v>751</v>
      </c>
      <c r="C34" t="s">
        <v>1459</v>
      </c>
      <c r="D34">
        <v>10</v>
      </c>
      <c r="E34">
        <v>3</v>
      </c>
      <c r="F34" t="s">
        <v>1461</v>
      </c>
      <c r="G34">
        <v>85</v>
      </c>
      <c r="H34">
        <v>102</v>
      </c>
      <c r="I34">
        <v>103</v>
      </c>
      <c r="J34">
        <v>97</v>
      </c>
      <c r="K34">
        <v>97</v>
      </c>
      <c r="L34" t="s">
        <v>1435</v>
      </c>
    </row>
    <row r="35" spans="1:12" x14ac:dyDescent="0.3">
      <c r="A35" s="26">
        <v>30763404154</v>
      </c>
      <c r="B35" t="s">
        <v>737</v>
      </c>
      <c r="C35" t="s">
        <v>1459</v>
      </c>
      <c r="D35">
        <v>10</v>
      </c>
      <c r="E35">
        <v>3</v>
      </c>
      <c r="F35" t="s">
        <v>1467</v>
      </c>
      <c r="G35">
        <v>110</v>
      </c>
      <c r="H35">
        <v>113</v>
      </c>
      <c r="I35">
        <v>105</v>
      </c>
      <c r="J35">
        <v>93</v>
      </c>
      <c r="K35">
        <v>105</v>
      </c>
      <c r="L35" t="s">
        <v>1435</v>
      </c>
    </row>
    <row r="36" spans="1:12" x14ac:dyDescent="0.3">
      <c r="A36" s="26">
        <v>30763405583</v>
      </c>
      <c r="B36" t="s">
        <v>708</v>
      </c>
      <c r="C36" t="s">
        <v>1459</v>
      </c>
      <c r="D36">
        <v>10</v>
      </c>
      <c r="E36">
        <v>3</v>
      </c>
      <c r="F36" t="s">
        <v>1463</v>
      </c>
      <c r="G36">
        <v>83</v>
      </c>
      <c r="H36">
        <v>102</v>
      </c>
      <c r="I36">
        <v>118</v>
      </c>
      <c r="J36">
        <v>104</v>
      </c>
      <c r="K36">
        <v>102</v>
      </c>
      <c r="L36" t="s">
        <v>1435</v>
      </c>
    </row>
    <row r="37" spans="1:12" x14ac:dyDescent="0.3">
      <c r="A37" s="26">
        <v>30763404129</v>
      </c>
      <c r="B37" t="s">
        <v>761</v>
      </c>
      <c r="C37" t="s">
        <v>1459</v>
      </c>
      <c r="D37">
        <v>10</v>
      </c>
      <c r="E37">
        <v>3</v>
      </c>
      <c r="F37" t="s">
        <v>1463</v>
      </c>
      <c r="G37">
        <v>79</v>
      </c>
      <c r="H37">
        <v>111</v>
      </c>
      <c r="I37">
        <v>103</v>
      </c>
      <c r="J37">
        <v>97</v>
      </c>
      <c r="K37">
        <v>98</v>
      </c>
      <c r="L37" t="s">
        <v>1435</v>
      </c>
    </row>
    <row r="38" spans="1:12" x14ac:dyDescent="0.3">
      <c r="A38" s="26">
        <v>30863403469</v>
      </c>
      <c r="B38" t="s">
        <v>713</v>
      </c>
      <c r="C38" t="s">
        <v>1459</v>
      </c>
      <c r="D38">
        <v>10</v>
      </c>
      <c r="E38">
        <v>3</v>
      </c>
      <c r="F38" t="s">
        <v>1463</v>
      </c>
      <c r="G38">
        <v>85</v>
      </c>
      <c r="H38">
        <v>100</v>
      </c>
      <c r="I38">
        <v>96</v>
      </c>
      <c r="J38">
        <v>105</v>
      </c>
      <c r="K38">
        <v>97</v>
      </c>
      <c r="L38" t="s">
        <v>1435</v>
      </c>
    </row>
    <row r="39" spans="1:12" x14ac:dyDescent="0.3">
      <c r="A39" s="26">
        <v>30663404711</v>
      </c>
      <c r="B39" t="s">
        <v>741</v>
      </c>
      <c r="C39" t="s">
        <v>1459</v>
      </c>
      <c r="D39">
        <v>10</v>
      </c>
      <c r="E39">
        <v>3</v>
      </c>
      <c r="F39" t="s">
        <v>1469</v>
      </c>
      <c r="G39">
        <v>109</v>
      </c>
      <c r="H39">
        <v>98</v>
      </c>
      <c r="I39">
        <v>105</v>
      </c>
      <c r="J39">
        <v>88</v>
      </c>
      <c r="K39">
        <v>100</v>
      </c>
      <c r="L39" t="s">
        <v>1435</v>
      </c>
    </row>
    <row r="40" spans="1:12" x14ac:dyDescent="0.3">
      <c r="A40" s="26">
        <v>30663402904</v>
      </c>
      <c r="B40" t="s">
        <v>717</v>
      </c>
      <c r="C40" t="s">
        <v>1459</v>
      </c>
      <c r="D40">
        <v>10</v>
      </c>
      <c r="E40">
        <v>3</v>
      </c>
      <c r="F40" t="s">
        <v>1469</v>
      </c>
      <c r="G40">
        <v>112</v>
      </c>
      <c r="H40">
        <v>106</v>
      </c>
      <c r="I40">
        <v>126</v>
      </c>
      <c r="J40">
        <v>95</v>
      </c>
      <c r="K40">
        <v>110</v>
      </c>
      <c r="L40" t="s">
        <v>1435</v>
      </c>
    </row>
    <row r="41" spans="1:12" x14ac:dyDescent="0.3">
      <c r="A41" s="26">
        <v>30763404452</v>
      </c>
      <c r="B41" t="s">
        <v>731</v>
      </c>
      <c r="C41" t="s">
        <v>1459</v>
      </c>
      <c r="D41">
        <v>10</v>
      </c>
      <c r="E41">
        <v>3</v>
      </c>
      <c r="F41" t="s">
        <v>1464</v>
      </c>
      <c r="G41">
        <v>90</v>
      </c>
      <c r="H41">
        <v>119</v>
      </c>
      <c r="I41">
        <v>105</v>
      </c>
      <c r="J41">
        <v>100</v>
      </c>
      <c r="K41">
        <v>104</v>
      </c>
      <c r="L41" t="s">
        <v>1435</v>
      </c>
    </row>
    <row r="42" spans="1:12" x14ac:dyDescent="0.3">
      <c r="A42" s="26">
        <v>30763403207</v>
      </c>
      <c r="B42" t="s">
        <v>767</v>
      </c>
      <c r="C42" t="s">
        <v>1459</v>
      </c>
      <c r="D42">
        <v>10</v>
      </c>
      <c r="E42">
        <v>3</v>
      </c>
      <c r="F42" t="s">
        <v>1464</v>
      </c>
      <c r="G42">
        <v>101</v>
      </c>
      <c r="H42">
        <v>95</v>
      </c>
      <c r="I42">
        <v>122</v>
      </c>
      <c r="J42">
        <v>109</v>
      </c>
      <c r="K42">
        <v>107</v>
      </c>
      <c r="L42" t="s">
        <v>1435</v>
      </c>
    </row>
    <row r="43" spans="1:12" x14ac:dyDescent="0.3">
      <c r="A43" s="26">
        <v>30863400040</v>
      </c>
      <c r="B43" t="s">
        <v>757</v>
      </c>
      <c r="C43" t="s">
        <v>1459</v>
      </c>
      <c r="D43">
        <v>10</v>
      </c>
      <c r="E43">
        <v>3</v>
      </c>
      <c r="F43" t="s">
        <v>1464</v>
      </c>
      <c r="G43">
        <v>89</v>
      </c>
      <c r="H43">
        <v>106</v>
      </c>
      <c r="I43">
        <v>87</v>
      </c>
      <c r="J43">
        <v>86</v>
      </c>
      <c r="K43">
        <v>92</v>
      </c>
      <c r="L43" t="s">
        <v>1435</v>
      </c>
    </row>
    <row r="44" spans="1:12" x14ac:dyDescent="0.3">
      <c r="A44" s="26">
        <v>30863402949</v>
      </c>
      <c r="B44" t="s">
        <v>745</v>
      </c>
      <c r="C44" t="s">
        <v>1459</v>
      </c>
      <c r="D44">
        <v>10</v>
      </c>
      <c r="E44">
        <v>3</v>
      </c>
      <c r="F44" t="s">
        <v>1464</v>
      </c>
      <c r="G44">
        <v>91</v>
      </c>
      <c r="H44">
        <v>105</v>
      </c>
      <c r="I44">
        <v>102</v>
      </c>
      <c r="J44">
        <v>99</v>
      </c>
      <c r="K44">
        <v>99</v>
      </c>
      <c r="L44" t="s">
        <v>1435</v>
      </c>
    </row>
    <row r="45" spans="1:12" x14ac:dyDescent="0.3">
      <c r="A45" s="26">
        <v>30763402603</v>
      </c>
      <c r="B45" t="s">
        <v>1207</v>
      </c>
      <c r="C45" t="s">
        <v>1459</v>
      </c>
      <c r="D45">
        <v>10</v>
      </c>
      <c r="E45">
        <v>3</v>
      </c>
      <c r="F45" t="s">
        <v>1464</v>
      </c>
      <c r="G45">
        <v>85</v>
      </c>
      <c r="H45">
        <v>98</v>
      </c>
      <c r="I45">
        <v>105</v>
      </c>
      <c r="J45">
        <v>95</v>
      </c>
      <c r="K45">
        <v>96</v>
      </c>
      <c r="L45" t="s">
        <v>1435</v>
      </c>
    </row>
    <row r="46" spans="1:12" x14ac:dyDescent="0.3">
      <c r="A46" s="26">
        <v>30863400727</v>
      </c>
      <c r="B46" t="s">
        <v>754</v>
      </c>
      <c r="C46" t="s">
        <v>1459</v>
      </c>
      <c r="D46">
        <v>10</v>
      </c>
      <c r="E46">
        <v>3</v>
      </c>
      <c r="F46" t="s">
        <v>1464</v>
      </c>
      <c r="G46">
        <v>88</v>
      </c>
      <c r="H46">
        <v>94</v>
      </c>
      <c r="I46">
        <v>102</v>
      </c>
      <c r="J46">
        <v>77</v>
      </c>
      <c r="K46">
        <v>90</v>
      </c>
      <c r="L46" t="s">
        <v>1435</v>
      </c>
    </row>
    <row r="47" spans="1:12" x14ac:dyDescent="0.3">
      <c r="A47" s="26">
        <v>30763403146</v>
      </c>
      <c r="B47" t="s">
        <v>742</v>
      </c>
      <c r="C47" t="s">
        <v>1459</v>
      </c>
      <c r="D47">
        <v>10</v>
      </c>
      <c r="E47">
        <v>4</v>
      </c>
      <c r="F47" t="s">
        <v>1460</v>
      </c>
      <c r="G47">
        <v>88</v>
      </c>
      <c r="H47">
        <v>100</v>
      </c>
      <c r="I47">
        <v>101</v>
      </c>
      <c r="J47">
        <v>116</v>
      </c>
      <c r="K47">
        <v>101</v>
      </c>
      <c r="L47" t="s">
        <v>1435</v>
      </c>
    </row>
    <row r="48" spans="1:12" x14ac:dyDescent="0.3">
      <c r="A48" s="26">
        <v>30763403473</v>
      </c>
      <c r="B48" t="s">
        <v>734</v>
      </c>
      <c r="C48" t="s">
        <v>1459</v>
      </c>
      <c r="D48">
        <v>10</v>
      </c>
      <c r="E48">
        <v>4</v>
      </c>
      <c r="F48" t="s">
        <v>1460</v>
      </c>
      <c r="G48">
        <v>81</v>
      </c>
      <c r="H48">
        <v>121</v>
      </c>
      <c r="I48">
        <v>99</v>
      </c>
      <c r="J48">
        <v>111</v>
      </c>
      <c r="K48">
        <v>103</v>
      </c>
      <c r="L48" t="s">
        <v>1435</v>
      </c>
    </row>
    <row r="49" spans="1:12" x14ac:dyDescent="0.3">
      <c r="A49" s="26">
        <v>30863400128</v>
      </c>
      <c r="B49" t="s">
        <v>771</v>
      </c>
      <c r="C49" t="s">
        <v>1459</v>
      </c>
      <c r="D49">
        <v>10</v>
      </c>
      <c r="E49">
        <v>4</v>
      </c>
      <c r="F49" t="s">
        <v>1461</v>
      </c>
      <c r="G49">
        <v>88</v>
      </c>
      <c r="H49">
        <v>106</v>
      </c>
      <c r="I49">
        <v>116</v>
      </c>
      <c r="J49">
        <v>103</v>
      </c>
      <c r="K49">
        <v>103</v>
      </c>
      <c r="L49" t="s">
        <v>1435</v>
      </c>
    </row>
    <row r="50" spans="1:12" x14ac:dyDescent="0.3">
      <c r="A50" s="26">
        <v>30763406690</v>
      </c>
      <c r="B50" t="s">
        <v>729</v>
      </c>
      <c r="C50" t="s">
        <v>1459</v>
      </c>
      <c r="D50">
        <v>10</v>
      </c>
      <c r="E50">
        <v>4</v>
      </c>
      <c r="F50" t="s">
        <v>1461</v>
      </c>
      <c r="G50">
        <v>86</v>
      </c>
      <c r="H50">
        <v>101</v>
      </c>
      <c r="I50">
        <v>87</v>
      </c>
      <c r="J50">
        <v>99</v>
      </c>
      <c r="K50">
        <v>93</v>
      </c>
      <c r="L50" t="s">
        <v>1435</v>
      </c>
    </row>
    <row r="51" spans="1:12" x14ac:dyDescent="0.3">
      <c r="A51" s="26">
        <v>30763406209</v>
      </c>
      <c r="B51" t="s">
        <v>1470</v>
      </c>
      <c r="C51" t="s">
        <v>1459</v>
      </c>
      <c r="D51">
        <v>10</v>
      </c>
      <c r="E51">
        <v>4</v>
      </c>
      <c r="F51" t="s">
        <v>1461</v>
      </c>
      <c r="G51">
        <v>78</v>
      </c>
      <c r="H51">
        <v>95</v>
      </c>
      <c r="I51">
        <v>102</v>
      </c>
      <c r="J51">
        <v>95</v>
      </c>
      <c r="K51">
        <v>93</v>
      </c>
      <c r="L51" t="s">
        <v>1435</v>
      </c>
    </row>
    <row r="52" spans="1:12" x14ac:dyDescent="0.3">
      <c r="A52" s="26">
        <v>30763402295</v>
      </c>
      <c r="B52" t="s">
        <v>780</v>
      </c>
      <c r="C52" t="s">
        <v>1459</v>
      </c>
      <c r="D52">
        <v>10</v>
      </c>
      <c r="E52">
        <v>4</v>
      </c>
      <c r="F52" t="s">
        <v>1461</v>
      </c>
      <c r="G52">
        <v>80</v>
      </c>
      <c r="H52">
        <v>95</v>
      </c>
      <c r="I52">
        <v>120</v>
      </c>
      <c r="J52">
        <v>95</v>
      </c>
      <c r="K52">
        <v>98</v>
      </c>
      <c r="L52" t="s">
        <v>1435</v>
      </c>
    </row>
    <row r="53" spans="1:12" x14ac:dyDescent="0.3">
      <c r="A53" s="26">
        <v>30763407219</v>
      </c>
      <c r="B53" t="s">
        <v>710</v>
      </c>
      <c r="C53" t="s">
        <v>1459</v>
      </c>
      <c r="D53">
        <v>10</v>
      </c>
      <c r="E53">
        <v>4</v>
      </c>
      <c r="F53" t="s">
        <v>1461</v>
      </c>
      <c r="G53">
        <v>96</v>
      </c>
      <c r="H53">
        <v>131</v>
      </c>
      <c r="I53">
        <v>122</v>
      </c>
      <c r="J53">
        <v>111</v>
      </c>
      <c r="K53">
        <v>115</v>
      </c>
      <c r="L53" t="s">
        <v>1435</v>
      </c>
    </row>
    <row r="54" spans="1:12" x14ac:dyDescent="0.3">
      <c r="A54" s="26">
        <v>30863402023</v>
      </c>
      <c r="B54" t="s">
        <v>775</v>
      </c>
      <c r="C54" t="s">
        <v>1459</v>
      </c>
      <c r="D54">
        <v>10</v>
      </c>
      <c r="E54">
        <v>4</v>
      </c>
      <c r="F54" t="s">
        <v>1463</v>
      </c>
      <c r="G54">
        <v>85</v>
      </c>
      <c r="H54">
        <v>129</v>
      </c>
      <c r="I54">
        <v>116</v>
      </c>
      <c r="J54">
        <v>110</v>
      </c>
      <c r="K54">
        <v>110</v>
      </c>
      <c r="L54" t="s">
        <v>1435</v>
      </c>
    </row>
    <row r="55" spans="1:12" x14ac:dyDescent="0.3">
      <c r="A55" s="26">
        <v>30763405426</v>
      </c>
      <c r="B55" t="s">
        <v>773</v>
      </c>
      <c r="C55" t="s">
        <v>1459</v>
      </c>
      <c r="D55">
        <v>10</v>
      </c>
      <c r="E55">
        <v>4</v>
      </c>
      <c r="F55" t="s">
        <v>1463</v>
      </c>
      <c r="G55">
        <v>77</v>
      </c>
      <c r="H55">
        <v>99</v>
      </c>
      <c r="I55">
        <v>98</v>
      </c>
      <c r="J55">
        <v>99</v>
      </c>
      <c r="K55">
        <v>93</v>
      </c>
      <c r="L55" t="s">
        <v>1435</v>
      </c>
    </row>
    <row r="56" spans="1:12" x14ac:dyDescent="0.3">
      <c r="A56" s="26">
        <v>30863403069</v>
      </c>
      <c r="B56" t="s">
        <v>755</v>
      </c>
      <c r="C56" t="s">
        <v>1459</v>
      </c>
      <c r="D56">
        <v>10</v>
      </c>
      <c r="E56">
        <v>4</v>
      </c>
      <c r="F56" t="s">
        <v>1463</v>
      </c>
      <c r="G56">
        <v>91</v>
      </c>
      <c r="H56">
        <v>116</v>
      </c>
      <c r="I56">
        <v>111</v>
      </c>
      <c r="J56">
        <v>115</v>
      </c>
      <c r="K56">
        <v>108</v>
      </c>
      <c r="L56" t="s">
        <v>1435</v>
      </c>
    </row>
    <row r="57" spans="1:12" x14ac:dyDescent="0.3">
      <c r="A57" s="26">
        <v>30763400655</v>
      </c>
      <c r="B57" t="s">
        <v>781</v>
      </c>
      <c r="C57" t="s">
        <v>1459</v>
      </c>
      <c r="D57">
        <v>10</v>
      </c>
      <c r="E57">
        <v>4</v>
      </c>
      <c r="F57" t="s">
        <v>1469</v>
      </c>
      <c r="G57">
        <v>113</v>
      </c>
      <c r="H57">
        <v>96</v>
      </c>
      <c r="I57">
        <v>105</v>
      </c>
      <c r="J57">
        <v>95</v>
      </c>
      <c r="K57">
        <v>102</v>
      </c>
      <c r="L57" t="s">
        <v>1435</v>
      </c>
    </row>
    <row r="58" spans="1:12" x14ac:dyDescent="0.3">
      <c r="A58" s="26">
        <v>30763403403</v>
      </c>
      <c r="B58" t="s">
        <v>759</v>
      </c>
      <c r="C58" t="s">
        <v>1459</v>
      </c>
      <c r="D58">
        <v>10</v>
      </c>
      <c r="E58">
        <v>4</v>
      </c>
      <c r="F58" t="s">
        <v>1464</v>
      </c>
      <c r="G58">
        <v>85</v>
      </c>
      <c r="H58">
        <v>104</v>
      </c>
      <c r="I58">
        <v>109</v>
      </c>
      <c r="J58">
        <v>91</v>
      </c>
      <c r="K58">
        <v>97</v>
      </c>
      <c r="L58" t="s">
        <v>1435</v>
      </c>
    </row>
    <row r="59" spans="1:12" x14ac:dyDescent="0.3">
      <c r="A59" s="26">
        <v>30763403206</v>
      </c>
      <c r="B59" t="s">
        <v>1471</v>
      </c>
      <c r="C59" t="s">
        <v>1459</v>
      </c>
      <c r="D59">
        <v>10</v>
      </c>
      <c r="E59">
        <v>4</v>
      </c>
      <c r="F59" t="s">
        <v>1464</v>
      </c>
      <c r="G59">
        <v>87</v>
      </c>
      <c r="H59">
        <v>115</v>
      </c>
      <c r="I59">
        <v>96</v>
      </c>
      <c r="J59">
        <v>93</v>
      </c>
      <c r="K59">
        <v>98</v>
      </c>
      <c r="L59" t="s">
        <v>1435</v>
      </c>
    </row>
    <row r="60" spans="1:12" x14ac:dyDescent="0.3">
      <c r="A60" s="26">
        <v>30763403945</v>
      </c>
      <c r="B60" t="s">
        <v>753</v>
      </c>
      <c r="C60" t="s">
        <v>1459</v>
      </c>
      <c r="D60">
        <v>10</v>
      </c>
      <c r="E60">
        <v>4</v>
      </c>
      <c r="F60" t="s">
        <v>1464</v>
      </c>
      <c r="G60">
        <v>83</v>
      </c>
      <c r="H60">
        <v>106</v>
      </c>
      <c r="I60">
        <v>112</v>
      </c>
      <c r="J60">
        <v>83</v>
      </c>
      <c r="K60">
        <v>96</v>
      </c>
      <c r="L60" t="s">
        <v>1435</v>
      </c>
    </row>
    <row r="61" spans="1:12" x14ac:dyDescent="0.3">
      <c r="A61" s="26">
        <v>30863400695</v>
      </c>
      <c r="B61" t="s">
        <v>769</v>
      </c>
      <c r="C61" t="s">
        <v>1459</v>
      </c>
      <c r="D61">
        <v>10</v>
      </c>
      <c r="E61">
        <v>4</v>
      </c>
      <c r="F61" t="s">
        <v>1464</v>
      </c>
      <c r="G61">
        <v>85</v>
      </c>
      <c r="H61">
        <v>99</v>
      </c>
      <c r="I61">
        <v>100</v>
      </c>
      <c r="J61">
        <v>86</v>
      </c>
      <c r="K61">
        <v>93</v>
      </c>
      <c r="L61" t="s">
        <v>1435</v>
      </c>
    </row>
    <row r="62" spans="1:12" x14ac:dyDescent="0.3">
      <c r="A62" s="26">
        <v>30763402175</v>
      </c>
      <c r="B62" t="s">
        <v>653</v>
      </c>
      <c r="C62" t="s">
        <v>1472</v>
      </c>
      <c r="D62">
        <v>11</v>
      </c>
      <c r="E62">
        <v>1</v>
      </c>
      <c r="F62" t="s">
        <v>1464</v>
      </c>
      <c r="G62">
        <v>95</v>
      </c>
      <c r="H62">
        <v>106</v>
      </c>
      <c r="I62">
        <v>101</v>
      </c>
      <c r="J62">
        <v>97</v>
      </c>
      <c r="K62">
        <v>100</v>
      </c>
      <c r="L62" t="s">
        <v>1435</v>
      </c>
    </row>
    <row r="63" spans="1:12" x14ac:dyDescent="0.3">
      <c r="A63" s="26">
        <v>30663405255</v>
      </c>
      <c r="B63" t="s">
        <v>664</v>
      </c>
      <c r="C63" t="s">
        <v>1472</v>
      </c>
      <c r="D63">
        <v>11</v>
      </c>
      <c r="E63">
        <v>1</v>
      </c>
      <c r="F63" t="s">
        <v>1464</v>
      </c>
      <c r="G63">
        <v>87</v>
      </c>
      <c r="H63">
        <v>75</v>
      </c>
      <c r="I63">
        <v>108</v>
      </c>
      <c r="J63">
        <v>90</v>
      </c>
      <c r="K63">
        <v>90</v>
      </c>
      <c r="L63" t="s">
        <v>1435</v>
      </c>
    </row>
    <row r="64" spans="1:12" x14ac:dyDescent="0.3">
      <c r="A64" s="26">
        <v>30763400144</v>
      </c>
      <c r="B64" t="s">
        <v>646</v>
      </c>
      <c r="C64" t="s">
        <v>1472</v>
      </c>
      <c r="D64">
        <v>11</v>
      </c>
      <c r="E64">
        <v>1</v>
      </c>
      <c r="F64" t="s">
        <v>1464</v>
      </c>
      <c r="G64">
        <v>109</v>
      </c>
      <c r="H64">
        <v>103</v>
      </c>
      <c r="I64">
        <v>105</v>
      </c>
      <c r="J64">
        <v>100</v>
      </c>
      <c r="K64">
        <v>104</v>
      </c>
      <c r="L64" t="s">
        <v>1435</v>
      </c>
    </row>
    <row r="65" spans="1:12" x14ac:dyDescent="0.3">
      <c r="A65" s="26">
        <v>30663402879</v>
      </c>
      <c r="B65" t="s">
        <v>647</v>
      </c>
      <c r="C65" t="s">
        <v>1472</v>
      </c>
      <c r="D65">
        <v>11</v>
      </c>
      <c r="E65">
        <v>1</v>
      </c>
      <c r="F65" t="s">
        <v>1460</v>
      </c>
      <c r="G65">
        <v>75</v>
      </c>
      <c r="H65">
        <v>114</v>
      </c>
      <c r="I65">
        <v>94</v>
      </c>
      <c r="J65">
        <v>104</v>
      </c>
      <c r="K65">
        <v>97</v>
      </c>
      <c r="L65" t="s">
        <v>1435</v>
      </c>
    </row>
    <row r="66" spans="1:12" x14ac:dyDescent="0.3">
      <c r="A66" s="26">
        <v>30663406053</v>
      </c>
      <c r="B66" t="s">
        <v>649</v>
      </c>
      <c r="C66" t="s">
        <v>1472</v>
      </c>
      <c r="D66">
        <v>11</v>
      </c>
      <c r="E66">
        <v>1</v>
      </c>
      <c r="F66" t="s">
        <v>1460</v>
      </c>
      <c r="G66">
        <v>80</v>
      </c>
      <c r="H66">
        <v>106</v>
      </c>
      <c r="I66">
        <v>101</v>
      </c>
      <c r="J66">
        <v>105</v>
      </c>
      <c r="K66">
        <v>98</v>
      </c>
      <c r="L66" t="s">
        <v>1435</v>
      </c>
    </row>
    <row r="67" spans="1:12" x14ac:dyDescent="0.3">
      <c r="A67" s="26">
        <v>30663406453</v>
      </c>
      <c r="B67" t="s">
        <v>645</v>
      </c>
      <c r="C67" t="s">
        <v>1472</v>
      </c>
      <c r="D67">
        <v>11</v>
      </c>
      <c r="E67">
        <v>1</v>
      </c>
      <c r="F67" t="s">
        <v>1460</v>
      </c>
      <c r="G67">
        <v>68</v>
      </c>
      <c r="H67">
        <v>103</v>
      </c>
      <c r="I67">
        <v>119</v>
      </c>
      <c r="J67">
        <v>104</v>
      </c>
      <c r="K67">
        <v>99</v>
      </c>
      <c r="L67" t="s">
        <v>1435</v>
      </c>
    </row>
    <row r="68" spans="1:12" x14ac:dyDescent="0.3">
      <c r="A68" s="26">
        <v>30663406697</v>
      </c>
      <c r="B68" t="s">
        <v>658</v>
      </c>
      <c r="C68" t="s">
        <v>1472</v>
      </c>
      <c r="D68">
        <v>11</v>
      </c>
      <c r="E68">
        <v>1</v>
      </c>
      <c r="F68" t="s">
        <v>1460</v>
      </c>
      <c r="G68">
        <v>80</v>
      </c>
      <c r="H68">
        <v>106</v>
      </c>
      <c r="I68">
        <v>90</v>
      </c>
      <c r="J68">
        <v>114</v>
      </c>
      <c r="K68">
        <v>98</v>
      </c>
      <c r="L68" t="s">
        <v>1435</v>
      </c>
    </row>
    <row r="69" spans="1:12" x14ac:dyDescent="0.3">
      <c r="A69" s="26">
        <v>30663403650</v>
      </c>
      <c r="B69" t="s">
        <v>670</v>
      </c>
      <c r="C69" t="s">
        <v>1472</v>
      </c>
      <c r="D69">
        <v>11</v>
      </c>
      <c r="E69">
        <v>1</v>
      </c>
      <c r="F69" t="s">
        <v>1464</v>
      </c>
      <c r="G69">
        <v>83</v>
      </c>
      <c r="H69">
        <v>90</v>
      </c>
      <c r="I69">
        <v>90</v>
      </c>
      <c r="J69">
        <v>80</v>
      </c>
      <c r="K69">
        <v>86</v>
      </c>
      <c r="L69" t="s">
        <v>1435</v>
      </c>
    </row>
    <row r="70" spans="1:12" x14ac:dyDescent="0.3">
      <c r="A70" s="26">
        <v>30663401831</v>
      </c>
      <c r="B70" t="s">
        <v>643</v>
      </c>
      <c r="C70" t="s">
        <v>1472</v>
      </c>
      <c r="D70">
        <v>11</v>
      </c>
      <c r="E70">
        <v>1</v>
      </c>
      <c r="F70" t="s">
        <v>1461</v>
      </c>
      <c r="G70">
        <v>86</v>
      </c>
      <c r="H70">
        <v>114</v>
      </c>
      <c r="I70">
        <v>108</v>
      </c>
      <c r="J70">
        <v>102</v>
      </c>
      <c r="K70">
        <v>103</v>
      </c>
      <c r="L70" t="s">
        <v>1435</v>
      </c>
    </row>
    <row r="71" spans="1:12" x14ac:dyDescent="0.3">
      <c r="A71" s="26">
        <v>30663404363</v>
      </c>
      <c r="B71" t="s">
        <v>657</v>
      </c>
      <c r="C71" t="s">
        <v>1472</v>
      </c>
      <c r="D71">
        <v>11</v>
      </c>
      <c r="E71">
        <v>1</v>
      </c>
      <c r="F71" t="s">
        <v>1461</v>
      </c>
      <c r="G71">
        <v>83</v>
      </c>
      <c r="H71">
        <v>103</v>
      </c>
      <c r="I71">
        <v>108</v>
      </c>
      <c r="J71">
        <v>98</v>
      </c>
      <c r="K71">
        <v>98</v>
      </c>
      <c r="L71" t="s">
        <v>1435</v>
      </c>
    </row>
    <row r="72" spans="1:12" x14ac:dyDescent="0.3">
      <c r="A72" s="26">
        <v>30663403152</v>
      </c>
      <c r="B72" t="s">
        <v>667</v>
      </c>
      <c r="C72" t="s">
        <v>1472</v>
      </c>
      <c r="D72">
        <v>11</v>
      </c>
      <c r="E72">
        <v>1</v>
      </c>
      <c r="F72" t="s">
        <v>1461</v>
      </c>
      <c r="G72">
        <v>83</v>
      </c>
      <c r="H72">
        <v>106</v>
      </c>
      <c r="I72">
        <v>97</v>
      </c>
      <c r="J72">
        <v>98</v>
      </c>
      <c r="K72">
        <v>96</v>
      </c>
      <c r="L72" t="s">
        <v>1435</v>
      </c>
    </row>
    <row r="73" spans="1:12" x14ac:dyDescent="0.3">
      <c r="A73" s="26">
        <v>30663400652</v>
      </c>
      <c r="B73" t="s">
        <v>669</v>
      </c>
      <c r="C73" t="s">
        <v>1472</v>
      </c>
      <c r="D73">
        <v>11</v>
      </c>
      <c r="E73">
        <v>1</v>
      </c>
      <c r="F73" t="s">
        <v>1463</v>
      </c>
      <c r="G73">
        <v>80</v>
      </c>
      <c r="H73">
        <v>106</v>
      </c>
      <c r="I73">
        <v>103</v>
      </c>
      <c r="J73">
        <v>98</v>
      </c>
      <c r="K73">
        <v>97</v>
      </c>
      <c r="L73" t="s">
        <v>1435</v>
      </c>
    </row>
    <row r="74" spans="1:12" x14ac:dyDescent="0.3">
      <c r="A74" s="26">
        <v>30663401952</v>
      </c>
      <c r="B74" t="s">
        <v>652</v>
      </c>
      <c r="C74" t="s">
        <v>1472</v>
      </c>
      <c r="D74">
        <v>11</v>
      </c>
      <c r="E74">
        <v>1</v>
      </c>
      <c r="F74" t="s">
        <v>1463</v>
      </c>
      <c r="G74">
        <v>83</v>
      </c>
      <c r="H74">
        <v>106</v>
      </c>
      <c r="I74">
        <v>110</v>
      </c>
      <c r="J74">
        <v>107</v>
      </c>
      <c r="K74">
        <v>102</v>
      </c>
      <c r="L74" t="s">
        <v>1435</v>
      </c>
    </row>
    <row r="75" spans="1:12" x14ac:dyDescent="0.3">
      <c r="A75" s="26">
        <v>30663405182</v>
      </c>
      <c r="B75" t="s">
        <v>651</v>
      </c>
      <c r="C75" t="s">
        <v>1472</v>
      </c>
      <c r="D75">
        <v>11</v>
      </c>
      <c r="E75">
        <v>2</v>
      </c>
      <c r="F75" t="s">
        <v>1464</v>
      </c>
      <c r="G75">
        <v>89</v>
      </c>
      <c r="H75">
        <v>100</v>
      </c>
      <c r="I75">
        <v>92</v>
      </c>
      <c r="J75">
        <v>102</v>
      </c>
      <c r="K75">
        <v>96</v>
      </c>
      <c r="L75" t="s">
        <v>1435</v>
      </c>
    </row>
    <row r="76" spans="1:12" x14ac:dyDescent="0.3">
      <c r="A76" s="26">
        <v>30663404558</v>
      </c>
      <c r="B76" t="s">
        <v>654</v>
      </c>
      <c r="C76" t="s">
        <v>1472</v>
      </c>
      <c r="D76">
        <v>11</v>
      </c>
      <c r="E76">
        <v>2</v>
      </c>
      <c r="F76" t="s">
        <v>1464</v>
      </c>
      <c r="G76">
        <v>98</v>
      </c>
      <c r="H76">
        <v>128</v>
      </c>
      <c r="I76">
        <v>119</v>
      </c>
      <c r="J76">
        <v>95</v>
      </c>
      <c r="K76">
        <v>110</v>
      </c>
      <c r="L76" t="s">
        <v>1435</v>
      </c>
    </row>
    <row r="77" spans="1:12" x14ac:dyDescent="0.3">
      <c r="A77" s="26">
        <v>30663403964</v>
      </c>
      <c r="B77" t="s">
        <v>678</v>
      </c>
      <c r="C77" t="s">
        <v>1472</v>
      </c>
      <c r="D77">
        <v>11</v>
      </c>
      <c r="E77">
        <v>2</v>
      </c>
      <c r="F77" t="s">
        <v>1460</v>
      </c>
      <c r="G77">
        <v>90</v>
      </c>
      <c r="H77">
        <v>116</v>
      </c>
      <c r="I77">
        <v>124</v>
      </c>
      <c r="J77">
        <v>119</v>
      </c>
      <c r="K77">
        <v>112</v>
      </c>
      <c r="L77" t="s">
        <v>1435</v>
      </c>
    </row>
    <row r="78" spans="1:12" x14ac:dyDescent="0.3">
      <c r="A78" s="26">
        <v>30663401624</v>
      </c>
      <c r="B78" t="s">
        <v>672</v>
      </c>
      <c r="C78" t="s">
        <v>1472</v>
      </c>
      <c r="D78">
        <v>11</v>
      </c>
      <c r="E78">
        <v>2</v>
      </c>
      <c r="F78" t="s">
        <v>1460</v>
      </c>
      <c r="G78">
        <v>72</v>
      </c>
      <c r="H78">
        <v>103</v>
      </c>
      <c r="I78">
        <v>101</v>
      </c>
      <c r="J78">
        <v>97</v>
      </c>
      <c r="K78">
        <v>93</v>
      </c>
      <c r="L78" t="s">
        <v>1435</v>
      </c>
    </row>
    <row r="79" spans="1:12" x14ac:dyDescent="0.3">
      <c r="A79" s="26">
        <v>30663402225</v>
      </c>
      <c r="B79" t="s">
        <v>666</v>
      </c>
      <c r="C79" t="s">
        <v>1472</v>
      </c>
      <c r="D79">
        <v>11</v>
      </c>
      <c r="E79">
        <v>2</v>
      </c>
      <c r="F79" t="s">
        <v>1460</v>
      </c>
      <c r="G79">
        <v>78</v>
      </c>
      <c r="H79">
        <v>120</v>
      </c>
      <c r="I79">
        <v>99</v>
      </c>
      <c r="J79">
        <v>116</v>
      </c>
      <c r="K79">
        <v>103</v>
      </c>
      <c r="L79" t="s">
        <v>1435</v>
      </c>
    </row>
    <row r="80" spans="1:12" x14ac:dyDescent="0.3">
      <c r="A80" s="26">
        <v>30663402103</v>
      </c>
      <c r="B80" t="s">
        <v>659</v>
      </c>
      <c r="C80" t="s">
        <v>1472</v>
      </c>
      <c r="D80">
        <v>11</v>
      </c>
      <c r="E80">
        <v>2</v>
      </c>
      <c r="F80" t="s">
        <v>1464</v>
      </c>
      <c r="G80">
        <v>76</v>
      </c>
      <c r="H80">
        <v>105</v>
      </c>
      <c r="I80">
        <v>106</v>
      </c>
      <c r="J80">
        <v>72</v>
      </c>
      <c r="K80">
        <v>90</v>
      </c>
      <c r="L80" t="s">
        <v>1435</v>
      </c>
    </row>
    <row r="81" spans="1:12" x14ac:dyDescent="0.3">
      <c r="A81" s="26">
        <v>30663402230</v>
      </c>
      <c r="B81" t="s">
        <v>655</v>
      </c>
      <c r="C81" t="s">
        <v>1472</v>
      </c>
      <c r="D81">
        <v>11</v>
      </c>
      <c r="E81">
        <v>2</v>
      </c>
      <c r="F81" t="s">
        <v>1464</v>
      </c>
      <c r="G81">
        <v>78</v>
      </c>
      <c r="H81">
        <v>92</v>
      </c>
      <c r="I81">
        <v>112</v>
      </c>
      <c r="J81">
        <v>80</v>
      </c>
      <c r="K81">
        <v>91</v>
      </c>
      <c r="L81" t="s">
        <v>1435</v>
      </c>
    </row>
    <row r="82" spans="1:12" x14ac:dyDescent="0.3">
      <c r="A82" s="26">
        <v>30763400209</v>
      </c>
      <c r="B82" t="s">
        <v>665</v>
      </c>
      <c r="C82" t="s">
        <v>1472</v>
      </c>
      <c r="D82">
        <v>11</v>
      </c>
      <c r="E82">
        <v>2</v>
      </c>
      <c r="F82" t="s">
        <v>1461</v>
      </c>
      <c r="G82">
        <v>97</v>
      </c>
      <c r="H82">
        <v>114</v>
      </c>
      <c r="I82">
        <v>110</v>
      </c>
      <c r="J82">
        <v>116</v>
      </c>
      <c r="K82">
        <v>109</v>
      </c>
      <c r="L82" t="s">
        <v>1435</v>
      </c>
    </row>
    <row r="83" spans="1:12" x14ac:dyDescent="0.3">
      <c r="A83" s="26">
        <v>30663403570</v>
      </c>
      <c r="B83" t="s">
        <v>656</v>
      </c>
      <c r="C83" t="s">
        <v>1472</v>
      </c>
      <c r="D83">
        <v>11</v>
      </c>
      <c r="E83">
        <v>2</v>
      </c>
      <c r="F83" t="s">
        <v>1461</v>
      </c>
      <c r="G83">
        <v>82</v>
      </c>
      <c r="H83">
        <v>114</v>
      </c>
      <c r="I83">
        <v>105</v>
      </c>
      <c r="J83">
        <v>102</v>
      </c>
      <c r="K83">
        <v>101</v>
      </c>
      <c r="L83" t="s">
        <v>1435</v>
      </c>
    </row>
    <row r="84" spans="1:12" x14ac:dyDescent="0.3">
      <c r="A84" s="26">
        <v>30663405537</v>
      </c>
      <c r="B84" t="s">
        <v>671</v>
      </c>
      <c r="C84" t="s">
        <v>1472</v>
      </c>
      <c r="D84">
        <v>11</v>
      </c>
      <c r="E84">
        <v>2</v>
      </c>
      <c r="F84" t="s">
        <v>1463</v>
      </c>
      <c r="G84">
        <v>85</v>
      </c>
      <c r="H84">
        <v>90</v>
      </c>
      <c r="I84">
        <v>97</v>
      </c>
      <c r="J84">
        <v>111</v>
      </c>
      <c r="K84">
        <v>96</v>
      </c>
      <c r="L84" t="s">
        <v>1435</v>
      </c>
    </row>
    <row r="85" spans="1:12" x14ac:dyDescent="0.3">
      <c r="A85" s="26">
        <v>30763404744</v>
      </c>
      <c r="B85" t="s">
        <v>650</v>
      </c>
      <c r="C85" t="s">
        <v>1472</v>
      </c>
      <c r="D85">
        <v>11</v>
      </c>
      <c r="E85">
        <v>2</v>
      </c>
      <c r="F85" t="s">
        <v>1463</v>
      </c>
      <c r="G85">
        <v>78</v>
      </c>
      <c r="H85">
        <v>98</v>
      </c>
      <c r="I85">
        <v>92</v>
      </c>
      <c r="J85">
        <v>100</v>
      </c>
      <c r="K85">
        <v>92</v>
      </c>
      <c r="L85" t="s">
        <v>1435</v>
      </c>
    </row>
    <row r="86" spans="1:12" x14ac:dyDescent="0.3">
      <c r="A86" s="26">
        <v>30763402819</v>
      </c>
      <c r="B86" t="s">
        <v>648</v>
      </c>
      <c r="C86" t="s">
        <v>1472</v>
      </c>
      <c r="D86">
        <v>11</v>
      </c>
      <c r="E86">
        <v>2</v>
      </c>
      <c r="F86" t="s">
        <v>1463</v>
      </c>
      <c r="G86">
        <v>86</v>
      </c>
      <c r="H86">
        <v>103</v>
      </c>
      <c r="I86">
        <v>108</v>
      </c>
      <c r="J86">
        <v>104</v>
      </c>
      <c r="K86">
        <v>100</v>
      </c>
      <c r="L86" t="s">
        <v>1435</v>
      </c>
    </row>
    <row r="87" spans="1:12" x14ac:dyDescent="0.3">
      <c r="A87" s="26">
        <v>30763400870</v>
      </c>
      <c r="B87" t="s">
        <v>660</v>
      </c>
      <c r="C87" t="s">
        <v>1472</v>
      </c>
      <c r="D87">
        <v>11</v>
      </c>
      <c r="E87">
        <v>2</v>
      </c>
      <c r="F87" t="s">
        <v>1463</v>
      </c>
      <c r="G87">
        <v>75</v>
      </c>
      <c r="H87">
        <v>118</v>
      </c>
      <c r="I87">
        <v>95</v>
      </c>
      <c r="J87">
        <v>102</v>
      </c>
      <c r="K87">
        <v>98</v>
      </c>
      <c r="L87" t="s">
        <v>1435</v>
      </c>
    </row>
    <row r="88" spans="1:12" x14ac:dyDescent="0.3">
      <c r="A88" s="26">
        <v>30663404255</v>
      </c>
      <c r="B88" t="s">
        <v>682</v>
      </c>
      <c r="C88" t="s">
        <v>1472</v>
      </c>
      <c r="D88">
        <v>11</v>
      </c>
      <c r="E88">
        <v>3</v>
      </c>
      <c r="F88" t="s">
        <v>1464</v>
      </c>
      <c r="G88">
        <v>86</v>
      </c>
      <c r="H88">
        <v>112</v>
      </c>
      <c r="I88">
        <v>117</v>
      </c>
      <c r="J88">
        <v>95</v>
      </c>
      <c r="K88">
        <v>103</v>
      </c>
      <c r="L88" t="s">
        <v>1435</v>
      </c>
    </row>
    <row r="89" spans="1:12" x14ac:dyDescent="0.3">
      <c r="A89" s="26">
        <v>30763402395</v>
      </c>
      <c r="B89" t="s">
        <v>676</v>
      </c>
      <c r="C89" t="s">
        <v>1472</v>
      </c>
      <c r="D89">
        <v>11</v>
      </c>
      <c r="E89">
        <v>3</v>
      </c>
      <c r="F89" t="s">
        <v>1464</v>
      </c>
      <c r="G89">
        <v>92</v>
      </c>
      <c r="H89">
        <v>105</v>
      </c>
      <c r="I89">
        <v>103</v>
      </c>
      <c r="J89">
        <v>93</v>
      </c>
      <c r="K89">
        <v>98</v>
      </c>
      <c r="L89" t="s">
        <v>1435</v>
      </c>
    </row>
    <row r="90" spans="1:12" x14ac:dyDescent="0.3">
      <c r="A90" s="26">
        <v>30663406454</v>
      </c>
      <c r="B90" t="s">
        <v>683</v>
      </c>
      <c r="C90" t="s">
        <v>1472</v>
      </c>
      <c r="D90">
        <v>11</v>
      </c>
      <c r="E90">
        <v>3</v>
      </c>
      <c r="F90" t="s">
        <v>1464</v>
      </c>
      <c r="G90">
        <v>86</v>
      </c>
      <c r="H90">
        <v>104</v>
      </c>
      <c r="I90">
        <v>114</v>
      </c>
      <c r="J90">
        <v>95</v>
      </c>
      <c r="K90">
        <v>100</v>
      </c>
      <c r="L90" t="s">
        <v>1435</v>
      </c>
    </row>
    <row r="91" spans="1:12" x14ac:dyDescent="0.3">
      <c r="A91" s="26">
        <v>30663406351</v>
      </c>
      <c r="B91" t="s">
        <v>686</v>
      </c>
      <c r="C91" t="s">
        <v>1472</v>
      </c>
      <c r="D91">
        <v>11</v>
      </c>
      <c r="E91">
        <v>3</v>
      </c>
      <c r="F91" t="s">
        <v>1464</v>
      </c>
      <c r="G91">
        <v>114</v>
      </c>
      <c r="H91">
        <v>94</v>
      </c>
      <c r="I91">
        <v>106</v>
      </c>
      <c r="J91">
        <v>111</v>
      </c>
      <c r="K91">
        <v>106</v>
      </c>
      <c r="L91" t="s">
        <v>1435</v>
      </c>
    </row>
    <row r="92" spans="1:12" x14ac:dyDescent="0.3">
      <c r="A92" s="26">
        <v>30663404607</v>
      </c>
      <c r="B92" t="s">
        <v>674</v>
      </c>
      <c r="C92" t="s">
        <v>1472</v>
      </c>
      <c r="D92">
        <v>11</v>
      </c>
      <c r="E92">
        <v>3</v>
      </c>
      <c r="F92" t="s">
        <v>1460</v>
      </c>
      <c r="G92">
        <v>68</v>
      </c>
      <c r="H92">
        <v>87</v>
      </c>
      <c r="I92">
        <v>103</v>
      </c>
      <c r="J92">
        <v>98</v>
      </c>
      <c r="K92">
        <v>89</v>
      </c>
      <c r="L92" t="s">
        <v>1435</v>
      </c>
    </row>
    <row r="93" spans="1:12" x14ac:dyDescent="0.3">
      <c r="A93" s="26">
        <v>30663406800</v>
      </c>
      <c r="B93" t="s">
        <v>685</v>
      </c>
      <c r="C93" t="s">
        <v>1472</v>
      </c>
      <c r="D93">
        <v>11</v>
      </c>
      <c r="E93">
        <v>3</v>
      </c>
      <c r="F93" t="s">
        <v>1460</v>
      </c>
      <c r="G93">
        <v>80</v>
      </c>
      <c r="H93">
        <v>122</v>
      </c>
      <c r="I93">
        <v>112</v>
      </c>
      <c r="J93">
        <v>119</v>
      </c>
      <c r="K93">
        <v>108</v>
      </c>
      <c r="L93" t="s">
        <v>1435</v>
      </c>
    </row>
    <row r="94" spans="1:12" x14ac:dyDescent="0.3">
      <c r="A94" s="26">
        <v>30663402208</v>
      </c>
      <c r="B94" t="s">
        <v>681</v>
      </c>
      <c r="C94" t="s">
        <v>1472</v>
      </c>
      <c r="D94">
        <v>11</v>
      </c>
      <c r="E94">
        <v>3</v>
      </c>
      <c r="F94" t="s">
        <v>1460</v>
      </c>
      <c r="G94">
        <v>78</v>
      </c>
      <c r="H94">
        <v>92</v>
      </c>
      <c r="I94">
        <v>108</v>
      </c>
      <c r="J94">
        <v>112</v>
      </c>
      <c r="K94">
        <v>98</v>
      </c>
      <c r="L94" t="s">
        <v>1435</v>
      </c>
    </row>
    <row r="95" spans="1:12" x14ac:dyDescent="0.3">
      <c r="A95" s="26">
        <v>30663403590</v>
      </c>
      <c r="B95" t="s">
        <v>1168</v>
      </c>
      <c r="C95" t="s">
        <v>1472</v>
      </c>
      <c r="D95">
        <v>11</v>
      </c>
      <c r="E95">
        <v>3</v>
      </c>
      <c r="F95" t="s">
        <v>1460</v>
      </c>
      <c r="G95">
        <v>72</v>
      </c>
      <c r="H95">
        <v>103</v>
      </c>
      <c r="I95">
        <v>101</v>
      </c>
      <c r="J95">
        <v>97</v>
      </c>
      <c r="K95">
        <v>90</v>
      </c>
      <c r="L95" t="s">
        <v>1435</v>
      </c>
    </row>
    <row r="96" spans="1:12" x14ac:dyDescent="0.3">
      <c r="A96" s="26">
        <v>30763406225</v>
      </c>
      <c r="B96" t="s">
        <v>675</v>
      </c>
      <c r="C96" t="s">
        <v>1472</v>
      </c>
      <c r="D96">
        <v>11</v>
      </c>
      <c r="E96">
        <v>3</v>
      </c>
      <c r="F96" t="s">
        <v>1461</v>
      </c>
      <c r="G96">
        <v>83</v>
      </c>
      <c r="H96">
        <v>103</v>
      </c>
      <c r="I96">
        <v>106</v>
      </c>
      <c r="J96">
        <v>97</v>
      </c>
      <c r="K96">
        <v>97</v>
      </c>
      <c r="L96" t="s">
        <v>1435</v>
      </c>
    </row>
    <row r="97" spans="1:12" x14ac:dyDescent="0.3">
      <c r="A97" s="26">
        <v>30663403372</v>
      </c>
      <c r="B97" t="s">
        <v>679</v>
      </c>
      <c r="C97" t="s">
        <v>1472</v>
      </c>
      <c r="D97">
        <v>11</v>
      </c>
      <c r="E97">
        <v>3</v>
      </c>
      <c r="F97" t="s">
        <v>1461</v>
      </c>
      <c r="G97">
        <v>92</v>
      </c>
      <c r="H97">
        <v>103</v>
      </c>
      <c r="I97">
        <v>90</v>
      </c>
      <c r="J97">
        <v>107</v>
      </c>
      <c r="K97">
        <v>98</v>
      </c>
      <c r="L97" t="s">
        <v>1435</v>
      </c>
    </row>
    <row r="98" spans="1:12" x14ac:dyDescent="0.3">
      <c r="A98" s="26">
        <v>30663403535</v>
      </c>
      <c r="B98" t="s">
        <v>677</v>
      </c>
      <c r="C98" t="s">
        <v>1472</v>
      </c>
      <c r="D98">
        <v>11</v>
      </c>
      <c r="E98">
        <v>3</v>
      </c>
      <c r="F98" t="s">
        <v>1461</v>
      </c>
      <c r="G98">
        <v>102</v>
      </c>
      <c r="H98">
        <v>108</v>
      </c>
      <c r="I98">
        <v>101</v>
      </c>
      <c r="J98">
        <v>114</v>
      </c>
      <c r="K98">
        <v>106</v>
      </c>
      <c r="L98" t="s">
        <v>1435</v>
      </c>
    </row>
    <row r="99" spans="1:12" x14ac:dyDescent="0.3">
      <c r="A99" s="26">
        <v>30663400979</v>
      </c>
      <c r="B99" t="s">
        <v>680</v>
      </c>
      <c r="C99" t="s">
        <v>1472</v>
      </c>
      <c r="D99">
        <v>11</v>
      </c>
      <c r="E99">
        <v>3</v>
      </c>
      <c r="F99" t="s">
        <v>1461</v>
      </c>
      <c r="G99">
        <v>83</v>
      </c>
      <c r="H99">
        <v>118</v>
      </c>
      <c r="I99">
        <v>121</v>
      </c>
      <c r="J99">
        <v>98</v>
      </c>
      <c r="K99">
        <v>105</v>
      </c>
      <c r="L99" t="s">
        <v>1435</v>
      </c>
    </row>
    <row r="100" spans="1:12" x14ac:dyDescent="0.3">
      <c r="A100" s="26">
        <v>30763402649</v>
      </c>
      <c r="B100" t="s">
        <v>1165</v>
      </c>
      <c r="C100" t="s">
        <v>1472</v>
      </c>
      <c r="D100">
        <v>11</v>
      </c>
      <c r="E100">
        <v>3</v>
      </c>
      <c r="F100" t="s">
        <v>1463</v>
      </c>
      <c r="G100">
        <v>102</v>
      </c>
      <c r="H100">
        <v>106</v>
      </c>
      <c r="I100">
        <v>117</v>
      </c>
      <c r="J100">
        <v>121</v>
      </c>
      <c r="K100">
        <v>121</v>
      </c>
      <c r="L100" t="s">
        <v>1435</v>
      </c>
    </row>
    <row r="101" spans="1:12" x14ac:dyDescent="0.3">
      <c r="A101" s="26">
        <v>30763401922</v>
      </c>
      <c r="B101" t="s">
        <v>699</v>
      </c>
      <c r="C101" t="s">
        <v>1472</v>
      </c>
      <c r="D101">
        <v>11</v>
      </c>
      <c r="E101">
        <v>4</v>
      </c>
      <c r="F101" t="s">
        <v>1464</v>
      </c>
      <c r="G101">
        <v>97</v>
      </c>
      <c r="H101">
        <v>94</v>
      </c>
      <c r="I101">
        <v>86</v>
      </c>
      <c r="J101">
        <v>100</v>
      </c>
      <c r="K101">
        <v>94</v>
      </c>
      <c r="L101" t="s">
        <v>1435</v>
      </c>
    </row>
    <row r="102" spans="1:12" x14ac:dyDescent="0.3">
      <c r="A102" s="26">
        <v>30663405115</v>
      </c>
      <c r="B102" t="s">
        <v>689</v>
      </c>
      <c r="C102" t="s">
        <v>1472</v>
      </c>
      <c r="D102">
        <v>11</v>
      </c>
      <c r="E102">
        <v>4</v>
      </c>
      <c r="F102" t="s">
        <v>1464</v>
      </c>
      <c r="G102">
        <v>89</v>
      </c>
      <c r="H102">
        <v>94</v>
      </c>
      <c r="I102">
        <v>97</v>
      </c>
      <c r="J102">
        <v>86</v>
      </c>
      <c r="K102">
        <v>92</v>
      </c>
      <c r="L102" t="s">
        <v>1435</v>
      </c>
    </row>
    <row r="103" spans="1:12" x14ac:dyDescent="0.3">
      <c r="A103" s="26">
        <v>30663404928</v>
      </c>
      <c r="B103" t="s">
        <v>663</v>
      </c>
      <c r="C103" t="s">
        <v>1472</v>
      </c>
      <c r="D103">
        <v>11</v>
      </c>
      <c r="E103">
        <v>4</v>
      </c>
      <c r="F103" t="s">
        <v>1464</v>
      </c>
      <c r="G103">
        <v>95</v>
      </c>
      <c r="H103">
        <v>100</v>
      </c>
      <c r="I103">
        <v>110</v>
      </c>
      <c r="J103">
        <v>97</v>
      </c>
      <c r="K103">
        <v>101</v>
      </c>
      <c r="L103" t="s">
        <v>1435</v>
      </c>
    </row>
    <row r="104" spans="1:12" x14ac:dyDescent="0.3">
      <c r="A104" s="26">
        <v>30663404801</v>
      </c>
      <c r="B104" t="s">
        <v>661</v>
      </c>
      <c r="C104" t="s">
        <v>1472</v>
      </c>
      <c r="D104">
        <v>11</v>
      </c>
      <c r="E104">
        <v>4</v>
      </c>
      <c r="F104" t="s">
        <v>1464</v>
      </c>
      <c r="G104">
        <v>82</v>
      </c>
      <c r="H104">
        <v>103</v>
      </c>
      <c r="I104">
        <v>88</v>
      </c>
      <c r="J104">
        <v>95</v>
      </c>
      <c r="K104">
        <v>92</v>
      </c>
      <c r="L104" t="s">
        <v>1435</v>
      </c>
    </row>
    <row r="105" spans="1:12" x14ac:dyDescent="0.3">
      <c r="A105" s="26">
        <v>30663403257</v>
      </c>
      <c r="B105" t="s">
        <v>1473</v>
      </c>
      <c r="C105" t="s">
        <v>1472</v>
      </c>
      <c r="D105">
        <v>11</v>
      </c>
      <c r="E105">
        <v>4</v>
      </c>
      <c r="F105" t="s">
        <v>1460</v>
      </c>
      <c r="G105">
        <v>65</v>
      </c>
      <c r="H105">
        <v>110</v>
      </c>
      <c r="I105">
        <v>108</v>
      </c>
      <c r="J105">
        <v>105</v>
      </c>
      <c r="K105">
        <v>97</v>
      </c>
      <c r="L105" t="s">
        <v>1435</v>
      </c>
    </row>
    <row r="106" spans="1:12" x14ac:dyDescent="0.3">
      <c r="A106" s="26">
        <v>30663401892</v>
      </c>
      <c r="B106" t="s">
        <v>698</v>
      </c>
      <c r="C106" t="s">
        <v>1472</v>
      </c>
      <c r="D106">
        <v>11</v>
      </c>
      <c r="E106">
        <v>4</v>
      </c>
      <c r="F106" t="s">
        <v>1460</v>
      </c>
      <c r="G106">
        <v>80</v>
      </c>
      <c r="H106">
        <v>116</v>
      </c>
      <c r="I106">
        <v>110</v>
      </c>
      <c r="J106">
        <v>111</v>
      </c>
      <c r="K106">
        <v>104</v>
      </c>
      <c r="L106" t="s">
        <v>1435</v>
      </c>
    </row>
    <row r="107" spans="1:12" x14ac:dyDescent="0.3">
      <c r="A107" s="26">
        <v>30763405516</v>
      </c>
      <c r="B107" t="s">
        <v>668</v>
      </c>
      <c r="C107" t="s">
        <v>1472</v>
      </c>
      <c r="D107">
        <v>11</v>
      </c>
      <c r="E107">
        <v>4</v>
      </c>
      <c r="F107" t="s">
        <v>1460</v>
      </c>
      <c r="G107">
        <v>85</v>
      </c>
      <c r="H107">
        <v>105</v>
      </c>
      <c r="I107">
        <v>112</v>
      </c>
      <c r="J107">
        <v>112</v>
      </c>
      <c r="K107">
        <v>104</v>
      </c>
      <c r="L107" t="s">
        <v>1435</v>
      </c>
    </row>
    <row r="108" spans="1:12" x14ac:dyDescent="0.3">
      <c r="A108" s="26">
        <v>30663405371</v>
      </c>
      <c r="B108" t="s">
        <v>701</v>
      </c>
      <c r="C108" t="s">
        <v>1472</v>
      </c>
      <c r="D108">
        <v>11</v>
      </c>
      <c r="E108">
        <v>4</v>
      </c>
      <c r="F108" t="s">
        <v>1460</v>
      </c>
      <c r="G108">
        <v>78</v>
      </c>
      <c r="H108">
        <v>108</v>
      </c>
      <c r="I108">
        <v>105</v>
      </c>
      <c r="J108">
        <v>117</v>
      </c>
      <c r="K108">
        <v>102</v>
      </c>
      <c r="L108" t="s">
        <v>1435</v>
      </c>
    </row>
    <row r="109" spans="1:12" x14ac:dyDescent="0.3">
      <c r="A109" s="26">
        <v>30663402490</v>
      </c>
      <c r="B109" t="s">
        <v>692</v>
      </c>
      <c r="C109" t="s">
        <v>1472</v>
      </c>
      <c r="D109">
        <v>11</v>
      </c>
      <c r="E109">
        <v>4</v>
      </c>
      <c r="F109" t="s">
        <v>1460</v>
      </c>
      <c r="G109">
        <v>90</v>
      </c>
      <c r="H109">
        <v>101</v>
      </c>
      <c r="I109">
        <v>105</v>
      </c>
      <c r="J109">
        <v>121</v>
      </c>
      <c r="K109">
        <v>104</v>
      </c>
      <c r="L109" t="s">
        <v>1435</v>
      </c>
    </row>
    <row r="110" spans="1:12" x14ac:dyDescent="0.3">
      <c r="A110" s="26">
        <v>30763403974</v>
      </c>
      <c r="B110" t="s">
        <v>690</v>
      </c>
      <c r="C110" t="s">
        <v>1472</v>
      </c>
      <c r="D110">
        <v>11</v>
      </c>
      <c r="E110">
        <v>4</v>
      </c>
      <c r="F110" t="s">
        <v>1460</v>
      </c>
      <c r="G110">
        <v>82</v>
      </c>
      <c r="H110">
        <v>105</v>
      </c>
      <c r="I110">
        <v>110</v>
      </c>
      <c r="J110">
        <v>116</v>
      </c>
      <c r="K110">
        <v>103</v>
      </c>
      <c r="L110" t="s">
        <v>1435</v>
      </c>
    </row>
    <row r="111" spans="1:12" x14ac:dyDescent="0.3">
      <c r="A111" s="26">
        <v>30763401237</v>
      </c>
      <c r="B111" t="s">
        <v>694</v>
      </c>
      <c r="C111" t="s">
        <v>1472</v>
      </c>
      <c r="D111">
        <v>11</v>
      </c>
      <c r="E111">
        <v>4</v>
      </c>
      <c r="F111" t="s">
        <v>1464</v>
      </c>
      <c r="G111">
        <v>76</v>
      </c>
      <c r="H111">
        <v>94</v>
      </c>
      <c r="I111">
        <v>90</v>
      </c>
      <c r="J111">
        <v>86</v>
      </c>
      <c r="K111">
        <v>87</v>
      </c>
      <c r="L111" t="s">
        <v>1435</v>
      </c>
    </row>
    <row r="112" spans="1:12" x14ac:dyDescent="0.3">
      <c r="A112" s="26">
        <v>30663405389</v>
      </c>
      <c r="B112" t="s">
        <v>695</v>
      </c>
      <c r="C112" t="s">
        <v>1472</v>
      </c>
      <c r="D112">
        <v>11</v>
      </c>
      <c r="E112">
        <v>4</v>
      </c>
      <c r="F112" t="s">
        <v>1461</v>
      </c>
      <c r="G112">
        <v>82</v>
      </c>
      <c r="H112">
        <v>106</v>
      </c>
      <c r="I112">
        <v>116</v>
      </c>
      <c r="J112">
        <v>98</v>
      </c>
      <c r="K112">
        <v>101</v>
      </c>
      <c r="L112" t="s">
        <v>1435</v>
      </c>
    </row>
    <row r="113" spans="1:12" x14ac:dyDescent="0.3">
      <c r="A113" s="26">
        <v>30663405734</v>
      </c>
      <c r="B113" t="s">
        <v>673</v>
      </c>
      <c r="C113" t="s">
        <v>1472</v>
      </c>
      <c r="D113">
        <v>11</v>
      </c>
      <c r="E113">
        <v>4</v>
      </c>
      <c r="F113" t="s">
        <v>1461</v>
      </c>
      <c r="G113">
        <v>83</v>
      </c>
      <c r="H113">
        <v>87</v>
      </c>
      <c r="I113">
        <v>101</v>
      </c>
      <c r="J113">
        <v>98</v>
      </c>
      <c r="K113">
        <v>92</v>
      </c>
      <c r="L113" t="s">
        <v>1435</v>
      </c>
    </row>
    <row r="114" spans="1:12" x14ac:dyDescent="0.3">
      <c r="A114" s="26">
        <v>30663406434</v>
      </c>
      <c r="B114" t="s">
        <v>691</v>
      </c>
      <c r="C114" t="s">
        <v>1472</v>
      </c>
      <c r="D114">
        <v>11</v>
      </c>
      <c r="E114">
        <v>4</v>
      </c>
      <c r="F114" t="s">
        <v>1461</v>
      </c>
      <c r="G114">
        <v>78</v>
      </c>
      <c r="H114">
        <v>110</v>
      </c>
      <c r="I114">
        <v>88</v>
      </c>
      <c r="J114">
        <v>93</v>
      </c>
      <c r="K114">
        <v>92</v>
      </c>
      <c r="L114" t="s">
        <v>1435</v>
      </c>
    </row>
    <row r="115" spans="1:12" x14ac:dyDescent="0.3">
      <c r="A115" s="26">
        <v>30763401485</v>
      </c>
      <c r="B115" t="s">
        <v>696</v>
      </c>
      <c r="C115" t="s">
        <v>1472</v>
      </c>
      <c r="D115">
        <v>11</v>
      </c>
      <c r="E115">
        <v>4</v>
      </c>
      <c r="F115" t="s">
        <v>1463</v>
      </c>
      <c r="G115">
        <v>94</v>
      </c>
      <c r="H115">
        <v>128</v>
      </c>
      <c r="I115">
        <v>129</v>
      </c>
      <c r="J115">
        <v>116</v>
      </c>
      <c r="K115">
        <v>117</v>
      </c>
      <c r="L115" t="s">
        <v>1435</v>
      </c>
    </row>
    <row r="116" spans="1:12" x14ac:dyDescent="0.3">
      <c r="A116" s="26">
        <v>30663403612</v>
      </c>
      <c r="B116" t="s">
        <v>1474</v>
      </c>
      <c r="C116" t="s">
        <v>1472</v>
      </c>
      <c r="D116">
        <v>11</v>
      </c>
      <c r="E116">
        <v>4</v>
      </c>
      <c r="F116" t="s">
        <v>1463</v>
      </c>
      <c r="G116">
        <v>70</v>
      </c>
      <c r="H116">
        <v>96</v>
      </c>
      <c r="I116">
        <v>105</v>
      </c>
      <c r="J116">
        <v>90</v>
      </c>
      <c r="K116">
        <v>90</v>
      </c>
      <c r="L116" t="s">
        <v>1435</v>
      </c>
    </row>
    <row r="117" spans="1:12" x14ac:dyDescent="0.3">
      <c r="A117" s="26">
        <v>30763403530</v>
      </c>
      <c r="B117" t="s">
        <v>700</v>
      </c>
      <c r="C117" t="s">
        <v>1472</v>
      </c>
      <c r="D117">
        <v>11</v>
      </c>
      <c r="E117">
        <v>4</v>
      </c>
      <c r="F117" t="s">
        <v>1463</v>
      </c>
      <c r="G117">
        <v>76</v>
      </c>
      <c r="H117">
        <v>100</v>
      </c>
      <c r="I117">
        <v>101</v>
      </c>
      <c r="J117">
        <v>97</v>
      </c>
      <c r="K117">
        <v>94</v>
      </c>
      <c r="L117" t="s">
        <v>1435</v>
      </c>
    </row>
    <row r="118" spans="1:12" x14ac:dyDescent="0.3">
      <c r="A118" s="26">
        <v>30663400332</v>
      </c>
      <c r="B118" t="s">
        <v>662</v>
      </c>
      <c r="C118" t="s">
        <v>1472</v>
      </c>
      <c r="D118">
        <v>11</v>
      </c>
      <c r="E118">
        <v>4</v>
      </c>
      <c r="F118" t="s">
        <v>1463</v>
      </c>
      <c r="G118">
        <v>76</v>
      </c>
      <c r="H118">
        <v>103</v>
      </c>
      <c r="I118">
        <v>90</v>
      </c>
      <c r="J118">
        <v>97</v>
      </c>
      <c r="K118">
        <v>92</v>
      </c>
      <c r="L118" t="s">
        <v>1435</v>
      </c>
    </row>
    <row r="119" spans="1:12" x14ac:dyDescent="0.3">
      <c r="A119" s="26">
        <v>30663401514</v>
      </c>
      <c r="B119" t="s">
        <v>702</v>
      </c>
      <c r="C119" t="s">
        <v>1472</v>
      </c>
      <c r="D119">
        <v>11</v>
      </c>
      <c r="E119">
        <v>4</v>
      </c>
      <c r="F119" t="s">
        <v>1463</v>
      </c>
      <c r="G119">
        <v>85</v>
      </c>
      <c r="H119">
        <v>120</v>
      </c>
      <c r="I119">
        <v>105</v>
      </c>
      <c r="J119">
        <v>107</v>
      </c>
      <c r="K119">
        <v>104</v>
      </c>
      <c r="L119" t="s">
        <v>1435</v>
      </c>
    </row>
    <row r="120" spans="1:12" x14ac:dyDescent="0.3">
      <c r="A120" s="26">
        <v>30663405286</v>
      </c>
      <c r="B120" t="s">
        <v>693</v>
      </c>
      <c r="C120" t="s">
        <v>1472</v>
      </c>
      <c r="D120">
        <v>11</v>
      </c>
      <c r="E120">
        <v>4</v>
      </c>
      <c r="F120" t="s">
        <v>1463</v>
      </c>
      <c r="G120">
        <v>82</v>
      </c>
      <c r="H120">
        <v>105</v>
      </c>
      <c r="I120">
        <v>121</v>
      </c>
      <c r="J120">
        <v>105</v>
      </c>
      <c r="K120">
        <v>103</v>
      </c>
      <c r="L120" t="s">
        <v>1435</v>
      </c>
    </row>
    <row r="121" spans="1:12" x14ac:dyDescent="0.3">
      <c r="A121" s="26">
        <v>30563400001</v>
      </c>
      <c r="B121" t="s">
        <v>1475</v>
      </c>
      <c r="C121" t="s">
        <v>1476</v>
      </c>
      <c r="D121">
        <v>12</v>
      </c>
      <c r="E121">
        <v>1</v>
      </c>
      <c r="F121" t="s">
        <v>1460</v>
      </c>
      <c r="G121">
        <v>75</v>
      </c>
      <c r="H121">
        <v>112</v>
      </c>
      <c r="I121">
        <v>121</v>
      </c>
      <c r="J121">
        <v>118</v>
      </c>
      <c r="K121">
        <v>107</v>
      </c>
      <c r="L121" t="s">
        <v>1435</v>
      </c>
    </row>
    <row r="122" spans="1:12" x14ac:dyDescent="0.3">
      <c r="A122" s="26">
        <v>30563400581</v>
      </c>
      <c r="B122" t="s">
        <v>1477</v>
      </c>
      <c r="C122" t="s">
        <v>1476</v>
      </c>
      <c r="D122">
        <v>12</v>
      </c>
      <c r="E122">
        <v>1</v>
      </c>
      <c r="F122" t="s">
        <v>1460</v>
      </c>
      <c r="G122">
        <v>74</v>
      </c>
      <c r="H122">
        <v>127</v>
      </c>
      <c r="I122">
        <v>135</v>
      </c>
      <c r="J122">
        <v>111</v>
      </c>
      <c r="K122">
        <v>112</v>
      </c>
      <c r="L122" t="s">
        <v>1435</v>
      </c>
    </row>
    <row r="123" spans="1:12" x14ac:dyDescent="0.3">
      <c r="A123" s="26">
        <v>30563402803</v>
      </c>
      <c r="B123" t="s">
        <v>1478</v>
      </c>
      <c r="C123" t="s">
        <v>1476</v>
      </c>
      <c r="D123">
        <v>12</v>
      </c>
      <c r="E123">
        <v>1</v>
      </c>
      <c r="F123" t="s">
        <v>1460</v>
      </c>
      <c r="G123">
        <v>75</v>
      </c>
      <c r="H123">
        <v>114</v>
      </c>
      <c r="I123">
        <v>98</v>
      </c>
      <c r="J123">
        <v>116</v>
      </c>
      <c r="K123">
        <v>101</v>
      </c>
      <c r="L123" t="s">
        <v>1435</v>
      </c>
    </row>
    <row r="124" spans="1:12" x14ac:dyDescent="0.3">
      <c r="A124" s="26">
        <v>30563405358</v>
      </c>
      <c r="B124" t="s">
        <v>1479</v>
      </c>
      <c r="C124" t="s">
        <v>1476</v>
      </c>
      <c r="D124">
        <v>12</v>
      </c>
      <c r="E124">
        <v>1</v>
      </c>
      <c r="F124" t="s">
        <v>1460</v>
      </c>
      <c r="G124">
        <v>91</v>
      </c>
      <c r="H124">
        <v>112</v>
      </c>
      <c r="I124">
        <v>107</v>
      </c>
      <c r="J124">
        <v>122</v>
      </c>
      <c r="K124">
        <v>108</v>
      </c>
      <c r="L124" t="s">
        <v>1435</v>
      </c>
    </row>
    <row r="125" spans="1:12" x14ac:dyDescent="0.3">
      <c r="A125" s="26">
        <v>30563405656</v>
      </c>
      <c r="B125" t="s">
        <v>1480</v>
      </c>
      <c r="C125" t="s">
        <v>1476</v>
      </c>
      <c r="D125">
        <v>12</v>
      </c>
      <c r="E125">
        <v>1</v>
      </c>
      <c r="F125" t="s">
        <v>1461</v>
      </c>
      <c r="G125">
        <v>75</v>
      </c>
      <c r="H125">
        <v>122</v>
      </c>
      <c r="I125">
        <v>93</v>
      </c>
      <c r="J125">
        <v>92</v>
      </c>
      <c r="K125">
        <v>96</v>
      </c>
      <c r="L125" t="s">
        <v>1435</v>
      </c>
    </row>
    <row r="126" spans="1:12" x14ac:dyDescent="0.3">
      <c r="A126" s="26">
        <v>30563405476</v>
      </c>
      <c r="B126" t="s">
        <v>1481</v>
      </c>
      <c r="C126" t="s">
        <v>1476</v>
      </c>
      <c r="D126">
        <v>12</v>
      </c>
      <c r="E126">
        <v>1</v>
      </c>
      <c r="F126" t="s">
        <v>1461</v>
      </c>
      <c r="G126">
        <v>93</v>
      </c>
      <c r="H126">
        <v>111</v>
      </c>
      <c r="I126">
        <v>109</v>
      </c>
      <c r="J126">
        <v>104</v>
      </c>
      <c r="K126">
        <v>104</v>
      </c>
      <c r="L126" t="s">
        <v>1435</v>
      </c>
    </row>
    <row r="127" spans="1:12" x14ac:dyDescent="0.3">
      <c r="A127" s="26">
        <v>30563404818</v>
      </c>
      <c r="B127" t="s">
        <v>1482</v>
      </c>
      <c r="C127" t="s">
        <v>1476</v>
      </c>
      <c r="D127">
        <v>12</v>
      </c>
      <c r="E127">
        <v>1</v>
      </c>
      <c r="F127" t="s">
        <v>1467</v>
      </c>
      <c r="G127">
        <v>104</v>
      </c>
      <c r="H127">
        <v>95</v>
      </c>
      <c r="I127">
        <v>102</v>
      </c>
      <c r="J127">
        <v>96</v>
      </c>
      <c r="K127">
        <v>99</v>
      </c>
      <c r="L127" t="s">
        <v>1435</v>
      </c>
    </row>
    <row r="128" spans="1:12" x14ac:dyDescent="0.3">
      <c r="A128" s="26">
        <v>30563405617</v>
      </c>
      <c r="B128" t="s">
        <v>1483</v>
      </c>
      <c r="C128" t="s">
        <v>1476</v>
      </c>
      <c r="D128">
        <v>12</v>
      </c>
      <c r="E128">
        <v>1</v>
      </c>
      <c r="F128" t="s">
        <v>1463</v>
      </c>
      <c r="G128">
        <v>86</v>
      </c>
      <c r="H128">
        <v>116</v>
      </c>
      <c r="I128">
        <v>111</v>
      </c>
      <c r="J128">
        <v>107</v>
      </c>
      <c r="K128">
        <v>105</v>
      </c>
      <c r="L128" t="s">
        <v>1435</v>
      </c>
    </row>
    <row r="129" spans="1:12" x14ac:dyDescent="0.3">
      <c r="A129" s="26">
        <v>30663401667</v>
      </c>
      <c r="B129" t="s">
        <v>1484</v>
      </c>
      <c r="C129" t="s">
        <v>1476</v>
      </c>
      <c r="D129">
        <v>12</v>
      </c>
      <c r="E129">
        <v>1</v>
      </c>
      <c r="F129" t="s">
        <v>1463</v>
      </c>
      <c r="G129">
        <v>69</v>
      </c>
      <c r="H129">
        <v>106</v>
      </c>
      <c r="I129">
        <v>102</v>
      </c>
      <c r="J129">
        <v>94</v>
      </c>
      <c r="K129">
        <v>93</v>
      </c>
      <c r="L129" t="s">
        <v>1435</v>
      </c>
    </row>
    <row r="130" spans="1:12" x14ac:dyDescent="0.3">
      <c r="A130" s="26">
        <v>30663404073</v>
      </c>
      <c r="B130" t="s">
        <v>1485</v>
      </c>
      <c r="C130" t="s">
        <v>1476</v>
      </c>
      <c r="D130">
        <v>12</v>
      </c>
      <c r="E130">
        <v>1</v>
      </c>
      <c r="F130" t="s">
        <v>1463</v>
      </c>
      <c r="G130">
        <v>83</v>
      </c>
      <c r="H130">
        <v>118</v>
      </c>
      <c r="I130">
        <v>106</v>
      </c>
      <c r="J130">
        <v>106</v>
      </c>
      <c r="K130">
        <v>103</v>
      </c>
      <c r="L130" t="s">
        <v>1435</v>
      </c>
    </row>
    <row r="131" spans="1:12" x14ac:dyDescent="0.3">
      <c r="A131" s="26">
        <v>30563401334</v>
      </c>
      <c r="B131" t="s">
        <v>1486</v>
      </c>
      <c r="C131" t="s">
        <v>1476</v>
      </c>
      <c r="D131">
        <v>12</v>
      </c>
      <c r="E131">
        <v>1</v>
      </c>
      <c r="F131" t="s">
        <v>1463</v>
      </c>
      <c r="G131">
        <v>75</v>
      </c>
      <c r="H131">
        <v>116</v>
      </c>
      <c r="I131">
        <v>91</v>
      </c>
      <c r="J131">
        <v>102</v>
      </c>
      <c r="K131">
        <v>96</v>
      </c>
      <c r="L131" t="s">
        <v>1435</v>
      </c>
    </row>
    <row r="132" spans="1:12" x14ac:dyDescent="0.3">
      <c r="A132" s="26">
        <v>30563403466</v>
      </c>
      <c r="B132" t="s">
        <v>1487</v>
      </c>
      <c r="C132" t="s">
        <v>1476</v>
      </c>
      <c r="D132">
        <v>12</v>
      </c>
      <c r="E132">
        <v>1</v>
      </c>
      <c r="F132" t="s">
        <v>1464</v>
      </c>
      <c r="G132">
        <v>85</v>
      </c>
      <c r="H132">
        <v>101</v>
      </c>
      <c r="I132">
        <v>93</v>
      </c>
      <c r="J132">
        <v>94</v>
      </c>
      <c r="K132">
        <v>93</v>
      </c>
      <c r="L132" t="s">
        <v>1435</v>
      </c>
    </row>
    <row r="133" spans="1:12" x14ac:dyDescent="0.3">
      <c r="A133" s="26">
        <v>30663403521</v>
      </c>
      <c r="B133" t="s">
        <v>1488</v>
      </c>
      <c r="C133" t="s">
        <v>1476</v>
      </c>
      <c r="D133">
        <v>12</v>
      </c>
      <c r="E133">
        <v>1</v>
      </c>
      <c r="F133" t="s">
        <v>1464</v>
      </c>
      <c r="G133">
        <v>108</v>
      </c>
      <c r="H133">
        <v>125</v>
      </c>
      <c r="I133">
        <v>105</v>
      </c>
      <c r="J133">
        <v>111</v>
      </c>
      <c r="K133">
        <v>112</v>
      </c>
      <c r="L133" t="s">
        <v>1435</v>
      </c>
    </row>
    <row r="134" spans="1:12" x14ac:dyDescent="0.3">
      <c r="A134" s="26">
        <v>30663400377</v>
      </c>
      <c r="B134" t="s">
        <v>1489</v>
      </c>
      <c r="C134" t="s">
        <v>1476</v>
      </c>
      <c r="D134">
        <v>12</v>
      </c>
      <c r="E134">
        <v>1</v>
      </c>
      <c r="F134" t="s">
        <v>1464</v>
      </c>
      <c r="G134">
        <v>96</v>
      </c>
      <c r="H134">
        <v>100</v>
      </c>
      <c r="I134">
        <v>107</v>
      </c>
      <c r="J134">
        <v>99</v>
      </c>
      <c r="K134">
        <v>101</v>
      </c>
      <c r="L134" t="s">
        <v>1435</v>
      </c>
    </row>
    <row r="135" spans="1:12" x14ac:dyDescent="0.3">
      <c r="A135" s="26">
        <v>30663404167</v>
      </c>
      <c r="B135" t="s">
        <v>1490</v>
      </c>
      <c r="C135" t="s">
        <v>1476</v>
      </c>
      <c r="D135">
        <v>12</v>
      </c>
      <c r="E135">
        <v>1</v>
      </c>
      <c r="F135" t="s">
        <v>1464</v>
      </c>
      <c r="G135">
        <v>101</v>
      </c>
      <c r="H135">
        <v>110</v>
      </c>
      <c r="I135">
        <v>116</v>
      </c>
      <c r="J135">
        <v>100</v>
      </c>
      <c r="K135">
        <v>107</v>
      </c>
      <c r="L135" t="s">
        <v>1435</v>
      </c>
    </row>
    <row r="136" spans="1:12" x14ac:dyDescent="0.3">
      <c r="A136" s="26">
        <v>30563405777</v>
      </c>
      <c r="B136" t="s">
        <v>1491</v>
      </c>
      <c r="C136" t="s">
        <v>1476</v>
      </c>
      <c r="D136">
        <v>12</v>
      </c>
      <c r="E136">
        <v>1</v>
      </c>
      <c r="F136" t="s">
        <v>1464</v>
      </c>
      <c r="G136">
        <v>80</v>
      </c>
      <c r="H136">
        <v>91</v>
      </c>
      <c r="I136">
        <v>82</v>
      </c>
      <c r="J136">
        <v>88</v>
      </c>
      <c r="K136">
        <v>85</v>
      </c>
      <c r="L136" t="s">
        <v>1435</v>
      </c>
    </row>
    <row r="137" spans="1:12" x14ac:dyDescent="0.3">
      <c r="A137" s="26">
        <v>30563400872</v>
      </c>
      <c r="B137" t="s">
        <v>1492</v>
      </c>
      <c r="C137" t="s">
        <v>1476</v>
      </c>
      <c r="D137">
        <v>12</v>
      </c>
      <c r="E137">
        <v>1</v>
      </c>
      <c r="F137" t="s">
        <v>1464</v>
      </c>
      <c r="G137">
        <v>77</v>
      </c>
      <c r="H137">
        <v>110</v>
      </c>
      <c r="I137">
        <v>105</v>
      </c>
      <c r="J137">
        <v>86</v>
      </c>
      <c r="K137">
        <v>95</v>
      </c>
      <c r="L137" t="s">
        <v>1435</v>
      </c>
    </row>
    <row r="138" spans="1:12" x14ac:dyDescent="0.3">
      <c r="A138" s="26">
        <v>30563400922</v>
      </c>
      <c r="B138" t="s">
        <v>1493</v>
      </c>
      <c r="C138" t="s">
        <v>1476</v>
      </c>
      <c r="D138">
        <v>12</v>
      </c>
      <c r="E138">
        <v>2</v>
      </c>
      <c r="F138" t="s">
        <v>1460</v>
      </c>
      <c r="G138">
        <v>86</v>
      </c>
      <c r="H138">
        <v>114</v>
      </c>
      <c r="I138">
        <v>111</v>
      </c>
      <c r="J138">
        <v>125</v>
      </c>
      <c r="K138">
        <v>109</v>
      </c>
      <c r="L138" t="s">
        <v>1435</v>
      </c>
    </row>
    <row r="139" spans="1:12" x14ac:dyDescent="0.3">
      <c r="A139" s="26">
        <v>30536400091</v>
      </c>
      <c r="B139" t="s">
        <v>1494</v>
      </c>
      <c r="C139" t="s">
        <v>1476</v>
      </c>
      <c r="D139">
        <v>12</v>
      </c>
      <c r="E139">
        <v>2</v>
      </c>
      <c r="F139" t="s">
        <v>1460</v>
      </c>
      <c r="G139">
        <v>71</v>
      </c>
      <c r="H139">
        <v>107</v>
      </c>
      <c r="I139">
        <v>91</v>
      </c>
      <c r="J139">
        <v>102</v>
      </c>
      <c r="K139">
        <v>93</v>
      </c>
      <c r="L139" t="s">
        <v>1435</v>
      </c>
    </row>
    <row r="140" spans="1:12" x14ac:dyDescent="0.3">
      <c r="A140" s="26">
        <v>30563405218</v>
      </c>
      <c r="B140" t="s">
        <v>1495</v>
      </c>
      <c r="C140" t="s">
        <v>1476</v>
      </c>
      <c r="D140">
        <v>12</v>
      </c>
      <c r="E140">
        <v>2</v>
      </c>
      <c r="F140" t="s">
        <v>1460</v>
      </c>
      <c r="G140">
        <v>81</v>
      </c>
      <c r="H140">
        <v>93</v>
      </c>
      <c r="I140">
        <v>115</v>
      </c>
      <c r="J140">
        <v>105</v>
      </c>
      <c r="K140">
        <v>99</v>
      </c>
      <c r="L140" t="s">
        <v>1435</v>
      </c>
    </row>
    <row r="141" spans="1:12" x14ac:dyDescent="0.3">
      <c r="A141" s="26">
        <v>30563402667</v>
      </c>
      <c r="B141" t="s">
        <v>1496</v>
      </c>
      <c r="C141" t="s">
        <v>1476</v>
      </c>
      <c r="D141">
        <v>12</v>
      </c>
      <c r="E141">
        <v>2</v>
      </c>
      <c r="F141" t="s">
        <v>1461</v>
      </c>
      <c r="G141">
        <v>96</v>
      </c>
      <c r="H141">
        <v>121</v>
      </c>
      <c r="I141">
        <v>103</v>
      </c>
      <c r="J141">
        <v>109</v>
      </c>
      <c r="K141">
        <v>107</v>
      </c>
      <c r="L141" t="s">
        <v>1435</v>
      </c>
    </row>
    <row r="142" spans="1:12" x14ac:dyDescent="0.3">
      <c r="A142" s="26">
        <v>30563402232</v>
      </c>
      <c r="B142" t="s">
        <v>1497</v>
      </c>
      <c r="C142" t="s">
        <v>1476</v>
      </c>
      <c r="D142">
        <v>12</v>
      </c>
      <c r="E142">
        <v>2</v>
      </c>
      <c r="F142" t="s">
        <v>1461</v>
      </c>
      <c r="G142">
        <v>71</v>
      </c>
      <c r="H142">
        <v>101</v>
      </c>
      <c r="I142">
        <v>74</v>
      </c>
      <c r="J142">
        <v>84</v>
      </c>
      <c r="K142">
        <v>83</v>
      </c>
      <c r="L142" t="s">
        <v>1435</v>
      </c>
    </row>
    <row r="143" spans="1:12" x14ac:dyDescent="0.3">
      <c r="A143" s="26">
        <v>30563405584</v>
      </c>
      <c r="B143" t="s">
        <v>1498</v>
      </c>
      <c r="C143" t="s">
        <v>1476</v>
      </c>
      <c r="D143">
        <v>12</v>
      </c>
      <c r="E143">
        <v>2</v>
      </c>
      <c r="F143" t="s">
        <v>1461</v>
      </c>
      <c r="G143">
        <v>86</v>
      </c>
      <c r="H143">
        <v>91</v>
      </c>
      <c r="I143">
        <v>107</v>
      </c>
      <c r="J143">
        <v>98</v>
      </c>
      <c r="K143">
        <v>96</v>
      </c>
      <c r="L143" t="s">
        <v>1435</v>
      </c>
    </row>
    <row r="144" spans="1:12" x14ac:dyDescent="0.3">
      <c r="A144" s="26">
        <v>30663400376</v>
      </c>
      <c r="B144" t="s">
        <v>1499</v>
      </c>
      <c r="C144" t="s">
        <v>1476</v>
      </c>
      <c r="D144">
        <v>12</v>
      </c>
      <c r="E144">
        <v>2</v>
      </c>
      <c r="F144" t="s">
        <v>1461</v>
      </c>
      <c r="G144">
        <v>76</v>
      </c>
      <c r="H144">
        <v>106</v>
      </c>
      <c r="I144">
        <v>112</v>
      </c>
      <c r="J144">
        <v>92</v>
      </c>
      <c r="K144">
        <v>97</v>
      </c>
      <c r="L144" t="s">
        <v>1435</v>
      </c>
    </row>
    <row r="145" spans="1:12" x14ac:dyDescent="0.3">
      <c r="A145" s="26">
        <v>30563404150</v>
      </c>
      <c r="B145" t="s">
        <v>1500</v>
      </c>
      <c r="C145" t="s">
        <v>1476</v>
      </c>
      <c r="D145">
        <v>12</v>
      </c>
      <c r="E145">
        <v>2</v>
      </c>
      <c r="F145" t="s">
        <v>1461</v>
      </c>
      <c r="G145">
        <v>86</v>
      </c>
      <c r="H145">
        <v>100</v>
      </c>
      <c r="I145">
        <v>100</v>
      </c>
      <c r="J145">
        <v>98</v>
      </c>
      <c r="K145">
        <v>96</v>
      </c>
      <c r="L145" t="s">
        <v>1435</v>
      </c>
    </row>
    <row r="146" spans="1:12" x14ac:dyDescent="0.3">
      <c r="A146" s="26">
        <v>30563402191</v>
      </c>
      <c r="B146" t="s">
        <v>1501</v>
      </c>
      <c r="C146" t="s">
        <v>1476</v>
      </c>
      <c r="D146">
        <v>12</v>
      </c>
      <c r="E146">
        <v>2</v>
      </c>
      <c r="F146" t="s">
        <v>1463</v>
      </c>
      <c r="G146">
        <v>71</v>
      </c>
      <c r="H146">
        <v>116</v>
      </c>
      <c r="I146">
        <v>96</v>
      </c>
      <c r="J146">
        <v>96</v>
      </c>
      <c r="K146">
        <v>95</v>
      </c>
      <c r="L146" t="s">
        <v>1435</v>
      </c>
    </row>
    <row r="147" spans="1:12" x14ac:dyDescent="0.3">
      <c r="A147" s="26">
        <v>30563405881</v>
      </c>
      <c r="B147" t="s">
        <v>1502</v>
      </c>
      <c r="C147" t="s">
        <v>1476</v>
      </c>
      <c r="D147">
        <v>12</v>
      </c>
      <c r="E147">
        <v>2</v>
      </c>
      <c r="F147" t="s">
        <v>1463</v>
      </c>
      <c r="G147">
        <v>85</v>
      </c>
      <c r="H147">
        <v>101</v>
      </c>
      <c r="I147">
        <v>113</v>
      </c>
      <c r="J147">
        <v>105</v>
      </c>
      <c r="K147">
        <v>101</v>
      </c>
      <c r="L147" t="s">
        <v>1435</v>
      </c>
    </row>
    <row r="148" spans="1:12" x14ac:dyDescent="0.3">
      <c r="A148" s="26">
        <v>30563404386</v>
      </c>
      <c r="B148" t="s">
        <v>1503</v>
      </c>
      <c r="C148" t="s">
        <v>1476</v>
      </c>
      <c r="D148">
        <v>12</v>
      </c>
      <c r="E148">
        <v>2</v>
      </c>
      <c r="F148" t="s">
        <v>1463</v>
      </c>
      <c r="G148">
        <v>70</v>
      </c>
      <c r="H148">
        <v>102</v>
      </c>
      <c r="I148">
        <v>100</v>
      </c>
      <c r="J148">
        <v>96</v>
      </c>
      <c r="K148">
        <v>92</v>
      </c>
      <c r="L148" t="s">
        <v>1435</v>
      </c>
    </row>
    <row r="149" spans="1:12" x14ac:dyDescent="0.3">
      <c r="A149" s="26">
        <v>30663404953</v>
      </c>
      <c r="B149" t="s">
        <v>1504</v>
      </c>
      <c r="C149" t="s">
        <v>1476</v>
      </c>
      <c r="D149">
        <v>12</v>
      </c>
      <c r="E149">
        <v>2</v>
      </c>
      <c r="F149" t="s">
        <v>1463</v>
      </c>
      <c r="G149">
        <v>76</v>
      </c>
      <c r="H149">
        <v>113</v>
      </c>
      <c r="I149">
        <v>94</v>
      </c>
      <c r="J149">
        <v>100</v>
      </c>
      <c r="K149">
        <v>96</v>
      </c>
      <c r="L149" t="s">
        <v>1435</v>
      </c>
    </row>
    <row r="150" spans="1:12" x14ac:dyDescent="0.3">
      <c r="A150" s="26">
        <v>30563403733</v>
      </c>
      <c r="B150" t="s">
        <v>1505</v>
      </c>
      <c r="C150" t="s">
        <v>1476</v>
      </c>
      <c r="D150">
        <v>12</v>
      </c>
      <c r="E150">
        <v>2</v>
      </c>
      <c r="F150" t="s">
        <v>1464</v>
      </c>
      <c r="G150">
        <v>114</v>
      </c>
      <c r="H150">
        <v>117</v>
      </c>
      <c r="I150">
        <v>126</v>
      </c>
      <c r="J150">
        <v>107</v>
      </c>
      <c r="K150">
        <v>116</v>
      </c>
      <c r="L150" t="s">
        <v>1435</v>
      </c>
    </row>
    <row r="151" spans="1:12" x14ac:dyDescent="0.3">
      <c r="A151" s="26">
        <v>30663402646</v>
      </c>
      <c r="B151" t="s">
        <v>1506</v>
      </c>
      <c r="C151" t="s">
        <v>1476</v>
      </c>
      <c r="D151">
        <v>12</v>
      </c>
      <c r="E151">
        <v>2</v>
      </c>
      <c r="F151" t="s">
        <v>1464</v>
      </c>
      <c r="G151">
        <v>95</v>
      </c>
      <c r="H151">
        <v>113</v>
      </c>
      <c r="I151">
        <v>102</v>
      </c>
      <c r="J151">
        <v>94</v>
      </c>
      <c r="K151">
        <v>101</v>
      </c>
      <c r="L151" t="s">
        <v>1435</v>
      </c>
    </row>
    <row r="152" spans="1:12" x14ac:dyDescent="0.3">
      <c r="A152" s="26">
        <v>30663403300</v>
      </c>
      <c r="B152" t="s">
        <v>1507</v>
      </c>
      <c r="C152" t="s">
        <v>1476</v>
      </c>
      <c r="D152">
        <v>12</v>
      </c>
      <c r="E152">
        <v>2</v>
      </c>
      <c r="F152" t="s">
        <v>1464</v>
      </c>
      <c r="G152">
        <v>86</v>
      </c>
      <c r="H152">
        <v>101</v>
      </c>
      <c r="I152">
        <v>86</v>
      </c>
      <c r="J152">
        <v>86</v>
      </c>
      <c r="K152">
        <v>90</v>
      </c>
      <c r="L152" t="s">
        <v>1435</v>
      </c>
    </row>
    <row r="153" spans="1:12" x14ac:dyDescent="0.3">
      <c r="A153" s="26">
        <v>30563400308</v>
      </c>
      <c r="B153" t="s">
        <v>1508</v>
      </c>
      <c r="C153" t="s">
        <v>1476</v>
      </c>
      <c r="D153">
        <v>12</v>
      </c>
      <c r="E153">
        <v>2</v>
      </c>
      <c r="F153" t="s">
        <v>1464</v>
      </c>
      <c r="G153">
        <v>73</v>
      </c>
      <c r="H153">
        <v>101</v>
      </c>
      <c r="I153">
        <v>82</v>
      </c>
      <c r="J153">
        <v>80</v>
      </c>
      <c r="K153">
        <v>84</v>
      </c>
      <c r="L153" t="s">
        <v>1435</v>
      </c>
    </row>
    <row r="154" spans="1:12" x14ac:dyDescent="0.3">
      <c r="A154" s="26">
        <v>30563404248</v>
      </c>
      <c r="B154" t="s">
        <v>1509</v>
      </c>
      <c r="C154" t="s">
        <v>1476</v>
      </c>
      <c r="D154">
        <v>12</v>
      </c>
      <c r="E154">
        <v>2</v>
      </c>
      <c r="F154" t="s">
        <v>1464</v>
      </c>
      <c r="G154">
        <v>77</v>
      </c>
      <c r="H154">
        <v>96</v>
      </c>
      <c r="I154">
        <v>86</v>
      </c>
      <c r="J154">
        <v>86</v>
      </c>
      <c r="K154">
        <v>86</v>
      </c>
      <c r="L154" t="s">
        <v>1435</v>
      </c>
    </row>
    <row r="155" spans="1:12" x14ac:dyDescent="0.3">
      <c r="A155" s="26">
        <v>30563406257</v>
      </c>
      <c r="B155" t="s">
        <v>1510</v>
      </c>
      <c r="C155" t="s">
        <v>1476</v>
      </c>
      <c r="D155">
        <v>12</v>
      </c>
      <c r="E155">
        <v>3</v>
      </c>
      <c r="F155" t="s">
        <v>1460</v>
      </c>
      <c r="G155">
        <v>80</v>
      </c>
      <c r="H155">
        <v>124</v>
      </c>
      <c r="I155">
        <v>102</v>
      </c>
      <c r="J155">
        <v>105</v>
      </c>
      <c r="K155">
        <v>103</v>
      </c>
      <c r="L155" t="s">
        <v>1435</v>
      </c>
    </row>
    <row r="156" spans="1:12" x14ac:dyDescent="0.3">
      <c r="A156" s="26">
        <v>30563403307</v>
      </c>
      <c r="B156" t="s">
        <v>1511</v>
      </c>
      <c r="C156" t="s">
        <v>1476</v>
      </c>
      <c r="D156">
        <v>12</v>
      </c>
      <c r="E156">
        <v>3</v>
      </c>
      <c r="F156" t="s">
        <v>1460</v>
      </c>
      <c r="G156">
        <v>65</v>
      </c>
      <c r="H156">
        <v>109</v>
      </c>
      <c r="I156">
        <v>100</v>
      </c>
      <c r="J156">
        <v>111</v>
      </c>
      <c r="K156">
        <v>96</v>
      </c>
      <c r="L156" t="s">
        <v>1435</v>
      </c>
    </row>
    <row r="157" spans="1:12" x14ac:dyDescent="0.3">
      <c r="A157" s="26">
        <v>30563401789</v>
      </c>
      <c r="B157" t="s">
        <v>1512</v>
      </c>
      <c r="C157" t="s">
        <v>1476</v>
      </c>
      <c r="D157">
        <v>12</v>
      </c>
      <c r="E157">
        <v>3</v>
      </c>
      <c r="F157" t="s">
        <v>1461</v>
      </c>
      <c r="G157">
        <v>76</v>
      </c>
      <c r="H157">
        <v>86</v>
      </c>
      <c r="I157">
        <v>89</v>
      </c>
      <c r="J157">
        <v>92</v>
      </c>
      <c r="K157">
        <v>86</v>
      </c>
      <c r="L157" t="s">
        <v>1435</v>
      </c>
    </row>
    <row r="158" spans="1:12" x14ac:dyDescent="0.3">
      <c r="A158" s="26">
        <v>30563405391</v>
      </c>
      <c r="B158" t="s">
        <v>1513</v>
      </c>
      <c r="C158" t="s">
        <v>1476</v>
      </c>
      <c r="D158">
        <v>12</v>
      </c>
      <c r="E158">
        <v>3</v>
      </c>
      <c r="F158" t="s">
        <v>1461</v>
      </c>
      <c r="G158">
        <v>74</v>
      </c>
      <c r="H158">
        <v>108</v>
      </c>
      <c r="I158">
        <v>93</v>
      </c>
      <c r="J158">
        <v>96</v>
      </c>
      <c r="K158">
        <v>93</v>
      </c>
      <c r="L158" t="s">
        <v>1435</v>
      </c>
    </row>
    <row r="159" spans="1:12" x14ac:dyDescent="0.3">
      <c r="A159" s="26">
        <v>30563403079</v>
      </c>
      <c r="B159" t="s">
        <v>1514</v>
      </c>
      <c r="C159" t="s">
        <v>1476</v>
      </c>
      <c r="D159">
        <v>12</v>
      </c>
      <c r="E159">
        <v>3</v>
      </c>
      <c r="F159" t="s">
        <v>1461</v>
      </c>
      <c r="G159">
        <v>75</v>
      </c>
      <c r="H159">
        <v>103</v>
      </c>
      <c r="I159">
        <v>98</v>
      </c>
      <c r="J159">
        <v>94</v>
      </c>
      <c r="K159">
        <v>93</v>
      </c>
      <c r="L159" t="s">
        <v>1435</v>
      </c>
    </row>
    <row r="160" spans="1:12" x14ac:dyDescent="0.3">
      <c r="A160" s="26">
        <v>30563402884</v>
      </c>
      <c r="B160" t="s">
        <v>1515</v>
      </c>
      <c r="C160" t="s">
        <v>1476</v>
      </c>
      <c r="D160">
        <v>12</v>
      </c>
      <c r="E160">
        <v>3</v>
      </c>
      <c r="F160" t="s">
        <v>1461</v>
      </c>
      <c r="G160">
        <v>65</v>
      </c>
      <c r="H160">
        <v>82</v>
      </c>
      <c r="I160">
        <v>69</v>
      </c>
      <c r="J160">
        <v>88</v>
      </c>
      <c r="K160">
        <v>76</v>
      </c>
      <c r="L160" t="s">
        <v>1435</v>
      </c>
    </row>
    <row r="161" spans="1:12" x14ac:dyDescent="0.3">
      <c r="A161" s="26">
        <v>30563404670</v>
      </c>
      <c r="B161" t="s">
        <v>1516</v>
      </c>
      <c r="C161" t="s">
        <v>1476</v>
      </c>
      <c r="D161">
        <v>12</v>
      </c>
      <c r="E161">
        <v>3</v>
      </c>
      <c r="F161" t="s">
        <v>1463</v>
      </c>
      <c r="G161">
        <v>95</v>
      </c>
      <c r="H161">
        <v>103</v>
      </c>
      <c r="I161">
        <v>105</v>
      </c>
      <c r="J161">
        <v>116</v>
      </c>
      <c r="K161">
        <v>105</v>
      </c>
      <c r="L161" t="s">
        <v>1435</v>
      </c>
    </row>
    <row r="162" spans="1:12" x14ac:dyDescent="0.3">
      <c r="A162" s="26">
        <v>30563404796</v>
      </c>
      <c r="B162" t="s">
        <v>1517</v>
      </c>
      <c r="C162" t="s">
        <v>1476</v>
      </c>
      <c r="D162">
        <v>12</v>
      </c>
      <c r="E162">
        <v>3</v>
      </c>
      <c r="F162" t="s">
        <v>1463</v>
      </c>
      <c r="G162">
        <v>65</v>
      </c>
      <c r="H162">
        <v>116</v>
      </c>
      <c r="I162">
        <v>117</v>
      </c>
      <c r="J162">
        <v>96</v>
      </c>
      <c r="K162">
        <v>99</v>
      </c>
      <c r="L162" t="s">
        <v>1435</v>
      </c>
    </row>
    <row r="163" spans="1:12" x14ac:dyDescent="0.3">
      <c r="A163" s="26">
        <v>30563401178</v>
      </c>
      <c r="B163" t="s">
        <v>1518</v>
      </c>
      <c r="C163" t="s">
        <v>1476</v>
      </c>
      <c r="D163">
        <v>12</v>
      </c>
      <c r="E163">
        <v>3</v>
      </c>
      <c r="F163" t="s">
        <v>1463</v>
      </c>
      <c r="G163">
        <v>76</v>
      </c>
      <c r="H163">
        <v>99</v>
      </c>
      <c r="I163">
        <v>101</v>
      </c>
      <c r="J163">
        <v>100</v>
      </c>
      <c r="K163">
        <v>94</v>
      </c>
      <c r="L163" t="s">
        <v>1435</v>
      </c>
    </row>
    <row r="164" spans="1:12" x14ac:dyDescent="0.3">
      <c r="A164" s="26">
        <v>30563400415</v>
      </c>
      <c r="B164" t="s">
        <v>1519</v>
      </c>
      <c r="C164" t="s">
        <v>1476</v>
      </c>
      <c r="D164">
        <v>12</v>
      </c>
      <c r="E164">
        <v>3</v>
      </c>
      <c r="F164" t="s">
        <v>1464</v>
      </c>
      <c r="G164">
        <v>89</v>
      </c>
      <c r="H164">
        <v>88</v>
      </c>
      <c r="I164">
        <v>80</v>
      </c>
      <c r="J164">
        <v>84</v>
      </c>
      <c r="K164">
        <v>85</v>
      </c>
      <c r="L164" t="s">
        <v>1435</v>
      </c>
    </row>
    <row r="165" spans="1:12" x14ac:dyDescent="0.3">
      <c r="A165" s="26">
        <v>30563404218</v>
      </c>
      <c r="B165" t="s">
        <v>1078</v>
      </c>
      <c r="C165" t="s">
        <v>1476</v>
      </c>
      <c r="D165">
        <v>12</v>
      </c>
      <c r="E165">
        <v>3</v>
      </c>
      <c r="F165" t="s">
        <v>1464</v>
      </c>
      <c r="G165">
        <v>91</v>
      </c>
      <c r="H165">
        <v>109</v>
      </c>
      <c r="I165">
        <v>96</v>
      </c>
      <c r="J165">
        <v>102</v>
      </c>
      <c r="K165">
        <v>100</v>
      </c>
      <c r="L165" t="s">
        <v>1435</v>
      </c>
    </row>
    <row r="166" spans="1:12" x14ac:dyDescent="0.3">
      <c r="A166" s="26">
        <v>30563402937</v>
      </c>
      <c r="B166" t="s">
        <v>1520</v>
      </c>
      <c r="C166" t="s">
        <v>1476</v>
      </c>
      <c r="D166">
        <v>12</v>
      </c>
      <c r="E166">
        <v>4</v>
      </c>
      <c r="F166" t="s">
        <v>1460</v>
      </c>
      <c r="G166">
        <v>80</v>
      </c>
      <c r="H166">
        <v>105</v>
      </c>
      <c r="I166">
        <v>113</v>
      </c>
      <c r="J166">
        <v>107</v>
      </c>
      <c r="K166">
        <v>101</v>
      </c>
      <c r="L166" t="s">
        <v>1435</v>
      </c>
    </row>
    <row r="167" spans="1:12" x14ac:dyDescent="0.3">
      <c r="A167" s="26">
        <v>30563404213</v>
      </c>
      <c r="B167" t="s">
        <v>1521</v>
      </c>
      <c r="C167" t="s">
        <v>1476</v>
      </c>
      <c r="D167">
        <v>12</v>
      </c>
      <c r="E167">
        <v>4</v>
      </c>
      <c r="F167" t="s">
        <v>1461</v>
      </c>
      <c r="G167">
        <v>85</v>
      </c>
      <c r="H167">
        <v>116</v>
      </c>
      <c r="I167">
        <v>111</v>
      </c>
      <c r="J167">
        <v>98</v>
      </c>
      <c r="K167">
        <v>103</v>
      </c>
      <c r="L167" t="s">
        <v>1435</v>
      </c>
    </row>
    <row r="168" spans="1:12" x14ac:dyDescent="0.3">
      <c r="A168" s="26">
        <v>30563401453</v>
      </c>
      <c r="B168" t="s">
        <v>1522</v>
      </c>
      <c r="C168" t="s">
        <v>1476</v>
      </c>
      <c r="D168">
        <v>12</v>
      </c>
      <c r="E168">
        <v>4</v>
      </c>
      <c r="F168" t="s">
        <v>1461</v>
      </c>
      <c r="G168">
        <v>89</v>
      </c>
      <c r="H168">
        <v>118</v>
      </c>
      <c r="I168">
        <v>98</v>
      </c>
      <c r="J168">
        <v>104</v>
      </c>
      <c r="K168">
        <v>102</v>
      </c>
      <c r="L168" t="s">
        <v>1435</v>
      </c>
    </row>
    <row r="169" spans="1:12" x14ac:dyDescent="0.3">
      <c r="A169" s="26">
        <v>30563404507</v>
      </c>
      <c r="B169" t="s">
        <v>1523</v>
      </c>
      <c r="C169" t="s">
        <v>1476</v>
      </c>
      <c r="D169">
        <v>12</v>
      </c>
      <c r="E169">
        <v>4</v>
      </c>
      <c r="F169" t="s">
        <v>1461</v>
      </c>
      <c r="G169">
        <v>92</v>
      </c>
      <c r="H169">
        <v>126</v>
      </c>
      <c r="I169">
        <v>113</v>
      </c>
      <c r="J169">
        <v>109</v>
      </c>
      <c r="K169">
        <v>110</v>
      </c>
      <c r="L169" t="s">
        <v>1435</v>
      </c>
    </row>
    <row r="170" spans="1:12" x14ac:dyDescent="0.3">
      <c r="A170" s="26">
        <v>30563404918</v>
      </c>
      <c r="B170" t="s">
        <v>1524</v>
      </c>
      <c r="C170" t="s">
        <v>1476</v>
      </c>
      <c r="D170">
        <v>12</v>
      </c>
      <c r="E170">
        <v>4</v>
      </c>
      <c r="F170" t="s">
        <v>1463</v>
      </c>
      <c r="G170">
        <v>79</v>
      </c>
      <c r="H170">
        <v>114</v>
      </c>
      <c r="I170">
        <v>93</v>
      </c>
      <c r="J170">
        <v>100</v>
      </c>
      <c r="K170">
        <v>97</v>
      </c>
      <c r="L170" t="s">
        <v>1435</v>
      </c>
    </row>
    <row r="171" spans="1:12" x14ac:dyDescent="0.3">
      <c r="A171" s="26">
        <v>30563406669</v>
      </c>
      <c r="B171" t="s">
        <v>1525</v>
      </c>
      <c r="C171" t="s">
        <v>1476</v>
      </c>
      <c r="D171">
        <v>12</v>
      </c>
      <c r="E171">
        <v>4</v>
      </c>
      <c r="F171" t="s">
        <v>1463</v>
      </c>
      <c r="G171">
        <v>75</v>
      </c>
      <c r="H171">
        <v>105</v>
      </c>
      <c r="I171">
        <v>86</v>
      </c>
      <c r="J171">
        <v>100</v>
      </c>
      <c r="K171">
        <v>92</v>
      </c>
      <c r="L171" t="s">
        <v>1435</v>
      </c>
    </row>
    <row r="172" spans="1:12" x14ac:dyDescent="0.3">
      <c r="A172" s="26">
        <v>30563403995</v>
      </c>
      <c r="B172" t="s">
        <v>1526</v>
      </c>
      <c r="C172" t="s">
        <v>1476</v>
      </c>
      <c r="D172">
        <v>12</v>
      </c>
      <c r="E172">
        <v>4</v>
      </c>
      <c r="F172" t="s">
        <v>1464</v>
      </c>
      <c r="G172">
        <v>87</v>
      </c>
      <c r="H172">
        <v>107</v>
      </c>
      <c r="I172">
        <v>115</v>
      </c>
      <c r="J172">
        <v>92</v>
      </c>
      <c r="K172">
        <v>100</v>
      </c>
      <c r="L172" t="s">
        <v>1435</v>
      </c>
    </row>
    <row r="173" spans="1:12" x14ac:dyDescent="0.3">
      <c r="A173" s="26">
        <v>30663404568</v>
      </c>
      <c r="B173" t="s">
        <v>1527</v>
      </c>
      <c r="C173" t="s">
        <v>1476</v>
      </c>
      <c r="D173">
        <v>12</v>
      </c>
      <c r="E173">
        <v>4</v>
      </c>
      <c r="F173" t="s">
        <v>1464</v>
      </c>
      <c r="G173">
        <v>94</v>
      </c>
      <c r="H173">
        <v>130</v>
      </c>
      <c r="I173">
        <v>106</v>
      </c>
      <c r="J173">
        <v>98</v>
      </c>
      <c r="K173">
        <v>107</v>
      </c>
      <c r="L173" t="s">
        <v>1435</v>
      </c>
    </row>
    <row r="174" spans="1:12" x14ac:dyDescent="0.3">
      <c r="A174" s="26">
        <v>30563400160</v>
      </c>
      <c r="B174" t="s">
        <v>1528</v>
      </c>
      <c r="C174" t="s">
        <v>1476</v>
      </c>
      <c r="D174">
        <v>12</v>
      </c>
      <c r="E174">
        <v>4</v>
      </c>
      <c r="F174" t="s">
        <v>1464</v>
      </c>
      <c r="G174">
        <v>94</v>
      </c>
      <c r="H174">
        <v>116</v>
      </c>
      <c r="I174">
        <v>100</v>
      </c>
      <c r="J174">
        <v>100</v>
      </c>
      <c r="K174">
        <v>103</v>
      </c>
      <c r="L174" t="s">
        <v>1435</v>
      </c>
    </row>
    <row r="175" spans="1:12" x14ac:dyDescent="0.3">
      <c r="A175" s="26">
        <v>30563402682</v>
      </c>
      <c r="B175" t="s">
        <v>1529</v>
      </c>
      <c r="C175" t="s">
        <v>1476</v>
      </c>
      <c r="D175">
        <v>12</v>
      </c>
      <c r="E175">
        <v>4</v>
      </c>
      <c r="F175" t="s">
        <v>1464</v>
      </c>
      <c r="G175">
        <v>75</v>
      </c>
      <c r="H175">
        <v>86</v>
      </c>
      <c r="I175">
        <v>102</v>
      </c>
      <c r="J175">
        <v>73</v>
      </c>
      <c r="K175">
        <v>84</v>
      </c>
      <c r="L175" t="s">
        <v>1435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38"/>
  <sheetViews>
    <sheetView workbookViewId="0"/>
  </sheetViews>
  <sheetFormatPr defaultRowHeight="14.4" x14ac:dyDescent="0.3"/>
  <cols>
    <col min="1" max="1" width="14" customWidth="1"/>
    <col min="2" max="2" width="30" customWidth="1"/>
    <col min="3" max="3" width="22" customWidth="1"/>
    <col min="4" max="4" width="18" customWidth="1"/>
    <col min="5" max="5" width="22" customWidth="1"/>
    <col min="6" max="6" width="20" customWidth="1"/>
    <col min="7" max="9" width="18" customWidth="1"/>
  </cols>
  <sheetData>
    <row r="1" spans="1:10" x14ac:dyDescent="0.3">
      <c r="A1" s="38" t="s">
        <v>40</v>
      </c>
      <c r="B1" s="38" t="s">
        <v>41</v>
      </c>
      <c r="C1" s="38" t="s">
        <v>822</v>
      </c>
      <c r="D1" s="38" t="s">
        <v>823</v>
      </c>
      <c r="E1" s="38" t="s">
        <v>825</v>
      </c>
      <c r="F1" s="38" t="s">
        <v>827</v>
      </c>
      <c r="G1" s="38" t="s">
        <v>829</v>
      </c>
      <c r="H1" s="38" t="s">
        <v>813</v>
      </c>
      <c r="I1" s="38" t="s">
        <v>831</v>
      </c>
      <c r="J1" s="28"/>
    </row>
    <row r="2" spans="1:10" x14ac:dyDescent="0.3">
      <c r="A2" t="s">
        <v>1530</v>
      </c>
      <c r="B2" t="s">
        <v>1531</v>
      </c>
      <c r="C2" t="s">
        <v>1460</v>
      </c>
      <c r="D2">
        <v>69</v>
      </c>
      <c r="E2">
        <v>93</v>
      </c>
      <c r="F2">
        <v>94</v>
      </c>
      <c r="G2">
        <v>106</v>
      </c>
      <c r="H2">
        <v>91</v>
      </c>
      <c r="I2" t="s">
        <v>1532</v>
      </c>
    </row>
    <row r="3" spans="1:10" x14ac:dyDescent="0.3">
      <c r="A3" t="s">
        <v>1533</v>
      </c>
      <c r="B3" t="s">
        <v>1534</v>
      </c>
      <c r="C3" t="s">
        <v>1460</v>
      </c>
      <c r="D3">
        <v>79</v>
      </c>
      <c r="E3">
        <v>106</v>
      </c>
      <c r="F3">
        <v>102</v>
      </c>
      <c r="G3">
        <v>106</v>
      </c>
      <c r="H3">
        <v>98</v>
      </c>
      <c r="I3" t="s">
        <v>1532</v>
      </c>
    </row>
    <row r="4" spans="1:10" x14ac:dyDescent="0.3">
      <c r="A4" t="s">
        <v>1535</v>
      </c>
      <c r="B4" t="s">
        <v>1536</v>
      </c>
      <c r="C4" t="s">
        <v>1460</v>
      </c>
      <c r="D4">
        <v>77</v>
      </c>
      <c r="E4">
        <v>102</v>
      </c>
      <c r="F4">
        <v>120</v>
      </c>
      <c r="G4">
        <v>116</v>
      </c>
      <c r="H4">
        <v>104</v>
      </c>
      <c r="I4" t="s">
        <v>1532</v>
      </c>
    </row>
    <row r="5" spans="1:10" x14ac:dyDescent="0.3">
      <c r="A5" t="s">
        <v>1537</v>
      </c>
      <c r="B5" t="s">
        <v>1538</v>
      </c>
      <c r="C5" t="s">
        <v>1461</v>
      </c>
      <c r="D5">
        <v>84</v>
      </c>
      <c r="E5">
        <v>106</v>
      </c>
      <c r="F5">
        <v>105</v>
      </c>
      <c r="G5">
        <v>102</v>
      </c>
      <c r="H5">
        <v>99</v>
      </c>
      <c r="I5" t="s">
        <v>1532</v>
      </c>
    </row>
    <row r="6" spans="1:10" x14ac:dyDescent="0.3">
      <c r="A6" t="s">
        <v>1539</v>
      </c>
      <c r="B6" t="s">
        <v>1540</v>
      </c>
      <c r="C6" t="s">
        <v>1461</v>
      </c>
      <c r="D6">
        <v>79</v>
      </c>
      <c r="E6">
        <v>123</v>
      </c>
      <c r="F6">
        <v>107</v>
      </c>
      <c r="G6">
        <v>93</v>
      </c>
      <c r="H6">
        <v>101</v>
      </c>
      <c r="I6" t="s">
        <v>1532</v>
      </c>
    </row>
    <row r="7" spans="1:10" x14ac:dyDescent="0.3">
      <c r="A7" t="s">
        <v>1541</v>
      </c>
      <c r="B7" t="s">
        <v>1542</v>
      </c>
      <c r="C7" t="s">
        <v>1461</v>
      </c>
      <c r="D7">
        <v>93</v>
      </c>
      <c r="E7">
        <v>106</v>
      </c>
      <c r="F7">
        <v>100</v>
      </c>
      <c r="G7">
        <v>104</v>
      </c>
      <c r="H7">
        <v>101</v>
      </c>
      <c r="I7" t="s">
        <v>1532</v>
      </c>
    </row>
    <row r="8" spans="1:10" x14ac:dyDescent="0.3">
      <c r="A8" t="s">
        <v>1543</v>
      </c>
      <c r="B8" t="s">
        <v>1544</v>
      </c>
      <c r="C8" t="s">
        <v>1461</v>
      </c>
      <c r="D8">
        <v>115</v>
      </c>
      <c r="E8">
        <v>115</v>
      </c>
      <c r="F8">
        <v>100</v>
      </c>
      <c r="G8">
        <v>128</v>
      </c>
      <c r="H8">
        <v>115</v>
      </c>
      <c r="I8" t="s">
        <v>1532</v>
      </c>
    </row>
    <row r="9" spans="1:10" x14ac:dyDescent="0.3">
      <c r="A9" t="s">
        <v>1545</v>
      </c>
      <c r="B9" t="s">
        <v>1546</v>
      </c>
      <c r="C9" t="s">
        <v>1463</v>
      </c>
      <c r="D9">
        <v>69</v>
      </c>
      <c r="E9">
        <v>109</v>
      </c>
      <c r="F9">
        <v>109</v>
      </c>
      <c r="G9">
        <v>91</v>
      </c>
      <c r="H9">
        <v>95</v>
      </c>
      <c r="I9" t="s">
        <v>1532</v>
      </c>
    </row>
    <row r="10" spans="1:10" x14ac:dyDescent="0.3">
      <c r="A10" t="s">
        <v>1547</v>
      </c>
      <c r="B10" t="s">
        <v>1548</v>
      </c>
      <c r="C10" t="s">
        <v>1463</v>
      </c>
      <c r="D10">
        <v>84</v>
      </c>
      <c r="E10">
        <v>104</v>
      </c>
      <c r="F10">
        <v>89</v>
      </c>
      <c r="G10">
        <v>109</v>
      </c>
      <c r="H10">
        <v>97</v>
      </c>
      <c r="I10" t="s">
        <v>1532</v>
      </c>
    </row>
    <row r="11" spans="1:10" x14ac:dyDescent="0.3">
      <c r="A11" t="s">
        <v>1549</v>
      </c>
      <c r="B11" t="s">
        <v>1550</v>
      </c>
      <c r="C11" t="s">
        <v>1464</v>
      </c>
      <c r="D11">
        <v>90</v>
      </c>
      <c r="E11">
        <v>115</v>
      </c>
      <c r="F11">
        <v>94</v>
      </c>
      <c r="G11">
        <v>97</v>
      </c>
      <c r="H11">
        <v>99</v>
      </c>
      <c r="I11" t="s">
        <v>1532</v>
      </c>
    </row>
    <row r="12" spans="1:10" x14ac:dyDescent="0.3">
      <c r="A12" t="s">
        <v>1551</v>
      </c>
      <c r="B12" t="s">
        <v>1552</v>
      </c>
      <c r="C12" t="s">
        <v>1464</v>
      </c>
      <c r="D12">
        <v>90</v>
      </c>
      <c r="E12">
        <v>111</v>
      </c>
      <c r="F12">
        <v>98</v>
      </c>
      <c r="G12">
        <v>99</v>
      </c>
      <c r="H12">
        <v>100</v>
      </c>
      <c r="I12" t="s">
        <v>1532</v>
      </c>
    </row>
    <row r="13" spans="1:10" x14ac:dyDescent="0.3">
      <c r="A13" t="s">
        <v>1553</v>
      </c>
      <c r="B13" t="s">
        <v>1554</v>
      </c>
      <c r="C13" t="s">
        <v>1464</v>
      </c>
      <c r="D13">
        <v>98</v>
      </c>
      <c r="E13">
        <v>104</v>
      </c>
      <c r="F13">
        <v>100</v>
      </c>
      <c r="G13">
        <v>101</v>
      </c>
      <c r="H13">
        <v>101</v>
      </c>
      <c r="I13" t="s">
        <v>1532</v>
      </c>
    </row>
    <row r="14" spans="1:10" x14ac:dyDescent="0.3">
      <c r="A14" t="s">
        <v>1555</v>
      </c>
      <c r="B14" t="s">
        <v>1556</v>
      </c>
      <c r="C14" t="s">
        <v>1464</v>
      </c>
      <c r="D14">
        <v>108</v>
      </c>
      <c r="E14">
        <v>106</v>
      </c>
      <c r="F14">
        <v>109</v>
      </c>
      <c r="G14">
        <v>104</v>
      </c>
      <c r="H14">
        <v>107</v>
      </c>
      <c r="I14" t="s">
        <v>1532</v>
      </c>
    </row>
    <row r="15" spans="1:10" x14ac:dyDescent="0.3">
      <c r="A15" t="s">
        <v>1557</v>
      </c>
      <c r="B15" t="s">
        <v>1558</v>
      </c>
      <c r="C15" t="s">
        <v>1464</v>
      </c>
      <c r="D15">
        <v>98</v>
      </c>
      <c r="E15">
        <v>121</v>
      </c>
      <c r="F15">
        <v>109</v>
      </c>
      <c r="G15">
        <v>108</v>
      </c>
      <c r="H15">
        <v>109</v>
      </c>
      <c r="I15" t="s">
        <v>1532</v>
      </c>
    </row>
    <row r="16" spans="1:10" x14ac:dyDescent="0.3">
      <c r="A16" t="s">
        <v>1559</v>
      </c>
      <c r="B16" t="s">
        <v>1560</v>
      </c>
      <c r="C16" t="s">
        <v>1464</v>
      </c>
      <c r="D16">
        <v>106</v>
      </c>
      <c r="E16">
        <v>113</v>
      </c>
      <c r="F16">
        <v>107</v>
      </c>
      <c r="G16">
        <v>115</v>
      </c>
      <c r="H16">
        <v>110</v>
      </c>
      <c r="I16" t="s">
        <v>1532</v>
      </c>
    </row>
    <row r="17" spans="1:9" x14ac:dyDescent="0.3">
      <c r="A17" t="s">
        <v>1561</v>
      </c>
      <c r="B17" t="s">
        <v>1562</v>
      </c>
      <c r="C17" t="s">
        <v>1464</v>
      </c>
      <c r="F17">
        <v>120</v>
      </c>
      <c r="G17">
        <v>120</v>
      </c>
      <c r="H17">
        <v>120</v>
      </c>
      <c r="I17" t="s">
        <v>1532</v>
      </c>
    </row>
    <row r="18" spans="1:9" x14ac:dyDescent="0.3">
      <c r="A18" t="s">
        <v>1563</v>
      </c>
      <c r="B18" t="s">
        <v>1564</v>
      </c>
      <c r="C18" t="s">
        <v>1460</v>
      </c>
      <c r="D18">
        <v>79</v>
      </c>
      <c r="E18">
        <v>107</v>
      </c>
      <c r="F18">
        <v>114</v>
      </c>
      <c r="G18">
        <v>113</v>
      </c>
      <c r="H18">
        <v>103</v>
      </c>
      <c r="I18" t="s">
        <v>1532</v>
      </c>
    </row>
    <row r="19" spans="1:9" x14ac:dyDescent="0.3">
      <c r="A19" t="s">
        <v>1565</v>
      </c>
      <c r="B19" t="s">
        <v>1566</v>
      </c>
      <c r="C19" t="s">
        <v>1460</v>
      </c>
      <c r="D19">
        <v>81</v>
      </c>
      <c r="E19">
        <v>115</v>
      </c>
      <c r="F19">
        <v>127</v>
      </c>
      <c r="G19">
        <v>120</v>
      </c>
      <c r="H19">
        <v>111</v>
      </c>
      <c r="I19" t="s">
        <v>1532</v>
      </c>
    </row>
    <row r="20" spans="1:9" x14ac:dyDescent="0.3">
      <c r="A20" t="s">
        <v>1567</v>
      </c>
      <c r="B20" t="s">
        <v>1568</v>
      </c>
      <c r="C20" t="s">
        <v>1461</v>
      </c>
      <c r="D20">
        <v>92</v>
      </c>
      <c r="E20">
        <v>104</v>
      </c>
      <c r="F20">
        <v>105</v>
      </c>
      <c r="G20">
        <v>108</v>
      </c>
      <c r="H20">
        <v>102</v>
      </c>
      <c r="I20" t="s">
        <v>1532</v>
      </c>
    </row>
    <row r="21" spans="1:9" x14ac:dyDescent="0.3">
      <c r="A21" t="s">
        <v>1569</v>
      </c>
      <c r="B21" t="s">
        <v>1570</v>
      </c>
      <c r="C21" t="s">
        <v>1461</v>
      </c>
      <c r="D21">
        <v>89</v>
      </c>
      <c r="E21">
        <v>99</v>
      </c>
      <c r="F21">
        <v>116</v>
      </c>
      <c r="G21">
        <v>106</v>
      </c>
      <c r="H21">
        <v>103</v>
      </c>
      <c r="I21" t="s">
        <v>1532</v>
      </c>
    </row>
    <row r="22" spans="1:9" x14ac:dyDescent="0.3">
      <c r="A22" t="s">
        <v>1571</v>
      </c>
      <c r="B22" t="s">
        <v>1572</v>
      </c>
      <c r="C22" t="s">
        <v>1461</v>
      </c>
      <c r="D22">
        <v>115</v>
      </c>
      <c r="E22">
        <v>123</v>
      </c>
      <c r="F22">
        <v>141</v>
      </c>
      <c r="G22">
        <v>134</v>
      </c>
      <c r="H22">
        <v>128</v>
      </c>
      <c r="I22" t="s">
        <v>1532</v>
      </c>
    </row>
    <row r="23" spans="1:9" x14ac:dyDescent="0.3">
      <c r="A23" t="s">
        <v>1573</v>
      </c>
      <c r="B23" t="s">
        <v>1574</v>
      </c>
      <c r="C23" t="s">
        <v>1467</v>
      </c>
      <c r="D23">
        <v>105</v>
      </c>
      <c r="E23">
        <v>93</v>
      </c>
      <c r="F23">
        <v>103</v>
      </c>
      <c r="G23">
        <v>89</v>
      </c>
      <c r="H23">
        <v>98</v>
      </c>
      <c r="I23" t="s">
        <v>1532</v>
      </c>
    </row>
    <row r="24" spans="1:9" x14ac:dyDescent="0.3">
      <c r="A24" t="s">
        <v>1575</v>
      </c>
      <c r="B24" t="s">
        <v>1576</v>
      </c>
      <c r="C24" t="s">
        <v>1467</v>
      </c>
      <c r="D24">
        <v>106</v>
      </c>
      <c r="E24">
        <v>102</v>
      </c>
      <c r="F24">
        <v>114</v>
      </c>
      <c r="G24">
        <v>89</v>
      </c>
      <c r="H24">
        <v>103</v>
      </c>
      <c r="I24" t="s">
        <v>1532</v>
      </c>
    </row>
    <row r="25" spans="1:9" x14ac:dyDescent="0.3">
      <c r="A25" t="s">
        <v>1577</v>
      </c>
      <c r="B25" t="s">
        <v>1578</v>
      </c>
      <c r="C25" t="s">
        <v>1463</v>
      </c>
      <c r="D25">
        <v>83</v>
      </c>
      <c r="E25">
        <v>106</v>
      </c>
      <c r="F25">
        <v>112</v>
      </c>
      <c r="G25">
        <v>111</v>
      </c>
      <c r="H25">
        <v>103</v>
      </c>
      <c r="I25" t="s">
        <v>1532</v>
      </c>
    </row>
    <row r="26" spans="1:9" x14ac:dyDescent="0.3">
      <c r="A26" t="s">
        <v>1579</v>
      </c>
      <c r="B26" t="s">
        <v>1580</v>
      </c>
      <c r="C26" t="s">
        <v>1463</v>
      </c>
      <c r="D26">
        <v>93</v>
      </c>
      <c r="E26">
        <v>121</v>
      </c>
      <c r="F26">
        <v>131</v>
      </c>
      <c r="G26">
        <v>118</v>
      </c>
      <c r="H26">
        <v>116</v>
      </c>
      <c r="I26" t="s">
        <v>1532</v>
      </c>
    </row>
    <row r="27" spans="1:9" x14ac:dyDescent="0.3">
      <c r="A27" t="s">
        <v>1581</v>
      </c>
      <c r="B27" t="s">
        <v>1582</v>
      </c>
      <c r="C27" t="s">
        <v>1464</v>
      </c>
      <c r="D27">
        <v>84</v>
      </c>
      <c r="E27">
        <v>106</v>
      </c>
      <c r="F27">
        <v>114</v>
      </c>
      <c r="G27">
        <v>93</v>
      </c>
      <c r="H27">
        <v>99</v>
      </c>
      <c r="I27" t="s">
        <v>1532</v>
      </c>
    </row>
    <row r="28" spans="1:9" x14ac:dyDescent="0.3">
      <c r="A28" t="s">
        <v>1583</v>
      </c>
      <c r="B28" t="s">
        <v>1584</v>
      </c>
      <c r="C28" t="s">
        <v>1464</v>
      </c>
      <c r="D28">
        <v>90</v>
      </c>
      <c r="E28">
        <v>111</v>
      </c>
      <c r="F28">
        <v>103</v>
      </c>
      <c r="G28">
        <v>99</v>
      </c>
      <c r="H28">
        <v>101</v>
      </c>
      <c r="I28" t="s">
        <v>1532</v>
      </c>
    </row>
    <row r="29" spans="1:9" x14ac:dyDescent="0.3">
      <c r="A29" t="s">
        <v>1585</v>
      </c>
      <c r="B29" t="s">
        <v>1586</v>
      </c>
      <c r="C29" t="s">
        <v>1464</v>
      </c>
      <c r="D29">
        <v>93</v>
      </c>
      <c r="E29">
        <v>106</v>
      </c>
      <c r="F29">
        <v>112</v>
      </c>
      <c r="G29">
        <v>97</v>
      </c>
      <c r="H29">
        <v>102</v>
      </c>
      <c r="I29" t="s">
        <v>1532</v>
      </c>
    </row>
    <row r="30" spans="1:9" x14ac:dyDescent="0.3">
      <c r="A30" t="s">
        <v>1587</v>
      </c>
      <c r="B30" t="s">
        <v>1588</v>
      </c>
      <c r="C30" t="s">
        <v>1464</v>
      </c>
      <c r="D30">
        <v>108</v>
      </c>
      <c r="E30">
        <v>99</v>
      </c>
      <c r="F30">
        <v>102</v>
      </c>
      <c r="G30">
        <v>99</v>
      </c>
      <c r="H30">
        <v>102</v>
      </c>
      <c r="I30" t="s">
        <v>1532</v>
      </c>
    </row>
    <row r="31" spans="1:9" x14ac:dyDescent="0.3">
      <c r="A31" t="s">
        <v>1589</v>
      </c>
      <c r="B31" t="s">
        <v>1590</v>
      </c>
      <c r="C31" t="s">
        <v>1464</v>
      </c>
      <c r="D31">
        <v>100</v>
      </c>
      <c r="E31">
        <v>106</v>
      </c>
      <c r="F31">
        <v>122</v>
      </c>
      <c r="G31">
        <v>104</v>
      </c>
      <c r="H31">
        <v>108</v>
      </c>
      <c r="I31" t="s">
        <v>1532</v>
      </c>
    </row>
    <row r="32" spans="1:9" x14ac:dyDescent="0.3">
      <c r="A32" t="s">
        <v>1591</v>
      </c>
      <c r="B32" t="s">
        <v>1592</v>
      </c>
      <c r="C32" t="s">
        <v>1464</v>
      </c>
      <c r="D32">
        <v>98</v>
      </c>
      <c r="E32">
        <v>113</v>
      </c>
      <c r="F32">
        <v>112</v>
      </c>
      <c r="G32">
        <v>109</v>
      </c>
      <c r="H32">
        <v>108</v>
      </c>
      <c r="I32" t="s">
        <v>1532</v>
      </c>
    </row>
    <row r="33" spans="1:9" x14ac:dyDescent="0.3">
      <c r="A33" t="s">
        <v>1593</v>
      </c>
      <c r="B33" t="s">
        <v>1594</v>
      </c>
      <c r="C33" t="s">
        <v>1464</v>
      </c>
      <c r="D33">
        <v>105</v>
      </c>
      <c r="E33">
        <v>113</v>
      </c>
      <c r="F33">
        <v>118</v>
      </c>
      <c r="G33">
        <v>113</v>
      </c>
      <c r="H33">
        <v>112</v>
      </c>
      <c r="I33" t="s">
        <v>1532</v>
      </c>
    </row>
    <row r="34" spans="1:9" x14ac:dyDescent="0.3">
      <c r="A34" t="s">
        <v>1595</v>
      </c>
      <c r="B34" t="s">
        <v>1596</v>
      </c>
      <c r="C34" t="s">
        <v>1460</v>
      </c>
      <c r="D34">
        <v>89</v>
      </c>
      <c r="E34">
        <v>113</v>
      </c>
      <c r="F34">
        <v>109</v>
      </c>
      <c r="G34">
        <v>128</v>
      </c>
      <c r="H34">
        <v>110</v>
      </c>
      <c r="I34" t="s">
        <v>1532</v>
      </c>
    </row>
    <row r="35" spans="1:9" x14ac:dyDescent="0.3">
      <c r="A35" t="s">
        <v>1597</v>
      </c>
      <c r="B35" t="s">
        <v>1598</v>
      </c>
      <c r="C35" t="s">
        <v>1461</v>
      </c>
      <c r="D35">
        <v>84</v>
      </c>
      <c r="E35">
        <v>107</v>
      </c>
      <c r="F35">
        <v>89</v>
      </c>
      <c r="G35">
        <v>102</v>
      </c>
      <c r="H35">
        <v>96</v>
      </c>
      <c r="I35" t="s">
        <v>1532</v>
      </c>
    </row>
    <row r="36" spans="1:9" x14ac:dyDescent="0.3">
      <c r="A36" t="s">
        <v>1599</v>
      </c>
      <c r="B36" t="s">
        <v>1600</v>
      </c>
      <c r="C36" t="s">
        <v>1461</v>
      </c>
      <c r="D36">
        <v>83</v>
      </c>
      <c r="E36">
        <v>113</v>
      </c>
      <c r="F36">
        <v>96</v>
      </c>
      <c r="G36">
        <v>99</v>
      </c>
      <c r="H36">
        <v>98</v>
      </c>
      <c r="I36" t="s">
        <v>1532</v>
      </c>
    </row>
    <row r="37" spans="1:9" x14ac:dyDescent="0.3">
      <c r="A37" t="s">
        <v>1601</v>
      </c>
      <c r="B37" t="s">
        <v>1602</v>
      </c>
      <c r="C37" t="s">
        <v>1461</v>
      </c>
      <c r="D37">
        <v>89</v>
      </c>
      <c r="E37">
        <v>104</v>
      </c>
      <c r="F37">
        <v>100</v>
      </c>
      <c r="G37">
        <v>104</v>
      </c>
      <c r="H37">
        <v>99</v>
      </c>
      <c r="I37" t="s">
        <v>1532</v>
      </c>
    </row>
    <row r="38" spans="1:9" x14ac:dyDescent="0.3">
      <c r="A38" t="s">
        <v>1603</v>
      </c>
      <c r="B38" t="s">
        <v>1604</v>
      </c>
      <c r="C38" t="s">
        <v>1461</v>
      </c>
      <c r="D38">
        <v>103</v>
      </c>
      <c r="E38">
        <v>91</v>
      </c>
      <c r="F38">
        <v>124</v>
      </c>
      <c r="G38">
        <v>118</v>
      </c>
      <c r="H38">
        <v>109</v>
      </c>
      <c r="I38" t="s">
        <v>1532</v>
      </c>
    </row>
    <row r="39" spans="1:9" x14ac:dyDescent="0.3">
      <c r="A39" t="s">
        <v>1605</v>
      </c>
      <c r="B39" t="s">
        <v>1606</v>
      </c>
      <c r="C39" t="s">
        <v>1464</v>
      </c>
      <c r="D39">
        <v>90</v>
      </c>
      <c r="E39">
        <v>111</v>
      </c>
      <c r="F39">
        <v>91</v>
      </c>
      <c r="G39">
        <v>84</v>
      </c>
      <c r="H39">
        <v>94</v>
      </c>
      <c r="I39" t="s">
        <v>1532</v>
      </c>
    </row>
    <row r="40" spans="1:9" x14ac:dyDescent="0.3">
      <c r="A40" t="s">
        <v>1607</v>
      </c>
      <c r="B40" t="s">
        <v>1608</v>
      </c>
      <c r="C40" t="s">
        <v>1464</v>
      </c>
      <c r="D40">
        <v>89</v>
      </c>
      <c r="E40">
        <v>106</v>
      </c>
      <c r="F40">
        <v>109</v>
      </c>
      <c r="G40">
        <v>91</v>
      </c>
      <c r="H40">
        <v>99</v>
      </c>
      <c r="I40" t="s">
        <v>1532</v>
      </c>
    </row>
    <row r="41" spans="1:9" x14ac:dyDescent="0.3">
      <c r="A41" t="s">
        <v>1609</v>
      </c>
      <c r="B41" t="s">
        <v>1610</v>
      </c>
      <c r="C41" t="s">
        <v>1464</v>
      </c>
      <c r="D41">
        <v>100</v>
      </c>
      <c r="E41">
        <v>111</v>
      </c>
      <c r="F41">
        <v>94</v>
      </c>
      <c r="G41">
        <v>93</v>
      </c>
      <c r="H41">
        <v>100</v>
      </c>
      <c r="I41" t="s">
        <v>1532</v>
      </c>
    </row>
    <row r="42" spans="1:9" x14ac:dyDescent="0.3">
      <c r="A42" t="s">
        <v>1611</v>
      </c>
      <c r="B42" t="s">
        <v>1612</v>
      </c>
      <c r="C42" t="s">
        <v>1464</v>
      </c>
      <c r="D42">
        <v>96</v>
      </c>
      <c r="E42">
        <v>107</v>
      </c>
      <c r="F42">
        <v>105</v>
      </c>
      <c r="G42">
        <v>93</v>
      </c>
      <c r="H42">
        <v>100</v>
      </c>
      <c r="I42" t="s">
        <v>1532</v>
      </c>
    </row>
    <row r="43" spans="1:9" x14ac:dyDescent="0.3">
      <c r="A43" t="s">
        <v>1613</v>
      </c>
      <c r="B43" t="s">
        <v>1614</v>
      </c>
      <c r="C43" t="s">
        <v>1464</v>
      </c>
      <c r="D43">
        <v>110</v>
      </c>
      <c r="E43">
        <v>102</v>
      </c>
      <c r="F43">
        <v>103</v>
      </c>
      <c r="G43">
        <v>101</v>
      </c>
      <c r="H43">
        <v>104</v>
      </c>
      <c r="I43" t="s">
        <v>1532</v>
      </c>
    </row>
    <row r="44" spans="1:9" x14ac:dyDescent="0.3">
      <c r="A44" t="s">
        <v>1615</v>
      </c>
      <c r="B44" t="s">
        <v>1616</v>
      </c>
      <c r="C44" t="s">
        <v>1464</v>
      </c>
      <c r="D44">
        <v>87</v>
      </c>
      <c r="E44">
        <v>115</v>
      </c>
      <c r="F44">
        <v>122</v>
      </c>
      <c r="G44">
        <v>95</v>
      </c>
      <c r="H44">
        <v>105</v>
      </c>
      <c r="I44" t="s">
        <v>1532</v>
      </c>
    </row>
    <row r="45" spans="1:9" x14ac:dyDescent="0.3">
      <c r="A45" t="s">
        <v>1617</v>
      </c>
      <c r="B45" t="s">
        <v>1618</v>
      </c>
      <c r="C45" t="s">
        <v>1464</v>
      </c>
      <c r="D45">
        <v>103</v>
      </c>
      <c r="E45">
        <v>107</v>
      </c>
      <c r="F45">
        <v>106</v>
      </c>
      <c r="G45">
        <v>110</v>
      </c>
      <c r="H45">
        <v>107</v>
      </c>
      <c r="I45" t="s">
        <v>1532</v>
      </c>
    </row>
    <row r="46" spans="1:9" x14ac:dyDescent="0.3">
      <c r="A46" t="s">
        <v>1619</v>
      </c>
      <c r="B46" t="s">
        <v>1620</v>
      </c>
      <c r="C46" t="s">
        <v>1464</v>
      </c>
      <c r="D46">
        <v>102</v>
      </c>
      <c r="E46">
        <v>115</v>
      </c>
      <c r="F46">
        <v>107</v>
      </c>
      <c r="G46">
        <v>106</v>
      </c>
      <c r="H46">
        <v>108</v>
      </c>
      <c r="I46" t="s">
        <v>1532</v>
      </c>
    </row>
    <row r="47" spans="1:9" x14ac:dyDescent="0.3">
      <c r="A47" t="s">
        <v>1621</v>
      </c>
      <c r="B47" t="s">
        <v>1622</v>
      </c>
      <c r="C47" t="s">
        <v>1464</v>
      </c>
      <c r="D47">
        <v>110</v>
      </c>
      <c r="E47">
        <v>123</v>
      </c>
      <c r="F47">
        <v>100</v>
      </c>
      <c r="G47">
        <v>108</v>
      </c>
      <c r="H47">
        <v>110</v>
      </c>
      <c r="I47" t="s">
        <v>1532</v>
      </c>
    </row>
    <row r="48" spans="1:9" x14ac:dyDescent="0.3">
      <c r="A48" t="s">
        <v>1623</v>
      </c>
      <c r="B48" t="s">
        <v>1624</v>
      </c>
      <c r="C48" t="s">
        <v>1464</v>
      </c>
      <c r="D48">
        <v>98</v>
      </c>
      <c r="E48">
        <v>128</v>
      </c>
      <c r="F48">
        <v>120</v>
      </c>
      <c r="G48">
        <v>111</v>
      </c>
      <c r="H48">
        <v>114</v>
      </c>
      <c r="I48" t="s">
        <v>1532</v>
      </c>
    </row>
    <row r="49" spans="1:9" x14ac:dyDescent="0.3">
      <c r="A49" t="s">
        <v>1625</v>
      </c>
      <c r="B49" t="s">
        <v>1626</v>
      </c>
      <c r="C49" t="s">
        <v>1627</v>
      </c>
      <c r="D49">
        <v>113</v>
      </c>
      <c r="E49">
        <v>93</v>
      </c>
      <c r="F49">
        <v>96</v>
      </c>
      <c r="G49">
        <v>84</v>
      </c>
      <c r="H49">
        <v>97</v>
      </c>
      <c r="I49" t="s">
        <v>1532</v>
      </c>
    </row>
    <row r="50" spans="1:9" x14ac:dyDescent="0.3">
      <c r="A50" t="s">
        <v>1628</v>
      </c>
      <c r="B50" t="s">
        <v>1629</v>
      </c>
      <c r="C50" t="s">
        <v>1461</v>
      </c>
      <c r="D50">
        <v>83</v>
      </c>
      <c r="E50">
        <v>99</v>
      </c>
      <c r="F50">
        <v>112</v>
      </c>
      <c r="G50">
        <v>102</v>
      </c>
      <c r="H50">
        <v>99</v>
      </c>
      <c r="I50" t="s">
        <v>1532</v>
      </c>
    </row>
    <row r="51" spans="1:9" x14ac:dyDescent="0.3">
      <c r="A51" t="s">
        <v>1630</v>
      </c>
      <c r="B51" t="s">
        <v>1631</v>
      </c>
      <c r="C51" t="s">
        <v>1461</v>
      </c>
      <c r="D51">
        <v>96</v>
      </c>
      <c r="E51">
        <v>101</v>
      </c>
      <c r="F51">
        <v>107</v>
      </c>
      <c r="G51">
        <v>104</v>
      </c>
      <c r="H51">
        <v>102</v>
      </c>
      <c r="I51" t="s">
        <v>1532</v>
      </c>
    </row>
    <row r="52" spans="1:9" x14ac:dyDescent="0.3">
      <c r="A52" t="s">
        <v>1632</v>
      </c>
      <c r="B52" t="s">
        <v>1633</v>
      </c>
      <c r="C52" t="s">
        <v>1461</v>
      </c>
      <c r="D52">
        <v>93</v>
      </c>
      <c r="E52">
        <v>97</v>
      </c>
      <c r="F52">
        <v>111</v>
      </c>
      <c r="G52">
        <v>111</v>
      </c>
      <c r="H52">
        <v>103</v>
      </c>
      <c r="I52" t="s">
        <v>1532</v>
      </c>
    </row>
    <row r="53" spans="1:9" x14ac:dyDescent="0.3">
      <c r="A53" t="s">
        <v>1634</v>
      </c>
      <c r="B53" t="s">
        <v>1635</v>
      </c>
      <c r="C53" t="s">
        <v>1461</v>
      </c>
      <c r="D53">
        <v>100</v>
      </c>
      <c r="E53">
        <v>119</v>
      </c>
      <c r="F53">
        <v>112</v>
      </c>
      <c r="G53">
        <v>116</v>
      </c>
      <c r="H53">
        <v>112</v>
      </c>
      <c r="I53" t="s">
        <v>1532</v>
      </c>
    </row>
    <row r="54" spans="1:9" x14ac:dyDescent="0.3">
      <c r="A54" t="s">
        <v>1636</v>
      </c>
      <c r="B54" t="s">
        <v>1637</v>
      </c>
      <c r="C54" t="s">
        <v>1467</v>
      </c>
      <c r="D54">
        <v>112</v>
      </c>
      <c r="E54">
        <v>102</v>
      </c>
      <c r="F54">
        <v>96</v>
      </c>
      <c r="G54">
        <v>102</v>
      </c>
      <c r="H54">
        <v>103</v>
      </c>
      <c r="I54" t="s">
        <v>1532</v>
      </c>
    </row>
    <row r="55" spans="1:9" x14ac:dyDescent="0.3">
      <c r="A55" t="s">
        <v>1638</v>
      </c>
      <c r="B55" t="s">
        <v>1639</v>
      </c>
      <c r="C55" t="s">
        <v>1463</v>
      </c>
      <c r="D55">
        <v>84</v>
      </c>
      <c r="E55">
        <v>113</v>
      </c>
      <c r="F55">
        <v>124</v>
      </c>
      <c r="G55">
        <v>108</v>
      </c>
      <c r="H55">
        <v>107</v>
      </c>
      <c r="I55" t="s">
        <v>1532</v>
      </c>
    </row>
    <row r="56" spans="1:9" x14ac:dyDescent="0.3">
      <c r="A56" t="s">
        <v>1640</v>
      </c>
      <c r="B56" t="s">
        <v>1641</v>
      </c>
      <c r="C56" t="s">
        <v>1464</v>
      </c>
      <c r="D56">
        <v>81</v>
      </c>
      <c r="E56">
        <v>99</v>
      </c>
      <c r="F56">
        <v>105</v>
      </c>
      <c r="G56">
        <v>84</v>
      </c>
      <c r="H56">
        <v>92</v>
      </c>
      <c r="I56" t="s">
        <v>1532</v>
      </c>
    </row>
    <row r="57" spans="1:9" x14ac:dyDescent="0.3">
      <c r="A57" t="s">
        <v>1642</v>
      </c>
      <c r="B57" t="s">
        <v>1643</v>
      </c>
      <c r="C57" t="s">
        <v>1464</v>
      </c>
      <c r="D57">
        <v>76</v>
      </c>
      <c r="F57">
        <v>111</v>
      </c>
      <c r="H57">
        <v>94</v>
      </c>
      <c r="I57" t="s">
        <v>1532</v>
      </c>
    </row>
    <row r="58" spans="1:9" x14ac:dyDescent="0.3">
      <c r="A58" t="s">
        <v>1644</v>
      </c>
      <c r="B58" t="s">
        <v>1645</v>
      </c>
      <c r="C58" t="s">
        <v>1464</v>
      </c>
      <c r="D58">
        <v>86</v>
      </c>
      <c r="E58">
        <v>97</v>
      </c>
      <c r="F58">
        <v>100</v>
      </c>
      <c r="G58">
        <v>95</v>
      </c>
      <c r="H58">
        <v>95</v>
      </c>
      <c r="I58" t="s">
        <v>1532</v>
      </c>
    </row>
    <row r="59" spans="1:9" x14ac:dyDescent="0.3">
      <c r="A59" t="s">
        <v>1646</v>
      </c>
      <c r="B59" t="s">
        <v>1647</v>
      </c>
      <c r="C59" t="s">
        <v>1464</v>
      </c>
      <c r="D59">
        <v>84</v>
      </c>
      <c r="E59">
        <v>101</v>
      </c>
      <c r="F59">
        <v>105</v>
      </c>
      <c r="G59">
        <v>95</v>
      </c>
      <c r="H59">
        <v>96</v>
      </c>
      <c r="I59" t="s">
        <v>1532</v>
      </c>
    </row>
    <row r="60" spans="1:9" x14ac:dyDescent="0.3">
      <c r="A60" t="s">
        <v>1648</v>
      </c>
      <c r="B60" t="s">
        <v>1649</v>
      </c>
      <c r="C60" t="s">
        <v>1464</v>
      </c>
      <c r="D60">
        <v>93</v>
      </c>
      <c r="E60">
        <v>107</v>
      </c>
      <c r="F60">
        <v>100</v>
      </c>
      <c r="G60">
        <v>93</v>
      </c>
      <c r="H60">
        <v>98</v>
      </c>
      <c r="I60" t="s">
        <v>1532</v>
      </c>
    </row>
    <row r="61" spans="1:9" x14ac:dyDescent="0.3">
      <c r="A61" t="s">
        <v>1650</v>
      </c>
      <c r="B61" t="s">
        <v>1651</v>
      </c>
      <c r="C61" t="s">
        <v>1464</v>
      </c>
      <c r="D61">
        <v>98</v>
      </c>
      <c r="E61">
        <v>111</v>
      </c>
      <c r="F61">
        <v>98</v>
      </c>
      <c r="G61">
        <v>95</v>
      </c>
      <c r="H61">
        <v>101</v>
      </c>
      <c r="I61" t="s">
        <v>1532</v>
      </c>
    </row>
    <row r="62" spans="1:9" x14ac:dyDescent="0.3">
      <c r="A62" t="s">
        <v>1652</v>
      </c>
      <c r="B62" t="s">
        <v>1653</v>
      </c>
      <c r="C62" t="s">
        <v>1464</v>
      </c>
      <c r="D62">
        <v>96</v>
      </c>
      <c r="E62">
        <v>111</v>
      </c>
      <c r="F62">
        <v>109</v>
      </c>
      <c r="G62">
        <v>97</v>
      </c>
      <c r="H62">
        <v>103</v>
      </c>
      <c r="I62" t="s">
        <v>1532</v>
      </c>
    </row>
    <row r="63" spans="1:9" x14ac:dyDescent="0.3">
      <c r="A63" t="s">
        <v>1654</v>
      </c>
      <c r="B63" t="s">
        <v>1655</v>
      </c>
      <c r="C63" t="s">
        <v>1464</v>
      </c>
      <c r="D63">
        <v>89</v>
      </c>
      <c r="E63">
        <v>117</v>
      </c>
      <c r="F63">
        <v>118</v>
      </c>
      <c r="G63">
        <v>99</v>
      </c>
      <c r="H63">
        <v>106</v>
      </c>
      <c r="I63" t="s">
        <v>1532</v>
      </c>
    </row>
    <row r="64" spans="1:9" x14ac:dyDescent="0.3">
      <c r="A64" t="s">
        <v>1656</v>
      </c>
      <c r="B64" t="s">
        <v>1657</v>
      </c>
      <c r="C64" t="s">
        <v>1464</v>
      </c>
      <c r="D64">
        <v>106</v>
      </c>
      <c r="E64">
        <v>125</v>
      </c>
      <c r="F64">
        <v>131</v>
      </c>
      <c r="G64">
        <v>118</v>
      </c>
      <c r="H64">
        <v>120</v>
      </c>
      <c r="I64" t="s">
        <v>1532</v>
      </c>
    </row>
    <row r="65" spans="1:9" x14ac:dyDescent="0.3">
      <c r="A65" t="s">
        <v>441</v>
      </c>
      <c r="B65" t="s">
        <v>723</v>
      </c>
      <c r="C65" t="s">
        <v>1460</v>
      </c>
      <c r="D65">
        <v>85</v>
      </c>
      <c r="E65">
        <v>96</v>
      </c>
      <c r="F65">
        <v>108</v>
      </c>
      <c r="G65">
        <v>116</v>
      </c>
      <c r="H65">
        <v>101</v>
      </c>
      <c r="I65" t="s">
        <v>1459</v>
      </c>
    </row>
    <row r="66" spans="1:9" x14ac:dyDescent="0.3">
      <c r="A66" t="s">
        <v>475</v>
      </c>
      <c r="B66" t="s">
        <v>746</v>
      </c>
      <c r="C66" t="s">
        <v>1460</v>
      </c>
      <c r="D66">
        <v>79</v>
      </c>
      <c r="E66">
        <v>102</v>
      </c>
      <c r="F66">
        <v>101</v>
      </c>
      <c r="G66">
        <v>106</v>
      </c>
      <c r="H66">
        <v>97</v>
      </c>
      <c r="I66" t="s">
        <v>1459</v>
      </c>
    </row>
    <row r="67" spans="1:9" x14ac:dyDescent="0.3">
      <c r="A67" t="s">
        <v>471</v>
      </c>
      <c r="B67" t="s">
        <v>744</v>
      </c>
      <c r="C67" t="s">
        <v>1461</v>
      </c>
      <c r="D67">
        <v>86</v>
      </c>
      <c r="E67">
        <v>116</v>
      </c>
      <c r="F67">
        <v>99</v>
      </c>
      <c r="G67">
        <v>100</v>
      </c>
      <c r="H67">
        <v>100</v>
      </c>
      <c r="I67" t="s">
        <v>1459</v>
      </c>
    </row>
    <row r="68" spans="1:9" x14ac:dyDescent="0.3">
      <c r="A68" t="s">
        <v>467</v>
      </c>
      <c r="B68" t="s">
        <v>1462</v>
      </c>
      <c r="C68" t="s">
        <v>1461</v>
      </c>
      <c r="D68">
        <v>85</v>
      </c>
      <c r="E68">
        <v>112</v>
      </c>
      <c r="F68">
        <v>110</v>
      </c>
      <c r="G68">
        <v>97</v>
      </c>
      <c r="H68">
        <v>101</v>
      </c>
      <c r="I68" t="s">
        <v>1459</v>
      </c>
    </row>
    <row r="69" spans="1:9" x14ac:dyDescent="0.3">
      <c r="A69" t="s">
        <v>511</v>
      </c>
      <c r="B69" t="s">
        <v>763</v>
      </c>
      <c r="C69" t="s">
        <v>1461</v>
      </c>
      <c r="D69">
        <v>81</v>
      </c>
      <c r="E69">
        <v>104</v>
      </c>
      <c r="F69">
        <v>109</v>
      </c>
      <c r="G69">
        <v>93</v>
      </c>
      <c r="H69">
        <v>97</v>
      </c>
      <c r="I69" t="s">
        <v>1459</v>
      </c>
    </row>
    <row r="70" spans="1:9" x14ac:dyDescent="0.3">
      <c r="A70" t="s">
        <v>443</v>
      </c>
      <c r="B70" t="s">
        <v>724</v>
      </c>
      <c r="C70" t="s">
        <v>1461</v>
      </c>
      <c r="D70">
        <v>75</v>
      </c>
      <c r="E70">
        <v>110</v>
      </c>
      <c r="F70">
        <v>91</v>
      </c>
      <c r="G70">
        <v>95</v>
      </c>
      <c r="H70">
        <v>93</v>
      </c>
      <c r="I70" t="s">
        <v>1459</v>
      </c>
    </row>
    <row r="71" spans="1:9" x14ac:dyDescent="0.3">
      <c r="A71" t="s">
        <v>481</v>
      </c>
      <c r="B71" t="s">
        <v>748</v>
      </c>
      <c r="C71" t="s">
        <v>1463</v>
      </c>
      <c r="D71">
        <v>106</v>
      </c>
      <c r="E71">
        <v>114</v>
      </c>
      <c r="F71">
        <v>120</v>
      </c>
      <c r="G71">
        <v>128</v>
      </c>
      <c r="H71">
        <v>117</v>
      </c>
      <c r="I71" t="s">
        <v>1459</v>
      </c>
    </row>
    <row r="72" spans="1:9" x14ac:dyDescent="0.3">
      <c r="A72" t="s">
        <v>513</v>
      </c>
      <c r="B72" t="s">
        <v>765</v>
      </c>
      <c r="C72" t="s">
        <v>1463</v>
      </c>
      <c r="D72">
        <v>82</v>
      </c>
      <c r="E72">
        <v>118</v>
      </c>
      <c r="F72">
        <v>110</v>
      </c>
      <c r="G72">
        <v>106</v>
      </c>
      <c r="H72">
        <v>104</v>
      </c>
      <c r="I72" t="s">
        <v>1459</v>
      </c>
    </row>
    <row r="73" spans="1:9" x14ac:dyDescent="0.3">
      <c r="A73" t="s">
        <v>523</v>
      </c>
      <c r="B73" t="s">
        <v>774</v>
      </c>
      <c r="C73" t="s">
        <v>1463</v>
      </c>
      <c r="D73">
        <v>91</v>
      </c>
      <c r="E73">
        <v>95</v>
      </c>
      <c r="F73">
        <v>116</v>
      </c>
      <c r="G73">
        <v>115</v>
      </c>
      <c r="H73">
        <v>104</v>
      </c>
      <c r="I73" t="s">
        <v>1459</v>
      </c>
    </row>
    <row r="74" spans="1:9" x14ac:dyDescent="0.3">
      <c r="A74" t="s">
        <v>437</v>
      </c>
      <c r="B74" t="s">
        <v>721</v>
      </c>
      <c r="C74" t="s">
        <v>1464</v>
      </c>
      <c r="D74">
        <v>105</v>
      </c>
      <c r="E74">
        <v>97</v>
      </c>
      <c r="F74">
        <v>105</v>
      </c>
      <c r="G74">
        <v>99</v>
      </c>
      <c r="H74">
        <v>102</v>
      </c>
      <c r="I74" t="s">
        <v>1459</v>
      </c>
    </row>
    <row r="75" spans="1:9" x14ac:dyDescent="0.3">
      <c r="A75" t="s">
        <v>507</v>
      </c>
      <c r="B75" t="s">
        <v>1465</v>
      </c>
      <c r="C75" t="s">
        <v>1464</v>
      </c>
      <c r="D75">
        <v>97</v>
      </c>
      <c r="E75">
        <v>82</v>
      </c>
      <c r="F75">
        <v>99</v>
      </c>
      <c r="G75">
        <v>99</v>
      </c>
      <c r="H75">
        <v>94</v>
      </c>
      <c r="I75" t="s">
        <v>1459</v>
      </c>
    </row>
    <row r="76" spans="1:9" x14ac:dyDescent="0.3">
      <c r="A76" t="s">
        <v>489</v>
      </c>
      <c r="B76" t="s">
        <v>752</v>
      </c>
      <c r="C76" t="s">
        <v>1464</v>
      </c>
      <c r="D76">
        <v>89</v>
      </c>
      <c r="E76">
        <v>101</v>
      </c>
      <c r="F76">
        <v>105</v>
      </c>
      <c r="G76">
        <v>101</v>
      </c>
      <c r="H76">
        <v>99</v>
      </c>
      <c r="I76" t="s">
        <v>1459</v>
      </c>
    </row>
    <row r="77" spans="1:9" x14ac:dyDescent="0.3">
      <c r="A77" t="s">
        <v>531</v>
      </c>
      <c r="B77" t="s">
        <v>779</v>
      </c>
      <c r="C77" t="s">
        <v>1464</v>
      </c>
      <c r="D77">
        <v>85</v>
      </c>
      <c r="E77">
        <v>108</v>
      </c>
      <c r="F77">
        <v>89</v>
      </c>
      <c r="G77">
        <v>86</v>
      </c>
      <c r="H77">
        <v>92</v>
      </c>
      <c r="I77" t="s">
        <v>1459</v>
      </c>
    </row>
    <row r="78" spans="1:9" x14ac:dyDescent="0.3">
      <c r="A78" t="s">
        <v>479</v>
      </c>
      <c r="B78" t="s">
        <v>747</v>
      </c>
      <c r="C78" t="s">
        <v>1464</v>
      </c>
      <c r="D78">
        <v>81</v>
      </c>
      <c r="E78">
        <v>95</v>
      </c>
      <c r="F78">
        <v>109</v>
      </c>
      <c r="G78">
        <v>84</v>
      </c>
      <c r="H78">
        <v>92</v>
      </c>
      <c r="I78" t="s">
        <v>1459</v>
      </c>
    </row>
    <row r="79" spans="1:9" x14ac:dyDescent="0.3">
      <c r="A79" t="s">
        <v>487</v>
      </c>
      <c r="B79" t="s">
        <v>1229</v>
      </c>
      <c r="C79" t="s">
        <v>1464</v>
      </c>
      <c r="D79">
        <v>76</v>
      </c>
      <c r="E79">
        <v>106</v>
      </c>
      <c r="F79">
        <v>94</v>
      </c>
      <c r="G79">
        <v>84</v>
      </c>
      <c r="H79">
        <v>90</v>
      </c>
      <c r="I79" t="s">
        <v>1459</v>
      </c>
    </row>
    <row r="80" spans="1:9" x14ac:dyDescent="0.3">
      <c r="A80" t="s">
        <v>447</v>
      </c>
      <c r="B80" t="s">
        <v>728</v>
      </c>
      <c r="C80" t="s">
        <v>1460</v>
      </c>
      <c r="D80">
        <v>88</v>
      </c>
      <c r="E80">
        <v>123</v>
      </c>
      <c r="F80">
        <v>120</v>
      </c>
      <c r="G80">
        <v>118</v>
      </c>
      <c r="H80">
        <v>112</v>
      </c>
      <c r="I80" t="s">
        <v>1459</v>
      </c>
    </row>
    <row r="81" spans="1:9" x14ac:dyDescent="0.3">
      <c r="A81" t="s">
        <v>495</v>
      </c>
      <c r="B81" t="s">
        <v>1466</v>
      </c>
      <c r="C81" t="s">
        <v>1460</v>
      </c>
      <c r="D81">
        <v>73</v>
      </c>
      <c r="E81">
        <v>102</v>
      </c>
      <c r="F81">
        <v>90</v>
      </c>
      <c r="G81">
        <v>97</v>
      </c>
      <c r="H81">
        <v>91</v>
      </c>
      <c r="I81" t="s">
        <v>1459</v>
      </c>
    </row>
    <row r="82" spans="1:9" x14ac:dyDescent="0.3">
      <c r="A82" t="s">
        <v>529</v>
      </c>
      <c r="B82" t="s">
        <v>778</v>
      </c>
      <c r="C82" t="s">
        <v>1461</v>
      </c>
      <c r="D82">
        <v>89</v>
      </c>
      <c r="E82">
        <v>104</v>
      </c>
      <c r="F82">
        <v>111</v>
      </c>
      <c r="G82">
        <v>106</v>
      </c>
      <c r="H82">
        <v>103</v>
      </c>
      <c r="I82" t="s">
        <v>1459</v>
      </c>
    </row>
    <row r="83" spans="1:9" x14ac:dyDescent="0.3">
      <c r="A83" t="s">
        <v>459</v>
      </c>
      <c r="B83" t="s">
        <v>735</v>
      </c>
      <c r="C83" t="s">
        <v>1461</v>
      </c>
      <c r="D83">
        <v>88</v>
      </c>
      <c r="E83">
        <v>107</v>
      </c>
      <c r="F83">
        <v>105</v>
      </c>
      <c r="G83">
        <v>100</v>
      </c>
      <c r="H83">
        <v>100</v>
      </c>
      <c r="I83" t="s">
        <v>1459</v>
      </c>
    </row>
    <row r="84" spans="1:9" x14ac:dyDescent="0.3">
      <c r="A84" t="s">
        <v>483</v>
      </c>
      <c r="B84" t="s">
        <v>750</v>
      </c>
      <c r="C84" t="s">
        <v>1467</v>
      </c>
      <c r="D84">
        <v>92</v>
      </c>
      <c r="E84">
        <v>88</v>
      </c>
      <c r="F84">
        <v>85</v>
      </c>
      <c r="G84">
        <v>77</v>
      </c>
      <c r="H84">
        <v>86</v>
      </c>
      <c r="I84" t="s">
        <v>1459</v>
      </c>
    </row>
    <row r="85" spans="1:9" x14ac:dyDescent="0.3">
      <c r="A85" t="s">
        <v>1658</v>
      </c>
      <c r="B85" t="s">
        <v>1468</v>
      </c>
      <c r="C85" t="s">
        <v>1467</v>
      </c>
      <c r="D85">
        <v>105</v>
      </c>
      <c r="E85">
        <v>91</v>
      </c>
      <c r="F85">
        <v>94</v>
      </c>
      <c r="G85">
        <v>89</v>
      </c>
      <c r="H85">
        <v>95</v>
      </c>
      <c r="I85" t="s">
        <v>1459</v>
      </c>
    </row>
    <row r="86" spans="1:9" x14ac:dyDescent="0.3">
      <c r="A86" t="s">
        <v>445</v>
      </c>
      <c r="B86" t="s">
        <v>726</v>
      </c>
      <c r="C86" t="s">
        <v>1467</v>
      </c>
      <c r="D86">
        <v>97</v>
      </c>
      <c r="E86">
        <v>107</v>
      </c>
      <c r="F86">
        <v>105</v>
      </c>
      <c r="G86">
        <v>88</v>
      </c>
      <c r="H86">
        <v>99</v>
      </c>
      <c r="I86" t="s">
        <v>1459</v>
      </c>
    </row>
    <row r="87" spans="1:9" x14ac:dyDescent="0.3">
      <c r="A87" t="s">
        <v>463</v>
      </c>
      <c r="B87" t="s">
        <v>739</v>
      </c>
      <c r="C87" t="s">
        <v>1463</v>
      </c>
      <c r="D87">
        <v>98</v>
      </c>
      <c r="E87">
        <v>106</v>
      </c>
      <c r="F87">
        <v>114</v>
      </c>
      <c r="G87">
        <v>120</v>
      </c>
      <c r="H87">
        <v>110</v>
      </c>
      <c r="I87" t="s">
        <v>1459</v>
      </c>
    </row>
    <row r="88" spans="1:9" x14ac:dyDescent="0.3">
      <c r="A88" t="s">
        <v>477</v>
      </c>
      <c r="B88" t="s">
        <v>1222</v>
      </c>
      <c r="C88" t="s">
        <v>1463</v>
      </c>
      <c r="D88">
        <v>77</v>
      </c>
      <c r="E88">
        <v>98</v>
      </c>
      <c r="F88">
        <v>107</v>
      </c>
      <c r="G88">
        <v>97</v>
      </c>
      <c r="H88">
        <v>95</v>
      </c>
      <c r="I88" t="s">
        <v>1459</v>
      </c>
    </row>
    <row r="89" spans="1:9" x14ac:dyDescent="0.3">
      <c r="A89" t="s">
        <v>429</v>
      </c>
      <c r="B89" t="s">
        <v>716</v>
      </c>
      <c r="C89" t="s">
        <v>1464</v>
      </c>
      <c r="D89">
        <v>95</v>
      </c>
      <c r="E89">
        <v>89</v>
      </c>
      <c r="F89">
        <v>100</v>
      </c>
      <c r="G89">
        <v>97</v>
      </c>
      <c r="H89">
        <v>95</v>
      </c>
      <c r="I89" t="s">
        <v>1459</v>
      </c>
    </row>
    <row r="90" spans="1:9" x14ac:dyDescent="0.3">
      <c r="A90" t="s">
        <v>435</v>
      </c>
      <c r="B90" t="s">
        <v>720</v>
      </c>
      <c r="C90" t="s">
        <v>1464</v>
      </c>
      <c r="D90">
        <v>100</v>
      </c>
      <c r="E90">
        <v>115</v>
      </c>
      <c r="F90">
        <v>111</v>
      </c>
      <c r="G90">
        <v>109</v>
      </c>
      <c r="H90">
        <v>109</v>
      </c>
      <c r="I90" t="s">
        <v>1459</v>
      </c>
    </row>
    <row r="91" spans="1:9" x14ac:dyDescent="0.3">
      <c r="A91" t="s">
        <v>527</v>
      </c>
      <c r="B91" t="s">
        <v>777</v>
      </c>
      <c r="C91" t="s">
        <v>1464</v>
      </c>
      <c r="D91">
        <v>97</v>
      </c>
      <c r="E91">
        <v>104</v>
      </c>
      <c r="F91">
        <v>98</v>
      </c>
      <c r="G91">
        <v>93</v>
      </c>
      <c r="H91">
        <v>98</v>
      </c>
      <c r="I91" t="s">
        <v>1459</v>
      </c>
    </row>
    <row r="92" spans="1:9" x14ac:dyDescent="0.3">
      <c r="A92" t="s">
        <v>420</v>
      </c>
      <c r="B92" t="s">
        <v>703</v>
      </c>
      <c r="C92" t="s">
        <v>1464</v>
      </c>
      <c r="D92">
        <v>88</v>
      </c>
      <c r="E92">
        <v>111</v>
      </c>
      <c r="F92">
        <v>102</v>
      </c>
      <c r="G92">
        <v>80</v>
      </c>
      <c r="H92">
        <v>95</v>
      </c>
      <c r="I92" t="s">
        <v>1459</v>
      </c>
    </row>
    <row r="93" spans="1:9" x14ac:dyDescent="0.3">
      <c r="A93" t="s">
        <v>499</v>
      </c>
      <c r="B93" t="s">
        <v>1236</v>
      </c>
      <c r="C93" t="s">
        <v>1464</v>
      </c>
      <c r="D93">
        <v>84</v>
      </c>
      <c r="E93">
        <v>97</v>
      </c>
      <c r="F93">
        <v>82</v>
      </c>
      <c r="G93">
        <v>77</v>
      </c>
      <c r="H93">
        <v>85</v>
      </c>
      <c r="I93" t="s">
        <v>1459</v>
      </c>
    </row>
    <row r="94" spans="1:9" x14ac:dyDescent="0.3">
      <c r="A94" t="s">
        <v>439</v>
      </c>
      <c r="B94" t="s">
        <v>1200</v>
      </c>
      <c r="C94" t="s">
        <v>1464</v>
      </c>
      <c r="D94">
        <v>87</v>
      </c>
      <c r="E94">
        <v>101</v>
      </c>
      <c r="F94">
        <v>102</v>
      </c>
      <c r="G94">
        <v>80</v>
      </c>
      <c r="H94">
        <v>93</v>
      </c>
      <c r="I94" t="s">
        <v>1459</v>
      </c>
    </row>
    <row r="95" spans="1:9" x14ac:dyDescent="0.3">
      <c r="A95" t="s">
        <v>433</v>
      </c>
      <c r="B95" t="s">
        <v>719</v>
      </c>
      <c r="C95" t="s">
        <v>1460</v>
      </c>
      <c r="D95">
        <v>85</v>
      </c>
      <c r="E95">
        <v>110</v>
      </c>
      <c r="F95">
        <v>131</v>
      </c>
      <c r="G95">
        <v>119</v>
      </c>
      <c r="H95">
        <v>111</v>
      </c>
      <c r="I95" t="s">
        <v>1459</v>
      </c>
    </row>
    <row r="96" spans="1:9" x14ac:dyDescent="0.3">
      <c r="A96" t="s">
        <v>455</v>
      </c>
      <c r="B96" t="s">
        <v>733</v>
      </c>
      <c r="C96" t="s">
        <v>1461</v>
      </c>
      <c r="D96">
        <v>93</v>
      </c>
      <c r="E96">
        <v>93</v>
      </c>
      <c r="F96">
        <v>105</v>
      </c>
      <c r="G96">
        <v>108</v>
      </c>
      <c r="H96">
        <v>100</v>
      </c>
      <c r="I96" t="s">
        <v>1459</v>
      </c>
    </row>
    <row r="97" spans="1:9" x14ac:dyDescent="0.3">
      <c r="A97" t="s">
        <v>485</v>
      </c>
      <c r="B97" t="s">
        <v>751</v>
      </c>
      <c r="C97" t="s">
        <v>1461</v>
      </c>
      <c r="D97">
        <v>85</v>
      </c>
      <c r="E97">
        <v>102</v>
      </c>
      <c r="F97">
        <v>103</v>
      </c>
      <c r="G97">
        <v>97</v>
      </c>
      <c r="H97">
        <v>97</v>
      </c>
      <c r="I97" t="s">
        <v>1459</v>
      </c>
    </row>
    <row r="98" spans="1:9" x14ac:dyDescent="0.3">
      <c r="A98" t="s">
        <v>461</v>
      </c>
      <c r="B98" t="s">
        <v>737</v>
      </c>
      <c r="C98" t="s">
        <v>1467</v>
      </c>
      <c r="D98">
        <v>110</v>
      </c>
      <c r="E98">
        <v>113</v>
      </c>
      <c r="F98">
        <v>105</v>
      </c>
      <c r="G98">
        <v>93</v>
      </c>
      <c r="H98">
        <v>105</v>
      </c>
      <c r="I98" t="s">
        <v>1459</v>
      </c>
    </row>
    <row r="99" spans="1:9" x14ac:dyDescent="0.3">
      <c r="A99" t="s">
        <v>423</v>
      </c>
      <c r="B99" t="s">
        <v>708</v>
      </c>
      <c r="C99" t="s">
        <v>1463</v>
      </c>
      <c r="D99">
        <v>83</v>
      </c>
      <c r="E99">
        <v>102</v>
      </c>
      <c r="F99">
        <v>118</v>
      </c>
      <c r="G99">
        <v>104</v>
      </c>
      <c r="H99">
        <v>102</v>
      </c>
      <c r="I99" t="s">
        <v>1459</v>
      </c>
    </row>
    <row r="100" spans="1:9" x14ac:dyDescent="0.3">
      <c r="A100" t="s">
        <v>509</v>
      </c>
      <c r="B100" t="s">
        <v>761</v>
      </c>
      <c r="C100" t="s">
        <v>1463</v>
      </c>
      <c r="D100">
        <v>79</v>
      </c>
      <c r="E100">
        <v>111</v>
      </c>
      <c r="F100">
        <v>103</v>
      </c>
      <c r="G100">
        <v>97</v>
      </c>
      <c r="H100">
        <v>98</v>
      </c>
      <c r="I100" t="s">
        <v>1459</v>
      </c>
    </row>
    <row r="101" spans="1:9" x14ac:dyDescent="0.3">
      <c r="A101" t="s">
        <v>427</v>
      </c>
      <c r="B101" t="s">
        <v>713</v>
      </c>
      <c r="C101" t="s">
        <v>1463</v>
      </c>
      <c r="D101">
        <v>85</v>
      </c>
      <c r="E101">
        <v>100</v>
      </c>
      <c r="F101">
        <v>96</v>
      </c>
      <c r="G101">
        <v>105</v>
      </c>
      <c r="H101">
        <v>97</v>
      </c>
      <c r="I101" t="s">
        <v>1459</v>
      </c>
    </row>
    <row r="102" spans="1:9" x14ac:dyDescent="0.3">
      <c r="A102" t="s">
        <v>465</v>
      </c>
      <c r="B102" t="s">
        <v>741</v>
      </c>
      <c r="C102" t="s">
        <v>1469</v>
      </c>
      <c r="D102">
        <v>109</v>
      </c>
      <c r="E102">
        <v>98</v>
      </c>
      <c r="F102">
        <v>105</v>
      </c>
      <c r="G102">
        <v>88</v>
      </c>
      <c r="H102">
        <v>100</v>
      </c>
      <c r="I102" t="s">
        <v>1459</v>
      </c>
    </row>
    <row r="103" spans="1:9" x14ac:dyDescent="0.3">
      <c r="A103" t="s">
        <v>431</v>
      </c>
      <c r="B103" t="s">
        <v>717</v>
      </c>
      <c r="C103" t="s">
        <v>1469</v>
      </c>
      <c r="D103">
        <v>112</v>
      </c>
      <c r="E103">
        <v>106</v>
      </c>
      <c r="F103">
        <v>126</v>
      </c>
      <c r="G103">
        <v>95</v>
      </c>
      <c r="H103">
        <v>110</v>
      </c>
      <c r="I103" t="s">
        <v>1459</v>
      </c>
    </row>
    <row r="104" spans="1:9" x14ac:dyDescent="0.3">
      <c r="A104" t="s">
        <v>453</v>
      </c>
      <c r="B104" t="s">
        <v>731</v>
      </c>
      <c r="C104" t="s">
        <v>1464</v>
      </c>
      <c r="D104">
        <v>90</v>
      </c>
      <c r="E104">
        <v>119</v>
      </c>
      <c r="F104">
        <v>105</v>
      </c>
      <c r="G104">
        <v>100</v>
      </c>
      <c r="H104">
        <v>104</v>
      </c>
      <c r="I104" t="s">
        <v>1459</v>
      </c>
    </row>
    <row r="105" spans="1:9" x14ac:dyDescent="0.3">
      <c r="A105" t="s">
        <v>515</v>
      </c>
      <c r="B105" t="s">
        <v>767</v>
      </c>
      <c r="C105" t="s">
        <v>1464</v>
      </c>
      <c r="D105">
        <v>101</v>
      </c>
      <c r="E105">
        <v>95</v>
      </c>
      <c r="F105">
        <v>122</v>
      </c>
      <c r="G105">
        <v>109</v>
      </c>
      <c r="H105">
        <v>107</v>
      </c>
      <c r="I105" t="s">
        <v>1459</v>
      </c>
    </row>
    <row r="106" spans="1:9" x14ac:dyDescent="0.3">
      <c r="A106" t="s">
        <v>501</v>
      </c>
      <c r="B106" t="s">
        <v>757</v>
      </c>
      <c r="C106" t="s">
        <v>1464</v>
      </c>
      <c r="D106">
        <v>89</v>
      </c>
      <c r="E106">
        <v>106</v>
      </c>
      <c r="F106">
        <v>87</v>
      </c>
      <c r="G106">
        <v>86</v>
      </c>
      <c r="H106">
        <v>92</v>
      </c>
      <c r="I106" t="s">
        <v>1459</v>
      </c>
    </row>
    <row r="107" spans="1:9" x14ac:dyDescent="0.3">
      <c r="A107" t="s">
        <v>473</v>
      </c>
      <c r="B107" t="s">
        <v>745</v>
      </c>
      <c r="C107" t="s">
        <v>1464</v>
      </c>
      <c r="D107">
        <v>91</v>
      </c>
      <c r="E107">
        <v>105</v>
      </c>
      <c r="F107">
        <v>102</v>
      </c>
      <c r="G107">
        <v>99</v>
      </c>
      <c r="H107">
        <v>99</v>
      </c>
      <c r="I107" t="s">
        <v>1459</v>
      </c>
    </row>
    <row r="108" spans="1:9" x14ac:dyDescent="0.3">
      <c r="A108" t="s">
        <v>449</v>
      </c>
      <c r="B108" t="s">
        <v>1207</v>
      </c>
      <c r="C108" t="s">
        <v>1464</v>
      </c>
      <c r="D108">
        <v>85</v>
      </c>
      <c r="E108">
        <v>98</v>
      </c>
      <c r="F108">
        <v>105</v>
      </c>
      <c r="G108">
        <v>95</v>
      </c>
      <c r="H108">
        <v>96</v>
      </c>
      <c r="I108" t="s">
        <v>1459</v>
      </c>
    </row>
    <row r="109" spans="1:9" x14ac:dyDescent="0.3">
      <c r="A109" t="s">
        <v>493</v>
      </c>
      <c r="B109" t="s">
        <v>754</v>
      </c>
      <c r="C109" t="s">
        <v>1464</v>
      </c>
      <c r="D109">
        <v>88</v>
      </c>
      <c r="E109">
        <v>94</v>
      </c>
      <c r="F109">
        <v>102</v>
      </c>
      <c r="G109">
        <v>77</v>
      </c>
      <c r="H109">
        <v>90</v>
      </c>
      <c r="I109" t="s">
        <v>1459</v>
      </c>
    </row>
    <row r="110" spans="1:9" x14ac:dyDescent="0.3">
      <c r="A110" t="s">
        <v>469</v>
      </c>
      <c r="B110" t="s">
        <v>742</v>
      </c>
      <c r="C110" t="s">
        <v>1460</v>
      </c>
      <c r="D110">
        <v>88</v>
      </c>
      <c r="E110">
        <v>100</v>
      </c>
      <c r="F110">
        <v>101</v>
      </c>
      <c r="G110">
        <v>116</v>
      </c>
      <c r="H110">
        <v>101</v>
      </c>
      <c r="I110" t="s">
        <v>1459</v>
      </c>
    </row>
    <row r="111" spans="1:9" x14ac:dyDescent="0.3">
      <c r="A111" t="s">
        <v>457</v>
      </c>
      <c r="B111" t="s">
        <v>734</v>
      </c>
      <c r="C111" t="s">
        <v>1460</v>
      </c>
      <c r="D111">
        <v>81</v>
      </c>
      <c r="E111">
        <v>121</v>
      </c>
      <c r="F111">
        <v>99</v>
      </c>
      <c r="G111">
        <v>111</v>
      </c>
      <c r="H111">
        <v>103</v>
      </c>
      <c r="I111" t="s">
        <v>1459</v>
      </c>
    </row>
    <row r="112" spans="1:9" x14ac:dyDescent="0.3">
      <c r="A112" t="s">
        <v>519</v>
      </c>
      <c r="B112" t="s">
        <v>771</v>
      </c>
      <c r="C112" t="s">
        <v>1461</v>
      </c>
      <c r="D112">
        <v>88</v>
      </c>
      <c r="E112">
        <v>106</v>
      </c>
      <c r="F112">
        <v>116</v>
      </c>
      <c r="G112">
        <v>103</v>
      </c>
      <c r="H112">
        <v>103</v>
      </c>
      <c r="I112" t="s">
        <v>1459</v>
      </c>
    </row>
    <row r="113" spans="1:9" x14ac:dyDescent="0.3">
      <c r="A113" t="s">
        <v>451</v>
      </c>
      <c r="B113" t="s">
        <v>729</v>
      </c>
      <c r="C113" t="s">
        <v>1461</v>
      </c>
      <c r="D113">
        <v>86</v>
      </c>
      <c r="E113">
        <v>101</v>
      </c>
      <c r="F113">
        <v>87</v>
      </c>
      <c r="G113">
        <v>99</v>
      </c>
      <c r="H113">
        <v>93</v>
      </c>
      <c r="I113" t="s">
        <v>1459</v>
      </c>
    </row>
    <row r="114" spans="1:9" x14ac:dyDescent="0.3">
      <c r="A114" t="s">
        <v>505</v>
      </c>
      <c r="B114" t="s">
        <v>1470</v>
      </c>
      <c r="C114" t="s">
        <v>1461</v>
      </c>
      <c r="D114">
        <v>78</v>
      </c>
      <c r="E114">
        <v>95</v>
      </c>
      <c r="F114">
        <v>102</v>
      </c>
      <c r="G114">
        <v>95</v>
      </c>
      <c r="H114">
        <v>93</v>
      </c>
      <c r="I114" t="s">
        <v>1459</v>
      </c>
    </row>
    <row r="115" spans="1:9" x14ac:dyDescent="0.3">
      <c r="A115" t="s">
        <v>533</v>
      </c>
      <c r="B115" t="s">
        <v>780</v>
      </c>
      <c r="C115" t="s">
        <v>1461</v>
      </c>
      <c r="D115">
        <v>80</v>
      </c>
      <c r="E115">
        <v>95</v>
      </c>
      <c r="F115">
        <v>120</v>
      </c>
      <c r="G115">
        <v>95</v>
      </c>
      <c r="H115">
        <v>98</v>
      </c>
      <c r="I115" t="s">
        <v>1459</v>
      </c>
    </row>
    <row r="116" spans="1:9" x14ac:dyDescent="0.3">
      <c r="A116" t="s">
        <v>425</v>
      </c>
      <c r="B116" t="s">
        <v>710</v>
      </c>
      <c r="C116" t="s">
        <v>1461</v>
      </c>
      <c r="D116">
        <v>96</v>
      </c>
      <c r="E116">
        <v>131</v>
      </c>
      <c r="F116">
        <v>122</v>
      </c>
      <c r="G116">
        <v>111</v>
      </c>
      <c r="H116">
        <v>115</v>
      </c>
      <c r="I116" t="s">
        <v>1459</v>
      </c>
    </row>
    <row r="117" spans="1:9" x14ac:dyDescent="0.3">
      <c r="A117" t="s">
        <v>525</v>
      </c>
      <c r="B117" t="s">
        <v>775</v>
      </c>
      <c r="C117" t="s">
        <v>1463</v>
      </c>
      <c r="D117">
        <v>85</v>
      </c>
      <c r="E117">
        <v>129</v>
      </c>
      <c r="F117">
        <v>116</v>
      </c>
      <c r="G117">
        <v>110</v>
      </c>
      <c r="H117">
        <v>110</v>
      </c>
      <c r="I117" t="s">
        <v>1459</v>
      </c>
    </row>
    <row r="118" spans="1:9" x14ac:dyDescent="0.3">
      <c r="A118" t="s">
        <v>521</v>
      </c>
      <c r="B118" t="s">
        <v>773</v>
      </c>
      <c r="C118" t="s">
        <v>1463</v>
      </c>
      <c r="D118">
        <v>77</v>
      </c>
      <c r="E118">
        <v>99</v>
      </c>
      <c r="F118">
        <v>98</v>
      </c>
      <c r="G118">
        <v>99</v>
      </c>
      <c r="H118">
        <v>93</v>
      </c>
      <c r="I118" t="s">
        <v>1459</v>
      </c>
    </row>
    <row r="119" spans="1:9" x14ac:dyDescent="0.3">
      <c r="A119" t="s">
        <v>497</v>
      </c>
      <c r="B119" t="s">
        <v>755</v>
      </c>
      <c r="C119" t="s">
        <v>1463</v>
      </c>
      <c r="D119">
        <v>91</v>
      </c>
      <c r="E119">
        <v>116</v>
      </c>
      <c r="F119">
        <v>111</v>
      </c>
      <c r="G119">
        <v>115</v>
      </c>
      <c r="H119">
        <v>108</v>
      </c>
      <c r="I119" t="s">
        <v>1459</v>
      </c>
    </row>
    <row r="120" spans="1:9" x14ac:dyDescent="0.3">
      <c r="A120" t="s">
        <v>535</v>
      </c>
      <c r="B120" t="s">
        <v>781</v>
      </c>
      <c r="C120" t="s">
        <v>1469</v>
      </c>
      <c r="D120">
        <v>113</v>
      </c>
      <c r="E120">
        <v>96</v>
      </c>
      <c r="F120">
        <v>105</v>
      </c>
      <c r="G120">
        <v>95</v>
      </c>
      <c r="H120">
        <v>102</v>
      </c>
      <c r="I120" t="s">
        <v>1459</v>
      </c>
    </row>
    <row r="121" spans="1:9" x14ac:dyDescent="0.3">
      <c r="A121" t="s">
        <v>503</v>
      </c>
      <c r="B121" t="s">
        <v>759</v>
      </c>
      <c r="C121" t="s">
        <v>1464</v>
      </c>
      <c r="D121">
        <v>85</v>
      </c>
      <c r="E121">
        <v>104</v>
      </c>
      <c r="F121">
        <v>109</v>
      </c>
      <c r="G121">
        <v>91</v>
      </c>
      <c r="H121">
        <v>97</v>
      </c>
      <c r="I121" t="s">
        <v>1459</v>
      </c>
    </row>
    <row r="122" spans="1:9" x14ac:dyDescent="0.3">
      <c r="A122" t="s">
        <v>1659</v>
      </c>
      <c r="B122" t="s">
        <v>1471</v>
      </c>
      <c r="C122" t="s">
        <v>1464</v>
      </c>
      <c r="D122">
        <v>87</v>
      </c>
      <c r="E122">
        <v>115</v>
      </c>
      <c r="F122">
        <v>96</v>
      </c>
      <c r="G122">
        <v>93</v>
      </c>
      <c r="H122">
        <v>98</v>
      </c>
      <c r="I122" t="s">
        <v>1459</v>
      </c>
    </row>
    <row r="123" spans="1:9" x14ac:dyDescent="0.3">
      <c r="A123" t="s">
        <v>491</v>
      </c>
      <c r="B123" t="s">
        <v>753</v>
      </c>
      <c r="C123" t="s">
        <v>1464</v>
      </c>
      <c r="D123">
        <v>83</v>
      </c>
      <c r="E123">
        <v>106</v>
      </c>
      <c r="F123">
        <v>112</v>
      </c>
      <c r="G123">
        <v>83</v>
      </c>
      <c r="H123">
        <v>96</v>
      </c>
      <c r="I123" t="s">
        <v>1459</v>
      </c>
    </row>
    <row r="124" spans="1:9" x14ac:dyDescent="0.3">
      <c r="A124" t="s">
        <v>517</v>
      </c>
      <c r="B124" t="s">
        <v>769</v>
      </c>
      <c r="C124" t="s">
        <v>1464</v>
      </c>
      <c r="D124">
        <v>85</v>
      </c>
      <c r="E124">
        <v>99</v>
      </c>
      <c r="F124">
        <v>100</v>
      </c>
      <c r="G124">
        <v>86</v>
      </c>
      <c r="H124">
        <v>93</v>
      </c>
      <c r="I124" t="s">
        <v>1459</v>
      </c>
    </row>
    <row r="125" spans="1:9" x14ac:dyDescent="0.3">
      <c r="A125" t="s">
        <v>319</v>
      </c>
      <c r="B125" t="s">
        <v>653</v>
      </c>
      <c r="C125" t="s">
        <v>1464</v>
      </c>
      <c r="D125">
        <v>95</v>
      </c>
      <c r="E125">
        <v>106</v>
      </c>
      <c r="F125">
        <v>101</v>
      </c>
      <c r="G125">
        <v>97</v>
      </c>
      <c r="H125">
        <v>100</v>
      </c>
      <c r="I125" t="s">
        <v>1472</v>
      </c>
    </row>
    <row r="126" spans="1:9" x14ac:dyDescent="0.3">
      <c r="A126" t="s">
        <v>341</v>
      </c>
      <c r="B126" t="s">
        <v>664</v>
      </c>
      <c r="C126" t="s">
        <v>1464</v>
      </c>
      <c r="D126">
        <v>87</v>
      </c>
      <c r="E126">
        <v>75</v>
      </c>
      <c r="F126">
        <v>108</v>
      </c>
      <c r="G126">
        <v>90</v>
      </c>
      <c r="H126">
        <v>90</v>
      </c>
      <c r="I126" t="s">
        <v>1472</v>
      </c>
    </row>
    <row r="127" spans="1:9" x14ac:dyDescent="0.3">
      <c r="A127" t="s">
        <v>305</v>
      </c>
      <c r="B127" t="s">
        <v>646</v>
      </c>
      <c r="C127" t="s">
        <v>1464</v>
      </c>
      <c r="D127">
        <v>109</v>
      </c>
      <c r="E127">
        <v>103</v>
      </c>
      <c r="F127">
        <v>105</v>
      </c>
      <c r="G127">
        <v>100</v>
      </c>
      <c r="H127">
        <v>104</v>
      </c>
      <c r="I127" t="s">
        <v>1472</v>
      </c>
    </row>
    <row r="128" spans="1:9" x14ac:dyDescent="0.3">
      <c r="A128" t="s">
        <v>307</v>
      </c>
      <c r="B128" t="s">
        <v>647</v>
      </c>
      <c r="C128" t="s">
        <v>1460</v>
      </c>
      <c r="D128">
        <v>75</v>
      </c>
      <c r="E128">
        <v>114</v>
      </c>
      <c r="F128">
        <v>94</v>
      </c>
      <c r="G128">
        <v>104</v>
      </c>
      <c r="H128">
        <v>97</v>
      </c>
      <c r="I128" t="s">
        <v>1472</v>
      </c>
    </row>
    <row r="129" spans="1:9" x14ac:dyDescent="0.3">
      <c r="A129" t="s">
        <v>311</v>
      </c>
      <c r="B129" t="s">
        <v>649</v>
      </c>
      <c r="C129" t="s">
        <v>1460</v>
      </c>
      <c r="D129">
        <v>80</v>
      </c>
      <c r="E129">
        <v>106</v>
      </c>
      <c r="F129">
        <v>101</v>
      </c>
      <c r="G129">
        <v>105</v>
      </c>
      <c r="H129">
        <v>98</v>
      </c>
      <c r="I129" t="s">
        <v>1472</v>
      </c>
    </row>
    <row r="130" spans="1:9" x14ac:dyDescent="0.3">
      <c r="A130" t="s">
        <v>303</v>
      </c>
      <c r="B130" t="s">
        <v>645</v>
      </c>
      <c r="C130" t="s">
        <v>1460</v>
      </c>
      <c r="D130">
        <v>68</v>
      </c>
      <c r="E130">
        <v>103</v>
      </c>
      <c r="F130">
        <v>119</v>
      </c>
      <c r="G130">
        <v>104</v>
      </c>
      <c r="H130">
        <v>99</v>
      </c>
      <c r="I130" t="s">
        <v>1472</v>
      </c>
    </row>
    <row r="131" spans="1:9" x14ac:dyDescent="0.3">
      <c r="A131" t="s">
        <v>329</v>
      </c>
      <c r="B131" t="s">
        <v>658</v>
      </c>
      <c r="C131" t="s">
        <v>1460</v>
      </c>
      <c r="D131">
        <v>80</v>
      </c>
      <c r="E131">
        <v>106</v>
      </c>
      <c r="F131">
        <v>90</v>
      </c>
      <c r="G131">
        <v>114</v>
      </c>
      <c r="H131">
        <v>98</v>
      </c>
      <c r="I131" t="s">
        <v>1472</v>
      </c>
    </row>
    <row r="132" spans="1:9" x14ac:dyDescent="0.3">
      <c r="A132" t="s">
        <v>353</v>
      </c>
      <c r="B132" t="s">
        <v>670</v>
      </c>
      <c r="C132" t="s">
        <v>1464</v>
      </c>
      <c r="D132">
        <v>83</v>
      </c>
      <c r="E132">
        <v>90</v>
      </c>
      <c r="F132">
        <v>90</v>
      </c>
      <c r="G132">
        <v>80</v>
      </c>
      <c r="H132">
        <v>86</v>
      </c>
      <c r="I132" t="s">
        <v>1472</v>
      </c>
    </row>
    <row r="133" spans="1:9" x14ac:dyDescent="0.3">
      <c r="A133" t="s">
        <v>299</v>
      </c>
      <c r="B133" t="s">
        <v>643</v>
      </c>
      <c r="C133" t="s">
        <v>1461</v>
      </c>
      <c r="D133">
        <v>86</v>
      </c>
      <c r="E133">
        <v>114</v>
      </c>
      <c r="F133">
        <v>108</v>
      </c>
      <c r="G133">
        <v>102</v>
      </c>
      <c r="H133">
        <v>103</v>
      </c>
      <c r="I133" t="s">
        <v>1472</v>
      </c>
    </row>
    <row r="134" spans="1:9" x14ac:dyDescent="0.3">
      <c r="A134" t="s">
        <v>327</v>
      </c>
      <c r="B134" t="s">
        <v>657</v>
      </c>
      <c r="C134" t="s">
        <v>1461</v>
      </c>
      <c r="D134">
        <v>83</v>
      </c>
      <c r="E134">
        <v>103</v>
      </c>
      <c r="F134">
        <v>108</v>
      </c>
      <c r="G134">
        <v>98</v>
      </c>
      <c r="H134">
        <v>98</v>
      </c>
      <c r="I134" t="s">
        <v>1472</v>
      </c>
    </row>
    <row r="135" spans="1:9" x14ac:dyDescent="0.3">
      <c r="A135" t="s">
        <v>347</v>
      </c>
      <c r="B135" t="s">
        <v>667</v>
      </c>
      <c r="C135" t="s">
        <v>1461</v>
      </c>
      <c r="D135">
        <v>83</v>
      </c>
      <c r="E135">
        <v>106</v>
      </c>
      <c r="F135">
        <v>97</v>
      </c>
      <c r="G135">
        <v>98</v>
      </c>
      <c r="H135">
        <v>96</v>
      </c>
      <c r="I135" t="s">
        <v>1472</v>
      </c>
    </row>
    <row r="136" spans="1:9" x14ac:dyDescent="0.3">
      <c r="A136" t="s">
        <v>351</v>
      </c>
      <c r="B136" t="s">
        <v>669</v>
      </c>
      <c r="C136" t="s">
        <v>1463</v>
      </c>
      <c r="D136">
        <v>80</v>
      </c>
      <c r="E136">
        <v>106</v>
      </c>
      <c r="F136">
        <v>103</v>
      </c>
      <c r="G136">
        <v>98</v>
      </c>
      <c r="H136">
        <v>97</v>
      </c>
      <c r="I136" t="s">
        <v>1472</v>
      </c>
    </row>
    <row r="137" spans="1:9" x14ac:dyDescent="0.3">
      <c r="A137" t="s">
        <v>317</v>
      </c>
      <c r="B137" t="s">
        <v>652</v>
      </c>
      <c r="C137" t="s">
        <v>1463</v>
      </c>
      <c r="D137">
        <v>83</v>
      </c>
      <c r="E137">
        <v>106</v>
      </c>
      <c r="F137">
        <v>110</v>
      </c>
      <c r="G137">
        <v>107</v>
      </c>
      <c r="H137">
        <v>102</v>
      </c>
      <c r="I137" t="s">
        <v>1472</v>
      </c>
    </row>
    <row r="138" spans="1:9" x14ac:dyDescent="0.3">
      <c r="A138" t="s">
        <v>315</v>
      </c>
      <c r="B138" t="s">
        <v>651</v>
      </c>
      <c r="C138" t="s">
        <v>1464</v>
      </c>
      <c r="D138">
        <v>89</v>
      </c>
      <c r="E138">
        <v>100</v>
      </c>
      <c r="F138">
        <v>92</v>
      </c>
      <c r="G138">
        <v>102</v>
      </c>
      <c r="H138">
        <v>96</v>
      </c>
      <c r="I138" t="s">
        <v>1472</v>
      </c>
    </row>
    <row r="139" spans="1:9" x14ac:dyDescent="0.3">
      <c r="A139" t="s">
        <v>321</v>
      </c>
      <c r="B139" t="s">
        <v>654</v>
      </c>
      <c r="C139" t="s">
        <v>1464</v>
      </c>
      <c r="D139">
        <v>98</v>
      </c>
      <c r="E139">
        <v>128</v>
      </c>
      <c r="F139">
        <v>119</v>
      </c>
      <c r="G139">
        <v>95</v>
      </c>
      <c r="H139">
        <v>110</v>
      </c>
      <c r="I139" t="s">
        <v>1472</v>
      </c>
    </row>
    <row r="140" spans="1:9" x14ac:dyDescent="0.3">
      <c r="A140" t="s">
        <v>369</v>
      </c>
      <c r="B140" t="s">
        <v>678</v>
      </c>
      <c r="C140" t="s">
        <v>1460</v>
      </c>
      <c r="D140">
        <v>90</v>
      </c>
      <c r="E140">
        <v>116</v>
      </c>
      <c r="F140">
        <v>124</v>
      </c>
      <c r="G140">
        <v>119</v>
      </c>
      <c r="H140">
        <v>112</v>
      </c>
      <c r="I140" t="s">
        <v>1472</v>
      </c>
    </row>
    <row r="141" spans="1:9" x14ac:dyDescent="0.3">
      <c r="A141" t="s">
        <v>357</v>
      </c>
      <c r="B141" t="s">
        <v>672</v>
      </c>
      <c r="C141" t="s">
        <v>1460</v>
      </c>
      <c r="D141">
        <v>72</v>
      </c>
      <c r="E141">
        <v>103</v>
      </c>
      <c r="F141">
        <v>101</v>
      </c>
      <c r="G141">
        <v>97</v>
      </c>
      <c r="H141">
        <v>93</v>
      </c>
      <c r="I141" t="s">
        <v>1472</v>
      </c>
    </row>
    <row r="142" spans="1:9" x14ac:dyDescent="0.3">
      <c r="A142" t="s">
        <v>345</v>
      </c>
      <c r="B142" t="s">
        <v>666</v>
      </c>
      <c r="C142" t="s">
        <v>1460</v>
      </c>
      <c r="D142">
        <v>78</v>
      </c>
      <c r="E142">
        <v>120</v>
      </c>
      <c r="F142">
        <v>99</v>
      </c>
      <c r="G142">
        <v>116</v>
      </c>
      <c r="H142">
        <v>103</v>
      </c>
      <c r="I142" t="s">
        <v>1472</v>
      </c>
    </row>
    <row r="143" spans="1:9" x14ac:dyDescent="0.3">
      <c r="A143" t="s">
        <v>331</v>
      </c>
      <c r="B143" t="s">
        <v>659</v>
      </c>
      <c r="C143" t="s">
        <v>1464</v>
      </c>
      <c r="D143">
        <v>76</v>
      </c>
      <c r="E143">
        <v>105</v>
      </c>
      <c r="F143">
        <v>106</v>
      </c>
      <c r="G143">
        <v>72</v>
      </c>
      <c r="H143">
        <v>90</v>
      </c>
      <c r="I143" t="s">
        <v>1472</v>
      </c>
    </row>
    <row r="144" spans="1:9" x14ac:dyDescent="0.3">
      <c r="A144" t="s">
        <v>323</v>
      </c>
      <c r="B144" t="s">
        <v>655</v>
      </c>
      <c r="C144" t="s">
        <v>1464</v>
      </c>
      <c r="D144">
        <v>78</v>
      </c>
      <c r="E144">
        <v>92</v>
      </c>
      <c r="F144">
        <v>112</v>
      </c>
      <c r="G144">
        <v>80</v>
      </c>
      <c r="H144">
        <v>91</v>
      </c>
      <c r="I144" t="s">
        <v>1472</v>
      </c>
    </row>
    <row r="145" spans="1:9" x14ac:dyDescent="0.3">
      <c r="A145" t="s">
        <v>343</v>
      </c>
      <c r="B145" t="s">
        <v>665</v>
      </c>
      <c r="C145" t="s">
        <v>1461</v>
      </c>
      <c r="D145">
        <v>97</v>
      </c>
      <c r="E145">
        <v>114</v>
      </c>
      <c r="F145">
        <v>110</v>
      </c>
      <c r="G145">
        <v>116</v>
      </c>
      <c r="H145">
        <v>109</v>
      </c>
      <c r="I145" t="s">
        <v>1472</v>
      </c>
    </row>
    <row r="146" spans="1:9" x14ac:dyDescent="0.3">
      <c r="A146" t="s">
        <v>325</v>
      </c>
      <c r="B146" t="s">
        <v>656</v>
      </c>
      <c r="C146" t="s">
        <v>1461</v>
      </c>
      <c r="D146">
        <v>82</v>
      </c>
      <c r="E146">
        <v>114</v>
      </c>
      <c r="F146">
        <v>105</v>
      </c>
      <c r="G146">
        <v>102</v>
      </c>
      <c r="H146">
        <v>101</v>
      </c>
      <c r="I146" t="s">
        <v>1472</v>
      </c>
    </row>
    <row r="147" spans="1:9" x14ac:dyDescent="0.3">
      <c r="A147" t="s">
        <v>355</v>
      </c>
      <c r="B147" t="s">
        <v>671</v>
      </c>
      <c r="C147" t="s">
        <v>1463</v>
      </c>
      <c r="D147">
        <v>85</v>
      </c>
      <c r="E147">
        <v>90</v>
      </c>
      <c r="F147">
        <v>97</v>
      </c>
      <c r="G147">
        <v>111</v>
      </c>
      <c r="H147">
        <v>96</v>
      </c>
      <c r="I147" t="s">
        <v>1472</v>
      </c>
    </row>
    <row r="148" spans="1:9" x14ac:dyDescent="0.3">
      <c r="A148" t="s">
        <v>313</v>
      </c>
      <c r="B148" t="s">
        <v>650</v>
      </c>
      <c r="C148" t="s">
        <v>1463</v>
      </c>
      <c r="D148">
        <v>78</v>
      </c>
      <c r="E148">
        <v>98</v>
      </c>
      <c r="F148">
        <v>92</v>
      </c>
      <c r="G148">
        <v>100</v>
      </c>
      <c r="H148">
        <v>92</v>
      </c>
      <c r="I148" t="s">
        <v>1472</v>
      </c>
    </row>
    <row r="149" spans="1:9" x14ac:dyDescent="0.3">
      <c r="A149" t="s">
        <v>309</v>
      </c>
      <c r="B149" t="s">
        <v>648</v>
      </c>
      <c r="C149" t="s">
        <v>1463</v>
      </c>
      <c r="D149">
        <v>86</v>
      </c>
      <c r="E149">
        <v>103</v>
      </c>
      <c r="F149">
        <v>108</v>
      </c>
      <c r="G149">
        <v>104</v>
      </c>
      <c r="H149">
        <v>100</v>
      </c>
      <c r="I149" t="s">
        <v>1472</v>
      </c>
    </row>
    <row r="150" spans="1:9" x14ac:dyDescent="0.3">
      <c r="A150" t="s">
        <v>333</v>
      </c>
      <c r="B150" t="s">
        <v>660</v>
      </c>
      <c r="C150" t="s">
        <v>1463</v>
      </c>
      <c r="D150">
        <v>75</v>
      </c>
      <c r="E150">
        <v>118</v>
      </c>
      <c r="F150">
        <v>95</v>
      </c>
      <c r="G150">
        <v>102</v>
      </c>
      <c r="H150">
        <v>98</v>
      </c>
      <c r="I150" t="s">
        <v>1472</v>
      </c>
    </row>
    <row r="151" spans="1:9" x14ac:dyDescent="0.3">
      <c r="A151" t="s">
        <v>377</v>
      </c>
      <c r="B151" t="s">
        <v>682</v>
      </c>
      <c r="C151" t="s">
        <v>1464</v>
      </c>
      <c r="D151">
        <v>86</v>
      </c>
      <c r="E151">
        <v>112</v>
      </c>
      <c r="F151">
        <v>117</v>
      </c>
      <c r="G151">
        <v>95</v>
      </c>
      <c r="H151">
        <v>103</v>
      </c>
      <c r="I151" t="s">
        <v>1472</v>
      </c>
    </row>
    <row r="152" spans="1:9" x14ac:dyDescent="0.3">
      <c r="A152" t="s">
        <v>365</v>
      </c>
      <c r="B152" t="s">
        <v>676</v>
      </c>
      <c r="C152" t="s">
        <v>1464</v>
      </c>
      <c r="D152">
        <v>92</v>
      </c>
      <c r="E152">
        <v>105</v>
      </c>
      <c r="F152">
        <v>103</v>
      </c>
      <c r="G152">
        <v>93</v>
      </c>
      <c r="H152">
        <v>98</v>
      </c>
      <c r="I152" t="s">
        <v>1472</v>
      </c>
    </row>
    <row r="153" spans="1:9" x14ac:dyDescent="0.3">
      <c r="A153" t="s">
        <v>379</v>
      </c>
      <c r="B153" t="s">
        <v>683</v>
      </c>
      <c r="C153" t="s">
        <v>1464</v>
      </c>
      <c r="D153">
        <v>86</v>
      </c>
      <c r="E153">
        <v>104</v>
      </c>
      <c r="F153">
        <v>114</v>
      </c>
      <c r="G153">
        <v>95</v>
      </c>
      <c r="H153">
        <v>100</v>
      </c>
      <c r="I153" t="s">
        <v>1472</v>
      </c>
    </row>
    <row r="154" spans="1:9" x14ac:dyDescent="0.3">
      <c r="A154" t="s">
        <v>385</v>
      </c>
      <c r="B154" t="s">
        <v>686</v>
      </c>
      <c r="C154" t="s">
        <v>1464</v>
      </c>
      <c r="D154">
        <v>114</v>
      </c>
      <c r="E154">
        <v>94</v>
      </c>
      <c r="F154">
        <v>106</v>
      </c>
      <c r="G154">
        <v>111</v>
      </c>
      <c r="H154">
        <v>106</v>
      </c>
      <c r="I154" t="s">
        <v>1472</v>
      </c>
    </row>
    <row r="155" spans="1:9" x14ac:dyDescent="0.3">
      <c r="A155" t="s">
        <v>361</v>
      </c>
      <c r="B155" t="s">
        <v>674</v>
      </c>
      <c r="C155" t="s">
        <v>1460</v>
      </c>
      <c r="D155">
        <v>68</v>
      </c>
      <c r="E155">
        <v>87</v>
      </c>
      <c r="F155">
        <v>103</v>
      </c>
      <c r="G155">
        <v>98</v>
      </c>
      <c r="H155">
        <v>89</v>
      </c>
      <c r="I155" t="s">
        <v>1472</v>
      </c>
    </row>
    <row r="156" spans="1:9" x14ac:dyDescent="0.3">
      <c r="A156" t="s">
        <v>383</v>
      </c>
      <c r="B156" t="s">
        <v>685</v>
      </c>
      <c r="C156" t="s">
        <v>1460</v>
      </c>
      <c r="D156">
        <v>80</v>
      </c>
      <c r="E156">
        <v>122</v>
      </c>
      <c r="F156">
        <v>112</v>
      </c>
      <c r="G156">
        <v>119</v>
      </c>
      <c r="H156">
        <v>108</v>
      </c>
      <c r="I156" t="s">
        <v>1472</v>
      </c>
    </row>
    <row r="157" spans="1:9" x14ac:dyDescent="0.3">
      <c r="A157" t="s">
        <v>375</v>
      </c>
      <c r="B157" t="s">
        <v>681</v>
      </c>
      <c r="C157" t="s">
        <v>1460</v>
      </c>
      <c r="D157">
        <v>78</v>
      </c>
      <c r="E157">
        <v>92</v>
      </c>
      <c r="F157">
        <v>108</v>
      </c>
      <c r="G157">
        <v>112</v>
      </c>
      <c r="H157">
        <v>98</v>
      </c>
      <c r="I157" t="s">
        <v>1472</v>
      </c>
    </row>
    <row r="158" spans="1:9" x14ac:dyDescent="0.3">
      <c r="A158" t="s">
        <v>387</v>
      </c>
      <c r="B158" t="s">
        <v>1168</v>
      </c>
      <c r="C158" t="s">
        <v>1460</v>
      </c>
      <c r="D158">
        <v>72</v>
      </c>
      <c r="E158">
        <v>103</v>
      </c>
      <c r="F158">
        <v>101</v>
      </c>
      <c r="G158">
        <v>97</v>
      </c>
      <c r="H158">
        <v>90</v>
      </c>
      <c r="I158" t="s">
        <v>1472</v>
      </c>
    </row>
    <row r="159" spans="1:9" x14ac:dyDescent="0.3">
      <c r="A159" t="s">
        <v>363</v>
      </c>
      <c r="B159" t="s">
        <v>675</v>
      </c>
      <c r="C159" t="s">
        <v>1461</v>
      </c>
      <c r="D159">
        <v>83</v>
      </c>
      <c r="E159">
        <v>103</v>
      </c>
      <c r="F159">
        <v>106</v>
      </c>
      <c r="G159">
        <v>97</v>
      </c>
      <c r="H159">
        <v>97</v>
      </c>
      <c r="I159" t="s">
        <v>1472</v>
      </c>
    </row>
    <row r="160" spans="1:9" x14ac:dyDescent="0.3">
      <c r="A160" t="s">
        <v>371</v>
      </c>
      <c r="B160" t="s">
        <v>679</v>
      </c>
      <c r="C160" t="s">
        <v>1461</v>
      </c>
      <c r="D160">
        <v>92</v>
      </c>
      <c r="E160">
        <v>103</v>
      </c>
      <c r="F160">
        <v>90</v>
      </c>
      <c r="G160">
        <v>107</v>
      </c>
      <c r="H160">
        <v>98</v>
      </c>
      <c r="I160" t="s">
        <v>1472</v>
      </c>
    </row>
    <row r="161" spans="1:9" x14ac:dyDescent="0.3">
      <c r="A161" t="s">
        <v>367</v>
      </c>
      <c r="B161" t="s">
        <v>677</v>
      </c>
      <c r="C161" t="s">
        <v>1461</v>
      </c>
      <c r="D161">
        <v>102</v>
      </c>
      <c r="E161">
        <v>108</v>
      </c>
      <c r="F161">
        <v>101</v>
      </c>
      <c r="G161">
        <v>114</v>
      </c>
      <c r="H161">
        <v>106</v>
      </c>
      <c r="I161" t="s">
        <v>1472</v>
      </c>
    </row>
    <row r="162" spans="1:9" x14ac:dyDescent="0.3">
      <c r="A162" t="s">
        <v>373</v>
      </c>
      <c r="B162" t="s">
        <v>680</v>
      </c>
      <c r="C162" t="s">
        <v>1461</v>
      </c>
      <c r="D162">
        <v>83</v>
      </c>
      <c r="E162">
        <v>118</v>
      </c>
      <c r="F162">
        <v>121</v>
      </c>
      <c r="G162">
        <v>98</v>
      </c>
      <c r="H162">
        <v>105</v>
      </c>
      <c r="I162" t="s">
        <v>1472</v>
      </c>
    </row>
    <row r="163" spans="1:9" x14ac:dyDescent="0.3">
      <c r="A163" t="s">
        <v>381</v>
      </c>
      <c r="B163" t="s">
        <v>1165</v>
      </c>
      <c r="C163" t="s">
        <v>1463</v>
      </c>
      <c r="D163">
        <v>102</v>
      </c>
      <c r="E163">
        <v>106</v>
      </c>
      <c r="F163">
        <v>117</v>
      </c>
      <c r="G163">
        <v>121</v>
      </c>
      <c r="H163">
        <v>121</v>
      </c>
      <c r="I163" t="s">
        <v>1472</v>
      </c>
    </row>
    <row r="164" spans="1:9" x14ac:dyDescent="0.3">
      <c r="A164" t="s">
        <v>411</v>
      </c>
      <c r="B164" t="s">
        <v>699</v>
      </c>
      <c r="C164" t="s">
        <v>1464</v>
      </c>
      <c r="D164">
        <v>97</v>
      </c>
      <c r="E164">
        <v>94</v>
      </c>
      <c r="F164">
        <v>86</v>
      </c>
      <c r="G164">
        <v>100</v>
      </c>
      <c r="H164">
        <v>94</v>
      </c>
      <c r="I164" t="s">
        <v>1472</v>
      </c>
    </row>
    <row r="165" spans="1:9" x14ac:dyDescent="0.3">
      <c r="A165" t="s">
        <v>391</v>
      </c>
      <c r="B165" t="s">
        <v>689</v>
      </c>
      <c r="C165" t="s">
        <v>1464</v>
      </c>
      <c r="D165">
        <v>89</v>
      </c>
      <c r="E165">
        <v>94</v>
      </c>
      <c r="F165">
        <v>97</v>
      </c>
      <c r="G165">
        <v>86</v>
      </c>
      <c r="H165">
        <v>92</v>
      </c>
      <c r="I165" t="s">
        <v>1472</v>
      </c>
    </row>
    <row r="166" spans="1:9" x14ac:dyDescent="0.3">
      <c r="A166" t="s">
        <v>339</v>
      </c>
      <c r="B166" t="s">
        <v>663</v>
      </c>
      <c r="C166" t="s">
        <v>1464</v>
      </c>
      <c r="D166">
        <v>95</v>
      </c>
      <c r="E166">
        <v>100</v>
      </c>
      <c r="F166">
        <v>110</v>
      </c>
      <c r="G166">
        <v>97</v>
      </c>
      <c r="H166">
        <v>101</v>
      </c>
      <c r="I166" t="s">
        <v>1472</v>
      </c>
    </row>
    <row r="167" spans="1:9" x14ac:dyDescent="0.3">
      <c r="A167" t="s">
        <v>335</v>
      </c>
      <c r="B167" t="s">
        <v>661</v>
      </c>
      <c r="C167" t="s">
        <v>1464</v>
      </c>
      <c r="D167">
        <v>82</v>
      </c>
      <c r="E167">
        <v>103</v>
      </c>
      <c r="F167">
        <v>88</v>
      </c>
      <c r="G167">
        <v>95</v>
      </c>
      <c r="H167">
        <v>92</v>
      </c>
      <c r="I167" t="s">
        <v>1472</v>
      </c>
    </row>
    <row r="168" spans="1:9" x14ac:dyDescent="0.3">
      <c r="A168" t="s">
        <v>407</v>
      </c>
      <c r="B168" t="s">
        <v>1473</v>
      </c>
      <c r="C168" t="s">
        <v>1460</v>
      </c>
      <c r="D168">
        <v>65</v>
      </c>
      <c r="E168">
        <v>110</v>
      </c>
      <c r="F168">
        <v>108</v>
      </c>
      <c r="G168">
        <v>105</v>
      </c>
      <c r="H168">
        <v>97</v>
      </c>
      <c r="I168" t="s">
        <v>1472</v>
      </c>
    </row>
    <row r="169" spans="1:9" x14ac:dyDescent="0.3">
      <c r="A169" t="s">
        <v>409</v>
      </c>
      <c r="B169" t="s">
        <v>698</v>
      </c>
      <c r="C169" t="s">
        <v>1460</v>
      </c>
      <c r="D169">
        <v>80</v>
      </c>
      <c r="E169">
        <v>116</v>
      </c>
      <c r="F169">
        <v>110</v>
      </c>
      <c r="G169">
        <v>111</v>
      </c>
      <c r="H169">
        <v>104</v>
      </c>
      <c r="I169" t="s">
        <v>1472</v>
      </c>
    </row>
    <row r="170" spans="1:9" x14ac:dyDescent="0.3">
      <c r="A170" t="s">
        <v>349</v>
      </c>
      <c r="B170" t="s">
        <v>668</v>
      </c>
      <c r="C170" t="s">
        <v>1460</v>
      </c>
      <c r="D170">
        <v>85</v>
      </c>
      <c r="E170">
        <v>105</v>
      </c>
      <c r="F170">
        <v>112</v>
      </c>
      <c r="G170">
        <v>112</v>
      </c>
      <c r="H170">
        <v>104</v>
      </c>
      <c r="I170" t="s">
        <v>1472</v>
      </c>
    </row>
    <row r="171" spans="1:9" x14ac:dyDescent="0.3">
      <c r="A171" t="s">
        <v>415</v>
      </c>
      <c r="B171" t="s">
        <v>701</v>
      </c>
      <c r="C171" t="s">
        <v>1460</v>
      </c>
      <c r="D171">
        <v>78</v>
      </c>
      <c r="E171">
        <v>108</v>
      </c>
      <c r="F171">
        <v>105</v>
      </c>
      <c r="G171">
        <v>117</v>
      </c>
      <c r="H171">
        <v>102</v>
      </c>
      <c r="I171" t="s">
        <v>1472</v>
      </c>
    </row>
    <row r="172" spans="1:9" x14ac:dyDescent="0.3">
      <c r="A172" t="s">
        <v>397</v>
      </c>
      <c r="B172" t="s">
        <v>692</v>
      </c>
      <c r="C172" t="s">
        <v>1460</v>
      </c>
      <c r="D172">
        <v>90</v>
      </c>
      <c r="E172">
        <v>101</v>
      </c>
      <c r="F172">
        <v>105</v>
      </c>
      <c r="G172">
        <v>121</v>
      </c>
      <c r="H172">
        <v>104</v>
      </c>
      <c r="I172" t="s">
        <v>1472</v>
      </c>
    </row>
    <row r="173" spans="1:9" x14ac:dyDescent="0.3">
      <c r="A173" t="s">
        <v>393</v>
      </c>
      <c r="B173" t="s">
        <v>690</v>
      </c>
      <c r="C173" t="s">
        <v>1460</v>
      </c>
      <c r="D173">
        <v>82</v>
      </c>
      <c r="E173">
        <v>105</v>
      </c>
      <c r="F173">
        <v>110</v>
      </c>
      <c r="G173">
        <v>116</v>
      </c>
      <c r="H173">
        <v>103</v>
      </c>
      <c r="I173" t="s">
        <v>1472</v>
      </c>
    </row>
    <row r="174" spans="1:9" x14ac:dyDescent="0.3">
      <c r="A174" t="s">
        <v>401</v>
      </c>
      <c r="B174" t="s">
        <v>694</v>
      </c>
      <c r="C174" t="s">
        <v>1464</v>
      </c>
      <c r="D174">
        <v>76</v>
      </c>
      <c r="E174">
        <v>94</v>
      </c>
      <c r="F174">
        <v>90</v>
      </c>
      <c r="G174">
        <v>86</v>
      </c>
      <c r="H174">
        <v>87</v>
      </c>
      <c r="I174" t="s">
        <v>1472</v>
      </c>
    </row>
    <row r="175" spans="1:9" x14ac:dyDescent="0.3">
      <c r="A175" t="s">
        <v>403</v>
      </c>
      <c r="B175" t="s">
        <v>695</v>
      </c>
      <c r="C175" t="s">
        <v>1461</v>
      </c>
      <c r="D175">
        <v>82</v>
      </c>
      <c r="E175">
        <v>106</v>
      </c>
      <c r="F175">
        <v>116</v>
      </c>
      <c r="G175">
        <v>98</v>
      </c>
      <c r="H175">
        <v>101</v>
      </c>
      <c r="I175" t="s">
        <v>1472</v>
      </c>
    </row>
    <row r="176" spans="1:9" x14ac:dyDescent="0.3">
      <c r="A176" t="s">
        <v>359</v>
      </c>
      <c r="B176" t="s">
        <v>673</v>
      </c>
      <c r="C176" t="s">
        <v>1461</v>
      </c>
      <c r="D176">
        <v>83</v>
      </c>
      <c r="E176">
        <v>87</v>
      </c>
      <c r="F176">
        <v>101</v>
      </c>
      <c r="G176">
        <v>98</v>
      </c>
      <c r="H176">
        <v>92</v>
      </c>
      <c r="I176" t="s">
        <v>1472</v>
      </c>
    </row>
    <row r="177" spans="1:9" x14ac:dyDescent="0.3">
      <c r="A177" t="s">
        <v>395</v>
      </c>
      <c r="B177" t="s">
        <v>691</v>
      </c>
      <c r="C177" t="s">
        <v>1461</v>
      </c>
      <c r="D177">
        <v>78</v>
      </c>
      <c r="E177">
        <v>110</v>
      </c>
      <c r="F177">
        <v>88</v>
      </c>
      <c r="G177">
        <v>93</v>
      </c>
      <c r="H177">
        <v>92</v>
      </c>
      <c r="I177" t="s">
        <v>1472</v>
      </c>
    </row>
    <row r="178" spans="1:9" x14ac:dyDescent="0.3">
      <c r="A178" t="s">
        <v>405</v>
      </c>
      <c r="B178" t="s">
        <v>696</v>
      </c>
      <c r="C178" t="s">
        <v>1463</v>
      </c>
      <c r="D178">
        <v>94</v>
      </c>
      <c r="E178">
        <v>128</v>
      </c>
      <c r="F178">
        <v>129</v>
      </c>
      <c r="G178">
        <v>116</v>
      </c>
      <c r="H178">
        <v>117</v>
      </c>
      <c r="I178" t="s">
        <v>1472</v>
      </c>
    </row>
    <row r="179" spans="1:9" x14ac:dyDescent="0.3">
      <c r="A179" t="s">
        <v>389</v>
      </c>
      <c r="B179" t="s">
        <v>1474</v>
      </c>
      <c r="C179" t="s">
        <v>1463</v>
      </c>
      <c r="D179">
        <v>70</v>
      </c>
      <c r="E179">
        <v>96</v>
      </c>
      <c r="F179">
        <v>105</v>
      </c>
      <c r="G179">
        <v>90</v>
      </c>
      <c r="H179">
        <v>90</v>
      </c>
      <c r="I179" t="s">
        <v>1472</v>
      </c>
    </row>
    <row r="180" spans="1:9" x14ac:dyDescent="0.3">
      <c r="A180" t="s">
        <v>413</v>
      </c>
      <c r="B180" t="s">
        <v>700</v>
      </c>
      <c r="C180" t="s">
        <v>1463</v>
      </c>
      <c r="D180">
        <v>76</v>
      </c>
      <c r="E180">
        <v>100</v>
      </c>
      <c r="F180">
        <v>101</v>
      </c>
      <c r="G180">
        <v>97</v>
      </c>
      <c r="H180">
        <v>94</v>
      </c>
      <c r="I180" t="s">
        <v>1472</v>
      </c>
    </row>
    <row r="181" spans="1:9" x14ac:dyDescent="0.3">
      <c r="A181" t="s">
        <v>337</v>
      </c>
      <c r="B181" t="s">
        <v>662</v>
      </c>
      <c r="C181" t="s">
        <v>1463</v>
      </c>
      <c r="D181">
        <v>76</v>
      </c>
      <c r="E181">
        <v>103</v>
      </c>
      <c r="F181">
        <v>90</v>
      </c>
      <c r="G181">
        <v>97</v>
      </c>
      <c r="H181">
        <v>92</v>
      </c>
      <c r="I181" t="s">
        <v>1472</v>
      </c>
    </row>
    <row r="182" spans="1:9" x14ac:dyDescent="0.3">
      <c r="A182" t="s">
        <v>417</v>
      </c>
      <c r="B182" t="s">
        <v>702</v>
      </c>
      <c r="C182" t="s">
        <v>1463</v>
      </c>
      <c r="D182">
        <v>85</v>
      </c>
      <c r="E182">
        <v>120</v>
      </c>
      <c r="F182">
        <v>105</v>
      </c>
      <c r="G182">
        <v>107</v>
      </c>
      <c r="H182">
        <v>104</v>
      </c>
      <c r="I182" t="s">
        <v>1472</v>
      </c>
    </row>
    <row r="183" spans="1:9" x14ac:dyDescent="0.3">
      <c r="A183" t="s">
        <v>399</v>
      </c>
      <c r="B183" t="s">
        <v>693</v>
      </c>
      <c r="C183" t="s">
        <v>1463</v>
      </c>
      <c r="D183">
        <v>82</v>
      </c>
      <c r="E183">
        <v>105</v>
      </c>
      <c r="F183">
        <v>121</v>
      </c>
      <c r="G183">
        <v>105</v>
      </c>
      <c r="H183">
        <v>103</v>
      </c>
      <c r="I183" t="s">
        <v>1472</v>
      </c>
    </row>
    <row r="184" spans="1:9" x14ac:dyDescent="0.3">
      <c r="A184" t="s">
        <v>190</v>
      </c>
      <c r="B184" t="s">
        <v>1475</v>
      </c>
      <c r="C184" t="s">
        <v>1460</v>
      </c>
      <c r="D184">
        <v>75</v>
      </c>
      <c r="E184">
        <v>112</v>
      </c>
      <c r="F184">
        <v>121</v>
      </c>
      <c r="G184">
        <v>118</v>
      </c>
      <c r="H184">
        <v>107</v>
      </c>
      <c r="I184" t="s">
        <v>1476</v>
      </c>
    </row>
    <row r="185" spans="1:9" x14ac:dyDescent="0.3">
      <c r="A185" t="s">
        <v>210</v>
      </c>
      <c r="B185" t="s">
        <v>1477</v>
      </c>
      <c r="C185" t="s">
        <v>1460</v>
      </c>
      <c r="D185">
        <v>74</v>
      </c>
      <c r="E185">
        <v>127</v>
      </c>
      <c r="F185">
        <v>135</v>
      </c>
      <c r="G185">
        <v>111</v>
      </c>
      <c r="H185">
        <v>112</v>
      </c>
      <c r="I185" t="s">
        <v>1476</v>
      </c>
    </row>
    <row r="186" spans="1:9" x14ac:dyDescent="0.3">
      <c r="A186" t="s">
        <v>212</v>
      </c>
      <c r="B186" t="s">
        <v>1478</v>
      </c>
      <c r="C186" t="s">
        <v>1460</v>
      </c>
      <c r="D186">
        <v>75</v>
      </c>
      <c r="E186">
        <v>114</v>
      </c>
      <c r="F186">
        <v>98</v>
      </c>
      <c r="G186">
        <v>116</v>
      </c>
      <c r="H186">
        <v>101</v>
      </c>
      <c r="I186" t="s">
        <v>1476</v>
      </c>
    </row>
    <row r="187" spans="1:9" x14ac:dyDescent="0.3">
      <c r="A187" t="s">
        <v>214</v>
      </c>
      <c r="B187" t="s">
        <v>1479</v>
      </c>
      <c r="C187" t="s">
        <v>1460</v>
      </c>
      <c r="D187">
        <v>91</v>
      </c>
      <c r="E187">
        <v>112</v>
      </c>
      <c r="F187">
        <v>107</v>
      </c>
      <c r="G187">
        <v>122</v>
      </c>
      <c r="H187">
        <v>108</v>
      </c>
      <c r="I187" t="s">
        <v>1476</v>
      </c>
    </row>
    <row r="188" spans="1:9" x14ac:dyDescent="0.3">
      <c r="A188" t="s">
        <v>194</v>
      </c>
      <c r="B188" t="s">
        <v>1480</v>
      </c>
      <c r="C188" t="s">
        <v>1461</v>
      </c>
      <c r="D188">
        <v>75</v>
      </c>
      <c r="E188">
        <v>122</v>
      </c>
      <c r="F188">
        <v>93</v>
      </c>
      <c r="G188">
        <v>92</v>
      </c>
      <c r="H188">
        <v>96</v>
      </c>
      <c r="I188" t="s">
        <v>1476</v>
      </c>
    </row>
    <row r="189" spans="1:9" x14ac:dyDescent="0.3">
      <c r="A189" t="s">
        <v>202</v>
      </c>
      <c r="B189" t="s">
        <v>1481</v>
      </c>
      <c r="C189" t="s">
        <v>1461</v>
      </c>
      <c r="D189">
        <v>93</v>
      </c>
      <c r="E189">
        <v>111</v>
      </c>
      <c r="F189">
        <v>109</v>
      </c>
      <c r="G189">
        <v>104</v>
      </c>
      <c r="H189">
        <v>104</v>
      </c>
      <c r="I189" t="s">
        <v>1476</v>
      </c>
    </row>
    <row r="190" spans="1:9" x14ac:dyDescent="0.3">
      <c r="A190" t="s">
        <v>198</v>
      </c>
      <c r="B190" t="s">
        <v>1482</v>
      </c>
      <c r="C190" t="s">
        <v>1467</v>
      </c>
      <c r="D190">
        <v>104</v>
      </c>
      <c r="E190">
        <v>95</v>
      </c>
      <c r="F190">
        <v>102</v>
      </c>
      <c r="G190">
        <v>96</v>
      </c>
      <c r="H190">
        <v>99</v>
      </c>
      <c r="I190" t="s">
        <v>1476</v>
      </c>
    </row>
    <row r="191" spans="1:9" x14ac:dyDescent="0.3">
      <c r="A191" t="s">
        <v>186</v>
      </c>
      <c r="B191" t="s">
        <v>1483</v>
      </c>
      <c r="C191" t="s">
        <v>1463</v>
      </c>
      <c r="D191">
        <v>86</v>
      </c>
      <c r="E191">
        <v>116</v>
      </c>
      <c r="F191">
        <v>111</v>
      </c>
      <c r="G191">
        <v>107</v>
      </c>
      <c r="H191">
        <v>105</v>
      </c>
      <c r="I191" t="s">
        <v>1476</v>
      </c>
    </row>
    <row r="192" spans="1:9" x14ac:dyDescent="0.3">
      <c r="A192" t="s">
        <v>204</v>
      </c>
      <c r="B192" t="s">
        <v>1484</v>
      </c>
      <c r="C192" t="s">
        <v>1463</v>
      </c>
      <c r="D192">
        <v>69</v>
      </c>
      <c r="E192">
        <v>106</v>
      </c>
      <c r="F192">
        <v>102</v>
      </c>
      <c r="G192">
        <v>94</v>
      </c>
      <c r="H192">
        <v>93</v>
      </c>
      <c r="I192" t="s">
        <v>1476</v>
      </c>
    </row>
    <row r="193" spans="1:9" x14ac:dyDescent="0.3">
      <c r="A193" t="s">
        <v>208</v>
      </c>
      <c r="B193" t="s">
        <v>1485</v>
      </c>
      <c r="C193" t="s">
        <v>1463</v>
      </c>
      <c r="D193">
        <v>83</v>
      </c>
      <c r="E193">
        <v>118</v>
      </c>
      <c r="F193">
        <v>106</v>
      </c>
      <c r="G193">
        <v>106</v>
      </c>
      <c r="H193">
        <v>103</v>
      </c>
      <c r="I193" t="s">
        <v>1476</v>
      </c>
    </row>
    <row r="194" spans="1:9" x14ac:dyDescent="0.3">
      <c r="A194" t="s">
        <v>196</v>
      </c>
      <c r="B194" t="s">
        <v>1486</v>
      </c>
      <c r="C194" t="s">
        <v>1463</v>
      </c>
      <c r="D194">
        <v>75</v>
      </c>
      <c r="E194">
        <v>116</v>
      </c>
      <c r="F194">
        <v>91</v>
      </c>
      <c r="G194">
        <v>102</v>
      </c>
      <c r="H194">
        <v>96</v>
      </c>
      <c r="I194" t="s">
        <v>1476</v>
      </c>
    </row>
    <row r="195" spans="1:9" x14ac:dyDescent="0.3">
      <c r="A195" t="s">
        <v>192</v>
      </c>
      <c r="B195" t="s">
        <v>1487</v>
      </c>
      <c r="C195" t="s">
        <v>1464</v>
      </c>
      <c r="D195">
        <v>85</v>
      </c>
      <c r="E195">
        <v>101</v>
      </c>
      <c r="F195">
        <v>93</v>
      </c>
      <c r="G195">
        <v>94</v>
      </c>
      <c r="H195">
        <v>93</v>
      </c>
      <c r="I195" t="s">
        <v>1476</v>
      </c>
    </row>
    <row r="196" spans="1:9" x14ac:dyDescent="0.3">
      <c r="A196" t="s">
        <v>218</v>
      </c>
      <c r="B196" t="s">
        <v>1488</v>
      </c>
      <c r="C196" t="s">
        <v>1464</v>
      </c>
      <c r="D196">
        <v>108</v>
      </c>
      <c r="E196">
        <v>125</v>
      </c>
      <c r="F196">
        <v>105</v>
      </c>
      <c r="G196">
        <v>111</v>
      </c>
      <c r="H196">
        <v>112</v>
      </c>
      <c r="I196" t="s">
        <v>1476</v>
      </c>
    </row>
    <row r="197" spans="1:9" x14ac:dyDescent="0.3">
      <c r="A197" t="s">
        <v>206</v>
      </c>
      <c r="B197" t="s">
        <v>1489</v>
      </c>
      <c r="C197" t="s">
        <v>1464</v>
      </c>
      <c r="D197">
        <v>96</v>
      </c>
      <c r="E197">
        <v>100</v>
      </c>
      <c r="F197">
        <v>107</v>
      </c>
      <c r="G197">
        <v>99</v>
      </c>
      <c r="H197">
        <v>101</v>
      </c>
      <c r="I197" t="s">
        <v>1476</v>
      </c>
    </row>
    <row r="198" spans="1:9" x14ac:dyDescent="0.3">
      <c r="A198" t="s">
        <v>220</v>
      </c>
      <c r="B198" t="s">
        <v>1490</v>
      </c>
      <c r="C198" t="s">
        <v>1464</v>
      </c>
      <c r="D198">
        <v>101</v>
      </c>
      <c r="E198">
        <v>110</v>
      </c>
      <c r="F198">
        <v>116</v>
      </c>
      <c r="G198">
        <v>100</v>
      </c>
      <c r="H198">
        <v>107</v>
      </c>
      <c r="I198" t="s">
        <v>1476</v>
      </c>
    </row>
    <row r="199" spans="1:9" x14ac:dyDescent="0.3">
      <c r="A199" t="s">
        <v>216</v>
      </c>
      <c r="B199" t="s">
        <v>1491</v>
      </c>
      <c r="C199" t="s">
        <v>1464</v>
      </c>
      <c r="D199">
        <v>80</v>
      </c>
      <c r="E199">
        <v>91</v>
      </c>
      <c r="F199">
        <v>82</v>
      </c>
      <c r="G199">
        <v>88</v>
      </c>
      <c r="H199">
        <v>85</v>
      </c>
      <c r="I199" t="s">
        <v>1476</v>
      </c>
    </row>
    <row r="200" spans="1:9" x14ac:dyDescent="0.3">
      <c r="A200" t="s">
        <v>200</v>
      </c>
      <c r="B200" t="s">
        <v>1492</v>
      </c>
      <c r="C200" t="s">
        <v>1464</v>
      </c>
      <c r="D200">
        <v>77</v>
      </c>
      <c r="E200">
        <v>110</v>
      </c>
      <c r="F200">
        <v>105</v>
      </c>
      <c r="G200">
        <v>86</v>
      </c>
      <c r="H200">
        <v>95</v>
      </c>
      <c r="I200" t="s">
        <v>1476</v>
      </c>
    </row>
    <row r="201" spans="1:9" x14ac:dyDescent="0.3">
      <c r="A201" t="s">
        <v>240</v>
      </c>
      <c r="B201" t="s">
        <v>1493</v>
      </c>
      <c r="C201" t="s">
        <v>1460</v>
      </c>
      <c r="D201">
        <v>86</v>
      </c>
      <c r="E201">
        <v>114</v>
      </c>
      <c r="F201">
        <v>111</v>
      </c>
      <c r="G201">
        <v>125</v>
      </c>
      <c r="H201">
        <v>109</v>
      </c>
      <c r="I201" t="s">
        <v>1476</v>
      </c>
    </row>
    <row r="202" spans="1:9" x14ac:dyDescent="0.3">
      <c r="A202" t="s">
        <v>238</v>
      </c>
      <c r="B202" t="s">
        <v>1494</v>
      </c>
      <c r="C202" t="s">
        <v>1460</v>
      </c>
      <c r="D202">
        <v>71</v>
      </c>
      <c r="E202">
        <v>107</v>
      </c>
      <c r="F202">
        <v>91</v>
      </c>
      <c r="G202">
        <v>102</v>
      </c>
      <c r="H202">
        <v>93</v>
      </c>
      <c r="I202" t="s">
        <v>1476</v>
      </c>
    </row>
    <row r="203" spans="1:9" x14ac:dyDescent="0.3">
      <c r="A203" t="s">
        <v>222</v>
      </c>
      <c r="B203" t="s">
        <v>1495</v>
      </c>
      <c r="C203" t="s">
        <v>1460</v>
      </c>
      <c r="D203">
        <v>81</v>
      </c>
      <c r="E203">
        <v>93</v>
      </c>
      <c r="F203">
        <v>115</v>
      </c>
      <c r="G203">
        <v>105</v>
      </c>
      <c r="H203">
        <v>99</v>
      </c>
      <c r="I203" t="s">
        <v>1476</v>
      </c>
    </row>
    <row r="204" spans="1:9" x14ac:dyDescent="0.3">
      <c r="A204" t="s">
        <v>248</v>
      </c>
      <c r="B204" t="s">
        <v>1496</v>
      </c>
      <c r="C204" t="s">
        <v>1461</v>
      </c>
      <c r="D204">
        <v>96</v>
      </c>
      <c r="E204">
        <v>121</v>
      </c>
      <c r="F204">
        <v>103</v>
      </c>
      <c r="G204">
        <v>109</v>
      </c>
      <c r="H204">
        <v>107</v>
      </c>
      <c r="I204" t="s">
        <v>1476</v>
      </c>
    </row>
    <row r="205" spans="1:9" x14ac:dyDescent="0.3">
      <c r="A205" t="s">
        <v>254</v>
      </c>
      <c r="B205" t="s">
        <v>1497</v>
      </c>
      <c r="C205" t="s">
        <v>1461</v>
      </c>
      <c r="D205">
        <v>71</v>
      </c>
      <c r="E205">
        <v>101</v>
      </c>
      <c r="F205">
        <v>74</v>
      </c>
      <c r="G205">
        <v>84</v>
      </c>
      <c r="H205">
        <v>83</v>
      </c>
      <c r="I205" t="s">
        <v>1476</v>
      </c>
    </row>
    <row r="206" spans="1:9" x14ac:dyDescent="0.3">
      <c r="A206" t="s">
        <v>236</v>
      </c>
      <c r="B206" t="s">
        <v>1498</v>
      </c>
      <c r="C206" t="s">
        <v>1461</v>
      </c>
      <c r="D206">
        <v>86</v>
      </c>
      <c r="E206">
        <v>91</v>
      </c>
      <c r="F206">
        <v>107</v>
      </c>
      <c r="G206">
        <v>98</v>
      </c>
      <c r="H206">
        <v>96</v>
      </c>
      <c r="I206" t="s">
        <v>1476</v>
      </c>
    </row>
    <row r="207" spans="1:9" x14ac:dyDescent="0.3">
      <c r="A207" t="s">
        <v>234</v>
      </c>
      <c r="B207" t="s">
        <v>1499</v>
      </c>
      <c r="C207" t="s">
        <v>1461</v>
      </c>
      <c r="D207">
        <v>76</v>
      </c>
      <c r="E207">
        <v>106</v>
      </c>
      <c r="F207">
        <v>112</v>
      </c>
      <c r="G207">
        <v>92</v>
      </c>
      <c r="H207">
        <v>97</v>
      </c>
      <c r="I207" t="s">
        <v>1476</v>
      </c>
    </row>
    <row r="208" spans="1:9" x14ac:dyDescent="0.3">
      <c r="A208" t="s">
        <v>228</v>
      </c>
      <c r="B208" t="s">
        <v>1500</v>
      </c>
      <c r="C208" t="s">
        <v>1461</v>
      </c>
      <c r="D208">
        <v>86</v>
      </c>
      <c r="E208">
        <v>100</v>
      </c>
      <c r="F208">
        <v>100</v>
      </c>
      <c r="G208">
        <v>98</v>
      </c>
      <c r="H208">
        <v>96</v>
      </c>
      <c r="I208" t="s">
        <v>1476</v>
      </c>
    </row>
    <row r="209" spans="1:9" x14ac:dyDescent="0.3">
      <c r="A209" t="s">
        <v>252</v>
      </c>
      <c r="B209" t="s">
        <v>1501</v>
      </c>
      <c r="C209" t="s">
        <v>1463</v>
      </c>
      <c r="D209">
        <v>71</v>
      </c>
      <c r="E209">
        <v>116</v>
      </c>
      <c r="F209">
        <v>96</v>
      </c>
      <c r="G209">
        <v>96</v>
      </c>
      <c r="H209">
        <v>95</v>
      </c>
      <c r="I209" t="s">
        <v>1476</v>
      </c>
    </row>
    <row r="210" spans="1:9" x14ac:dyDescent="0.3">
      <c r="A210" t="s">
        <v>250</v>
      </c>
      <c r="B210" t="s">
        <v>1502</v>
      </c>
      <c r="C210" t="s">
        <v>1463</v>
      </c>
      <c r="D210">
        <v>85</v>
      </c>
      <c r="E210">
        <v>101</v>
      </c>
      <c r="F210">
        <v>113</v>
      </c>
      <c r="G210">
        <v>105</v>
      </c>
      <c r="H210">
        <v>101</v>
      </c>
      <c r="I210" t="s">
        <v>1476</v>
      </c>
    </row>
    <row r="211" spans="1:9" x14ac:dyDescent="0.3">
      <c r="A211" t="s">
        <v>246</v>
      </c>
      <c r="B211" t="s">
        <v>1503</v>
      </c>
      <c r="C211" t="s">
        <v>1463</v>
      </c>
      <c r="D211">
        <v>70</v>
      </c>
      <c r="E211">
        <v>102</v>
      </c>
      <c r="F211">
        <v>100</v>
      </c>
      <c r="G211">
        <v>96</v>
      </c>
      <c r="H211">
        <v>92</v>
      </c>
      <c r="I211" t="s">
        <v>1476</v>
      </c>
    </row>
    <row r="212" spans="1:9" x14ac:dyDescent="0.3">
      <c r="A212" t="s">
        <v>224</v>
      </c>
      <c r="B212" t="s">
        <v>1504</v>
      </c>
      <c r="C212" t="s">
        <v>1463</v>
      </c>
      <c r="D212">
        <v>76</v>
      </c>
      <c r="E212">
        <v>113</v>
      </c>
      <c r="F212">
        <v>94</v>
      </c>
      <c r="G212">
        <v>100</v>
      </c>
      <c r="H212">
        <v>96</v>
      </c>
      <c r="I212" t="s">
        <v>1476</v>
      </c>
    </row>
    <row r="213" spans="1:9" x14ac:dyDescent="0.3">
      <c r="A213" t="s">
        <v>242</v>
      </c>
      <c r="B213" t="s">
        <v>1505</v>
      </c>
      <c r="C213" t="s">
        <v>1464</v>
      </c>
      <c r="D213">
        <v>114</v>
      </c>
      <c r="E213">
        <v>117</v>
      </c>
      <c r="F213">
        <v>126</v>
      </c>
      <c r="G213">
        <v>107</v>
      </c>
      <c r="H213">
        <v>116</v>
      </c>
      <c r="I213" t="s">
        <v>1476</v>
      </c>
    </row>
    <row r="214" spans="1:9" x14ac:dyDescent="0.3">
      <c r="A214" t="s">
        <v>244</v>
      </c>
      <c r="B214" t="s">
        <v>1506</v>
      </c>
      <c r="C214" t="s">
        <v>1464</v>
      </c>
      <c r="D214">
        <v>95</v>
      </c>
      <c r="E214">
        <v>113</v>
      </c>
      <c r="F214">
        <v>102</v>
      </c>
      <c r="G214">
        <v>94</v>
      </c>
      <c r="H214">
        <v>101</v>
      </c>
      <c r="I214" t="s">
        <v>1476</v>
      </c>
    </row>
    <row r="215" spans="1:9" x14ac:dyDescent="0.3">
      <c r="A215" t="s">
        <v>226</v>
      </c>
      <c r="B215" t="s">
        <v>1507</v>
      </c>
      <c r="C215" t="s">
        <v>1464</v>
      </c>
      <c r="D215">
        <v>86</v>
      </c>
      <c r="E215">
        <v>101</v>
      </c>
      <c r="F215">
        <v>86</v>
      </c>
      <c r="G215">
        <v>86</v>
      </c>
      <c r="H215">
        <v>90</v>
      </c>
      <c r="I215" t="s">
        <v>1476</v>
      </c>
    </row>
    <row r="216" spans="1:9" x14ac:dyDescent="0.3">
      <c r="A216" t="s">
        <v>232</v>
      </c>
      <c r="B216" t="s">
        <v>1508</v>
      </c>
      <c r="C216" t="s">
        <v>1464</v>
      </c>
      <c r="D216">
        <v>73</v>
      </c>
      <c r="E216">
        <v>101</v>
      </c>
      <c r="F216">
        <v>82</v>
      </c>
      <c r="G216">
        <v>80</v>
      </c>
      <c r="H216">
        <v>84</v>
      </c>
      <c r="I216" t="s">
        <v>1476</v>
      </c>
    </row>
    <row r="217" spans="1:9" x14ac:dyDescent="0.3">
      <c r="A217" t="s">
        <v>230</v>
      </c>
      <c r="B217" t="s">
        <v>1509</v>
      </c>
      <c r="C217" t="s">
        <v>1464</v>
      </c>
      <c r="D217">
        <v>77</v>
      </c>
      <c r="E217">
        <v>96</v>
      </c>
      <c r="F217">
        <v>86</v>
      </c>
      <c r="G217">
        <v>86</v>
      </c>
      <c r="H217">
        <v>86</v>
      </c>
      <c r="I217" t="s">
        <v>1476</v>
      </c>
    </row>
    <row r="218" spans="1:9" x14ac:dyDescent="0.3">
      <c r="A218" t="s">
        <v>272</v>
      </c>
      <c r="B218" t="s">
        <v>1510</v>
      </c>
      <c r="C218" t="s">
        <v>1460</v>
      </c>
      <c r="D218">
        <v>80</v>
      </c>
      <c r="E218">
        <v>124</v>
      </c>
      <c r="F218">
        <v>102</v>
      </c>
      <c r="G218">
        <v>105</v>
      </c>
      <c r="H218">
        <v>103</v>
      </c>
      <c r="I218" t="s">
        <v>1476</v>
      </c>
    </row>
    <row r="219" spans="1:9" x14ac:dyDescent="0.3">
      <c r="A219" t="s">
        <v>258</v>
      </c>
      <c r="B219" t="s">
        <v>1511</v>
      </c>
      <c r="C219" t="s">
        <v>1460</v>
      </c>
      <c r="D219">
        <v>65</v>
      </c>
      <c r="E219">
        <v>109</v>
      </c>
      <c r="F219">
        <v>100</v>
      </c>
      <c r="G219">
        <v>111</v>
      </c>
      <c r="H219">
        <v>96</v>
      </c>
      <c r="I219" t="s">
        <v>1476</v>
      </c>
    </row>
    <row r="220" spans="1:9" x14ac:dyDescent="0.3">
      <c r="A220" t="s">
        <v>264</v>
      </c>
      <c r="B220" t="s">
        <v>1512</v>
      </c>
      <c r="C220" t="s">
        <v>1461</v>
      </c>
      <c r="D220">
        <v>76</v>
      </c>
      <c r="E220">
        <v>86</v>
      </c>
      <c r="F220">
        <v>89</v>
      </c>
      <c r="G220">
        <v>92</v>
      </c>
      <c r="H220">
        <v>86</v>
      </c>
      <c r="I220" t="s">
        <v>1476</v>
      </c>
    </row>
    <row r="221" spans="1:9" x14ac:dyDescent="0.3">
      <c r="A221" t="s">
        <v>270</v>
      </c>
      <c r="B221" t="s">
        <v>1513</v>
      </c>
      <c r="C221" t="s">
        <v>1461</v>
      </c>
      <c r="D221">
        <v>74</v>
      </c>
      <c r="E221">
        <v>108</v>
      </c>
      <c r="F221">
        <v>93</v>
      </c>
      <c r="G221">
        <v>96</v>
      </c>
      <c r="H221">
        <v>93</v>
      </c>
      <c r="I221" t="s">
        <v>1476</v>
      </c>
    </row>
    <row r="222" spans="1:9" x14ac:dyDescent="0.3">
      <c r="A222" t="s">
        <v>260</v>
      </c>
      <c r="B222" t="s">
        <v>1514</v>
      </c>
      <c r="C222" t="s">
        <v>1461</v>
      </c>
      <c r="D222">
        <v>75</v>
      </c>
      <c r="E222">
        <v>103</v>
      </c>
      <c r="F222">
        <v>98</v>
      </c>
      <c r="G222">
        <v>94</v>
      </c>
      <c r="H222">
        <v>93</v>
      </c>
      <c r="I222" t="s">
        <v>1476</v>
      </c>
    </row>
    <row r="223" spans="1:9" x14ac:dyDescent="0.3">
      <c r="A223" t="s">
        <v>276</v>
      </c>
      <c r="B223" t="s">
        <v>1515</v>
      </c>
      <c r="C223" t="s">
        <v>1461</v>
      </c>
      <c r="D223">
        <v>65</v>
      </c>
      <c r="E223">
        <v>82</v>
      </c>
      <c r="F223">
        <v>69</v>
      </c>
      <c r="G223">
        <v>88</v>
      </c>
      <c r="H223">
        <v>76</v>
      </c>
      <c r="I223" t="s">
        <v>1476</v>
      </c>
    </row>
    <row r="224" spans="1:9" x14ac:dyDescent="0.3">
      <c r="A224" t="s">
        <v>266</v>
      </c>
      <c r="B224" t="s">
        <v>1516</v>
      </c>
      <c r="C224" t="s">
        <v>1463</v>
      </c>
      <c r="D224">
        <v>95</v>
      </c>
      <c r="E224">
        <v>103</v>
      </c>
      <c r="F224">
        <v>105</v>
      </c>
      <c r="G224">
        <v>116</v>
      </c>
      <c r="H224">
        <v>105</v>
      </c>
      <c r="I224" t="s">
        <v>1476</v>
      </c>
    </row>
    <row r="225" spans="1:9" x14ac:dyDescent="0.3">
      <c r="A225" t="s">
        <v>268</v>
      </c>
      <c r="B225" t="s">
        <v>1517</v>
      </c>
      <c r="C225" t="s">
        <v>1463</v>
      </c>
      <c r="D225">
        <v>65</v>
      </c>
      <c r="E225">
        <v>116</v>
      </c>
      <c r="F225">
        <v>117</v>
      </c>
      <c r="G225">
        <v>96</v>
      </c>
      <c r="H225">
        <v>99</v>
      </c>
      <c r="I225" t="s">
        <v>1476</v>
      </c>
    </row>
    <row r="226" spans="1:9" x14ac:dyDescent="0.3">
      <c r="A226" t="s">
        <v>256</v>
      </c>
      <c r="B226" t="s">
        <v>1518</v>
      </c>
      <c r="C226" t="s">
        <v>1463</v>
      </c>
      <c r="D226">
        <v>76</v>
      </c>
      <c r="E226">
        <v>99</v>
      </c>
      <c r="F226">
        <v>101</v>
      </c>
      <c r="G226">
        <v>100</v>
      </c>
      <c r="H226">
        <v>94</v>
      </c>
      <c r="I226" t="s">
        <v>1476</v>
      </c>
    </row>
    <row r="227" spans="1:9" x14ac:dyDescent="0.3">
      <c r="A227" t="s">
        <v>274</v>
      </c>
      <c r="B227" t="s">
        <v>1519</v>
      </c>
      <c r="C227" t="s">
        <v>1464</v>
      </c>
      <c r="D227">
        <v>89</v>
      </c>
      <c r="E227">
        <v>88</v>
      </c>
      <c r="F227">
        <v>80</v>
      </c>
      <c r="G227">
        <v>84</v>
      </c>
      <c r="H227">
        <v>85</v>
      </c>
      <c r="I227" t="s">
        <v>1476</v>
      </c>
    </row>
    <row r="228" spans="1:9" x14ac:dyDescent="0.3">
      <c r="A228" t="s">
        <v>262</v>
      </c>
      <c r="B228" t="s">
        <v>1078</v>
      </c>
      <c r="C228" t="s">
        <v>1464</v>
      </c>
      <c r="D228">
        <v>91</v>
      </c>
      <c r="E228">
        <v>109</v>
      </c>
      <c r="F228">
        <v>96</v>
      </c>
      <c r="G228">
        <v>102</v>
      </c>
      <c r="H228">
        <v>100</v>
      </c>
      <c r="I228" t="s">
        <v>1476</v>
      </c>
    </row>
    <row r="229" spans="1:9" x14ac:dyDescent="0.3">
      <c r="A229" t="s">
        <v>282</v>
      </c>
      <c r="B229" t="s">
        <v>1520</v>
      </c>
      <c r="C229" t="s">
        <v>1460</v>
      </c>
      <c r="D229">
        <v>80</v>
      </c>
      <c r="E229">
        <v>105</v>
      </c>
      <c r="F229">
        <v>113</v>
      </c>
      <c r="G229">
        <v>107</v>
      </c>
      <c r="H229">
        <v>101</v>
      </c>
      <c r="I229" t="s">
        <v>1476</v>
      </c>
    </row>
    <row r="230" spans="1:9" x14ac:dyDescent="0.3">
      <c r="A230" t="s">
        <v>288</v>
      </c>
      <c r="B230" t="s">
        <v>1521</v>
      </c>
      <c r="C230" t="s">
        <v>1461</v>
      </c>
      <c r="D230">
        <v>85</v>
      </c>
      <c r="E230">
        <v>116</v>
      </c>
      <c r="F230">
        <v>111</v>
      </c>
      <c r="G230">
        <v>98</v>
      </c>
      <c r="H230">
        <v>103</v>
      </c>
      <c r="I230" t="s">
        <v>1476</v>
      </c>
    </row>
    <row r="231" spans="1:9" x14ac:dyDescent="0.3">
      <c r="A231" t="s">
        <v>296</v>
      </c>
      <c r="B231" t="s">
        <v>1522</v>
      </c>
      <c r="C231" t="s">
        <v>1461</v>
      </c>
      <c r="D231">
        <v>89</v>
      </c>
      <c r="E231">
        <v>118</v>
      </c>
      <c r="F231">
        <v>98</v>
      </c>
      <c r="G231">
        <v>104</v>
      </c>
      <c r="H231">
        <v>102</v>
      </c>
      <c r="I231" t="s">
        <v>1476</v>
      </c>
    </row>
    <row r="232" spans="1:9" x14ac:dyDescent="0.3">
      <c r="A232" t="s">
        <v>278</v>
      </c>
      <c r="B232" t="s">
        <v>1523</v>
      </c>
      <c r="C232" t="s">
        <v>1461</v>
      </c>
      <c r="D232">
        <v>92</v>
      </c>
      <c r="E232">
        <v>126</v>
      </c>
      <c r="F232">
        <v>113</v>
      </c>
      <c r="G232">
        <v>109</v>
      </c>
      <c r="H232">
        <v>110</v>
      </c>
      <c r="I232" t="s">
        <v>1476</v>
      </c>
    </row>
    <row r="233" spans="1:9" x14ac:dyDescent="0.3">
      <c r="A233" t="s">
        <v>284</v>
      </c>
      <c r="B233" t="s">
        <v>1524</v>
      </c>
      <c r="C233" t="s">
        <v>1463</v>
      </c>
      <c r="D233">
        <v>79</v>
      </c>
      <c r="E233">
        <v>114</v>
      </c>
      <c r="F233">
        <v>93</v>
      </c>
      <c r="G233">
        <v>100</v>
      </c>
      <c r="H233">
        <v>97</v>
      </c>
      <c r="I233" t="s">
        <v>1476</v>
      </c>
    </row>
    <row r="234" spans="1:9" x14ac:dyDescent="0.3">
      <c r="A234" t="s">
        <v>286</v>
      </c>
      <c r="B234" t="s">
        <v>1525</v>
      </c>
      <c r="C234" t="s">
        <v>1463</v>
      </c>
      <c r="D234">
        <v>75</v>
      </c>
      <c r="E234">
        <v>105</v>
      </c>
      <c r="F234">
        <v>86</v>
      </c>
      <c r="G234">
        <v>100</v>
      </c>
      <c r="H234">
        <v>92</v>
      </c>
      <c r="I234" t="s">
        <v>1476</v>
      </c>
    </row>
    <row r="235" spans="1:9" x14ac:dyDescent="0.3">
      <c r="A235" t="s">
        <v>280</v>
      </c>
      <c r="B235" t="s">
        <v>1526</v>
      </c>
      <c r="C235" t="s">
        <v>1464</v>
      </c>
      <c r="D235">
        <v>87</v>
      </c>
      <c r="E235">
        <v>107</v>
      </c>
      <c r="F235">
        <v>115</v>
      </c>
      <c r="G235">
        <v>92</v>
      </c>
      <c r="H235">
        <v>100</v>
      </c>
      <c r="I235" t="s">
        <v>1476</v>
      </c>
    </row>
    <row r="236" spans="1:9" x14ac:dyDescent="0.3">
      <c r="A236" t="s">
        <v>294</v>
      </c>
      <c r="B236" t="s">
        <v>1527</v>
      </c>
      <c r="C236" t="s">
        <v>1464</v>
      </c>
      <c r="D236">
        <v>94</v>
      </c>
      <c r="E236">
        <v>130</v>
      </c>
      <c r="F236">
        <v>106</v>
      </c>
      <c r="G236">
        <v>98</v>
      </c>
      <c r="H236">
        <v>107</v>
      </c>
      <c r="I236" t="s">
        <v>1476</v>
      </c>
    </row>
    <row r="237" spans="1:9" x14ac:dyDescent="0.3">
      <c r="A237" t="s">
        <v>290</v>
      </c>
      <c r="B237" t="s">
        <v>1528</v>
      </c>
      <c r="C237" t="s">
        <v>1464</v>
      </c>
      <c r="D237">
        <v>94</v>
      </c>
      <c r="E237">
        <v>116</v>
      </c>
      <c r="F237">
        <v>100</v>
      </c>
      <c r="G237">
        <v>100</v>
      </c>
      <c r="H237">
        <v>103</v>
      </c>
      <c r="I237" t="s">
        <v>1476</v>
      </c>
    </row>
    <row r="238" spans="1:9" x14ac:dyDescent="0.3">
      <c r="A238" t="s">
        <v>292</v>
      </c>
      <c r="B238" t="s">
        <v>1529</v>
      </c>
      <c r="C238" t="s">
        <v>1464</v>
      </c>
      <c r="D238">
        <v>75</v>
      </c>
      <c r="E238">
        <v>86</v>
      </c>
      <c r="F238">
        <v>102</v>
      </c>
      <c r="G238">
        <v>73</v>
      </c>
      <c r="H238">
        <v>84</v>
      </c>
      <c r="I238" t="s">
        <v>1476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38"/>
  <sheetViews>
    <sheetView workbookViewId="0"/>
  </sheetViews>
  <sheetFormatPr defaultRowHeight="14.4" x14ac:dyDescent="0.3"/>
  <cols>
    <col min="1" max="3" width="24" customWidth="1"/>
    <col min="4" max="5" width="16" customWidth="1"/>
    <col min="6" max="6" width="24" customWidth="1"/>
    <col min="7" max="11" width="16" customWidth="1"/>
    <col min="12" max="12" width="24" customWidth="1"/>
  </cols>
  <sheetData>
    <row r="1" spans="1:12" x14ac:dyDescent="0.3">
      <c r="A1" s="28" t="s">
        <v>40</v>
      </c>
      <c r="B1" s="28" t="s">
        <v>41</v>
      </c>
      <c r="C1" s="28" t="s">
        <v>1455</v>
      </c>
      <c r="D1" s="28" t="s">
        <v>1456</v>
      </c>
      <c r="E1" s="28" t="s">
        <v>1457</v>
      </c>
      <c r="F1" s="28" t="s">
        <v>549</v>
      </c>
      <c r="G1" s="28" t="s">
        <v>550</v>
      </c>
      <c r="H1" s="28" t="s">
        <v>551</v>
      </c>
      <c r="I1" s="28" t="s">
        <v>552</v>
      </c>
      <c r="J1" s="28" t="s">
        <v>553</v>
      </c>
      <c r="K1" s="28" t="s">
        <v>547</v>
      </c>
      <c r="L1" s="28" t="s">
        <v>1458</v>
      </c>
    </row>
    <row r="2" spans="1:12" x14ac:dyDescent="0.3">
      <c r="A2" t="s">
        <v>1530</v>
      </c>
      <c r="B2" t="s">
        <v>1531</v>
      </c>
      <c r="C2" t="s">
        <v>1532</v>
      </c>
      <c r="D2">
        <v>9</v>
      </c>
      <c r="E2" t="s">
        <v>1660</v>
      </c>
      <c r="F2" t="s">
        <v>1460</v>
      </c>
      <c r="G2">
        <v>69</v>
      </c>
      <c r="H2">
        <v>93</v>
      </c>
      <c r="I2">
        <v>94</v>
      </c>
      <c r="J2">
        <v>106</v>
      </c>
      <c r="K2">
        <v>91</v>
      </c>
      <c r="L2" t="s">
        <v>1441</v>
      </c>
    </row>
    <row r="3" spans="1:12" x14ac:dyDescent="0.3">
      <c r="A3" t="s">
        <v>1533</v>
      </c>
      <c r="B3" t="s">
        <v>1534</v>
      </c>
      <c r="C3" t="s">
        <v>1532</v>
      </c>
      <c r="D3">
        <v>9</v>
      </c>
      <c r="E3" t="s">
        <v>1660</v>
      </c>
      <c r="F3" t="s">
        <v>1460</v>
      </c>
      <c r="G3">
        <v>79</v>
      </c>
      <c r="H3">
        <v>106</v>
      </c>
      <c r="I3">
        <v>102</v>
      </c>
      <c r="J3">
        <v>106</v>
      </c>
      <c r="K3">
        <v>98</v>
      </c>
      <c r="L3" t="s">
        <v>1441</v>
      </c>
    </row>
    <row r="4" spans="1:12" x14ac:dyDescent="0.3">
      <c r="A4" t="s">
        <v>1535</v>
      </c>
      <c r="B4" t="s">
        <v>1536</v>
      </c>
      <c r="C4" t="s">
        <v>1532</v>
      </c>
      <c r="D4">
        <v>9</v>
      </c>
      <c r="E4" t="s">
        <v>1660</v>
      </c>
      <c r="F4" t="s">
        <v>1460</v>
      </c>
      <c r="G4">
        <v>77</v>
      </c>
      <c r="H4">
        <v>102</v>
      </c>
      <c r="I4">
        <v>120</v>
      </c>
      <c r="J4">
        <v>116</v>
      </c>
      <c r="K4">
        <v>104</v>
      </c>
      <c r="L4" t="s">
        <v>1441</v>
      </c>
    </row>
    <row r="5" spans="1:12" x14ac:dyDescent="0.3">
      <c r="A5" t="s">
        <v>1537</v>
      </c>
      <c r="B5" t="s">
        <v>1538</v>
      </c>
      <c r="C5" t="s">
        <v>1532</v>
      </c>
      <c r="D5">
        <v>9</v>
      </c>
      <c r="E5" t="s">
        <v>1660</v>
      </c>
      <c r="F5" t="s">
        <v>1461</v>
      </c>
      <c r="G5">
        <v>84</v>
      </c>
      <c r="H5">
        <v>106</v>
      </c>
      <c r="I5">
        <v>105</v>
      </c>
      <c r="J5">
        <v>102</v>
      </c>
      <c r="K5">
        <v>99</v>
      </c>
      <c r="L5" t="s">
        <v>1441</v>
      </c>
    </row>
    <row r="6" spans="1:12" x14ac:dyDescent="0.3">
      <c r="A6" t="s">
        <v>1539</v>
      </c>
      <c r="B6" t="s">
        <v>1540</v>
      </c>
      <c r="C6" t="s">
        <v>1532</v>
      </c>
      <c r="D6">
        <v>9</v>
      </c>
      <c r="E6" t="s">
        <v>1660</v>
      </c>
      <c r="F6" t="s">
        <v>1461</v>
      </c>
      <c r="G6">
        <v>79</v>
      </c>
      <c r="H6">
        <v>123</v>
      </c>
      <c r="I6">
        <v>107</v>
      </c>
      <c r="J6">
        <v>93</v>
      </c>
      <c r="K6">
        <v>101</v>
      </c>
      <c r="L6" t="s">
        <v>1441</v>
      </c>
    </row>
    <row r="7" spans="1:12" x14ac:dyDescent="0.3">
      <c r="A7" t="s">
        <v>1541</v>
      </c>
      <c r="B7" t="s">
        <v>1542</v>
      </c>
      <c r="C7" t="s">
        <v>1532</v>
      </c>
      <c r="D7">
        <v>9</v>
      </c>
      <c r="E7" t="s">
        <v>1660</v>
      </c>
      <c r="F7" t="s">
        <v>1461</v>
      </c>
      <c r="G7">
        <v>93</v>
      </c>
      <c r="H7">
        <v>106</v>
      </c>
      <c r="I7">
        <v>100</v>
      </c>
      <c r="J7">
        <v>104</v>
      </c>
      <c r="K7">
        <v>101</v>
      </c>
      <c r="L7" t="s">
        <v>1441</v>
      </c>
    </row>
    <row r="8" spans="1:12" x14ac:dyDescent="0.3">
      <c r="A8" t="s">
        <v>1543</v>
      </c>
      <c r="B8" t="s">
        <v>1544</v>
      </c>
      <c r="C8" t="s">
        <v>1532</v>
      </c>
      <c r="D8">
        <v>9</v>
      </c>
      <c r="E8" t="s">
        <v>1660</v>
      </c>
      <c r="F8" t="s">
        <v>1461</v>
      </c>
      <c r="G8">
        <v>115</v>
      </c>
      <c r="H8">
        <v>115</v>
      </c>
      <c r="I8">
        <v>100</v>
      </c>
      <c r="J8">
        <v>128</v>
      </c>
      <c r="K8">
        <v>115</v>
      </c>
      <c r="L8" t="s">
        <v>1441</v>
      </c>
    </row>
    <row r="9" spans="1:12" x14ac:dyDescent="0.3">
      <c r="A9" t="s">
        <v>1545</v>
      </c>
      <c r="B9" t="s">
        <v>1546</v>
      </c>
      <c r="C9" t="s">
        <v>1532</v>
      </c>
      <c r="D9">
        <v>9</v>
      </c>
      <c r="E9" t="s">
        <v>1660</v>
      </c>
      <c r="F9" t="s">
        <v>1463</v>
      </c>
      <c r="G9">
        <v>69</v>
      </c>
      <c r="H9">
        <v>109</v>
      </c>
      <c r="I9">
        <v>109</v>
      </c>
      <c r="J9">
        <v>91</v>
      </c>
      <c r="K9">
        <v>95</v>
      </c>
      <c r="L9" t="s">
        <v>1441</v>
      </c>
    </row>
    <row r="10" spans="1:12" x14ac:dyDescent="0.3">
      <c r="A10" t="s">
        <v>1547</v>
      </c>
      <c r="B10" t="s">
        <v>1548</v>
      </c>
      <c r="C10" t="s">
        <v>1532</v>
      </c>
      <c r="D10">
        <v>9</v>
      </c>
      <c r="E10" t="s">
        <v>1660</v>
      </c>
      <c r="F10" t="s">
        <v>1463</v>
      </c>
      <c r="G10">
        <v>84</v>
      </c>
      <c r="H10">
        <v>104</v>
      </c>
      <c r="I10">
        <v>89</v>
      </c>
      <c r="J10">
        <v>109</v>
      </c>
      <c r="K10">
        <v>97</v>
      </c>
      <c r="L10" t="s">
        <v>1441</v>
      </c>
    </row>
    <row r="11" spans="1:12" x14ac:dyDescent="0.3">
      <c r="A11" t="s">
        <v>1549</v>
      </c>
      <c r="B11" t="s">
        <v>1550</v>
      </c>
      <c r="C11" t="s">
        <v>1532</v>
      </c>
      <c r="D11">
        <v>9</v>
      </c>
      <c r="E11" t="s">
        <v>1660</v>
      </c>
      <c r="F11" t="s">
        <v>1464</v>
      </c>
      <c r="G11">
        <v>90</v>
      </c>
      <c r="H11">
        <v>115</v>
      </c>
      <c r="I11">
        <v>94</v>
      </c>
      <c r="J11">
        <v>97</v>
      </c>
      <c r="K11">
        <v>99</v>
      </c>
      <c r="L11" t="s">
        <v>1441</v>
      </c>
    </row>
    <row r="12" spans="1:12" x14ac:dyDescent="0.3">
      <c r="A12" t="s">
        <v>1551</v>
      </c>
      <c r="B12" t="s">
        <v>1552</v>
      </c>
      <c r="C12" t="s">
        <v>1532</v>
      </c>
      <c r="D12">
        <v>9</v>
      </c>
      <c r="E12" t="s">
        <v>1660</v>
      </c>
      <c r="F12" t="s">
        <v>1464</v>
      </c>
      <c r="G12">
        <v>90</v>
      </c>
      <c r="H12">
        <v>111</v>
      </c>
      <c r="I12">
        <v>98</v>
      </c>
      <c r="J12">
        <v>99</v>
      </c>
      <c r="K12">
        <v>100</v>
      </c>
      <c r="L12" t="s">
        <v>1441</v>
      </c>
    </row>
    <row r="13" spans="1:12" x14ac:dyDescent="0.3">
      <c r="A13" t="s">
        <v>1553</v>
      </c>
      <c r="B13" t="s">
        <v>1554</v>
      </c>
      <c r="C13" t="s">
        <v>1532</v>
      </c>
      <c r="D13">
        <v>9</v>
      </c>
      <c r="E13" t="s">
        <v>1660</v>
      </c>
      <c r="F13" t="s">
        <v>1464</v>
      </c>
      <c r="G13">
        <v>98</v>
      </c>
      <c r="H13">
        <v>104</v>
      </c>
      <c r="I13">
        <v>100</v>
      </c>
      <c r="J13">
        <v>101</v>
      </c>
      <c r="K13">
        <v>101</v>
      </c>
      <c r="L13" t="s">
        <v>1441</v>
      </c>
    </row>
    <row r="14" spans="1:12" x14ac:dyDescent="0.3">
      <c r="A14" t="s">
        <v>1555</v>
      </c>
      <c r="B14" t="s">
        <v>1556</v>
      </c>
      <c r="C14" t="s">
        <v>1532</v>
      </c>
      <c r="D14">
        <v>9</v>
      </c>
      <c r="E14" t="s">
        <v>1660</v>
      </c>
      <c r="F14" t="s">
        <v>1464</v>
      </c>
      <c r="G14">
        <v>108</v>
      </c>
      <c r="H14">
        <v>106</v>
      </c>
      <c r="I14">
        <v>109</v>
      </c>
      <c r="J14">
        <v>104</v>
      </c>
      <c r="K14">
        <v>107</v>
      </c>
      <c r="L14" t="s">
        <v>1441</v>
      </c>
    </row>
    <row r="15" spans="1:12" x14ac:dyDescent="0.3">
      <c r="A15" t="s">
        <v>1557</v>
      </c>
      <c r="B15" t="s">
        <v>1558</v>
      </c>
      <c r="C15" t="s">
        <v>1532</v>
      </c>
      <c r="D15">
        <v>9</v>
      </c>
      <c r="E15" t="s">
        <v>1660</v>
      </c>
      <c r="F15" t="s">
        <v>1464</v>
      </c>
      <c r="G15">
        <v>98</v>
      </c>
      <c r="H15">
        <v>121</v>
      </c>
      <c r="I15">
        <v>109</v>
      </c>
      <c r="J15">
        <v>108</v>
      </c>
      <c r="K15">
        <v>109</v>
      </c>
      <c r="L15" t="s">
        <v>1441</v>
      </c>
    </row>
    <row r="16" spans="1:12" x14ac:dyDescent="0.3">
      <c r="A16" t="s">
        <v>1559</v>
      </c>
      <c r="B16" t="s">
        <v>1560</v>
      </c>
      <c r="C16" t="s">
        <v>1532</v>
      </c>
      <c r="D16">
        <v>9</v>
      </c>
      <c r="E16" t="s">
        <v>1660</v>
      </c>
      <c r="F16" t="s">
        <v>1464</v>
      </c>
      <c r="G16">
        <v>106</v>
      </c>
      <c r="H16">
        <v>113</v>
      </c>
      <c r="I16">
        <v>107</v>
      </c>
      <c r="J16">
        <v>115</v>
      </c>
      <c r="K16">
        <v>110</v>
      </c>
      <c r="L16" t="s">
        <v>1441</v>
      </c>
    </row>
    <row r="17" spans="1:12" x14ac:dyDescent="0.3">
      <c r="A17" t="s">
        <v>1561</v>
      </c>
      <c r="B17" t="s">
        <v>1562</v>
      </c>
      <c r="C17" t="s">
        <v>1532</v>
      </c>
      <c r="D17">
        <v>9</v>
      </c>
      <c r="E17" t="s">
        <v>1660</v>
      </c>
      <c r="F17" t="s">
        <v>1464</v>
      </c>
      <c r="I17">
        <v>120</v>
      </c>
      <c r="J17">
        <v>120</v>
      </c>
      <c r="K17">
        <v>120</v>
      </c>
      <c r="L17" t="s">
        <v>1441</v>
      </c>
    </row>
    <row r="18" spans="1:12" x14ac:dyDescent="0.3">
      <c r="A18" t="s">
        <v>1563</v>
      </c>
      <c r="B18" t="s">
        <v>1564</v>
      </c>
      <c r="C18" t="s">
        <v>1532</v>
      </c>
      <c r="D18">
        <v>9</v>
      </c>
      <c r="E18" t="s">
        <v>1661</v>
      </c>
      <c r="F18" t="s">
        <v>1460</v>
      </c>
      <c r="G18">
        <v>79</v>
      </c>
      <c r="H18">
        <v>107</v>
      </c>
      <c r="I18">
        <v>114</v>
      </c>
      <c r="J18">
        <v>113</v>
      </c>
      <c r="K18">
        <v>103</v>
      </c>
      <c r="L18" t="s">
        <v>1441</v>
      </c>
    </row>
    <row r="19" spans="1:12" x14ac:dyDescent="0.3">
      <c r="A19" t="s">
        <v>1565</v>
      </c>
      <c r="B19" t="s">
        <v>1566</v>
      </c>
      <c r="C19" t="s">
        <v>1532</v>
      </c>
      <c r="D19">
        <v>9</v>
      </c>
      <c r="E19" t="s">
        <v>1661</v>
      </c>
      <c r="F19" t="s">
        <v>1460</v>
      </c>
      <c r="G19">
        <v>81</v>
      </c>
      <c r="H19">
        <v>115</v>
      </c>
      <c r="I19">
        <v>127</v>
      </c>
      <c r="J19">
        <v>120</v>
      </c>
      <c r="K19">
        <v>111</v>
      </c>
      <c r="L19" t="s">
        <v>1441</v>
      </c>
    </row>
    <row r="20" spans="1:12" x14ac:dyDescent="0.3">
      <c r="A20" t="s">
        <v>1567</v>
      </c>
      <c r="B20" t="s">
        <v>1568</v>
      </c>
      <c r="C20" t="s">
        <v>1532</v>
      </c>
      <c r="D20">
        <v>9</v>
      </c>
      <c r="E20" t="s">
        <v>1661</v>
      </c>
      <c r="F20" t="s">
        <v>1461</v>
      </c>
      <c r="G20">
        <v>92</v>
      </c>
      <c r="H20">
        <v>104</v>
      </c>
      <c r="I20">
        <v>105</v>
      </c>
      <c r="J20">
        <v>108</v>
      </c>
      <c r="K20">
        <v>102</v>
      </c>
      <c r="L20" t="s">
        <v>1441</v>
      </c>
    </row>
    <row r="21" spans="1:12" x14ac:dyDescent="0.3">
      <c r="A21" t="s">
        <v>1569</v>
      </c>
      <c r="B21" t="s">
        <v>1570</v>
      </c>
      <c r="C21" t="s">
        <v>1532</v>
      </c>
      <c r="D21">
        <v>9</v>
      </c>
      <c r="E21" t="s">
        <v>1661</v>
      </c>
      <c r="F21" t="s">
        <v>1461</v>
      </c>
      <c r="G21">
        <v>89</v>
      </c>
      <c r="H21">
        <v>99</v>
      </c>
      <c r="I21">
        <v>116</v>
      </c>
      <c r="J21">
        <v>106</v>
      </c>
      <c r="K21">
        <v>103</v>
      </c>
      <c r="L21" t="s">
        <v>1441</v>
      </c>
    </row>
    <row r="22" spans="1:12" x14ac:dyDescent="0.3">
      <c r="A22" t="s">
        <v>1571</v>
      </c>
      <c r="B22" t="s">
        <v>1572</v>
      </c>
      <c r="C22" t="s">
        <v>1532</v>
      </c>
      <c r="D22">
        <v>9</v>
      </c>
      <c r="E22" t="s">
        <v>1661</v>
      </c>
      <c r="F22" t="s">
        <v>1461</v>
      </c>
      <c r="G22">
        <v>115</v>
      </c>
      <c r="H22">
        <v>123</v>
      </c>
      <c r="I22">
        <v>141</v>
      </c>
      <c r="J22">
        <v>134</v>
      </c>
      <c r="K22">
        <v>128</v>
      </c>
      <c r="L22" t="s">
        <v>1441</v>
      </c>
    </row>
    <row r="23" spans="1:12" x14ac:dyDescent="0.3">
      <c r="A23" t="s">
        <v>1573</v>
      </c>
      <c r="B23" t="s">
        <v>1574</v>
      </c>
      <c r="C23" t="s">
        <v>1532</v>
      </c>
      <c r="D23">
        <v>9</v>
      </c>
      <c r="E23" t="s">
        <v>1661</v>
      </c>
      <c r="F23" t="s">
        <v>1467</v>
      </c>
      <c r="G23">
        <v>105</v>
      </c>
      <c r="H23">
        <v>93</v>
      </c>
      <c r="I23">
        <v>103</v>
      </c>
      <c r="J23">
        <v>89</v>
      </c>
      <c r="K23">
        <v>98</v>
      </c>
      <c r="L23" t="s">
        <v>1441</v>
      </c>
    </row>
    <row r="24" spans="1:12" x14ac:dyDescent="0.3">
      <c r="A24" t="s">
        <v>1575</v>
      </c>
      <c r="B24" t="s">
        <v>1576</v>
      </c>
      <c r="C24" t="s">
        <v>1532</v>
      </c>
      <c r="D24">
        <v>9</v>
      </c>
      <c r="E24" t="s">
        <v>1661</v>
      </c>
      <c r="F24" t="s">
        <v>1467</v>
      </c>
      <c r="G24">
        <v>106</v>
      </c>
      <c r="H24">
        <v>102</v>
      </c>
      <c r="I24">
        <v>114</v>
      </c>
      <c r="J24">
        <v>89</v>
      </c>
      <c r="K24">
        <v>103</v>
      </c>
      <c r="L24" t="s">
        <v>1441</v>
      </c>
    </row>
    <row r="25" spans="1:12" x14ac:dyDescent="0.3">
      <c r="A25" t="s">
        <v>1577</v>
      </c>
      <c r="B25" t="s">
        <v>1578</v>
      </c>
      <c r="C25" t="s">
        <v>1532</v>
      </c>
      <c r="D25">
        <v>9</v>
      </c>
      <c r="E25" t="s">
        <v>1661</v>
      </c>
      <c r="F25" t="s">
        <v>1463</v>
      </c>
      <c r="G25">
        <v>83</v>
      </c>
      <c r="H25">
        <v>106</v>
      </c>
      <c r="I25">
        <v>112</v>
      </c>
      <c r="J25">
        <v>111</v>
      </c>
      <c r="K25">
        <v>103</v>
      </c>
      <c r="L25" t="s">
        <v>1441</v>
      </c>
    </row>
    <row r="26" spans="1:12" x14ac:dyDescent="0.3">
      <c r="A26" t="s">
        <v>1579</v>
      </c>
      <c r="B26" t="s">
        <v>1580</v>
      </c>
      <c r="C26" t="s">
        <v>1532</v>
      </c>
      <c r="D26">
        <v>9</v>
      </c>
      <c r="E26" t="s">
        <v>1661</v>
      </c>
      <c r="F26" t="s">
        <v>1463</v>
      </c>
      <c r="G26">
        <v>93</v>
      </c>
      <c r="H26">
        <v>121</v>
      </c>
      <c r="I26">
        <v>131</v>
      </c>
      <c r="J26">
        <v>118</v>
      </c>
      <c r="K26">
        <v>116</v>
      </c>
      <c r="L26" t="s">
        <v>1441</v>
      </c>
    </row>
    <row r="27" spans="1:12" x14ac:dyDescent="0.3">
      <c r="A27" t="s">
        <v>1581</v>
      </c>
      <c r="B27" t="s">
        <v>1582</v>
      </c>
      <c r="C27" t="s">
        <v>1532</v>
      </c>
      <c r="D27">
        <v>9</v>
      </c>
      <c r="E27" t="s">
        <v>1661</v>
      </c>
      <c r="F27" t="s">
        <v>1464</v>
      </c>
      <c r="G27">
        <v>84</v>
      </c>
      <c r="H27">
        <v>106</v>
      </c>
      <c r="I27">
        <v>114</v>
      </c>
      <c r="J27">
        <v>93</v>
      </c>
      <c r="K27">
        <v>99</v>
      </c>
      <c r="L27" t="s">
        <v>1441</v>
      </c>
    </row>
    <row r="28" spans="1:12" x14ac:dyDescent="0.3">
      <c r="A28" t="s">
        <v>1583</v>
      </c>
      <c r="B28" t="s">
        <v>1584</v>
      </c>
      <c r="C28" t="s">
        <v>1532</v>
      </c>
      <c r="D28">
        <v>9</v>
      </c>
      <c r="E28" t="s">
        <v>1661</v>
      </c>
      <c r="F28" t="s">
        <v>1464</v>
      </c>
      <c r="G28">
        <v>90</v>
      </c>
      <c r="H28">
        <v>111</v>
      </c>
      <c r="I28">
        <v>103</v>
      </c>
      <c r="J28">
        <v>99</v>
      </c>
      <c r="K28">
        <v>101</v>
      </c>
      <c r="L28" t="s">
        <v>1441</v>
      </c>
    </row>
    <row r="29" spans="1:12" x14ac:dyDescent="0.3">
      <c r="A29" t="s">
        <v>1585</v>
      </c>
      <c r="B29" t="s">
        <v>1586</v>
      </c>
      <c r="C29" t="s">
        <v>1532</v>
      </c>
      <c r="D29">
        <v>9</v>
      </c>
      <c r="E29" t="s">
        <v>1661</v>
      </c>
      <c r="F29" t="s">
        <v>1464</v>
      </c>
      <c r="G29">
        <v>93</v>
      </c>
      <c r="H29">
        <v>106</v>
      </c>
      <c r="I29">
        <v>112</v>
      </c>
      <c r="J29">
        <v>97</v>
      </c>
      <c r="K29">
        <v>102</v>
      </c>
      <c r="L29" t="s">
        <v>1441</v>
      </c>
    </row>
    <row r="30" spans="1:12" x14ac:dyDescent="0.3">
      <c r="A30" t="s">
        <v>1587</v>
      </c>
      <c r="B30" t="s">
        <v>1588</v>
      </c>
      <c r="C30" t="s">
        <v>1532</v>
      </c>
      <c r="D30">
        <v>9</v>
      </c>
      <c r="E30" t="s">
        <v>1661</v>
      </c>
      <c r="F30" t="s">
        <v>1464</v>
      </c>
      <c r="G30">
        <v>108</v>
      </c>
      <c r="H30">
        <v>99</v>
      </c>
      <c r="I30">
        <v>102</v>
      </c>
      <c r="J30">
        <v>99</v>
      </c>
      <c r="K30">
        <v>102</v>
      </c>
      <c r="L30" t="s">
        <v>1441</v>
      </c>
    </row>
    <row r="31" spans="1:12" x14ac:dyDescent="0.3">
      <c r="A31" t="s">
        <v>1589</v>
      </c>
      <c r="B31" t="s">
        <v>1590</v>
      </c>
      <c r="C31" t="s">
        <v>1532</v>
      </c>
      <c r="D31">
        <v>9</v>
      </c>
      <c r="E31" t="s">
        <v>1661</v>
      </c>
      <c r="F31" t="s">
        <v>1464</v>
      </c>
      <c r="G31">
        <v>100</v>
      </c>
      <c r="H31">
        <v>106</v>
      </c>
      <c r="I31">
        <v>122</v>
      </c>
      <c r="J31">
        <v>104</v>
      </c>
      <c r="K31">
        <v>108</v>
      </c>
      <c r="L31" t="s">
        <v>1441</v>
      </c>
    </row>
    <row r="32" spans="1:12" x14ac:dyDescent="0.3">
      <c r="A32" t="s">
        <v>1591</v>
      </c>
      <c r="B32" t="s">
        <v>1592</v>
      </c>
      <c r="C32" t="s">
        <v>1532</v>
      </c>
      <c r="D32">
        <v>9</v>
      </c>
      <c r="E32" t="s">
        <v>1661</v>
      </c>
      <c r="F32" t="s">
        <v>1464</v>
      </c>
      <c r="G32">
        <v>98</v>
      </c>
      <c r="H32">
        <v>113</v>
      </c>
      <c r="I32">
        <v>112</v>
      </c>
      <c r="J32">
        <v>109</v>
      </c>
      <c r="K32">
        <v>108</v>
      </c>
      <c r="L32" t="s">
        <v>1441</v>
      </c>
    </row>
    <row r="33" spans="1:12" x14ac:dyDescent="0.3">
      <c r="A33" t="s">
        <v>1593</v>
      </c>
      <c r="B33" t="s">
        <v>1594</v>
      </c>
      <c r="C33" t="s">
        <v>1532</v>
      </c>
      <c r="D33">
        <v>9</v>
      </c>
      <c r="E33" t="s">
        <v>1661</v>
      </c>
      <c r="F33" t="s">
        <v>1464</v>
      </c>
      <c r="G33">
        <v>105</v>
      </c>
      <c r="H33">
        <v>113</v>
      </c>
      <c r="I33">
        <v>118</v>
      </c>
      <c r="J33">
        <v>113</v>
      </c>
      <c r="K33">
        <v>112</v>
      </c>
      <c r="L33" t="s">
        <v>1441</v>
      </c>
    </row>
    <row r="34" spans="1:12" x14ac:dyDescent="0.3">
      <c r="A34" t="s">
        <v>1595</v>
      </c>
      <c r="B34" t="s">
        <v>1596</v>
      </c>
      <c r="C34" t="s">
        <v>1532</v>
      </c>
      <c r="D34">
        <v>9</v>
      </c>
      <c r="E34" t="s">
        <v>604</v>
      </c>
      <c r="F34" t="s">
        <v>1460</v>
      </c>
      <c r="G34">
        <v>89</v>
      </c>
      <c r="H34">
        <v>113</v>
      </c>
      <c r="I34">
        <v>109</v>
      </c>
      <c r="J34">
        <v>128</v>
      </c>
      <c r="K34">
        <v>110</v>
      </c>
      <c r="L34" t="s">
        <v>1441</v>
      </c>
    </row>
    <row r="35" spans="1:12" x14ac:dyDescent="0.3">
      <c r="A35" t="s">
        <v>1597</v>
      </c>
      <c r="B35" t="s">
        <v>1598</v>
      </c>
      <c r="C35" t="s">
        <v>1532</v>
      </c>
      <c r="D35">
        <v>9</v>
      </c>
      <c r="E35" t="s">
        <v>604</v>
      </c>
      <c r="F35" t="s">
        <v>1461</v>
      </c>
      <c r="G35">
        <v>84</v>
      </c>
      <c r="H35">
        <v>107</v>
      </c>
      <c r="I35">
        <v>89</v>
      </c>
      <c r="J35">
        <v>102</v>
      </c>
      <c r="K35">
        <v>96</v>
      </c>
      <c r="L35" t="s">
        <v>1441</v>
      </c>
    </row>
    <row r="36" spans="1:12" x14ac:dyDescent="0.3">
      <c r="A36" t="s">
        <v>1599</v>
      </c>
      <c r="B36" t="s">
        <v>1600</v>
      </c>
      <c r="C36" t="s">
        <v>1532</v>
      </c>
      <c r="D36">
        <v>9</v>
      </c>
      <c r="E36" t="s">
        <v>604</v>
      </c>
      <c r="F36" t="s">
        <v>1461</v>
      </c>
      <c r="G36">
        <v>83</v>
      </c>
      <c r="H36">
        <v>113</v>
      </c>
      <c r="I36">
        <v>96</v>
      </c>
      <c r="J36">
        <v>99</v>
      </c>
      <c r="K36">
        <v>98</v>
      </c>
      <c r="L36" t="s">
        <v>1441</v>
      </c>
    </row>
    <row r="37" spans="1:12" x14ac:dyDescent="0.3">
      <c r="A37" t="s">
        <v>1601</v>
      </c>
      <c r="B37" t="s">
        <v>1602</v>
      </c>
      <c r="C37" t="s">
        <v>1532</v>
      </c>
      <c r="D37">
        <v>9</v>
      </c>
      <c r="E37" t="s">
        <v>604</v>
      </c>
      <c r="F37" t="s">
        <v>1461</v>
      </c>
      <c r="G37">
        <v>89</v>
      </c>
      <c r="H37">
        <v>104</v>
      </c>
      <c r="I37">
        <v>100</v>
      </c>
      <c r="J37">
        <v>104</v>
      </c>
      <c r="K37">
        <v>99</v>
      </c>
      <c r="L37" t="s">
        <v>1441</v>
      </c>
    </row>
    <row r="38" spans="1:12" x14ac:dyDescent="0.3">
      <c r="A38" t="s">
        <v>1603</v>
      </c>
      <c r="B38" t="s">
        <v>1604</v>
      </c>
      <c r="C38" t="s">
        <v>1532</v>
      </c>
      <c r="D38">
        <v>9</v>
      </c>
      <c r="E38" t="s">
        <v>604</v>
      </c>
      <c r="F38" t="s">
        <v>1461</v>
      </c>
      <c r="G38">
        <v>103</v>
      </c>
      <c r="H38">
        <v>91</v>
      </c>
      <c r="I38">
        <v>124</v>
      </c>
      <c r="J38">
        <v>118</v>
      </c>
      <c r="K38">
        <v>109</v>
      </c>
      <c r="L38" t="s">
        <v>1441</v>
      </c>
    </row>
    <row r="39" spans="1:12" x14ac:dyDescent="0.3">
      <c r="A39" t="s">
        <v>1605</v>
      </c>
      <c r="B39" t="s">
        <v>1606</v>
      </c>
      <c r="C39" t="s">
        <v>1532</v>
      </c>
      <c r="D39">
        <v>9</v>
      </c>
      <c r="E39" t="s">
        <v>604</v>
      </c>
      <c r="F39" t="s">
        <v>1464</v>
      </c>
      <c r="G39">
        <v>90</v>
      </c>
      <c r="H39">
        <v>111</v>
      </c>
      <c r="I39">
        <v>91</v>
      </c>
      <c r="J39">
        <v>84</v>
      </c>
      <c r="K39">
        <v>94</v>
      </c>
      <c r="L39" t="s">
        <v>1441</v>
      </c>
    </row>
    <row r="40" spans="1:12" x14ac:dyDescent="0.3">
      <c r="A40" t="s">
        <v>1607</v>
      </c>
      <c r="B40" t="s">
        <v>1608</v>
      </c>
      <c r="C40" t="s">
        <v>1532</v>
      </c>
      <c r="D40">
        <v>9</v>
      </c>
      <c r="E40" t="s">
        <v>604</v>
      </c>
      <c r="F40" t="s">
        <v>1464</v>
      </c>
      <c r="G40">
        <v>89</v>
      </c>
      <c r="H40">
        <v>106</v>
      </c>
      <c r="I40">
        <v>109</v>
      </c>
      <c r="J40">
        <v>91</v>
      </c>
      <c r="K40">
        <v>99</v>
      </c>
      <c r="L40" t="s">
        <v>1441</v>
      </c>
    </row>
    <row r="41" spans="1:12" x14ac:dyDescent="0.3">
      <c r="A41" t="s">
        <v>1609</v>
      </c>
      <c r="B41" t="s">
        <v>1610</v>
      </c>
      <c r="C41" t="s">
        <v>1532</v>
      </c>
      <c r="D41">
        <v>9</v>
      </c>
      <c r="E41" t="s">
        <v>604</v>
      </c>
      <c r="F41" t="s">
        <v>1464</v>
      </c>
      <c r="G41">
        <v>100</v>
      </c>
      <c r="H41">
        <v>111</v>
      </c>
      <c r="I41">
        <v>94</v>
      </c>
      <c r="J41">
        <v>93</v>
      </c>
      <c r="K41">
        <v>100</v>
      </c>
      <c r="L41" t="s">
        <v>1441</v>
      </c>
    </row>
    <row r="42" spans="1:12" x14ac:dyDescent="0.3">
      <c r="A42" t="s">
        <v>1611</v>
      </c>
      <c r="B42" t="s">
        <v>1612</v>
      </c>
      <c r="C42" t="s">
        <v>1532</v>
      </c>
      <c r="D42">
        <v>9</v>
      </c>
      <c r="E42" t="s">
        <v>604</v>
      </c>
      <c r="F42" t="s">
        <v>1464</v>
      </c>
      <c r="G42">
        <v>96</v>
      </c>
      <c r="H42">
        <v>107</v>
      </c>
      <c r="I42">
        <v>105</v>
      </c>
      <c r="J42">
        <v>93</v>
      </c>
      <c r="K42">
        <v>100</v>
      </c>
      <c r="L42" t="s">
        <v>1441</v>
      </c>
    </row>
    <row r="43" spans="1:12" x14ac:dyDescent="0.3">
      <c r="A43" t="s">
        <v>1613</v>
      </c>
      <c r="B43" t="s">
        <v>1614</v>
      </c>
      <c r="C43" t="s">
        <v>1532</v>
      </c>
      <c r="D43">
        <v>9</v>
      </c>
      <c r="E43" t="s">
        <v>604</v>
      </c>
      <c r="F43" t="s">
        <v>1464</v>
      </c>
      <c r="G43">
        <v>110</v>
      </c>
      <c r="H43">
        <v>102</v>
      </c>
      <c r="I43">
        <v>103</v>
      </c>
      <c r="J43">
        <v>101</v>
      </c>
      <c r="K43">
        <v>104</v>
      </c>
      <c r="L43" t="s">
        <v>1441</v>
      </c>
    </row>
    <row r="44" spans="1:12" x14ac:dyDescent="0.3">
      <c r="A44" t="s">
        <v>1615</v>
      </c>
      <c r="B44" t="s">
        <v>1616</v>
      </c>
      <c r="C44" t="s">
        <v>1532</v>
      </c>
      <c r="D44">
        <v>9</v>
      </c>
      <c r="E44" t="s">
        <v>604</v>
      </c>
      <c r="F44" t="s">
        <v>1464</v>
      </c>
      <c r="G44">
        <v>87</v>
      </c>
      <c r="H44">
        <v>115</v>
      </c>
      <c r="I44">
        <v>122</v>
      </c>
      <c r="J44">
        <v>95</v>
      </c>
      <c r="K44">
        <v>105</v>
      </c>
      <c r="L44" t="s">
        <v>1441</v>
      </c>
    </row>
    <row r="45" spans="1:12" x14ac:dyDescent="0.3">
      <c r="A45" t="s">
        <v>1617</v>
      </c>
      <c r="B45" t="s">
        <v>1618</v>
      </c>
      <c r="C45" t="s">
        <v>1532</v>
      </c>
      <c r="D45">
        <v>9</v>
      </c>
      <c r="E45" t="s">
        <v>604</v>
      </c>
      <c r="F45" t="s">
        <v>1464</v>
      </c>
      <c r="G45">
        <v>103</v>
      </c>
      <c r="H45">
        <v>107</v>
      </c>
      <c r="I45">
        <v>106</v>
      </c>
      <c r="J45">
        <v>110</v>
      </c>
      <c r="K45">
        <v>107</v>
      </c>
      <c r="L45" t="s">
        <v>1441</v>
      </c>
    </row>
    <row r="46" spans="1:12" x14ac:dyDescent="0.3">
      <c r="A46" t="s">
        <v>1619</v>
      </c>
      <c r="B46" t="s">
        <v>1620</v>
      </c>
      <c r="C46" t="s">
        <v>1532</v>
      </c>
      <c r="D46">
        <v>9</v>
      </c>
      <c r="E46" t="s">
        <v>604</v>
      </c>
      <c r="F46" t="s">
        <v>1464</v>
      </c>
      <c r="G46">
        <v>102</v>
      </c>
      <c r="H46">
        <v>115</v>
      </c>
      <c r="I46">
        <v>107</v>
      </c>
      <c r="J46">
        <v>106</v>
      </c>
      <c r="K46">
        <v>108</v>
      </c>
      <c r="L46" t="s">
        <v>1441</v>
      </c>
    </row>
    <row r="47" spans="1:12" x14ac:dyDescent="0.3">
      <c r="A47" t="s">
        <v>1621</v>
      </c>
      <c r="B47" t="s">
        <v>1622</v>
      </c>
      <c r="C47" t="s">
        <v>1532</v>
      </c>
      <c r="D47">
        <v>9</v>
      </c>
      <c r="E47" t="s">
        <v>604</v>
      </c>
      <c r="F47" t="s">
        <v>1464</v>
      </c>
      <c r="G47">
        <v>110</v>
      </c>
      <c r="H47">
        <v>123</v>
      </c>
      <c r="I47">
        <v>100</v>
      </c>
      <c r="J47">
        <v>108</v>
      </c>
      <c r="K47">
        <v>110</v>
      </c>
      <c r="L47" t="s">
        <v>1441</v>
      </c>
    </row>
    <row r="48" spans="1:12" x14ac:dyDescent="0.3">
      <c r="A48" t="s">
        <v>1623</v>
      </c>
      <c r="B48" t="s">
        <v>1624</v>
      </c>
      <c r="C48" t="s">
        <v>1532</v>
      </c>
      <c r="D48">
        <v>9</v>
      </c>
      <c r="E48" t="s">
        <v>604</v>
      </c>
      <c r="F48" t="s">
        <v>1464</v>
      </c>
      <c r="G48">
        <v>98</v>
      </c>
      <c r="H48">
        <v>128</v>
      </c>
      <c r="I48">
        <v>120</v>
      </c>
      <c r="J48">
        <v>111</v>
      </c>
      <c r="K48">
        <v>114</v>
      </c>
      <c r="L48" t="s">
        <v>1441</v>
      </c>
    </row>
    <row r="49" spans="1:12" x14ac:dyDescent="0.3">
      <c r="A49" t="s">
        <v>1625</v>
      </c>
      <c r="B49" t="s">
        <v>1626</v>
      </c>
      <c r="C49" t="s">
        <v>1532</v>
      </c>
      <c r="D49">
        <v>9</v>
      </c>
      <c r="E49" t="s">
        <v>1662</v>
      </c>
      <c r="F49" t="s">
        <v>1627</v>
      </c>
      <c r="G49">
        <v>113</v>
      </c>
      <c r="H49">
        <v>93</v>
      </c>
      <c r="I49">
        <v>96</v>
      </c>
      <c r="J49">
        <v>84</v>
      </c>
      <c r="K49">
        <v>97</v>
      </c>
      <c r="L49" t="s">
        <v>1441</v>
      </c>
    </row>
    <row r="50" spans="1:12" x14ac:dyDescent="0.3">
      <c r="A50" t="s">
        <v>1628</v>
      </c>
      <c r="B50" t="s">
        <v>1629</v>
      </c>
      <c r="C50" t="s">
        <v>1532</v>
      </c>
      <c r="D50">
        <v>9</v>
      </c>
      <c r="E50" t="s">
        <v>1662</v>
      </c>
      <c r="F50" t="s">
        <v>1461</v>
      </c>
      <c r="G50">
        <v>83</v>
      </c>
      <c r="H50">
        <v>99</v>
      </c>
      <c r="I50">
        <v>112</v>
      </c>
      <c r="J50">
        <v>102</v>
      </c>
      <c r="K50">
        <v>99</v>
      </c>
      <c r="L50" t="s">
        <v>1441</v>
      </c>
    </row>
    <row r="51" spans="1:12" x14ac:dyDescent="0.3">
      <c r="A51" t="s">
        <v>1630</v>
      </c>
      <c r="B51" t="s">
        <v>1631</v>
      </c>
      <c r="C51" t="s">
        <v>1532</v>
      </c>
      <c r="D51">
        <v>9</v>
      </c>
      <c r="E51" t="s">
        <v>1662</v>
      </c>
      <c r="F51" t="s">
        <v>1461</v>
      </c>
      <c r="G51">
        <v>96</v>
      </c>
      <c r="H51">
        <v>101</v>
      </c>
      <c r="I51">
        <v>107</v>
      </c>
      <c r="J51">
        <v>104</v>
      </c>
      <c r="K51">
        <v>102</v>
      </c>
      <c r="L51" t="s">
        <v>1441</v>
      </c>
    </row>
    <row r="52" spans="1:12" x14ac:dyDescent="0.3">
      <c r="A52" t="s">
        <v>1632</v>
      </c>
      <c r="B52" t="s">
        <v>1633</v>
      </c>
      <c r="C52" t="s">
        <v>1532</v>
      </c>
      <c r="D52">
        <v>9</v>
      </c>
      <c r="E52" t="s">
        <v>1662</v>
      </c>
      <c r="F52" t="s">
        <v>1461</v>
      </c>
      <c r="G52">
        <v>93</v>
      </c>
      <c r="H52">
        <v>97</v>
      </c>
      <c r="I52">
        <v>111</v>
      </c>
      <c r="J52">
        <v>111</v>
      </c>
      <c r="K52">
        <v>103</v>
      </c>
      <c r="L52" t="s">
        <v>1441</v>
      </c>
    </row>
    <row r="53" spans="1:12" x14ac:dyDescent="0.3">
      <c r="A53" t="s">
        <v>1634</v>
      </c>
      <c r="B53" t="s">
        <v>1635</v>
      </c>
      <c r="C53" t="s">
        <v>1532</v>
      </c>
      <c r="D53">
        <v>9</v>
      </c>
      <c r="E53" t="s">
        <v>1662</v>
      </c>
      <c r="F53" t="s">
        <v>1461</v>
      </c>
      <c r="G53">
        <v>100</v>
      </c>
      <c r="H53">
        <v>119</v>
      </c>
      <c r="I53">
        <v>112</v>
      </c>
      <c r="J53">
        <v>116</v>
      </c>
      <c r="K53">
        <v>112</v>
      </c>
      <c r="L53" t="s">
        <v>1441</v>
      </c>
    </row>
    <row r="54" spans="1:12" x14ac:dyDescent="0.3">
      <c r="A54" t="s">
        <v>1636</v>
      </c>
      <c r="B54" t="s">
        <v>1637</v>
      </c>
      <c r="C54" t="s">
        <v>1532</v>
      </c>
      <c r="D54">
        <v>9</v>
      </c>
      <c r="E54" t="s">
        <v>1662</v>
      </c>
      <c r="F54" t="s">
        <v>1467</v>
      </c>
      <c r="G54">
        <v>112</v>
      </c>
      <c r="H54">
        <v>102</v>
      </c>
      <c r="I54">
        <v>96</v>
      </c>
      <c r="J54">
        <v>102</v>
      </c>
      <c r="K54">
        <v>103</v>
      </c>
      <c r="L54" t="s">
        <v>1441</v>
      </c>
    </row>
    <row r="55" spans="1:12" x14ac:dyDescent="0.3">
      <c r="A55" t="s">
        <v>1638</v>
      </c>
      <c r="B55" t="s">
        <v>1639</v>
      </c>
      <c r="C55" t="s">
        <v>1532</v>
      </c>
      <c r="D55">
        <v>9</v>
      </c>
      <c r="E55" t="s">
        <v>1662</v>
      </c>
      <c r="F55" t="s">
        <v>1463</v>
      </c>
      <c r="G55">
        <v>84</v>
      </c>
      <c r="H55">
        <v>113</v>
      </c>
      <c r="I55">
        <v>124</v>
      </c>
      <c r="J55">
        <v>108</v>
      </c>
      <c r="K55">
        <v>107</v>
      </c>
      <c r="L55" t="s">
        <v>1441</v>
      </c>
    </row>
    <row r="56" spans="1:12" x14ac:dyDescent="0.3">
      <c r="A56" t="s">
        <v>1640</v>
      </c>
      <c r="B56" t="s">
        <v>1641</v>
      </c>
      <c r="C56" t="s">
        <v>1532</v>
      </c>
      <c r="D56">
        <v>9</v>
      </c>
      <c r="E56" t="s">
        <v>1662</v>
      </c>
      <c r="F56" t="s">
        <v>1464</v>
      </c>
      <c r="G56">
        <v>81</v>
      </c>
      <c r="H56">
        <v>99</v>
      </c>
      <c r="I56">
        <v>105</v>
      </c>
      <c r="J56">
        <v>84</v>
      </c>
      <c r="K56">
        <v>92</v>
      </c>
      <c r="L56" t="s">
        <v>1441</v>
      </c>
    </row>
    <row r="57" spans="1:12" x14ac:dyDescent="0.3">
      <c r="A57" t="s">
        <v>1642</v>
      </c>
      <c r="B57" t="s">
        <v>1643</v>
      </c>
      <c r="C57" t="s">
        <v>1532</v>
      </c>
      <c r="D57">
        <v>9</v>
      </c>
      <c r="E57" t="s">
        <v>1662</v>
      </c>
      <c r="F57" t="s">
        <v>1464</v>
      </c>
      <c r="G57">
        <v>76</v>
      </c>
      <c r="I57">
        <v>111</v>
      </c>
      <c r="K57">
        <v>94</v>
      </c>
      <c r="L57" t="s">
        <v>1441</v>
      </c>
    </row>
    <row r="58" spans="1:12" x14ac:dyDescent="0.3">
      <c r="A58" t="s">
        <v>1644</v>
      </c>
      <c r="B58" t="s">
        <v>1645</v>
      </c>
      <c r="C58" t="s">
        <v>1532</v>
      </c>
      <c r="D58">
        <v>9</v>
      </c>
      <c r="E58" t="s">
        <v>1662</v>
      </c>
      <c r="F58" t="s">
        <v>1464</v>
      </c>
      <c r="G58">
        <v>86</v>
      </c>
      <c r="H58">
        <v>97</v>
      </c>
      <c r="I58">
        <v>100</v>
      </c>
      <c r="J58">
        <v>95</v>
      </c>
      <c r="K58">
        <v>95</v>
      </c>
      <c r="L58" t="s">
        <v>1441</v>
      </c>
    </row>
    <row r="59" spans="1:12" x14ac:dyDescent="0.3">
      <c r="A59" t="s">
        <v>1646</v>
      </c>
      <c r="B59" t="s">
        <v>1647</v>
      </c>
      <c r="C59" t="s">
        <v>1532</v>
      </c>
      <c r="D59">
        <v>9</v>
      </c>
      <c r="E59" t="s">
        <v>1662</v>
      </c>
      <c r="F59" t="s">
        <v>1464</v>
      </c>
      <c r="G59">
        <v>84</v>
      </c>
      <c r="H59">
        <v>101</v>
      </c>
      <c r="I59">
        <v>105</v>
      </c>
      <c r="J59">
        <v>95</v>
      </c>
      <c r="K59">
        <v>96</v>
      </c>
      <c r="L59" t="s">
        <v>1441</v>
      </c>
    </row>
    <row r="60" spans="1:12" x14ac:dyDescent="0.3">
      <c r="A60" t="s">
        <v>1648</v>
      </c>
      <c r="B60" t="s">
        <v>1649</v>
      </c>
      <c r="C60" t="s">
        <v>1532</v>
      </c>
      <c r="D60">
        <v>9</v>
      </c>
      <c r="E60" t="s">
        <v>1662</v>
      </c>
      <c r="F60" t="s">
        <v>1464</v>
      </c>
      <c r="G60">
        <v>93</v>
      </c>
      <c r="H60">
        <v>107</v>
      </c>
      <c r="I60">
        <v>100</v>
      </c>
      <c r="J60">
        <v>93</v>
      </c>
      <c r="K60">
        <v>98</v>
      </c>
      <c r="L60" t="s">
        <v>1441</v>
      </c>
    </row>
    <row r="61" spans="1:12" x14ac:dyDescent="0.3">
      <c r="A61" t="s">
        <v>1650</v>
      </c>
      <c r="B61" t="s">
        <v>1651</v>
      </c>
      <c r="C61" t="s">
        <v>1532</v>
      </c>
      <c r="D61">
        <v>9</v>
      </c>
      <c r="E61" t="s">
        <v>1662</v>
      </c>
      <c r="F61" t="s">
        <v>1464</v>
      </c>
      <c r="G61">
        <v>98</v>
      </c>
      <c r="H61">
        <v>111</v>
      </c>
      <c r="I61">
        <v>98</v>
      </c>
      <c r="J61">
        <v>95</v>
      </c>
      <c r="K61">
        <v>101</v>
      </c>
      <c r="L61" t="s">
        <v>1441</v>
      </c>
    </row>
    <row r="62" spans="1:12" x14ac:dyDescent="0.3">
      <c r="A62" t="s">
        <v>1652</v>
      </c>
      <c r="B62" t="s">
        <v>1653</v>
      </c>
      <c r="C62" t="s">
        <v>1532</v>
      </c>
      <c r="D62">
        <v>9</v>
      </c>
      <c r="E62" t="s">
        <v>1662</v>
      </c>
      <c r="F62" t="s">
        <v>1464</v>
      </c>
      <c r="G62">
        <v>96</v>
      </c>
      <c r="H62">
        <v>111</v>
      </c>
      <c r="I62">
        <v>109</v>
      </c>
      <c r="J62">
        <v>97</v>
      </c>
      <c r="K62">
        <v>103</v>
      </c>
      <c r="L62" t="s">
        <v>1441</v>
      </c>
    </row>
    <row r="63" spans="1:12" x14ac:dyDescent="0.3">
      <c r="A63" t="s">
        <v>1654</v>
      </c>
      <c r="B63" t="s">
        <v>1655</v>
      </c>
      <c r="C63" t="s">
        <v>1532</v>
      </c>
      <c r="D63">
        <v>9</v>
      </c>
      <c r="E63" t="s">
        <v>1662</v>
      </c>
      <c r="F63" t="s">
        <v>1464</v>
      </c>
      <c r="G63">
        <v>89</v>
      </c>
      <c r="H63">
        <v>117</v>
      </c>
      <c r="I63">
        <v>118</v>
      </c>
      <c r="J63">
        <v>99</v>
      </c>
      <c r="K63">
        <v>106</v>
      </c>
      <c r="L63" t="s">
        <v>1441</v>
      </c>
    </row>
    <row r="64" spans="1:12" x14ac:dyDescent="0.3">
      <c r="A64" t="s">
        <v>1656</v>
      </c>
      <c r="B64" t="s">
        <v>1657</v>
      </c>
      <c r="C64" t="s">
        <v>1532</v>
      </c>
      <c r="D64">
        <v>9</v>
      </c>
      <c r="E64" t="s">
        <v>1662</v>
      </c>
      <c r="F64" t="s">
        <v>1464</v>
      </c>
      <c r="G64">
        <v>106</v>
      </c>
      <c r="H64">
        <v>125</v>
      </c>
      <c r="I64">
        <v>131</v>
      </c>
      <c r="J64">
        <v>118</v>
      </c>
      <c r="K64">
        <v>120</v>
      </c>
      <c r="L64" t="s">
        <v>1441</v>
      </c>
    </row>
    <row r="65" spans="1:12" x14ac:dyDescent="0.3">
      <c r="A65" t="s">
        <v>441</v>
      </c>
      <c r="B65" t="s">
        <v>723</v>
      </c>
      <c r="C65" t="s">
        <v>1459</v>
      </c>
      <c r="D65">
        <v>10</v>
      </c>
      <c r="E65">
        <v>1</v>
      </c>
      <c r="F65" t="s">
        <v>1460</v>
      </c>
      <c r="G65">
        <v>85</v>
      </c>
      <c r="H65">
        <v>96</v>
      </c>
      <c r="I65">
        <v>108</v>
      </c>
      <c r="J65">
        <v>116</v>
      </c>
      <c r="K65">
        <v>101</v>
      </c>
      <c r="L65" t="s">
        <v>1441</v>
      </c>
    </row>
    <row r="66" spans="1:12" x14ac:dyDescent="0.3">
      <c r="A66" t="s">
        <v>475</v>
      </c>
      <c r="B66" t="s">
        <v>746</v>
      </c>
      <c r="C66" t="s">
        <v>1459</v>
      </c>
      <c r="D66">
        <v>10</v>
      </c>
      <c r="E66">
        <v>1</v>
      </c>
      <c r="F66" t="s">
        <v>1460</v>
      </c>
      <c r="G66">
        <v>79</v>
      </c>
      <c r="H66">
        <v>102</v>
      </c>
      <c r="I66">
        <v>101</v>
      </c>
      <c r="J66">
        <v>106</v>
      </c>
      <c r="K66">
        <v>97</v>
      </c>
      <c r="L66" t="s">
        <v>1441</v>
      </c>
    </row>
    <row r="67" spans="1:12" x14ac:dyDescent="0.3">
      <c r="A67" t="s">
        <v>471</v>
      </c>
      <c r="B67" t="s">
        <v>744</v>
      </c>
      <c r="C67" t="s">
        <v>1459</v>
      </c>
      <c r="D67">
        <v>10</v>
      </c>
      <c r="E67">
        <v>1</v>
      </c>
      <c r="F67" t="s">
        <v>1461</v>
      </c>
      <c r="G67">
        <v>86</v>
      </c>
      <c r="H67">
        <v>116</v>
      </c>
      <c r="I67">
        <v>99</v>
      </c>
      <c r="J67">
        <v>100</v>
      </c>
      <c r="K67">
        <v>100</v>
      </c>
      <c r="L67" t="s">
        <v>1441</v>
      </c>
    </row>
    <row r="68" spans="1:12" x14ac:dyDescent="0.3">
      <c r="A68" t="s">
        <v>467</v>
      </c>
      <c r="B68" t="s">
        <v>1462</v>
      </c>
      <c r="C68" t="s">
        <v>1459</v>
      </c>
      <c r="D68">
        <v>10</v>
      </c>
      <c r="E68">
        <v>1</v>
      </c>
      <c r="F68" t="s">
        <v>1461</v>
      </c>
      <c r="G68">
        <v>85</v>
      </c>
      <c r="H68">
        <v>112</v>
      </c>
      <c r="I68">
        <v>110</v>
      </c>
      <c r="J68">
        <v>97</v>
      </c>
      <c r="K68">
        <v>101</v>
      </c>
      <c r="L68" t="s">
        <v>1441</v>
      </c>
    </row>
    <row r="69" spans="1:12" x14ac:dyDescent="0.3">
      <c r="A69" t="s">
        <v>511</v>
      </c>
      <c r="B69" t="s">
        <v>763</v>
      </c>
      <c r="C69" t="s">
        <v>1459</v>
      </c>
      <c r="D69">
        <v>10</v>
      </c>
      <c r="E69">
        <v>1</v>
      </c>
      <c r="F69" t="s">
        <v>1461</v>
      </c>
      <c r="G69">
        <v>81</v>
      </c>
      <c r="H69">
        <v>104</v>
      </c>
      <c r="I69">
        <v>109</v>
      </c>
      <c r="J69">
        <v>93</v>
      </c>
      <c r="K69">
        <v>97</v>
      </c>
      <c r="L69" t="s">
        <v>1441</v>
      </c>
    </row>
    <row r="70" spans="1:12" x14ac:dyDescent="0.3">
      <c r="A70" t="s">
        <v>443</v>
      </c>
      <c r="B70" t="s">
        <v>724</v>
      </c>
      <c r="C70" t="s">
        <v>1459</v>
      </c>
      <c r="D70">
        <v>10</v>
      </c>
      <c r="E70">
        <v>1</v>
      </c>
      <c r="F70" t="s">
        <v>1461</v>
      </c>
      <c r="G70">
        <v>75</v>
      </c>
      <c r="H70">
        <v>110</v>
      </c>
      <c r="I70">
        <v>91</v>
      </c>
      <c r="J70">
        <v>95</v>
      </c>
      <c r="K70">
        <v>93</v>
      </c>
      <c r="L70" t="s">
        <v>1441</v>
      </c>
    </row>
    <row r="71" spans="1:12" x14ac:dyDescent="0.3">
      <c r="A71" t="s">
        <v>481</v>
      </c>
      <c r="B71" t="s">
        <v>748</v>
      </c>
      <c r="C71" t="s">
        <v>1459</v>
      </c>
      <c r="D71">
        <v>10</v>
      </c>
      <c r="E71">
        <v>1</v>
      </c>
      <c r="F71" t="s">
        <v>1463</v>
      </c>
      <c r="G71">
        <v>106</v>
      </c>
      <c r="H71">
        <v>114</v>
      </c>
      <c r="I71">
        <v>120</v>
      </c>
      <c r="J71">
        <v>128</v>
      </c>
      <c r="K71">
        <v>117</v>
      </c>
      <c r="L71" t="s">
        <v>1441</v>
      </c>
    </row>
    <row r="72" spans="1:12" x14ac:dyDescent="0.3">
      <c r="A72" t="s">
        <v>513</v>
      </c>
      <c r="B72" t="s">
        <v>765</v>
      </c>
      <c r="C72" t="s">
        <v>1459</v>
      </c>
      <c r="D72">
        <v>10</v>
      </c>
      <c r="E72">
        <v>1</v>
      </c>
      <c r="F72" t="s">
        <v>1463</v>
      </c>
      <c r="G72">
        <v>82</v>
      </c>
      <c r="H72">
        <v>118</v>
      </c>
      <c r="I72">
        <v>110</v>
      </c>
      <c r="J72">
        <v>106</v>
      </c>
      <c r="K72">
        <v>104</v>
      </c>
      <c r="L72" t="s">
        <v>1441</v>
      </c>
    </row>
    <row r="73" spans="1:12" x14ac:dyDescent="0.3">
      <c r="A73" t="s">
        <v>523</v>
      </c>
      <c r="B73" t="s">
        <v>774</v>
      </c>
      <c r="C73" t="s">
        <v>1459</v>
      </c>
      <c r="D73">
        <v>10</v>
      </c>
      <c r="E73">
        <v>1</v>
      </c>
      <c r="F73" t="s">
        <v>1463</v>
      </c>
      <c r="G73">
        <v>91</v>
      </c>
      <c r="H73">
        <v>95</v>
      </c>
      <c r="I73">
        <v>116</v>
      </c>
      <c r="J73">
        <v>115</v>
      </c>
      <c r="K73">
        <v>104</v>
      </c>
      <c r="L73" t="s">
        <v>1441</v>
      </c>
    </row>
    <row r="74" spans="1:12" x14ac:dyDescent="0.3">
      <c r="A74" t="s">
        <v>437</v>
      </c>
      <c r="B74" t="s">
        <v>721</v>
      </c>
      <c r="C74" t="s">
        <v>1459</v>
      </c>
      <c r="D74">
        <v>10</v>
      </c>
      <c r="E74">
        <v>1</v>
      </c>
      <c r="F74" t="s">
        <v>1464</v>
      </c>
      <c r="G74">
        <v>105</v>
      </c>
      <c r="H74">
        <v>97</v>
      </c>
      <c r="I74">
        <v>105</v>
      </c>
      <c r="J74">
        <v>99</v>
      </c>
      <c r="K74">
        <v>102</v>
      </c>
      <c r="L74" t="s">
        <v>1441</v>
      </c>
    </row>
    <row r="75" spans="1:12" x14ac:dyDescent="0.3">
      <c r="A75" t="s">
        <v>507</v>
      </c>
      <c r="B75" t="s">
        <v>1465</v>
      </c>
      <c r="C75" t="s">
        <v>1459</v>
      </c>
      <c r="D75">
        <v>10</v>
      </c>
      <c r="E75">
        <v>1</v>
      </c>
      <c r="F75" t="s">
        <v>1464</v>
      </c>
      <c r="G75">
        <v>97</v>
      </c>
      <c r="H75">
        <v>82</v>
      </c>
      <c r="I75">
        <v>99</v>
      </c>
      <c r="J75">
        <v>99</v>
      </c>
      <c r="K75">
        <v>94</v>
      </c>
      <c r="L75" t="s">
        <v>1441</v>
      </c>
    </row>
    <row r="76" spans="1:12" x14ac:dyDescent="0.3">
      <c r="A76" t="s">
        <v>489</v>
      </c>
      <c r="B76" t="s">
        <v>752</v>
      </c>
      <c r="C76" t="s">
        <v>1459</v>
      </c>
      <c r="D76">
        <v>10</v>
      </c>
      <c r="E76">
        <v>1</v>
      </c>
      <c r="F76" t="s">
        <v>1464</v>
      </c>
      <c r="G76">
        <v>89</v>
      </c>
      <c r="H76">
        <v>101</v>
      </c>
      <c r="I76">
        <v>105</v>
      </c>
      <c r="J76">
        <v>101</v>
      </c>
      <c r="K76">
        <v>99</v>
      </c>
      <c r="L76" t="s">
        <v>1441</v>
      </c>
    </row>
    <row r="77" spans="1:12" x14ac:dyDescent="0.3">
      <c r="A77" t="s">
        <v>531</v>
      </c>
      <c r="B77" t="s">
        <v>779</v>
      </c>
      <c r="C77" t="s">
        <v>1459</v>
      </c>
      <c r="D77">
        <v>10</v>
      </c>
      <c r="E77">
        <v>1</v>
      </c>
      <c r="F77" t="s">
        <v>1464</v>
      </c>
      <c r="G77">
        <v>85</v>
      </c>
      <c r="H77">
        <v>108</v>
      </c>
      <c r="I77">
        <v>89</v>
      </c>
      <c r="J77">
        <v>86</v>
      </c>
      <c r="K77">
        <v>92</v>
      </c>
      <c r="L77" t="s">
        <v>1441</v>
      </c>
    </row>
    <row r="78" spans="1:12" x14ac:dyDescent="0.3">
      <c r="A78" t="s">
        <v>479</v>
      </c>
      <c r="B78" t="s">
        <v>747</v>
      </c>
      <c r="C78" t="s">
        <v>1459</v>
      </c>
      <c r="D78">
        <v>10</v>
      </c>
      <c r="E78">
        <v>1</v>
      </c>
      <c r="F78" t="s">
        <v>1464</v>
      </c>
      <c r="G78">
        <v>81</v>
      </c>
      <c r="H78">
        <v>95</v>
      </c>
      <c r="I78">
        <v>109</v>
      </c>
      <c r="J78">
        <v>84</v>
      </c>
      <c r="K78">
        <v>92</v>
      </c>
      <c r="L78" t="s">
        <v>1441</v>
      </c>
    </row>
    <row r="79" spans="1:12" x14ac:dyDescent="0.3">
      <c r="A79" t="s">
        <v>487</v>
      </c>
      <c r="B79" t="s">
        <v>1229</v>
      </c>
      <c r="C79" t="s">
        <v>1459</v>
      </c>
      <c r="D79">
        <v>10</v>
      </c>
      <c r="E79">
        <v>1</v>
      </c>
      <c r="F79" t="s">
        <v>1464</v>
      </c>
      <c r="G79">
        <v>76</v>
      </c>
      <c r="H79">
        <v>106</v>
      </c>
      <c r="I79">
        <v>94</v>
      </c>
      <c r="J79">
        <v>84</v>
      </c>
      <c r="K79">
        <v>90</v>
      </c>
      <c r="L79" t="s">
        <v>1441</v>
      </c>
    </row>
    <row r="80" spans="1:12" x14ac:dyDescent="0.3">
      <c r="A80" t="s">
        <v>447</v>
      </c>
      <c r="B80" t="s">
        <v>728</v>
      </c>
      <c r="C80" t="s">
        <v>1459</v>
      </c>
      <c r="D80">
        <v>10</v>
      </c>
      <c r="E80">
        <v>2</v>
      </c>
      <c r="F80" t="s">
        <v>1460</v>
      </c>
      <c r="G80">
        <v>88</v>
      </c>
      <c r="H80">
        <v>123</v>
      </c>
      <c r="I80">
        <v>120</v>
      </c>
      <c r="J80">
        <v>118</v>
      </c>
      <c r="K80">
        <v>112</v>
      </c>
      <c r="L80" t="s">
        <v>1441</v>
      </c>
    </row>
    <row r="81" spans="1:12" x14ac:dyDescent="0.3">
      <c r="A81" t="s">
        <v>495</v>
      </c>
      <c r="B81" t="s">
        <v>1466</v>
      </c>
      <c r="C81" t="s">
        <v>1459</v>
      </c>
      <c r="D81">
        <v>10</v>
      </c>
      <c r="E81">
        <v>2</v>
      </c>
      <c r="F81" t="s">
        <v>1460</v>
      </c>
      <c r="G81">
        <v>73</v>
      </c>
      <c r="H81">
        <v>102</v>
      </c>
      <c r="I81">
        <v>90</v>
      </c>
      <c r="J81">
        <v>97</v>
      </c>
      <c r="K81">
        <v>91</v>
      </c>
      <c r="L81" t="s">
        <v>1441</v>
      </c>
    </row>
    <row r="82" spans="1:12" x14ac:dyDescent="0.3">
      <c r="A82" t="s">
        <v>529</v>
      </c>
      <c r="B82" t="s">
        <v>778</v>
      </c>
      <c r="C82" t="s">
        <v>1459</v>
      </c>
      <c r="D82">
        <v>10</v>
      </c>
      <c r="E82">
        <v>2</v>
      </c>
      <c r="F82" t="s">
        <v>1461</v>
      </c>
      <c r="G82">
        <v>89</v>
      </c>
      <c r="H82">
        <v>104</v>
      </c>
      <c r="I82">
        <v>111</v>
      </c>
      <c r="J82">
        <v>106</v>
      </c>
      <c r="K82">
        <v>103</v>
      </c>
      <c r="L82" t="s">
        <v>1441</v>
      </c>
    </row>
    <row r="83" spans="1:12" x14ac:dyDescent="0.3">
      <c r="A83" t="s">
        <v>459</v>
      </c>
      <c r="B83" t="s">
        <v>735</v>
      </c>
      <c r="C83" t="s">
        <v>1459</v>
      </c>
      <c r="D83">
        <v>10</v>
      </c>
      <c r="E83">
        <v>2</v>
      </c>
      <c r="F83" t="s">
        <v>1461</v>
      </c>
      <c r="G83">
        <v>88</v>
      </c>
      <c r="H83">
        <v>107</v>
      </c>
      <c r="I83">
        <v>105</v>
      </c>
      <c r="J83">
        <v>100</v>
      </c>
      <c r="K83">
        <v>100</v>
      </c>
      <c r="L83" t="s">
        <v>1441</v>
      </c>
    </row>
    <row r="84" spans="1:12" x14ac:dyDescent="0.3">
      <c r="A84" t="s">
        <v>483</v>
      </c>
      <c r="B84" t="s">
        <v>750</v>
      </c>
      <c r="C84" t="s">
        <v>1459</v>
      </c>
      <c r="D84">
        <v>10</v>
      </c>
      <c r="E84">
        <v>2</v>
      </c>
      <c r="F84" t="s">
        <v>1467</v>
      </c>
      <c r="G84">
        <v>92</v>
      </c>
      <c r="H84">
        <v>88</v>
      </c>
      <c r="I84">
        <v>85</v>
      </c>
      <c r="J84">
        <v>77</v>
      </c>
      <c r="K84">
        <v>86</v>
      </c>
      <c r="L84" t="s">
        <v>1441</v>
      </c>
    </row>
    <row r="85" spans="1:12" x14ac:dyDescent="0.3">
      <c r="A85" t="s">
        <v>1658</v>
      </c>
      <c r="B85" t="s">
        <v>1468</v>
      </c>
      <c r="C85" t="s">
        <v>1459</v>
      </c>
      <c r="D85">
        <v>10</v>
      </c>
      <c r="E85">
        <v>2</v>
      </c>
      <c r="F85" t="s">
        <v>1467</v>
      </c>
      <c r="G85">
        <v>105</v>
      </c>
      <c r="H85">
        <v>91</v>
      </c>
      <c r="I85">
        <v>94</v>
      </c>
      <c r="J85">
        <v>89</v>
      </c>
      <c r="K85">
        <v>95</v>
      </c>
      <c r="L85" t="s">
        <v>1441</v>
      </c>
    </row>
    <row r="86" spans="1:12" x14ac:dyDescent="0.3">
      <c r="A86" t="s">
        <v>445</v>
      </c>
      <c r="B86" t="s">
        <v>726</v>
      </c>
      <c r="C86" t="s">
        <v>1459</v>
      </c>
      <c r="D86">
        <v>10</v>
      </c>
      <c r="E86">
        <v>2</v>
      </c>
      <c r="F86" t="s">
        <v>1467</v>
      </c>
      <c r="G86">
        <v>97</v>
      </c>
      <c r="H86">
        <v>107</v>
      </c>
      <c r="I86">
        <v>105</v>
      </c>
      <c r="J86">
        <v>88</v>
      </c>
      <c r="K86">
        <v>99</v>
      </c>
      <c r="L86" t="s">
        <v>1441</v>
      </c>
    </row>
    <row r="87" spans="1:12" x14ac:dyDescent="0.3">
      <c r="A87" t="s">
        <v>463</v>
      </c>
      <c r="B87" t="s">
        <v>739</v>
      </c>
      <c r="C87" t="s">
        <v>1459</v>
      </c>
      <c r="D87">
        <v>10</v>
      </c>
      <c r="E87">
        <v>2</v>
      </c>
      <c r="F87" t="s">
        <v>1463</v>
      </c>
      <c r="G87">
        <v>98</v>
      </c>
      <c r="H87">
        <v>106</v>
      </c>
      <c r="I87">
        <v>114</v>
      </c>
      <c r="J87">
        <v>120</v>
      </c>
      <c r="K87">
        <v>110</v>
      </c>
      <c r="L87" t="s">
        <v>1441</v>
      </c>
    </row>
    <row r="88" spans="1:12" x14ac:dyDescent="0.3">
      <c r="A88" t="s">
        <v>477</v>
      </c>
      <c r="B88" t="s">
        <v>1222</v>
      </c>
      <c r="C88" t="s">
        <v>1459</v>
      </c>
      <c r="D88">
        <v>10</v>
      </c>
      <c r="E88">
        <v>2</v>
      </c>
      <c r="F88" t="s">
        <v>1463</v>
      </c>
      <c r="G88">
        <v>77</v>
      </c>
      <c r="H88">
        <v>98</v>
      </c>
      <c r="I88">
        <v>107</v>
      </c>
      <c r="J88">
        <v>97</v>
      </c>
      <c r="K88">
        <v>95</v>
      </c>
      <c r="L88" t="s">
        <v>1441</v>
      </c>
    </row>
    <row r="89" spans="1:12" x14ac:dyDescent="0.3">
      <c r="A89" t="s">
        <v>429</v>
      </c>
      <c r="B89" t="s">
        <v>716</v>
      </c>
      <c r="C89" t="s">
        <v>1459</v>
      </c>
      <c r="D89">
        <v>10</v>
      </c>
      <c r="E89">
        <v>2</v>
      </c>
      <c r="F89" t="s">
        <v>1464</v>
      </c>
      <c r="G89">
        <v>95</v>
      </c>
      <c r="H89">
        <v>89</v>
      </c>
      <c r="I89">
        <v>100</v>
      </c>
      <c r="J89">
        <v>97</v>
      </c>
      <c r="K89">
        <v>95</v>
      </c>
      <c r="L89" t="s">
        <v>1441</v>
      </c>
    </row>
    <row r="90" spans="1:12" x14ac:dyDescent="0.3">
      <c r="A90" t="s">
        <v>435</v>
      </c>
      <c r="B90" t="s">
        <v>720</v>
      </c>
      <c r="C90" t="s">
        <v>1459</v>
      </c>
      <c r="D90">
        <v>10</v>
      </c>
      <c r="E90">
        <v>2</v>
      </c>
      <c r="F90" t="s">
        <v>1464</v>
      </c>
      <c r="G90">
        <v>100</v>
      </c>
      <c r="H90">
        <v>115</v>
      </c>
      <c r="I90">
        <v>111</v>
      </c>
      <c r="J90">
        <v>109</v>
      </c>
      <c r="K90">
        <v>109</v>
      </c>
      <c r="L90" t="s">
        <v>1441</v>
      </c>
    </row>
    <row r="91" spans="1:12" x14ac:dyDescent="0.3">
      <c r="A91" t="s">
        <v>527</v>
      </c>
      <c r="B91" t="s">
        <v>777</v>
      </c>
      <c r="C91" t="s">
        <v>1459</v>
      </c>
      <c r="D91">
        <v>10</v>
      </c>
      <c r="E91">
        <v>2</v>
      </c>
      <c r="F91" t="s">
        <v>1464</v>
      </c>
      <c r="G91">
        <v>97</v>
      </c>
      <c r="H91">
        <v>104</v>
      </c>
      <c r="I91">
        <v>98</v>
      </c>
      <c r="J91">
        <v>93</v>
      </c>
      <c r="K91">
        <v>98</v>
      </c>
      <c r="L91" t="s">
        <v>1441</v>
      </c>
    </row>
    <row r="92" spans="1:12" x14ac:dyDescent="0.3">
      <c r="A92" t="s">
        <v>420</v>
      </c>
      <c r="B92" t="s">
        <v>703</v>
      </c>
      <c r="C92" t="s">
        <v>1459</v>
      </c>
      <c r="D92">
        <v>10</v>
      </c>
      <c r="E92">
        <v>2</v>
      </c>
      <c r="F92" t="s">
        <v>1464</v>
      </c>
      <c r="G92">
        <v>88</v>
      </c>
      <c r="H92">
        <v>111</v>
      </c>
      <c r="I92">
        <v>102</v>
      </c>
      <c r="J92">
        <v>80</v>
      </c>
      <c r="K92">
        <v>95</v>
      </c>
      <c r="L92" t="s">
        <v>1441</v>
      </c>
    </row>
    <row r="93" spans="1:12" x14ac:dyDescent="0.3">
      <c r="A93" t="s">
        <v>499</v>
      </c>
      <c r="B93" t="s">
        <v>1236</v>
      </c>
      <c r="C93" t="s">
        <v>1459</v>
      </c>
      <c r="D93">
        <v>10</v>
      </c>
      <c r="E93">
        <v>2</v>
      </c>
      <c r="F93" t="s">
        <v>1464</v>
      </c>
      <c r="G93">
        <v>84</v>
      </c>
      <c r="H93">
        <v>97</v>
      </c>
      <c r="I93">
        <v>82</v>
      </c>
      <c r="J93">
        <v>77</v>
      </c>
      <c r="K93">
        <v>85</v>
      </c>
      <c r="L93" t="s">
        <v>1441</v>
      </c>
    </row>
    <row r="94" spans="1:12" x14ac:dyDescent="0.3">
      <c r="A94" t="s">
        <v>439</v>
      </c>
      <c r="B94" t="s">
        <v>1200</v>
      </c>
      <c r="C94" t="s">
        <v>1459</v>
      </c>
      <c r="D94">
        <v>10</v>
      </c>
      <c r="E94">
        <v>2</v>
      </c>
      <c r="F94" t="s">
        <v>1464</v>
      </c>
      <c r="G94">
        <v>87</v>
      </c>
      <c r="H94">
        <v>101</v>
      </c>
      <c r="I94">
        <v>102</v>
      </c>
      <c r="J94">
        <v>80</v>
      </c>
      <c r="K94">
        <v>93</v>
      </c>
      <c r="L94" t="s">
        <v>1441</v>
      </c>
    </row>
    <row r="95" spans="1:12" x14ac:dyDescent="0.3">
      <c r="A95" t="s">
        <v>433</v>
      </c>
      <c r="B95" t="s">
        <v>719</v>
      </c>
      <c r="C95" t="s">
        <v>1459</v>
      </c>
      <c r="D95">
        <v>10</v>
      </c>
      <c r="E95">
        <v>3</v>
      </c>
      <c r="F95" t="s">
        <v>1460</v>
      </c>
      <c r="G95">
        <v>85</v>
      </c>
      <c r="H95">
        <v>110</v>
      </c>
      <c r="I95">
        <v>131</v>
      </c>
      <c r="J95">
        <v>119</v>
      </c>
      <c r="K95">
        <v>111</v>
      </c>
      <c r="L95" t="s">
        <v>1441</v>
      </c>
    </row>
    <row r="96" spans="1:12" x14ac:dyDescent="0.3">
      <c r="A96" t="s">
        <v>455</v>
      </c>
      <c r="B96" t="s">
        <v>733</v>
      </c>
      <c r="C96" t="s">
        <v>1459</v>
      </c>
      <c r="D96">
        <v>10</v>
      </c>
      <c r="E96">
        <v>3</v>
      </c>
      <c r="F96" t="s">
        <v>1461</v>
      </c>
      <c r="G96">
        <v>93</v>
      </c>
      <c r="H96">
        <v>93</v>
      </c>
      <c r="I96">
        <v>105</v>
      </c>
      <c r="J96">
        <v>108</v>
      </c>
      <c r="K96">
        <v>100</v>
      </c>
      <c r="L96" t="s">
        <v>1441</v>
      </c>
    </row>
    <row r="97" spans="1:12" x14ac:dyDescent="0.3">
      <c r="A97" t="s">
        <v>485</v>
      </c>
      <c r="B97" t="s">
        <v>751</v>
      </c>
      <c r="C97" t="s">
        <v>1459</v>
      </c>
      <c r="D97">
        <v>10</v>
      </c>
      <c r="E97">
        <v>3</v>
      </c>
      <c r="F97" t="s">
        <v>1461</v>
      </c>
      <c r="G97">
        <v>85</v>
      </c>
      <c r="H97">
        <v>102</v>
      </c>
      <c r="I97">
        <v>103</v>
      </c>
      <c r="J97">
        <v>97</v>
      </c>
      <c r="K97">
        <v>97</v>
      </c>
      <c r="L97" t="s">
        <v>1441</v>
      </c>
    </row>
    <row r="98" spans="1:12" x14ac:dyDescent="0.3">
      <c r="A98" t="s">
        <v>461</v>
      </c>
      <c r="B98" t="s">
        <v>737</v>
      </c>
      <c r="C98" t="s">
        <v>1459</v>
      </c>
      <c r="D98">
        <v>10</v>
      </c>
      <c r="E98">
        <v>3</v>
      </c>
      <c r="F98" t="s">
        <v>1467</v>
      </c>
      <c r="G98">
        <v>110</v>
      </c>
      <c r="H98">
        <v>113</v>
      </c>
      <c r="I98">
        <v>105</v>
      </c>
      <c r="J98">
        <v>93</v>
      </c>
      <c r="K98">
        <v>105</v>
      </c>
      <c r="L98" t="s">
        <v>1441</v>
      </c>
    </row>
    <row r="99" spans="1:12" x14ac:dyDescent="0.3">
      <c r="A99" t="s">
        <v>423</v>
      </c>
      <c r="B99" t="s">
        <v>708</v>
      </c>
      <c r="C99" t="s">
        <v>1459</v>
      </c>
      <c r="D99">
        <v>10</v>
      </c>
      <c r="E99">
        <v>3</v>
      </c>
      <c r="F99" t="s">
        <v>1463</v>
      </c>
      <c r="G99">
        <v>83</v>
      </c>
      <c r="H99">
        <v>102</v>
      </c>
      <c r="I99">
        <v>118</v>
      </c>
      <c r="J99">
        <v>104</v>
      </c>
      <c r="K99">
        <v>102</v>
      </c>
      <c r="L99" t="s">
        <v>1441</v>
      </c>
    </row>
    <row r="100" spans="1:12" x14ac:dyDescent="0.3">
      <c r="A100" t="s">
        <v>509</v>
      </c>
      <c r="B100" t="s">
        <v>761</v>
      </c>
      <c r="C100" t="s">
        <v>1459</v>
      </c>
      <c r="D100">
        <v>10</v>
      </c>
      <c r="E100">
        <v>3</v>
      </c>
      <c r="F100" t="s">
        <v>1463</v>
      </c>
      <c r="G100">
        <v>79</v>
      </c>
      <c r="H100">
        <v>111</v>
      </c>
      <c r="I100">
        <v>103</v>
      </c>
      <c r="J100">
        <v>97</v>
      </c>
      <c r="K100">
        <v>98</v>
      </c>
      <c r="L100" t="s">
        <v>1441</v>
      </c>
    </row>
    <row r="101" spans="1:12" x14ac:dyDescent="0.3">
      <c r="A101" t="s">
        <v>427</v>
      </c>
      <c r="B101" t="s">
        <v>713</v>
      </c>
      <c r="C101" t="s">
        <v>1459</v>
      </c>
      <c r="D101">
        <v>10</v>
      </c>
      <c r="E101">
        <v>3</v>
      </c>
      <c r="F101" t="s">
        <v>1463</v>
      </c>
      <c r="G101">
        <v>85</v>
      </c>
      <c r="H101">
        <v>100</v>
      </c>
      <c r="I101">
        <v>96</v>
      </c>
      <c r="J101">
        <v>105</v>
      </c>
      <c r="K101">
        <v>97</v>
      </c>
      <c r="L101" t="s">
        <v>1441</v>
      </c>
    </row>
    <row r="102" spans="1:12" x14ac:dyDescent="0.3">
      <c r="A102" t="s">
        <v>465</v>
      </c>
      <c r="B102" t="s">
        <v>741</v>
      </c>
      <c r="C102" t="s">
        <v>1459</v>
      </c>
      <c r="D102">
        <v>10</v>
      </c>
      <c r="E102">
        <v>3</v>
      </c>
      <c r="F102" t="s">
        <v>1469</v>
      </c>
      <c r="G102">
        <v>109</v>
      </c>
      <c r="H102">
        <v>98</v>
      </c>
      <c r="I102">
        <v>105</v>
      </c>
      <c r="J102">
        <v>88</v>
      </c>
      <c r="K102">
        <v>100</v>
      </c>
      <c r="L102" t="s">
        <v>1441</v>
      </c>
    </row>
    <row r="103" spans="1:12" x14ac:dyDescent="0.3">
      <c r="A103" t="s">
        <v>431</v>
      </c>
      <c r="B103" t="s">
        <v>717</v>
      </c>
      <c r="C103" t="s">
        <v>1459</v>
      </c>
      <c r="D103">
        <v>10</v>
      </c>
      <c r="E103">
        <v>3</v>
      </c>
      <c r="F103" t="s">
        <v>1469</v>
      </c>
      <c r="G103">
        <v>112</v>
      </c>
      <c r="H103">
        <v>106</v>
      </c>
      <c r="I103">
        <v>126</v>
      </c>
      <c r="J103">
        <v>95</v>
      </c>
      <c r="K103">
        <v>110</v>
      </c>
      <c r="L103" t="s">
        <v>1441</v>
      </c>
    </row>
    <row r="104" spans="1:12" x14ac:dyDescent="0.3">
      <c r="A104" t="s">
        <v>453</v>
      </c>
      <c r="B104" t="s">
        <v>731</v>
      </c>
      <c r="C104" t="s">
        <v>1459</v>
      </c>
      <c r="D104">
        <v>10</v>
      </c>
      <c r="E104">
        <v>3</v>
      </c>
      <c r="F104" t="s">
        <v>1464</v>
      </c>
      <c r="G104">
        <v>90</v>
      </c>
      <c r="H104">
        <v>119</v>
      </c>
      <c r="I104">
        <v>105</v>
      </c>
      <c r="J104">
        <v>100</v>
      </c>
      <c r="K104">
        <v>104</v>
      </c>
      <c r="L104" t="s">
        <v>1441</v>
      </c>
    </row>
    <row r="105" spans="1:12" x14ac:dyDescent="0.3">
      <c r="A105" t="s">
        <v>515</v>
      </c>
      <c r="B105" t="s">
        <v>767</v>
      </c>
      <c r="C105" t="s">
        <v>1459</v>
      </c>
      <c r="D105">
        <v>10</v>
      </c>
      <c r="E105">
        <v>3</v>
      </c>
      <c r="F105" t="s">
        <v>1464</v>
      </c>
      <c r="G105">
        <v>101</v>
      </c>
      <c r="H105">
        <v>95</v>
      </c>
      <c r="I105">
        <v>122</v>
      </c>
      <c r="J105">
        <v>109</v>
      </c>
      <c r="K105">
        <v>107</v>
      </c>
      <c r="L105" t="s">
        <v>1441</v>
      </c>
    </row>
    <row r="106" spans="1:12" x14ac:dyDescent="0.3">
      <c r="A106" t="s">
        <v>501</v>
      </c>
      <c r="B106" t="s">
        <v>757</v>
      </c>
      <c r="C106" t="s">
        <v>1459</v>
      </c>
      <c r="D106">
        <v>10</v>
      </c>
      <c r="E106">
        <v>3</v>
      </c>
      <c r="F106" t="s">
        <v>1464</v>
      </c>
      <c r="G106">
        <v>89</v>
      </c>
      <c r="H106">
        <v>106</v>
      </c>
      <c r="I106">
        <v>87</v>
      </c>
      <c r="J106">
        <v>86</v>
      </c>
      <c r="K106">
        <v>92</v>
      </c>
      <c r="L106" t="s">
        <v>1441</v>
      </c>
    </row>
    <row r="107" spans="1:12" x14ac:dyDescent="0.3">
      <c r="A107" t="s">
        <v>473</v>
      </c>
      <c r="B107" t="s">
        <v>745</v>
      </c>
      <c r="C107" t="s">
        <v>1459</v>
      </c>
      <c r="D107">
        <v>10</v>
      </c>
      <c r="E107">
        <v>3</v>
      </c>
      <c r="F107" t="s">
        <v>1464</v>
      </c>
      <c r="G107">
        <v>91</v>
      </c>
      <c r="H107">
        <v>105</v>
      </c>
      <c r="I107">
        <v>102</v>
      </c>
      <c r="J107">
        <v>99</v>
      </c>
      <c r="K107">
        <v>99</v>
      </c>
      <c r="L107" t="s">
        <v>1441</v>
      </c>
    </row>
    <row r="108" spans="1:12" x14ac:dyDescent="0.3">
      <c r="A108" t="s">
        <v>449</v>
      </c>
      <c r="B108" t="s">
        <v>1207</v>
      </c>
      <c r="C108" t="s">
        <v>1459</v>
      </c>
      <c r="D108">
        <v>10</v>
      </c>
      <c r="E108">
        <v>3</v>
      </c>
      <c r="F108" t="s">
        <v>1464</v>
      </c>
      <c r="G108">
        <v>85</v>
      </c>
      <c r="H108">
        <v>98</v>
      </c>
      <c r="I108">
        <v>105</v>
      </c>
      <c r="J108">
        <v>95</v>
      </c>
      <c r="K108">
        <v>96</v>
      </c>
      <c r="L108" t="s">
        <v>1441</v>
      </c>
    </row>
    <row r="109" spans="1:12" x14ac:dyDescent="0.3">
      <c r="A109" t="s">
        <v>493</v>
      </c>
      <c r="B109" t="s">
        <v>754</v>
      </c>
      <c r="C109" t="s">
        <v>1459</v>
      </c>
      <c r="D109">
        <v>10</v>
      </c>
      <c r="E109">
        <v>3</v>
      </c>
      <c r="F109" t="s">
        <v>1464</v>
      </c>
      <c r="G109">
        <v>88</v>
      </c>
      <c r="H109">
        <v>94</v>
      </c>
      <c r="I109">
        <v>102</v>
      </c>
      <c r="J109">
        <v>77</v>
      </c>
      <c r="K109">
        <v>90</v>
      </c>
      <c r="L109" t="s">
        <v>1441</v>
      </c>
    </row>
    <row r="110" spans="1:12" x14ac:dyDescent="0.3">
      <c r="A110" t="s">
        <v>469</v>
      </c>
      <c r="B110" t="s">
        <v>742</v>
      </c>
      <c r="C110" t="s">
        <v>1459</v>
      </c>
      <c r="D110">
        <v>10</v>
      </c>
      <c r="E110">
        <v>4</v>
      </c>
      <c r="F110" t="s">
        <v>1460</v>
      </c>
      <c r="G110">
        <v>88</v>
      </c>
      <c r="H110">
        <v>100</v>
      </c>
      <c r="I110">
        <v>101</v>
      </c>
      <c r="J110">
        <v>116</v>
      </c>
      <c r="K110">
        <v>101</v>
      </c>
      <c r="L110" t="s">
        <v>1441</v>
      </c>
    </row>
    <row r="111" spans="1:12" x14ac:dyDescent="0.3">
      <c r="A111" t="s">
        <v>457</v>
      </c>
      <c r="B111" t="s">
        <v>734</v>
      </c>
      <c r="C111" t="s">
        <v>1459</v>
      </c>
      <c r="D111">
        <v>10</v>
      </c>
      <c r="E111">
        <v>4</v>
      </c>
      <c r="F111" t="s">
        <v>1460</v>
      </c>
      <c r="G111">
        <v>81</v>
      </c>
      <c r="H111">
        <v>121</v>
      </c>
      <c r="I111">
        <v>99</v>
      </c>
      <c r="J111">
        <v>111</v>
      </c>
      <c r="K111">
        <v>103</v>
      </c>
      <c r="L111" t="s">
        <v>1441</v>
      </c>
    </row>
    <row r="112" spans="1:12" x14ac:dyDescent="0.3">
      <c r="A112" t="s">
        <v>519</v>
      </c>
      <c r="B112" t="s">
        <v>771</v>
      </c>
      <c r="C112" t="s">
        <v>1459</v>
      </c>
      <c r="D112">
        <v>10</v>
      </c>
      <c r="E112">
        <v>4</v>
      </c>
      <c r="F112" t="s">
        <v>1461</v>
      </c>
      <c r="G112">
        <v>88</v>
      </c>
      <c r="H112">
        <v>106</v>
      </c>
      <c r="I112">
        <v>116</v>
      </c>
      <c r="J112">
        <v>103</v>
      </c>
      <c r="K112">
        <v>103</v>
      </c>
      <c r="L112" t="s">
        <v>1441</v>
      </c>
    </row>
    <row r="113" spans="1:12" x14ac:dyDescent="0.3">
      <c r="A113" t="s">
        <v>451</v>
      </c>
      <c r="B113" t="s">
        <v>729</v>
      </c>
      <c r="C113" t="s">
        <v>1459</v>
      </c>
      <c r="D113">
        <v>10</v>
      </c>
      <c r="E113">
        <v>4</v>
      </c>
      <c r="F113" t="s">
        <v>1461</v>
      </c>
      <c r="G113">
        <v>86</v>
      </c>
      <c r="H113">
        <v>101</v>
      </c>
      <c r="I113">
        <v>87</v>
      </c>
      <c r="J113">
        <v>99</v>
      </c>
      <c r="K113">
        <v>93</v>
      </c>
      <c r="L113" t="s">
        <v>1441</v>
      </c>
    </row>
    <row r="114" spans="1:12" x14ac:dyDescent="0.3">
      <c r="A114" t="s">
        <v>505</v>
      </c>
      <c r="B114" t="s">
        <v>1470</v>
      </c>
      <c r="C114" t="s">
        <v>1459</v>
      </c>
      <c r="D114">
        <v>10</v>
      </c>
      <c r="E114">
        <v>4</v>
      </c>
      <c r="F114" t="s">
        <v>1461</v>
      </c>
      <c r="G114">
        <v>78</v>
      </c>
      <c r="H114">
        <v>95</v>
      </c>
      <c r="I114">
        <v>102</v>
      </c>
      <c r="J114">
        <v>95</v>
      </c>
      <c r="K114">
        <v>93</v>
      </c>
      <c r="L114" t="s">
        <v>1441</v>
      </c>
    </row>
    <row r="115" spans="1:12" x14ac:dyDescent="0.3">
      <c r="A115" t="s">
        <v>533</v>
      </c>
      <c r="B115" t="s">
        <v>780</v>
      </c>
      <c r="C115" t="s">
        <v>1459</v>
      </c>
      <c r="D115">
        <v>10</v>
      </c>
      <c r="E115">
        <v>4</v>
      </c>
      <c r="F115" t="s">
        <v>1461</v>
      </c>
      <c r="G115">
        <v>80</v>
      </c>
      <c r="H115">
        <v>95</v>
      </c>
      <c r="I115">
        <v>120</v>
      </c>
      <c r="J115">
        <v>95</v>
      </c>
      <c r="K115">
        <v>98</v>
      </c>
      <c r="L115" t="s">
        <v>1441</v>
      </c>
    </row>
    <row r="116" spans="1:12" x14ac:dyDescent="0.3">
      <c r="A116" t="s">
        <v>425</v>
      </c>
      <c r="B116" t="s">
        <v>710</v>
      </c>
      <c r="C116" t="s">
        <v>1459</v>
      </c>
      <c r="D116">
        <v>10</v>
      </c>
      <c r="E116">
        <v>4</v>
      </c>
      <c r="F116" t="s">
        <v>1461</v>
      </c>
      <c r="G116">
        <v>96</v>
      </c>
      <c r="H116">
        <v>131</v>
      </c>
      <c r="I116">
        <v>122</v>
      </c>
      <c r="J116">
        <v>111</v>
      </c>
      <c r="K116">
        <v>115</v>
      </c>
      <c r="L116" t="s">
        <v>1441</v>
      </c>
    </row>
    <row r="117" spans="1:12" x14ac:dyDescent="0.3">
      <c r="A117" t="s">
        <v>525</v>
      </c>
      <c r="B117" t="s">
        <v>775</v>
      </c>
      <c r="C117" t="s">
        <v>1459</v>
      </c>
      <c r="D117">
        <v>10</v>
      </c>
      <c r="E117">
        <v>4</v>
      </c>
      <c r="F117" t="s">
        <v>1463</v>
      </c>
      <c r="G117">
        <v>85</v>
      </c>
      <c r="H117">
        <v>129</v>
      </c>
      <c r="I117">
        <v>116</v>
      </c>
      <c r="J117">
        <v>110</v>
      </c>
      <c r="K117">
        <v>110</v>
      </c>
      <c r="L117" t="s">
        <v>1441</v>
      </c>
    </row>
    <row r="118" spans="1:12" x14ac:dyDescent="0.3">
      <c r="A118" t="s">
        <v>521</v>
      </c>
      <c r="B118" t="s">
        <v>773</v>
      </c>
      <c r="C118" t="s">
        <v>1459</v>
      </c>
      <c r="D118">
        <v>10</v>
      </c>
      <c r="E118">
        <v>4</v>
      </c>
      <c r="F118" t="s">
        <v>1463</v>
      </c>
      <c r="G118">
        <v>77</v>
      </c>
      <c r="H118">
        <v>99</v>
      </c>
      <c r="I118">
        <v>98</v>
      </c>
      <c r="J118">
        <v>99</v>
      </c>
      <c r="K118">
        <v>93</v>
      </c>
      <c r="L118" t="s">
        <v>1441</v>
      </c>
    </row>
    <row r="119" spans="1:12" x14ac:dyDescent="0.3">
      <c r="A119" t="s">
        <v>497</v>
      </c>
      <c r="B119" t="s">
        <v>755</v>
      </c>
      <c r="C119" t="s">
        <v>1459</v>
      </c>
      <c r="D119">
        <v>10</v>
      </c>
      <c r="E119">
        <v>4</v>
      </c>
      <c r="F119" t="s">
        <v>1463</v>
      </c>
      <c r="G119">
        <v>91</v>
      </c>
      <c r="H119">
        <v>116</v>
      </c>
      <c r="I119">
        <v>111</v>
      </c>
      <c r="J119">
        <v>115</v>
      </c>
      <c r="K119">
        <v>108</v>
      </c>
      <c r="L119" t="s">
        <v>1441</v>
      </c>
    </row>
    <row r="120" spans="1:12" x14ac:dyDescent="0.3">
      <c r="A120" t="s">
        <v>535</v>
      </c>
      <c r="B120" t="s">
        <v>781</v>
      </c>
      <c r="C120" t="s">
        <v>1459</v>
      </c>
      <c r="D120">
        <v>10</v>
      </c>
      <c r="E120">
        <v>4</v>
      </c>
      <c r="F120" t="s">
        <v>1469</v>
      </c>
      <c r="G120">
        <v>113</v>
      </c>
      <c r="H120">
        <v>96</v>
      </c>
      <c r="I120">
        <v>105</v>
      </c>
      <c r="J120">
        <v>95</v>
      </c>
      <c r="K120">
        <v>102</v>
      </c>
      <c r="L120" t="s">
        <v>1441</v>
      </c>
    </row>
    <row r="121" spans="1:12" x14ac:dyDescent="0.3">
      <c r="A121" t="s">
        <v>503</v>
      </c>
      <c r="B121" t="s">
        <v>759</v>
      </c>
      <c r="C121" t="s">
        <v>1459</v>
      </c>
      <c r="D121">
        <v>10</v>
      </c>
      <c r="E121">
        <v>4</v>
      </c>
      <c r="F121" t="s">
        <v>1464</v>
      </c>
      <c r="G121">
        <v>85</v>
      </c>
      <c r="H121">
        <v>104</v>
      </c>
      <c r="I121">
        <v>109</v>
      </c>
      <c r="J121">
        <v>91</v>
      </c>
      <c r="K121">
        <v>97</v>
      </c>
      <c r="L121" t="s">
        <v>1441</v>
      </c>
    </row>
    <row r="122" spans="1:12" x14ac:dyDescent="0.3">
      <c r="A122" t="s">
        <v>1659</v>
      </c>
      <c r="B122" t="s">
        <v>1471</v>
      </c>
      <c r="C122" t="s">
        <v>1459</v>
      </c>
      <c r="D122">
        <v>10</v>
      </c>
      <c r="E122">
        <v>4</v>
      </c>
      <c r="F122" t="s">
        <v>1464</v>
      </c>
      <c r="G122">
        <v>87</v>
      </c>
      <c r="H122">
        <v>115</v>
      </c>
      <c r="I122">
        <v>96</v>
      </c>
      <c r="J122">
        <v>93</v>
      </c>
      <c r="K122">
        <v>98</v>
      </c>
      <c r="L122" t="s">
        <v>1441</v>
      </c>
    </row>
    <row r="123" spans="1:12" x14ac:dyDescent="0.3">
      <c r="A123" t="s">
        <v>491</v>
      </c>
      <c r="B123" t="s">
        <v>753</v>
      </c>
      <c r="C123" t="s">
        <v>1459</v>
      </c>
      <c r="D123">
        <v>10</v>
      </c>
      <c r="E123">
        <v>4</v>
      </c>
      <c r="F123" t="s">
        <v>1464</v>
      </c>
      <c r="G123">
        <v>83</v>
      </c>
      <c r="H123">
        <v>106</v>
      </c>
      <c r="I123">
        <v>112</v>
      </c>
      <c r="J123">
        <v>83</v>
      </c>
      <c r="K123">
        <v>96</v>
      </c>
      <c r="L123" t="s">
        <v>1441</v>
      </c>
    </row>
    <row r="124" spans="1:12" x14ac:dyDescent="0.3">
      <c r="A124" t="s">
        <v>517</v>
      </c>
      <c r="B124" t="s">
        <v>769</v>
      </c>
      <c r="C124" t="s">
        <v>1459</v>
      </c>
      <c r="D124">
        <v>10</v>
      </c>
      <c r="E124">
        <v>4</v>
      </c>
      <c r="F124" t="s">
        <v>1464</v>
      </c>
      <c r="G124">
        <v>85</v>
      </c>
      <c r="H124">
        <v>99</v>
      </c>
      <c r="I124">
        <v>100</v>
      </c>
      <c r="J124">
        <v>86</v>
      </c>
      <c r="K124">
        <v>93</v>
      </c>
      <c r="L124" t="s">
        <v>1441</v>
      </c>
    </row>
    <row r="125" spans="1:12" x14ac:dyDescent="0.3">
      <c r="A125" t="s">
        <v>319</v>
      </c>
      <c r="B125" t="s">
        <v>653</v>
      </c>
      <c r="C125" t="s">
        <v>1472</v>
      </c>
      <c r="D125">
        <v>11</v>
      </c>
      <c r="E125">
        <v>1</v>
      </c>
      <c r="F125" t="s">
        <v>1464</v>
      </c>
      <c r="G125">
        <v>95</v>
      </c>
      <c r="H125">
        <v>106</v>
      </c>
      <c r="I125">
        <v>101</v>
      </c>
      <c r="J125">
        <v>97</v>
      </c>
      <c r="K125">
        <v>100</v>
      </c>
      <c r="L125" t="s">
        <v>1441</v>
      </c>
    </row>
    <row r="126" spans="1:12" x14ac:dyDescent="0.3">
      <c r="A126" t="s">
        <v>341</v>
      </c>
      <c r="B126" t="s">
        <v>664</v>
      </c>
      <c r="C126" t="s">
        <v>1472</v>
      </c>
      <c r="D126">
        <v>11</v>
      </c>
      <c r="E126">
        <v>1</v>
      </c>
      <c r="F126" t="s">
        <v>1464</v>
      </c>
      <c r="G126">
        <v>87</v>
      </c>
      <c r="H126">
        <v>75</v>
      </c>
      <c r="I126">
        <v>108</v>
      </c>
      <c r="J126">
        <v>90</v>
      </c>
      <c r="K126">
        <v>90</v>
      </c>
      <c r="L126" t="s">
        <v>1441</v>
      </c>
    </row>
    <row r="127" spans="1:12" x14ac:dyDescent="0.3">
      <c r="A127" t="s">
        <v>305</v>
      </c>
      <c r="B127" t="s">
        <v>646</v>
      </c>
      <c r="C127" t="s">
        <v>1472</v>
      </c>
      <c r="D127">
        <v>11</v>
      </c>
      <c r="E127">
        <v>1</v>
      </c>
      <c r="F127" t="s">
        <v>1464</v>
      </c>
      <c r="G127">
        <v>109</v>
      </c>
      <c r="H127">
        <v>103</v>
      </c>
      <c r="I127">
        <v>105</v>
      </c>
      <c r="J127">
        <v>100</v>
      </c>
      <c r="K127">
        <v>104</v>
      </c>
      <c r="L127" t="s">
        <v>1441</v>
      </c>
    </row>
    <row r="128" spans="1:12" x14ac:dyDescent="0.3">
      <c r="A128" t="s">
        <v>307</v>
      </c>
      <c r="B128" t="s">
        <v>647</v>
      </c>
      <c r="C128" t="s">
        <v>1472</v>
      </c>
      <c r="D128">
        <v>11</v>
      </c>
      <c r="E128">
        <v>1</v>
      </c>
      <c r="F128" t="s">
        <v>1460</v>
      </c>
      <c r="G128">
        <v>75</v>
      </c>
      <c r="H128">
        <v>114</v>
      </c>
      <c r="I128">
        <v>94</v>
      </c>
      <c r="J128">
        <v>104</v>
      </c>
      <c r="K128">
        <v>97</v>
      </c>
      <c r="L128" t="s">
        <v>1441</v>
      </c>
    </row>
    <row r="129" spans="1:12" x14ac:dyDescent="0.3">
      <c r="A129" t="s">
        <v>311</v>
      </c>
      <c r="B129" t="s">
        <v>649</v>
      </c>
      <c r="C129" t="s">
        <v>1472</v>
      </c>
      <c r="D129">
        <v>11</v>
      </c>
      <c r="E129">
        <v>1</v>
      </c>
      <c r="F129" t="s">
        <v>1460</v>
      </c>
      <c r="G129">
        <v>80</v>
      </c>
      <c r="H129">
        <v>106</v>
      </c>
      <c r="I129">
        <v>101</v>
      </c>
      <c r="J129">
        <v>105</v>
      </c>
      <c r="K129">
        <v>98</v>
      </c>
      <c r="L129" t="s">
        <v>1441</v>
      </c>
    </row>
    <row r="130" spans="1:12" x14ac:dyDescent="0.3">
      <c r="A130" t="s">
        <v>303</v>
      </c>
      <c r="B130" t="s">
        <v>645</v>
      </c>
      <c r="C130" t="s">
        <v>1472</v>
      </c>
      <c r="D130">
        <v>11</v>
      </c>
      <c r="E130">
        <v>1</v>
      </c>
      <c r="F130" t="s">
        <v>1460</v>
      </c>
      <c r="G130">
        <v>68</v>
      </c>
      <c r="H130">
        <v>103</v>
      </c>
      <c r="I130">
        <v>119</v>
      </c>
      <c r="J130">
        <v>104</v>
      </c>
      <c r="K130">
        <v>99</v>
      </c>
      <c r="L130" t="s">
        <v>1441</v>
      </c>
    </row>
    <row r="131" spans="1:12" x14ac:dyDescent="0.3">
      <c r="A131" t="s">
        <v>329</v>
      </c>
      <c r="B131" t="s">
        <v>658</v>
      </c>
      <c r="C131" t="s">
        <v>1472</v>
      </c>
      <c r="D131">
        <v>11</v>
      </c>
      <c r="E131">
        <v>1</v>
      </c>
      <c r="F131" t="s">
        <v>1460</v>
      </c>
      <c r="G131">
        <v>80</v>
      </c>
      <c r="H131">
        <v>106</v>
      </c>
      <c r="I131">
        <v>90</v>
      </c>
      <c r="J131">
        <v>114</v>
      </c>
      <c r="K131">
        <v>98</v>
      </c>
      <c r="L131" t="s">
        <v>1441</v>
      </c>
    </row>
    <row r="132" spans="1:12" x14ac:dyDescent="0.3">
      <c r="A132" t="s">
        <v>353</v>
      </c>
      <c r="B132" t="s">
        <v>670</v>
      </c>
      <c r="C132" t="s">
        <v>1472</v>
      </c>
      <c r="D132">
        <v>11</v>
      </c>
      <c r="E132">
        <v>1</v>
      </c>
      <c r="F132" t="s">
        <v>1464</v>
      </c>
      <c r="G132">
        <v>83</v>
      </c>
      <c r="H132">
        <v>90</v>
      </c>
      <c r="I132">
        <v>90</v>
      </c>
      <c r="J132">
        <v>80</v>
      </c>
      <c r="K132">
        <v>86</v>
      </c>
      <c r="L132" t="s">
        <v>1441</v>
      </c>
    </row>
    <row r="133" spans="1:12" x14ac:dyDescent="0.3">
      <c r="A133" t="s">
        <v>299</v>
      </c>
      <c r="B133" t="s">
        <v>643</v>
      </c>
      <c r="C133" t="s">
        <v>1472</v>
      </c>
      <c r="D133">
        <v>11</v>
      </c>
      <c r="E133">
        <v>1</v>
      </c>
      <c r="F133" t="s">
        <v>1461</v>
      </c>
      <c r="G133">
        <v>86</v>
      </c>
      <c r="H133">
        <v>114</v>
      </c>
      <c r="I133">
        <v>108</v>
      </c>
      <c r="J133">
        <v>102</v>
      </c>
      <c r="K133">
        <v>103</v>
      </c>
      <c r="L133" t="s">
        <v>1441</v>
      </c>
    </row>
    <row r="134" spans="1:12" x14ac:dyDescent="0.3">
      <c r="A134" t="s">
        <v>327</v>
      </c>
      <c r="B134" t="s">
        <v>657</v>
      </c>
      <c r="C134" t="s">
        <v>1472</v>
      </c>
      <c r="D134">
        <v>11</v>
      </c>
      <c r="E134">
        <v>1</v>
      </c>
      <c r="F134" t="s">
        <v>1461</v>
      </c>
      <c r="G134">
        <v>83</v>
      </c>
      <c r="H134">
        <v>103</v>
      </c>
      <c r="I134">
        <v>108</v>
      </c>
      <c r="J134">
        <v>98</v>
      </c>
      <c r="K134">
        <v>98</v>
      </c>
      <c r="L134" t="s">
        <v>1441</v>
      </c>
    </row>
    <row r="135" spans="1:12" x14ac:dyDescent="0.3">
      <c r="A135" t="s">
        <v>347</v>
      </c>
      <c r="B135" t="s">
        <v>667</v>
      </c>
      <c r="C135" t="s">
        <v>1472</v>
      </c>
      <c r="D135">
        <v>11</v>
      </c>
      <c r="E135">
        <v>1</v>
      </c>
      <c r="F135" t="s">
        <v>1461</v>
      </c>
      <c r="G135">
        <v>83</v>
      </c>
      <c r="H135">
        <v>106</v>
      </c>
      <c r="I135">
        <v>97</v>
      </c>
      <c r="J135">
        <v>98</v>
      </c>
      <c r="K135">
        <v>96</v>
      </c>
      <c r="L135" t="s">
        <v>1441</v>
      </c>
    </row>
    <row r="136" spans="1:12" x14ac:dyDescent="0.3">
      <c r="A136" t="s">
        <v>351</v>
      </c>
      <c r="B136" t="s">
        <v>669</v>
      </c>
      <c r="C136" t="s">
        <v>1472</v>
      </c>
      <c r="D136">
        <v>11</v>
      </c>
      <c r="E136">
        <v>1</v>
      </c>
      <c r="F136" t="s">
        <v>1463</v>
      </c>
      <c r="G136">
        <v>80</v>
      </c>
      <c r="H136">
        <v>106</v>
      </c>
      <c r="I136">
        <v>103</v>
      </c>
      <c r="J136">
        <v>98</v>
      </c>
      <c r="K136">
        <v>97</v>
      </c>
      <c r="L136" t="s">
        <v>1441</v>
      </c>
    </row>
    <row r="137" spans="1:12" x14ac:dyDescent="0.3">
      <c r="A137" t="s">
        <v>317</v>
      </c>
      <c r="B137" t="s">
        <v>652</v>
      </c>
      <c r="C137" t="s">
        <v>1472</v>
      </c>
      <c r="D137">
        <v>11</v>
      </c>
      <c r="E137">
        <v>1</v>
      </c>
      <c r="F137" t="s">
        <v>1463</v>
      </c>
      <c r="G137">
        <v>83</v>
      </c>
      <c r="H137">
        <v>106</v>
      </c>
      <c r="I137">
        <v>110</v>
      </c>
      <c r="J137">
        <v>107</v>
      </c>
      <c r="K137">
        <v>102</v>
      </c>
      <c r="L137" t="s">
        <v>1441</v>
      </c>
    </row>
    <row r="138" spans="1:12" x14ac:dyDescent="0.3">
      <c r="A138" t="s">
        <v>315</v>
      </c>
      <c r="B138" t="s">
        <v>651</v>
      </c>
      <c r="C138" t="s">
        <v>1472</v>
      </c>
      <c r="D138">
        <v>11</v>
      </c>
      <c r="E138">
        <v>2</v>
      </c>
      <c r="F138" t="s">
        <v>1464</v>
      </c>
      <c r="G138">
        <v>89</v>
      </c>
      <c r="H138">
        <v>100</v>
      </c>
      <c r="I138">
        <v>92</v>
      </c>
      <c r="J138">
        <v>102</v>
      </c>
      <c r="K138">
        <v>96</v>
      </c>
      <c r="L138" t="s">
        <v>1441</v>
      </c>
    </row>
    <row r="139" spans="1:12" x14ac:dyDescent="0.3">
      <c r="A139" t="s">
        <v>321</v>
      </c>
      <c r="B139" t="s">
        <v>654</v>
      </c>
      <c r="C139" t="s">
        <v>1472</v>
      </c>
      <c r="D139">
        <v>11</v>
      </c>
      <c r="E139">
        <v>2</v>
      </c>
      <c r="F139" t="s">
        <v>1464</v>
      </c>
      <c r="G139">
        <v>98</v>
      </c>
      <c r="H139">
        <v>128</v>
      </c>
      <c r="I139">
        <v>119</v>
      </c>
      <c r="J139">
        <v>95</v>
      </c>
      <c r="K139">
        <v>110</v>
      </c>
      <c r="L139" t="s">
        <v>1441</v>
      </c>
    </row>
    <row r="140" spans="1:12" x14ac:dyDescent="0.3">
      <c r="A140" t="s">
        <v>369</v>
      </c>
      <c r="B140" t="s">
        <v>678</v>
      </c>
      <c r="C140" t="s">
        <v>1472</v>
      </c>
      <c r="D140">
        <v>11</v>
      </c>
      <c r="E140">
        <v>2</v>
      </c>
      <c r="F140" t="s">
        <v>1460</v>
      </c>
      <c r="G140">
        <v>90</v>
      </c>
      <c r="H140">
        <v>116</v>
      </c>
      <c r="I140">
        <v>124</v>
      </c>
      <c r="J140">
        <v>119</v>
      </c>
      <c r="K140">
        <v>112</v>
      </c>
      <c r="L140" t="s">
        <v>1441</v>
      </c>
    </row>
    <row r="141" spans="1:12" x14ac:dyDescent="0.3">
      <c r="A141" t="s">
        <v>357</v>
      </c>
      <c r="B141" t="s">
        <v>672</v>
      </c>
      <c r="C141" t="s">
        <v>1472</v>
      </c>
      <c r="D141">
        <v>11</v>
      </c>
      <c r="E141">
        <v>2</v>
      </c>
      <c r="F141" t="s">
        <v>1460</v>
      </c>
      <c r="G141">
        <v>72</v>
      </c>
      <c r="H141">
        <v>103</v>
      </c>
      <c r="I141">
        <v>101</v>
      </c>
      <c r="J141">
        <v>97</v>
      </c>
      <c r="K141">
        <v>93</v>
      </c>
      <c r="L141" t="s">
        <v>1441</v>
      </c>
    </row>
    <row r="142" spans="1:12" x14ac:dyDescent="0.3">
      <c r="A142" t="s">
        <v>345</v>
      </c>
      <c r="B142" t="s">
        <v>666</v>
      </c>
      <c r="C142" t="s">
        <v>1472</v>
      </c>
      <c r="D142">
        <v>11</v>
      </c>
      <c r="E142">
        <v>2</v>
      </c>
      <c r="F142" t="s">
        <v>1460</v>
      </c>
      <c r="G142">
        <v>78</v>
      </c>
      <c r="H142">
        <v>120</v>
      </c>
      <c r="I142">
        <v>99</v>
      </c>
      <c r="J142">
        <v>116</v>
      </c>
      <c r="K142">
        <v>103</v>
      </c>
      <c r="L142" t="s">
        <v>1441</v>
      </c>
    </row>
    <row r="143" spans="1:12" x14ac:dyDescent="0.3">
      <c r="A143" t="s">
        <v>331</v>
      </c>
      <c r="B143" t="s">
        <v>659</v>
      </c>
      <c r="C143" t="s">
        <v>1472</v>
      </c>
      <c r="D143">
        <v>11</v>
      </c>
      <c r="E143">
        <v>2</v>
      </c>
      <c r="F143" t="s">
        <v>1464</v>
      </c>
      <c r="G143">
        <v>76</v>
      </c>
      <c r="H143">
        <v>105</v>
      </c>
      <c r="I143">
        <v>106</v>
      </c>
      <c r="J143">
        <v>72</v>
      </c>
      <c r="K143">
        <v>90</v>
      </c>
      <c r="L143" t="s">
        <v>1441</v>
      </c>
    </row>
    <row r="144" spans="1:12" x14ac:dyDescent="0.3">
      <c r="A144" t="s">
        <v>323</v>
      </c>
      <c r="B144" t="s">
        <v>655</v>
      </c>
      <c r="C144" t="s">
        <v>1472</v>
      </c>
      <c r="D144">
        <v>11</v>
      </c>
      <c r="E144">
        <v>2</v>
      </c>
      <c r="F144" t="s">
        <v>1464</v>
      </c>
      <c r="G144">
        <v>78</v>
      </c>
      <c r="H144">
        <v>92</v>
      </c>
      <c r="I144">
        <v>112</v>
      </c>
      <c r="J144">
        <v>80</v>
      </c>
      <c r="K144">
        <v>91</v>
      </c>
      <c r="L144" t="s">
        <v>1441</v>
      </c>
    </row>
    <row r="145" spans="1:12" x14ac:dyDescent="0.3">
      <c r="A145" t="s">
        <v>343</v>
      </c>
      <c r="B145" t="s">
        <v>665</v>
      </c>
      <c r="C145" t="s">
        <v>1472</v>
      </c>
      <c r="D145">
        <v>11</v>
      </c>
      <c r="E145">
        <v>2</v>
      </c>
      <c r="F145" t="s">
        <v>1461</v>
      </c>
      <c r="G145">
        <v>97</v>
      </c>
      <c r="H145">
        <v>114</v>
      </c>
      <c r="I145">
        <v>110</v>
      </c>
      <c r="J145">
        <v>116</v>
      </c>
      <c r="K145">
        <v>109</v>
      </c>
      <c r="L145" t="s">
        <v>1441</v>
      </c>
    </row>
    <row r="146" spans="1:12" x14ac:dyDescent="0.3">
      <c r="A146" t="s">
        <v>325</v>
      </c>
      <c r="B146" t="s">
        <v>656</v>
      </c>
      <c r="C146" t="s">
        <v>1472</v>
      </c>
      <c r="D146">
        <v>11</v>
      </c>
      <c r="E146">
        <v>2</v>
      </c>
      <c r="F146" t="s">
        <v>1461</v>
      </c>
      <c r="G146">
        <v>82</v>
      </c>
      <c r="H146">
        <v>114</v>
      </c>
      <c r="I146">
        <v>105</v>
      </c>
      <c r="J146">
        <v>102</v>
      </c>
      <c r="K146">
        <v>101</v>
      </c>
      <c r="L146" t="s">
        <v>1441</v>
      </c>
    </row>
    <row r="147" spans="1:12" x14ac:dyDescent="0.3">
      <c r="A147" t="s">
        <v>355</v>
      </c>
      <c r="B147" t="s">
        <v>671</v>
      </c>
      <c r="C147" t="s">
        <v>1472</v>
      </c>
      <c r="D147">
        <v>11</v>
      </c>
      <c r="E147">
        <v>2</v>
      </c>
      <c r="F147" t="s">
        <v>1463</v>
      </c>
      <c r="G147">
        <v>85</v>
      </c>
      <c r="H147">
        <v>90</v>
      </c>
      <c r="I147">
        <v>97</v>
      </c>
      <c r="J147">
        <v>111</v>
      </c>
      <c r="K147">
        <v>96</v>
      </c>
      <c r="L147" t="s">
        <v>1441</v>
      </c>
    </row>
    <row r="148" spans="1:12" x14ac:dyDescent="0.3">
      <c r="A148" t="s">
        <v>313</v>
      </c>
      <c r="B148" t="s">
        <v>650</v>
      </c>
      <c r="C148" t="s">
        <v>1472</v>
      </c>
      <c r="D148">
        <v>11</v>
      </c>
      <c r="E148">
        <v>2</v>
      </c>
      <c r="F148" t="s">
        <v>1463</v>
      </c>
      <c r="G148">
        <v>78</v>
      </c>
      <c r="H148">
        <v>98</v>
      </c>
      <c r="I148">
        <v>92</v>
      </c>
      <c r="J148">
        <v>100</v>
      </c>
      <c r="K148">
        <v>92</v>
      </c>
      <c r="L148" t="s">
        <v>1441</v>
      </c>
    </row>
    <row r="149" spans="1:12" x14ac:dyDescent="0.3">
      <c r="A149" t="s">
        <v>309</v>
      </c>
      <c r="B149" t="s">
        <v>648</v>
      </c>
      <c r="C149" t="s">
        <v>1472</v>
      </c>
      <c r="D149">
        <v>11</v>
      </c>
      <c r="E149">
        <v>2</v>
      </c>
      <c r="F149" t="s">
        <v>1463</v>
      </c>
      <c r="G149">
        <v>86</v>
      </c>
      <c r="H149">
        <v>103</v>
      </c>
      <c r="I149">
        <v>108</v>
      </c>
      <c r="J149">
        <v>104</v>
      </c>
      <c r="K149">
        <v>100</v>
      </c>
      <c r="L149" t="s">
        <v>1441</v>
      </c>
    </row>
    <row r="150" spans="1:12" x14ac:dyDescent="0.3">
      <c r="A150" t="s">
        <v>333</v>
      </c>
      <c r="B150" t="s">
        <v>660</v>
      </c>
      <c r="C150" t="s">
        <v>1472</v>
      </c>
      <c r="D150">
        <v>11</v>
      </c>
      <c r="E150">
        <v>2</v>
      </c>
      <c r="F150" t="s">
        <v>1463</v>
      </c>
      <c r="G150">
        <v>75</v>
      </c>
      <c r="H150">
        <v>118</v>
      </c>
      <c r="I150">
        <v>95</v>
      </c>
      <c r="J150">
        <v>102</v>
      </c>
      <c r="K150">
        <v>98</v>
      </c>
      <c r="L150" t="s">
        <v>1441</v>
      </c>
    </row>
    <row r="151" spans="1:12" x14ac:dyDescent="0.3">
      <c r="A151" t="s">
        <v>377</v>
      </c>
      <c r="B151" t="s">
        <v>682</v>
      </c>
      <c r="C151" t="s">
        <v>1472</v>
      </c>
      <c r="D151">
        <v>11</v>
      </c>
      <c r="E151">
        <v>3</v>
      </c>
      <c r="F151" t="s">
        <v>1464</v>
      </c>
      <c r="G151">
        <v>86</v>
      </c>
      <c r="H151">
        <v>112</v>
      </c>
      <c r="I151">
        <v>117</v>
      </c>
      <c r="J151">
        <v>95</v>
      </c>
      <c r="K151">
        <v>103</v>
      </c>
      <c r="L151" t="s">
        <v>1441</v>
      </c>
    </row>
    <row r="152" spans="1:12" x14ac:dyDescent="0.3">
      <c r="A152" t="s">
        <v>365</v>
      </c>
      <c r="B152" t="s">
        <v>676</v>
      </c>
      <c r="C152" t="s">
        <v>1472</v>
      </c>
      <c r="D152">
        <v>11</v>
      </c>
      <c r="E152">
        <v>3</v>
      </c>
      <c r="F152" t="s">
        <v>1464</v>
      </c>
      <c r="G152">
        <v>92</v>
      </c>
      <c r="H152">
        <v>105</v>
      </c>
      <c r="I152">
        <v>103</v>
      </c>
      <c r="J152">
        <v>93</v>
      </c>
      <c r="K152">
        <v>98</v>
      </c>
      <c r="L152" t="s">
        <v>1441</v>
      </c>
    </row>
    <row r="153" spans="1:12" x14ac:dyDescent="0.3">
      <c r="A153" t="s">
        <v>379</v>
      </c>
      <c r="B153" t="s">
        <v>683</v>
      </c>
      <c r="C153" t="s">
        <v>1472</v>
      </c>
      <c r="D153">
        <v>11</v>
      </c>
      <c r="E153">
        <v>3</v>
      </c>
      <c r="F153" t="s">
        <v>1464</v>
      </c>
      <c r="G153">
        <v>86</v>
      </c>
      <c r="H153">
        <v>104</v>
      </c>
      <c r="I153">
        <v>114</v>
      </c>
      <c r="J153">
        <v>95</v>
      </c>
      <c r="K153">
        <v>100</v>
      </c>
      <c r="L153" t="s">
        <v>1441</v>
      </c>
    </row>
    <row r="154" spans="1:12" x14ac:dyDescent="0.3">
      <c r="A154" t="s">
        <v>385</v>
      </c>
      <c r="B154" t="s">
        <v>686</v>
      </c>
      <c r="C154" t="s">
        <v>1472</v>
      </c>
      <c r="D154">
        <v>11</v>
      </c>
      <c r="E154">
        <v>3</v>
      </c>
      <c r="F154" t="s">
        <v>1464</v>
      </c>
      <c r="G154">
        <v>114</v>
      </c>
      <c r="H154">
        <v>94</v>
      </c>
      <c r="I154">
        <v>106</v>
      </c>
      <c r="J154">
        <v>111</v>
      </c>
      <c r="K154">
        <v>106</v>
      </c>
      <c r="L154" t="s">
        <v>1441</v>
      </c>
    </row>
    <row r="155" spans="1:12" x14ac:dyDescent="0.3">
      <c r="A155" t="s">
        <v>361</v>
      </c>
      <c r="B155" t="s">
        <v>674</v>
      </c>
      <c r="C155" t="s">
        <v>1472</v>
      </c>
      <c r="D155">
        <v>11</v>
      </c>
      <c r="E155">
        <v>3</v>
      </c>
      <c r="F155" t="s">
        <v>1460</v>
      </c>
      <c r="G155">
        <v>68</v>
      </c>
      <c r="H155">
        <v>87</v>
      </c>
      <c r="I155">
        <v>103</v>
      </c>
      <c r="J155">
        <v>98</v>
      </c>
      <c r="K155">
        <v>89</v>
      </c>
      <c r="L155" t="s">
        <v>1441</v>
      </c>
    </row>
    <row r="156" spans="1:12" x14ac:dyDescent="0.3">
      <c r="A156" t="s">
        <v>383</v>
      </c>
      <c r="B156" t="s">
        <v>685</v>
      </c>
      <c r="C156" t="s">
        <v>1472</v>
      </c>
      <c r="D156">
        <v>11</v>
      </c>
      <c r="E156">
        <v>3</v>
      </c>
      <c r="F156" t="s">
        <v>1460</v>
      </c>
      <c r="G156">
        <v>80</v>
      </c>
      <c r="H156">
        <v>122</v>
      </c>
      <c r="I156">
        <v>112</v>
      </c>
      <c r="J156">
        <v>119</v>
      </c>
      <c r="K156">
        <v>108</v>
      </c>
      <c r="L156" t="s">
        <v>1441</v>
      </c>
    </row>
    <row r="157" spans="1:12" x14ac:dyDescent="0.3">
      <c r="A157" t="s">
        <v>375</v>
      </c>
      <c r="B157" t="s">
        <v>681</v>
      </c>
      <c r="C157" t="s">
        <v>1472</v>
      </c>
      <c r="D157">
        <v>11</v>
      </c>
      <c r="E157">
        <v>3</v>
      </c>
      <c r="F157" t="s">
        <v>1460</v>
      </c>
      <c r="G157">
        <v>78</v>
      </c>
      <c r="H157">
        <v>92</v>
      </c>
      <c r="I157">
        <v>108</v>
      </c>
      <c r="J157">
        <v>112</v>
      </c>
      <c r="K157">
        <v>98</v>
      </c>
      <c r="L157" t="s">
        <v>1441</v>
      </c>
    </row>
    <row r="158" spans="1:12" x14ac:dyDescent="0.3">
      <c r="A158" t="s">
        <v>387</v>
      </c>
      <c r="B158" t="s">
        <v>1168</v>
      </c>
      <c r="C158" t="s">
        <v>1472</v>
      </c>
      <c r="D158">
        <v>11</v>
      </c>
      <c r="E158">
        <v>3</v>
      </c>
      <c r="F158" t="s">
        <v>1460</v>
      </c>
      <c r="G158">
        <v>72</v>
      </c>
      <c r="H158">
        <v>103</v>
      </c>
      <c r="I158">
        <v>101</v>
      </c>
      <c r="J158">
        <v>97</v>
      </c>
      <c r="K158">
        <v>90</v>
      </c>
      <c r="L158" t="s">
        <v>1441</v>
      </c>
    </row>
    <row r="159" spans="1:12" x14ac:dyDescent="0.3">
      <c r="A159" t="s">
        <v>363</v>
      </c>
      <c r="B159" t="s">
        <v>675</v>
      </c>
      <c r="C159" t="s">
        <v>1472</v>
      </c>
      <c r="D159">
        <v>11</v>
      </c>
      <c r="E159">
        <v>3</v>
      </c>
      <c r="F159" t="s">
        <v>1461</v>
      </c>
      <c r="G159">
        <v>83</v>
      </c>
      <c r="H159">
        <v>103</v>
      </c>
      <c r="I159">
        <v>106</v>
      </c>
      <c r="J159">
        <v>97</v>
      </c>
      <c r="K159">
        <v>97</v>
      </c>
      <c r="L159" t="s">
        <v>1441</v>
      </c>
    </row>
    <row r="160" spans="1:12" x14ac:dyDescent="0.3">
      <c r="A160" t="s">
        <v>371</v>
      </c>
      <c r="B160" t="s">
        <v>679</v>
      </c>
      <c r="C160" t="s">
        <v>1472</v>
      </c>
      <c r="D160">
        <v>11</v>
      </c>
      <c r="E160">
        <v>3</v>
      </c>
      <c r="F160" t="s">
        <v>1461</v>
      </c>
      <c r="G160">
        <v>92</v>
      </c>
      <c r="H160">
        <v>103</v>
      </c>
      <c r="I160">
        <v>90</v>
      </c>
      <c r="J160">
        <v>107</v>
      </c>
      <c r="K160">
        <v>98</v>
      </c>
      <c r="L160" t="s">
        <v>1441</v>
      </c>
    </row>
    <row r="161" spans="1:12" x14ac:dyDescent="0.3">
      <c r="A161" t="s">
        <v>367</v>
      </c>
      <c r="B161" t="s">
        <v>677</v>
      </c>
      <c r="C161" t="s">
        <v>1472</v>
      </c>
      <c r="D161">
        <v>11</v>
      </c>
      <c r="E161">
        <v>3</v>
      </c>
      <c r="F161" t="s">
        <v>1461</v>
      </c>
      <c r="G161">
        <v>102</v>
      </c>
      <c r="H161">
        <v>108</v>
      </c>
      <c r="I161">
        <v>101</v>
      </c>
      <c r="J161">
        <v>114</v>
      </c>
      <c r="K161">
        <v>106</v>
      </c>
      <c r="L161" t="s">
        <v>1441</v>
      </c>
    </row>
    <row r="162" spans="1:12" x14ac:dyDescent="0.3">
      <c r="A162" t="s">
        <v>373</v>
      </c>
      <c r="B162" t="s">
        <v>680</v>
      </c>
      <c r="C162" t="s">
        <v>1472</v>
      </c>
      <c r="D162">
        <v>11</v>
      </c>
      <c r="E162">
        <v>3</v>
      </c>
      <c r="F162" t="s">
        <v>1461</v>
      </c>
      <c r="G162">
        <v>83</v>
      </c>
      <c r="H162">
        <v>118</v>
      </c>
      <c r="I162">
        <v>121</v>
      </c>
      <c r="J162">
        <v>98</v>
      </c>
      <c r="K162">
        <v>105</v>
      </c>
      <c r="L162" t="s">
        <v>1441</v>
      </c>
    </row>
    <row r="163" spans="1:12" x14ac:dyDescent="0.3">
      <c r="A163" t="s">
        <v>381</v>
      </c>
      <c r="B163" t="s">
        <v>1165</v>
      </c>
      <c r="C163" t="s">
        <v>1472</v>
      </c>
      <c r="D163">
        <v>11</v>
      </c>
      <c r="E163">
        <v>3</v>
      </c>
      <c r="F163" t="s">
        <v>1463</v>
      </c>
      <c r="G163">
        <v>102</v>
      </c>
      <c r="H163">
        <v>106</v>
      </c>
      <c r="I163">
        <v>117</v>
      </c>
      <c r="J163">
        <v>121</v>
      </c>
      <c r="K163">
        <v>121</v>
      </c>
      <c r="L163" t="s">
        <v>1441</v>
      </c>
    </row>
    <row r="164" spans="1:12" x14ac:dyDescent="0.3">
      <c r="A164" t="s">
        <v>411</v>
      </c>
      <c r="B164" t="s">
        <v>699</v>
      </c>
      <c r="C164" t="s">
        <v>1472</v>
      </c>
      <c r="D164">
        <v>11</v>
      </c>
      <c r="E164">
        <v>4</v>
      </c>
      <c r="F164" t="s">
        <v>1464</v>
      </c>
      <c r="G164">
        <v>97</v>
      </c>
      <c r="H164">
        <v>94</v>
      </c>
      <c r="I164">
        <v>86</v>
      </c>
      <c r="J164">
        <v>100</v>
      </c>
      <c r="K164">
        <v>94</v>
      </c>
      <c r="L164" t="s">
        <v>1441</v>
      </c>
    </row>
    <row r="165" spans="1:12" x14ac:dyDescent="0.3">
      <c r="A165" t="s">
        <v>391</v>
      </c>
      <c r="B165" t="s">
        <v>689</v>
      </c>
      <c r="C165" t="s">
        <v>1472</v>
      </c>
      <c r="D165">
        <v>11</v>
      </c>
      <c r="E165">
        <v>4</v>
      </c>
      <c r="F165" t="s">
        <v>1464</v>
      </c>
      <c r="G165">
        <v>89</v>
      </c>
      <c r="H165">
        <v>94</v>
      </c>
      <c r="I165">
        <v>97</v>
      </c>
      <c r="J165">
        <v>86</v>
      </c>
      <c r="K165">
        <v>92</v>
      </c>
      <c r="L165" t="s">
        <v>1441</v>
      </c>
    </row>
    <row r="166" spans="1:12" x14ac:dyDescent="0.3">
      <c r="A166" t="s">
        <v>339</v>
      </c>
      <c r="B166" t="s">
        <v>663</v>
      </c>
      <c r="C166" t="s">
        <v>1472</v>
      </c>
      <c r="D166">
        <v>11</v>
      </c>
      <c r="E166">
        <v>4</v>
      </c>
      <c r="F166" t="s">
        <v>1464</v>
      </c>
      <c r="G166">
        <v>95</v>
      </c>
      <c r="H166">
        <v>100</v>
      </c>
      <c r="I166">
        <v>110</v>
      </c>
      <c r="J166">
        <v>97</v>
      </c>
      <c r="K166">
        <v>101</v>
      </c>
      <c r="L166" t="s">
        <v>1441</v>
      </c>
    </row>
    <row r="167" spans="1:12" x14ac:dyDescent="0.3">
      <c r="A167" t="s">
        <v>335</v>
      </c>
      <c r="B167" t="s">
        <v>661</v>
      </c>
      <c r="C167" t="s">
        <v>1472</v>
      </c>
      <c r="D167">
        <v>11</v>
      </c>
      <c r="E167">
        <v>4</v>
      </c>
      <c r="F167" t="s">
        <v>1464</v>
      </c>
      <c r="G167">
        <v>82</v>
      </c>
      <c r="H167">
        <v>103</v>
      </c>
      <c r="I167">
        <v>88</v>
      </c>
      <c r="J167">
        <v>95</v>
      </c>
      <c r="K167">
        <v>92</v>
      </c>
      <c r="L167" t="s">
        <v>1441</v>
      </c>
    </row>
    <row r="168" spans="1:12" x14ac:dyDescent="0.3">
      <c r="A168" t="s">
        <v>407</v>
      </c>
      <c r="B168" t="s">
        <v>1473</v>
      </c>
      <c r="C168" t="s">
        <v>1472</v>
      </c>
      <c r="D168">
        <v>11</v>
      </c>
      <c r="E168">
        <v>4</v>
      </c>
      <c r="F168" t="s">
        <v>1460</v>
      </c>
      <c r="G168">
        <v>65</v>
      </c>
      <c r="H168">
        <v>110</v>
      </c>
      <c r="I168">
        <v>108</v>
      </c>
      <c r="J168">
        <v>105</v>
      </c>
      <c r="K168">
        <v>97</v>
      </c>
      <c r="L168" t="s">
        <v>1441</v>
      </c>
    </row>
    <row r="169" spans="1:12" x14ac:dyDescent="0.3">
      <c r="A169" t="s">
        <v>409</v>
      </c>
      <c r="B169" t="s">
        <v>698</v>
      </c>
      <c r="C169" t="s">
        <v>1472</v>
      </c>
      <c r="D169">
        <v>11</v>
      </c>
      <c r="E169">
        <v>4</v>
      </c>
      <c r="F169" t="s">
        <v>1460</v>
      </c>
      <c r="G169">
        <v>80</v>
      </c>
      <c r="H169">
        <v>116</v>
      </c>
      <c r="I169">
        <v>110</v>
      </c>
      <c r="J169">
        <v>111</v>
      </c>
      <c r="K169">
        <v>104</v>
      </c>
      <c r="L169" t="s">
        <v>1441</v>
      </c>
    </row>
    <row r="170" spans="1:12" x14ac:dyDescent="0.3">
      <c r="A170" t="s">
        <v>349</v>
      </c>
      <c r="B170" t="s">
        <v>668</v>
      </c>
      <c r="C170" t="s">
        <v>1472</v>
      </c>
      <c r="D170">
        <v>11</v>
      </c>
      <c r="E170">
        <v>4</v>
      </c>
      <c r="F170" t="s">
        <v>1460</v>
      </c>
      <c r="G170">
        <v>85</v>
      </c>
      <c r="H170">
        <v>105</v>
      </c>
      <c r="I170">
        <v>112</v>
      </c>
      <c r="J170">
        <v>112</v>
      </c>
      <c r="K170">
        <v>104</v>
      </c>
      <c r="L170" t="s">
        <v>1441</v>
      </c>
    </row>
    <row r="171" spans="1:12" x14ac:dyDescent="0.3">
      <c r="A171" t="s">
        <v>415</v>
      </c>
      <c r="B171" t="s">
        <v>701</v>
      </c>
      <c r="C171" t="s">
        <v>1472</v>
      </c>
      <c r="D171">
        <v>11</v>
      </c>
      <c r="E171">
        <v>4</v>
      </c>
      <c r="F171" t="s">
        <v>1460</v>
      </c>
      <c r="G171">
        <v>78</v>
      </c>
      <c r="H171">
        <v>108</v>
      </c>
      <c r="I171">
        <v>105</v>
      </c>
      <c r="J171">
        <v>117</v>
      </c>
      <c r="K171">
        <v>102</v>
      </c>
      <c r="L171" t="s">
        <v>1441</v>
      </c>
    </row>
    <row r="172" spans="1:12" x14ac:dyDescent="0.3">
      <c r="A172" t="s">
        <v>397</v>
      </c>
      <c r="B172" t="s">
        <v>692</v>
      </c>
      <c r="C172" t="s">
        <v>1472</v>
      </c>
      <c r="D172">
        <v>11</v>
      </c>
      <c r="E172">
        <v>4</v>
      </c>
      <c r="F172" t="s">
        <v>1460</v>
      </c>
      <c r="G172">
        <v>90</v>
      </c>
      <c r="H172">
        <v>101</v>
      </c>
      <c r="I172">
        <v>105</v>
      </c>
      <c r="J172">
        <v>121</v>
      </c>
      <c r="K172">
        <v>104</v>
      </c>
      <c r="L172" t="s">
        <v>1441</v>
      </c>
    </row>
    <row r="173" spans="1:12" x14ac:dyDescent="0.3">
      <c r="A173" t="s">
        <v>393</v>
      </c>
      <c r="B173" t="s">
        <v>690</v>
      </c>
      <c r="C173" t="s">
        <v>1472</v>
      </c>
      <c r="D173">
        <v>11</v>
      </c>
      <c r="E173">
        <v>4</v>
      </c>
      <c r="F173" t="s">
        <v>1460</v>
      </c>
      <c r="G173">
        <v>82</v>
      </c>
      <c r="H173">
        <v>105</v>
      </c>
      <c r="I173">
        <v>110</v>
      </c>
      <c r="J173">
        <v>116</v>
      </c>
      <c r="K173">
        <v>103</v>
      </c>
      <c r="L173" t="s">
        <v>1441</v>
      </c>
    </row>
    <row r="174" spans="1:12" x14ac:dyDescent="0.3">
      <c r="A174" t="s">
        <v>401</v>
      </c>
      <c r="B174" t="s">
        <v>694</v>
      </c>
      <c r="C174" t="s">
        <v>1472</v>
      </c>
      <c r="D174">
        <v>11</v>
      </c>
      <c r="E174">
        <v>4</v>
      </c>
      <c r="F174" t="s">
        <v>1464</v>
      </c>
      <c r="G174">
        <v>76</v>
      </c>
      <c r="H174">
        <v>94</v>
      </c>
      <c r="I174">
        <v>90</v>
      </c>
      <c r="J174">
        <v>86</v>
      </c>
      <c r="K174">
        <v>87</v>
      </c>
      <c r="L174" t="s">
        <v>1441</v>
      </c>
    </row>
    <row r="175" spans="1:12" x14ac:dyDescent="0.3">
      <c r="A175" t="s">
        <v>403</v>
      </c>
      <c r="B175" t="s">
        <v>695</v>
      </c>
      <c r="C175" t="s">
        <v>1472</v>
      </c>
      <c r="D175">
        <v>11</v>
      </c>
      <c r="E175">
        <v>4</v>
      </c>
      <c r="F175" t="s">
        <v>1461</v>
      </c>
      <c r="G175">
        <v>82</v>
      </c>
      <c r="H175">
        <v>106</v>
      </c>
      <c r="I175">
        <v>116</v>
      </c>
      <c r="J175">
        <v>98</v>
      </c>
      <c r="K175">
        <v>101</v>
      </c>
      <c r="L175" t="s">
        <v>1441</v>
      </c>
    </row>
    <row r="176" spans="1:12" x14ac:dyDescent="0.3">
      <c r="A176" t="s">
        <v>359</v>
      </c>
      <c r="B176" t="s">
        <v>673</v>
      </c>
      <c r="C176" t="s">
        <v>1472</v>
      </c>
      <c r="D176">
        <v>11</v>
      </c>
      <c r="E176">
        <v>4</v>
      </c>
      <c r="F176" t="s">
        <v>1461</v>
      </c>
      <c r="G176">
        <v>83</v>
      </c>
      <c r="H176">
        <v>87</v>
      </c>
      <c r="I176">
        <v>101</v>
      </c>
      <c r="J176">
        <v>98</v>
      </c>
      <c r="K176">
        <v>92</v>
      </c>
      <c r="L176" t="s">
        <v>1441</v>
      </c>
    </row>
    <row r="177" spans="1:12" x14ac:dyDescent="0.3">
      <c r="A177" t="s">
        <v>395</v>
      </c>
      <c r="B177" t="s">
        <v>691</v>
      </c>
      <c r="C177" t="s">
        <v>1472</v>
      </c>
      <c r="D177">
        <v>11</v>
      </c>
      <c r="E177">
        <v>4</v>
      </c>
      <c r="F177" t="s">
        <v>1461</v>
      </c>
      <c r="G177">
        <v>78</v>
      </c>
      <c r="H177">
        <v>110</v>
      </c>
      <c r="I177">
        <v>88</v>
      </c>
      <c r="J177">
        <v>93</v>
      </c>
      <c r="K177">
        <v>92</v>
      </c>
      <c r="L177" t="s">
        <v>1441</v>
      </c>
    </row>
    <row r="178" spans="1:12" x14ac:dyDescent="0.3">
      <c r="A178" t="s">
        <v>405</v>
      </c>
      <c r="B178" t="s">
        <v>696</v>
      </c>
      <c r="C178" t="s">
        <v>1472</v>
      </c>
      <c r="D178">
        <v>11</v>
      </c>
      <c r="E178">
        <v>4</v>
      </c>
      <c r="F178" t="s">
        <v>1463</v>
      </c>
      <c r="G178">
        <v>94</v>
      </c>
      <c r="H178">
        <v>128</v>
      </c>
      <c r="I178">
        <v>129</v>
      </c>
      <c r="J178">
        <v>116</v>
      </c>
      <c r="K178">
        <v>117</v>
      </c>
      <c r="L178" t="s">
        <v>1441</v>
      </c>
    </row>
    <row r="179" spans="1:12" x14ac:dyDescent="0.3">
      <c r="A179" t="s">
        <v>389</v>
      </c>
      <c r="B179" t="s">
        <v>1474</v>
      </c>
      <c r="C179" t="s">
        <v>1472</v>
      </c>
      <c r="D179">
        <v>11</v>
      </c>
      <c r="E179">
        <v>4</v>
      </c>
      <c r="F179" t="s">
        <v>1463</v>
      </c>
      <c r="G179">
        <v>70</v>
      </c>
      <c r="H179">
        <v>96</v>
      </c>
      <c r="I179">
        <v>105</v>
      </c>
      <c r="J179">
        <v>90</v>
      </c>
      <c r="K179">
        <v>90</v>
      </c>
      <c r="L179" t="s">
        <v>1441</v>
      </c>
    </row>
    <row r="180" spans="1:12" x14ac:dyDescent="0.3">
      <c r="A180" t="s">
        <v>413</v>
      </c>
      <c r="B180" t="s">
        <v>700</v>
      </c>
      <c r="C180" t="s">
        <v>1472</v>
      </c>
      <c r="D180">
        <v>11</v>
      </c>
      <c r="E180">
        <v>4</v>
      </c>
      <c r="F180" t="s">
        <v>1463</v>
      </c>
      <c r="G180">
        <v>76</v>
      </c>
      <c r="H180">
        <v>100</v>
      </c>
      <c r="I180">
        <v>101</v>
      </c>
      <c r="J180">
        <v>97</v>
      </c>
      <c r="K180">
        <v>94</v>
      </c>
      <c r="L180" t="s">
        <v>1441</v>
      </c>
    </row>
    <row r="181" spans="1:12" x14ac:dyDescent="0.3">
      <c r="A181" t="s">
        <v>337</v>
      </c>
      <c r="B181" t="s">
        <v>662</v>
      </c>
      <c r="C181" t="s">
        <v>1472</v>
      </c>
      <c r="D181">
        <v>11</v>
      </c>
      <c r="E181">
        <v>4</v>
      </c>
      <c r="F181" t="s">
        <v>1463</v>
      </c>
      <c r="G181">
        <v>76</v>
      </c>
      <c r="H181">
        <v>103</v>
      </c>
      <c r="I181">
        <v>90</v>
      </c>
      <c r="J181">
        <v>97</v>
      </c>
      <c r="K181">
        <v>92</v>
      </c>
      <c r="L181" t="s">
        <v>1441</v>
      </c>
    </row>
    <row r="182" spans="1:12" x14ac:dyDescent="0.3">
      <c r="A182" t="s">
        <v>417</v>
      </c>
      <c r="B182" t="s">
        <v>702</v>
      </c>
      <c r="C182" t="s">
        <v>1472</v>
      </c>
      <c r="D182">
        <v>11</v>
      </c>
      <c r="E182">
        <v>4</v>
      </c>
      <c r="F182" t="s">
        <v>1463</v>
      </c>
      <c r="G182">
        <v>85</v>
      </c>
      <c r="H182">
        <v>120</v>
      </c>
      <c r="I182">
        <v>105</v>
      </c>
      <c r="J182">
        <v>107</v>
      </c>
      <c r="K182">
        <v>104</v>
      </c>
      <c r="L182" t="s">
        <v>1441</v>
      </c>
    </row>
    <row r="183" spans="1:12" x14ac:dyDescent="0.3">
      <c r="A183" t="s">
        <v>399</v>
      </c>
      <c r="B183" t="s">
        <v>693</v>
      </c>
      <c r="C183" t="s">
        <v>1472</v>
      </c>
      <c r="D183">
        <v>11</v>
      </c>
      <c r="E183">
        <v>4</v>
      </c>
      <c r="F183" t="s">
        <v>1463</v>
      </c>
      <c r="G183">
        <v>82</v>
      </c>
      <c r="H183">
        <v>105</v>
      </c>
      <c r="I183">
        <v>121</v>
      </c>
      <c r="J183">
        <v>105</v>
      </c>
      <c r="K183">
        <v>103</v>
      </c>
      <c r="L183" t="s">
        <v>1441</v>
      </c>
    </row>
    <row r="184" spans="1:12" x14ac:dyDescent="0.3">
      <c r="A184" t="s">
        <v>190</v>
      </c>
      <c r="B184" t="s">
        <v>1475</v>
      </c>
      <c r="C184" t="s">
        <v>1476</v>
      </c>
      <c r="D184">
        <v>12</v>
      </c>
      <c r="E184">
        <v>1</v>
      </c>
      <c r="F184" t="s">
        <v>1460</v>
      </c>
      <c r="G184">
        <v>75</v>
      </c>
      <c r="H184">
        <v>112</v>
      </c>
      <c r="I184">
        <v>121</v>
      </c>
      <c r="J184">
        <v>118</v>
      </c>
      <c r="K184">
        <v>107</v>
      </c>
      <c r="L184" t="s">
        <v>1441</v>
      </c>
    </row>
    <row r="185" spans="1:12" x14ac:dyDescent="0.3">
      <c r="A185" t="s">
        <v>210</v>
      </c>
      <c r="B185" t="s">
        <v>1477</v>
      </c>
      <c r="C185" t="s">
        <v>1476</v>
      </c>
      <c r="D185">
        <v>12</v>
      </c>
      <c r="E185">
        <v>1</v>
      </c>
      <c r="F185" t="s">
        <v>1460</v>
      </c>
      <c r="G185">
        <v>74</v>
      </c>
      <c r="H185">
        <v>127</v>
      </c>
      <c r="I185">
        <v>135</v>
      </c>
      <c r="J185">
        <v>111</v>
      </c>
      <c r="K185">
        <v>112</v>
      </c>
      <c r="L185" t="s">
        <v>1441</v>
      </c>
    </row>
    <row r="186" spans="1:12" x14ac:dyDescent="0.3">
      <c r="A186" t="s">
        <v>212</v>
      </c>
      <c r="B186" t="s">
        <v>1478</v>
      </c>
      <c r="C186" t="s">
        <v>1476</v>
      </c>
      <c r="D186">
        <v>12</v>
      </c>
      <c r="E186">
        <v>1</v>
      </c>
      <c r="F186" t="s">
        <v>1460</v>
      </c>
      <c r="G186">
        <v>75</v>
      </c>
      <c r="H186">
        <v>114</v>
      </c>
      <c r="I186">
        <v>98</v>
      </c>
      <c r="J186">
        <v>116</v>
      </c>
      <c r="K186">
        <v>101</v>
      </c>
      <c r="L186" t="s">
        <v>1441</v>
      </c>
    </row>
    <row r="187" spans="1:12" x14ac:dyDescent="0.3">
      <c r="A187" t="s">
        <v>214</v>
      </c>
      <c r="B187" t="s">
        <v>1479</v>
      </c>
      <c r="C187" t="s">
        <v>1476</v>
      </c>
      <c r="D187">
        <v>12</v>
      </c>
      <c r="E187">
        <v>1</v>
      </c>
      <c r="F187" t="s">
        <v>1460</v>
      </c>
      <c r="G187">
        <v>91</v>
      </c>
      <c r="H187">
        <v>112</v>
      </c>
      <c r="I187">
        <v>107</v>
      </c>
      <c r="J187">
        <v>122</v>
      </c>
      <c r="K187">
        <v>108</v>
      </c>
      <c r="L187" t="s">
        <v>1441</v>
      </c>
    </row>
    <row r="188" spans="1:12" x14ac:dyDescent="0.3">
      <c r="A188" t="s">
        <v>194</v>
      </c>
      <c r="B188" t="s">
        <v>1480</v>
      </c>
      <c r="C188" t="s">
        <v>1476</v>
      </c>
      <c r="D188">
        <v>12</v>
      </c>
      <c r="E188">
        <v>1</v>
      </c>
      <c r="F188" t="s">
        <v>1461</v>
      </c>
      <c r="G188">
        <v>75</v>
      </c>
      <c r="H188">
        <v>122</v>
      </c>
      <c r="I188">
        <v>93</v>
      </c>
      <c r="J188">
        <v>92</v>
      </c>
      <c r="K188">
        <v>96</v>
      </c>
      <c r="L188" t="s">
        <v>1441</v>
      </c>
    </row>
    <row r="189" spans="1:12" x14ac:dyDescent="0.3">
      <c r="A189" t="s">
        <v>202</v>
      </c>
      <c r="B189" t="s">
        <v>1481</v>
      </c>
      <c r="C189" t="s">
        <v>1476</v>
      </c>
      <c r="D189">
        <v>12</v>
      </c>
      <c r="E189">
        <v>1</v>
      </c>
      <c r="F189" t="s">
        <v>1461</v>
      </c>
      <c r="G189">
        <v>93</v>
      </c>
      <c r="H189">
        <v>111</v>
      </c>
      <c r="I189">
        <v>109</v>
      </c>
      <c r="J189">
        <v>104</v>
      </c>
      <c r="K189">
        <v>104</v>
      </c>
      <c r="L189" t="s">
        <v>1441</v>
      </c>
    </row>
    <row r="190" spans="1:12" x14ac:dyDescent="0.3">
      <c r="A190" t="s">
        <v>198</v>
      </c>
      <c r="B190" t="s">
        <v>1482</v>
      </c>
      <c r="C190" t="s">
        <v>1476</v>
      </c>
      <c r="D190">
        <v>12</v>
      </c>
      <c r="E190">
        <v>1</v>
      </c>
      <c r="F190" t="s">
        <v>1467</v>
      </c>
      <c r="G190">
        <v>104</v>
      </c>
      <c r="H190">
        <v>95</v>
      </c>
      <c r="I190">
        <v>102</v>
      </c>
      <c r="J190">
        <v>96</v>
      </c>
      <c r="K190">
        <v>99</v>
      </c>
      <c r="L190" t="s">
        <v>1441</v>
      </c>
    </row>
    <row r="191" spans="1:12" x14ac:dyDescent="0.3">
      <c r="A191" t="s">
        <v>186</v>
      </c>
      <c r="B191" t="s">
        <v>1483</v>
      </c>
      <c r="C191" t="s">
        <v>1476</v>
      </c>
      <c r="D191">
        <v>12</v>
      </c>
      <c r="E191">
        <v>1</v>
      </c>
      <c r="F191" t="s">
        <v>1463</v>
      </c>
      <c r="G191">
        <v>86</v>
      </c>
      <c r="H191">
        <v>116</v>
      </c>
      <c r="I191">
        <v>111</v>
      </c>
      <c r="J191">
        <v>107</v>
      </c>
      <c r="K191">
        <v>105</v>
      </c>
      <c r="L191" t="s">
        <v>1441</v>
      </c>
    </row>
    <row r="192" spans="1:12" x14ac:dyDescent="0.3">
      <c r="A192" t="s">
        <v>204</v>
      </c>
      <c r="B192" t="s">
        <v>1484</v>
      </c>
      <c r="C192" t="s">
        <v>1476</v>
      </c>
      <c r="D192">
        <v>12</v>
      </c>
      <c r="E192">
        <v>1</v>
      </c>
      <c r="F192" t="s">
        <v>1463</v>
      </c>
      <c r="G192">
        <v>69</v>
      </c>
      <c r="H192">
        <v>106</v>
      </c>
      <c r="I192">
        <v>102</v>
      </c>
      <c r="J192">
        <v>94</v>
      </c>
      <c r="K192">
        <v>93</v>
      </c>
      <c r="L192" t="s">
        <v>1441</v>
      </c>
    </row>
    <row r="193" spans="1:12" x14ac:dyDescent="0.3">
      <c r="A193" t="s">
        <v>208</v>
      </c>
      <c r="B193" t="s">
        <v>1485</v>
      </c>
      <c r="C193" t="s">
        <v>1476</v>
      </c>
      <c r="D193">
        <v>12</v>
      </c>
      <c r="E193">
        <v>1</v>
      </c>
      <c r="F193" t="s">
        <v>1463</v>
      </c>
      <c r="G193">
        <v>83</v>
      </c>
      <c r="H193">
        <v>118</v>
      </c>
      <c r="I193">
        <v>106</v>
      </c>
      <c r="J193">
        <v>106</v>
      </c>
      <c r="K193">
        <v>103</v>
      </c>
      <c r="L193" t="s">
        <v>1441</v>
      </c>
    </row>
    <row r="194" spans="1:12" x14ac:dyDescent="0.3">
      <c r="A194" t="s">
        <v>196</v>
      </c>
      <c r="B194" t="s">
        <v>1486</v>
      </c>
      <c r="C194" t="s">
        <v>1476</v>
      </c>
      <c r="D194">
        <v>12</v>
      </c>
      <c r="E194">
        <v>1</v>
      </c>
      <c r="F194" t="s">
        <v>1463</v>
      </c>
      <c r="G194">
        <v>75</v>
      </c>
      <c r="H194">
        <v>116</v>
      </c>
      <c r="I194">
        <v>91</v>
      </c>
      <c r="J194">
        <v>102</v>
      </c>
      <c r="K194">
        <v>96</v>
      </c>
      <c r="L194" t="s">
        <v>1441</v>
      </c>
    </row>
    <row r="195" spans="1:12" x14ac:dyDescent="0.3">
      <c r="A195" t="s">
        <v>192</v>
      </c>
      <c r="B195" t="s">
        <v>1487</v>
      </c>
      <c r="C195" t="s">
        <v>1476</v>
      </c>
      <c r="D195">
        <v>12</v>
      </c>
      <c r="E195">
        <v>1</v>
      </c>
      <c r="F195" t="s">
        <v>1464</v>
      </c>
      <c r="G195">
        <v>85</v>
      </c>
      <c r="H195">
        <v>101</v>
      </c>
      <c r="I195">
        <v>93</v>
      </c>
      <c r="J195">
        <v>94</v>
      </c>
      <c r="K195">
        <v>93</v>
      </c>
      <c r="L195" t="s">
        <v>1441</v>
      </c>
    </row>
    <row r="196" spans="1:12" x14ac:dyDescent="0.3">
      <c r="A196" t="s">
        <v>218</v>
      </c>
      <c r="B196" t="s">
        <v>1488</v>
      </c>
      <c r="C196" t="s">
        <v>1476</v>
      </c>
      <c r="D196">
        <v>12</v>
      </c>
      <c r="E196">
        <v>1</v>
      </c>
      <c r="F196" t="s">
        <v>1464</v>
      </c>
      <c r="G196">
        <v>108</v>
      </c>
      <c r="H196">
        <v>125</v>
      </c>
      <c r="I196">
        <v>105</v>
      </c>
      <c r="J196">
        <v>111</v>
      </c>
      <c r="K196">
        <v>112</v>
      </c>
      <c r="L196" t="s">
        <v>1441</v>
      </c>
    </row>
    <row r="197" spans="1:12" x14ac:dyDescent="0.3">
      <c r="A197" t="s">
        <v>206</v>
      </c>
      <c r="B197" t="s">
        <v>1489</v>
      </c>
      <c r="C197" t="s">
        <v>1476</v>
      </c>
      <c r="D197">
        <v>12</v>
      </c>
      <c r="E197">
        <v>1</v>
      </c>
      <c r="F197" t="s">
        <v>1464</v>
      </c>
      <c r="G197">
        <v>96</v>
      </c>
      <c r="H197">
        <v>100</v>
      </c>
      <c r="I197">
        <v>107</v>
      </c>
      <c r="J197">
        <v>99</v>
      </c>
      <c r="K197">
        <v>101</v>
      </c>
      <c r="L197" t="s">
        <v>1441</v>
      </c>
    </row>
    <row r="198" spans="1:12" x14ac:dyDescent="0.3">
      <c r="A198" t="s">
        <v>220</v>
      </c>
      <c r="B198" t="s">
        <v>1490</v>
      </c>
      <c r="C198" t="s">
        <v>1476</v>
      </c>
      <c r="D198">
        <v>12</v>
      </c>
      <c r="E198">
        <v>1</v>
      </c>
      <c r="F198" t="s">
        <v>1464</v>
      </c>
      <c r="G198">
        <v>101</v>
      </c>
      <c r="H198">
        <v>110</v>
      </c>
      <c r="I198">
        <v>116</v>
      </c>
      <c r="J198">
        <v>100</v>
      </c>
      <c r="K198">
        <v>107</v>
      </c>
      <c r="L198" t="s">
        <v>1441</v>
      </c>
    </row>
    <row r="199" spans="1:12" x14ac:dyDescent="0.3">
      <c r="A199" t="s">
        <v>216</v>
      </c>
      <c r="B199" t="s">
        <v>1491</v>
      </c>
      <c r="C199" t="s">
        <v>1476</v>
      </c>
      <c r="D199">
        <v>12</v>
      </c>
      <c r="E199">
        <v>1</v>
      </c>
      <c r="F199" t="s">
        <v>1464</v>
      </c>
      <c r="G199">
        <v>80</v>
      </c>
      <c r="H199">
        <v>91</v>
      </c>
      <c r="I199">
        <v>82</v>
      </c>
      <c r="J199">
        <v>88</v>
      </c>
      <c r="K199">
        <v>85</v>
      </c>
      <c r="L199" t="s">
        <v>1441</v>
      </c>
    </row>
    <row r="200" spans="1:12" x14ac:dyDescent="0.3">
      <c r="A200" t="s">
        <v>200</v>
      </c>
      <c r="B200" t="s">
        <v>1492</v>
      </c>
      <c r="C200" t="s">
        <v>1476</v>
      </c>
      <c r="D200">
        <v>12</v>
      </c>
      <c r="E200">
        <v>1</v>
      </c>
      <c r="F200" t="s">
        <v>1464</v>
      </c>
      <c r="G200">
        <v>77</v>
      </c>
      <c r="H200">
        <v>110</v>
      </c>
      <c r="I200">
        <v>105</v>
      </c>
      <c r="J200">
        <v>86</v>
      </c>
      <c r="K200">
        <v>95</v>
      </c>
      <c r="L200" t="s">
        <v>1441</v>
      </c>
    </row>
    <row r="201" spans="1:12" x14ac:dyDescent="0.3">
      <c r="A201" t="s">
        <v>240</v>
      </c>
      <c r="B201" t="s">
        <v>1493</v>
      </c>
      <c r="C201" t="s">
        <v>1476</v>
      </c>
      <c r="D201">
        <v>12</v>
      </c>
      <c r="E201">
        <v>2</v>
      </c>
      <c r="F201" t="s">
        <v>1460</v>
      </c>
      <c r="G201">
        <v>86</v>
      </c>
      <c r="H201">
        <v>114</v>
      </c>
      <c r="I201">
        <v>111</v>
      </c>
      <c r="J201">
        <v>125</v>
      </c>
      <c r="K201">
        <v>109</v>
      </c>
      <c r="L201" t="s">
        <v>1441</v>
      </c>
    </row>
    <row r="202" spans="1:12" x14ac:dyDescent="0.3">
      <c r="A202" t="s">
        <v>238</v>
      </c>
      <c r="B202" t="s">
        <v>1494</v>
      </c>
      <c r="C202" t="s">
        <v>1476</v>
      </c>
      <c r="D202">
        <v>12</v>
      </c>
      <c r="E202">
        <v>2</v>
      </c>
      <c r="F202" t="s">
        <v>1460</v>
      </c>
      <c r="G202">
        <v>71</v>
      </c>
      <c r="H202">
        <v>107</v>
      </c>
      <c r="I202">
        <v>91</v>
      </c>
      <c r="J202">
        <v>102</v>
      </c>
      <c r="K202">
        <v>93</v>
      </c>
      <c r="L202" t="s">
        <v>1441</v>
      </c>
    </row>
    <row r="203" spans="1:12" x14ac:dyDescent="0.3">
      <c r="A203" t="s">
        <v>222</v>
      </c>
      <c r="B203" t="s">
        <v>1495</v>
      </c>
      <c r="C203" t="s">
        <v>1476</v>
      </c>
      <c r="D203">
        <v>12</v>
      </c>
      <c r="E203">
        <v>2</v>
      </c>
      <c r="F203" t="s">
        <v>1460</v>
      </c>
      <c r="G203">
        <v>81</v>
      </c>
      <c r="H203">
        <v>93</v>
      </c>
      <c r="I203">
        <v>115</v>
      </c>
      <c r="J203">
        <v>105</v>
      </c>
      <c r="K203">
        <v>99</v>
      </c>
      <c r="L203" t="s">
        <v>1441</v>
      </c>
    </row>
    <row r="204" spans="1:12" x14ac:dyDescent="0.3">
      <c r="A204" t="s">
        <v>248</v>
      </c>
      <c r="B204" t="s">
        <v>1496</v>
      </c>
      <c r="C204" t="s">
        <v>1476</v>
      </c>
      <c r="D204">
        <v>12</v>
      </c>
      <c r="E204">
        <v>2</v>
      </c>
      <c r="F204" t="s">
        <v>1461</v>
      </c>
      <c r="G204">
        <v>96</v>
      </c>
      <c r="H204">
        <v>121</v>
      </c>
      <c r="I204">
        <v>103</v>
      </c>
      <c r="J204">
        <v>109</v>
      </c>
      <c r="K204">
        <v>107</v>
      </c>
      <c r="L204" t="s">
        <v>1441</v>
      </c>
    </row>
    <row r="205" spans="1:12" x14ac:dyDescent="0.3">
      <c r="A205" t="s">
        <v>254</v>
      </c>
      <c r="B205" t="s">
        <v>1497</v>
      </c>
      <c r="C205" t="s">
        <v>1476</v>
      </c>
      <c r="D205">
        <v>12</v>
      </c>
      <c r="E205">
        <v>2</v>
      </c>
      <c r="F205" t="s">
        <v>1461</v>
      </c>
      <c r="G205">
        <v>71</v>
      </c>
      <c r="H205">
        <v>101</v>
      </c>
      <c r="I205">
        <v>74</v>
      </c>
      <c r="J205">
        <v>84</v>
      </c>
      <c r="K205">
        <v>83</v>
      </c>
      <c r="L205" t="s">
        <v>1441</v>
      </c>
    </row>
    <row r="206" spans="1:12" x14ac:dyDescent="0.3">
      <c r="A206" t="s">
        <v>236</v>
      </c>
      <c r="B206" t="s">
        <v>1498</v>
      </c>
      <c r="C206" t="s">
        <v>1476</v>
      </c>
      <c r="D206">
        <v>12</v>
      </c>
      <c r="E206">
        <v>2</v>
      </c>
      <c r="F206" t="s">
        <v>1461</v>
      </c>
      <c r="G206">
        <v>86</v>
      </c>
      <c r="H206">
        <v>91</v>
      </c>
      <c r="I206">
        <v>107</v>
      </c>
      <c r="J206">
        <v>98</v>
      </c>
      <c r="K206">
        <v>96</v>
      </c>
      <c r="L206" t="s">
        <v>1441</v>
      </c>
    </row>
    <row r="207" spans="1:12" x14ac:dyDescent="0.3">
      <c r="A207" t="s">
        <v>234</v>
      </c>
      <c r="B207" t="s">
        <v>1499</v>
      </c>
      <c r="C207" t="s">
        <v>1476</v>
      </c>
      <c r="D207">
        <v>12</v>
      </c>
      <c r="E207">
        <v>2</v>
      </c>
      <c r="F207" t="s">
        <v>1461</v>
      </c>
      <c r="G207">
        <v>76</v>
      </c>
      <c r="H207">
        <v>106</v>
      </c>
      <c r="I207">
        <v>112</v>
      </c>
      <c r="J207">
        <v>92</v>
      </c>
      <c r="K207">
        <v>97</v>
      </c>
      <c r="L207" t="s">
        <v>1441</v>
      </c>
    </row>
    <row r="208" spans="1:12" x14ac:dyDescent="0.3">
      <c r="A208" t="s">
        <v>228</v>
      </c>
      <c r="B208" t="s">
        <v>1500</v>
      </c>
      <c r="C208" t="s">
        <v>1476</v>
      </c>
      <c r="D208">
        <v>12</v>
      </c>
      <c r="E208">
        <v>2</v>
      </c>
      <c r="F208" t="s">
        <v>1461</v>
      </c>
      <c r="G208">
        <v>86</v>
      </c>
      <c r="H208">
        <v>100</v>
      </c>
      <c r="I208">
        <v>100</v>
      </c>
      <c r="J208">
        <v>98</v>
      </c>
      <c r="K208">
        <v>96</v>
      </c>
      <c r="L208" t="s">
        <v>1441</v>
      </c>
    </row>
    <row r="209" spans="1:12" x14ac:dyDescent="0.3">
      <c r="A209" t="s">
        <v>252</v>
      </c>
      <c r="B209" t="s">
        <v>1501</v>
      </c>
      <c r="C209" t="s">
        <v>1476</v>
      </c>
      <c r="D209">
        <v>12</v>
      </c>
      <c r="E209">
        <v>2</v>
      </c>
      <c r="F209" t="s">
        <v>1463</v>
      </c>
      <c r="G209">
        <v>71</v>
      </c>
      <c r="H209">
        <v>116</v>
      </c>
      <c r="I209">
        <v>96</v>
      </c>
      <c r="J209">
        <v>96</v>
      </c>
      <c r="K209">
        <v>95</v>
      </c>
      <c r="L209" t="s">
        <v>1441</v>
      </c>
    </row>
    <row r="210" spans="1:12" x14ac:dyDescent="0.3">
      <c r="A210" t="s">
        <v>250</v>
      </c>
      <c r="B210" t="s">
        <v>1502</v>
      </c>
      <c r="C210" t="s">
        <v>1476</v>
      </c>
      <c r="D210">
        <v>12</v>
      </c>
      <c r="E210">
        <v>2</v>
      </c>
      <c r="F210" t="s">
        <v>1463</v>
      </c>
      <c r="G210">
        <v>85</v>
      </c>
      <c r="H210">
        <v>101</v>
      </c>
      <c r="I210">
        <v>113</v>
      </c>
      <c r="J210">
        <v>105</v>
      </c>
      <c r="K210">
        <v>101</v>
      </c>
      <c r="L210" t="s">
        <v>1441</v>
      </c>
    </row>
    <row r="211" spans="1:12" x14ac:dyDescent="0.3">
      <c r="A211" t="s">
        <v>246</v>
      </c>
      <c r="B211" t="s">
        <v>1503</v>
      </c>
      <c r="C211" t="s">
        <v>1476</v>
      </c>
      <c r="D211">
        <v>12</v>
      </c>
      <c r="E211">
        <v>2</v>
      </c>
      <c r="F211" t="s">
        <v>1463</v>
      </c>
      <c r="G211">
        <v>70</v>
      </c>
      <c r="H211">
        <v>102</v>
      </c>
      <c r="I211">
        <v>100</v>
      </c>
      <c r="J211">
        <v>96</v>
      </c>
      <c r="K211">
        <v>92</v>
      </c>
      <c r="L211" t="s">
        <v>1441</v>
      </c>
    </row>
    <row r="212" spans="1:12" x14ac:dyDescent="0.3">
      <c r="A212" t="s">
        <v>224</v>
      </c>
      <c r="B212" t="s">
        <v>1504</v>
      </c>
      <c r="C212" t="s">
        <v>1476</v>
      </c>
      <c r="D212">
        <v>12</v>
      </c>
      <c r="E212">
        <v>2</v>
      </c>
      <c r="F212" t="s">
        <v>1463</v>
      </c>
      <c r="G212">
        <v>76</v>
      </c>
      <c r="H212">
        <v>113</v>
      </c>
      <c r="I212">
        <v>94</v>
      </c>
      <c r="J212">
        <v>100</v>
      </c>
      <c r="K212">
        <v>96</v>
      </c>
      <c r="L212" t="s">
        <v>1441</v>
      </c>
    </row>
    <row r="213" spans="1:12" x14ac:dyDescent="0.3">
      <c r="A213" t="s">
        <v>242</v>
      </c>
      <c r="B213" t="s">
        <v>1505</v>
      </c>
      <c r="C213" t="s">
        <v>1476</v>
      </c>
      <c r="D213">
        <v>12</v>
      </c>
      <c r="E213">
        <v>2</v>
      </c>
      <c r="F213" t="s">
        <v>1464</v>
      </c>
      <c r="G213">
        <v>114</v>
      </c>
      <c r="H213">
        <v>117</v>
      </c>
      <c r="I213">
        <v>126</v>
      </c>
      <c r="J213">
        <v>107</v>
      </c>
      <c r="K213">
        <v>116</v>
      </c>
      <c r="L213" t="s">
        <v>1441</v>
      </c>
    </row>
    <row r="214" spans="1:12" x14ac:dyDescent="0.3">
      <c r="A214" t="s">
        <v>244</v>
      </c>
      <c r="B214" t="s">
        <v>1506</v>
      </c>
      <c r="C214" t="s">
        <v>1476</v>
      </c>
      <c r="D214">
        <v>12</v>
      </c>
      <c r="E214">
        <v>2</v>
      </c>
      <c r="F214" t="s">
        <v>1464</v>
      </c>
      <c r="G214">
        <v>95</v>
      </c>
      <c r="H214">
        <v>113</v>
      </c>
      <c r="I214">
        <v>102</v>
      </c>
      <c r="J214">
        <v>94</v>
      </c>
      <c r="K214">
        <v>101</v>
      </c>
      <c r="L214" t="s">
        <v>1441</v>
      </c>
    </row>
    <row r="215" spans="1:12" x14ac:dyDescent="0.3">
      <c r="A215" t="s">
        <v>226</v>
      </c>
      <c r="B215" t="s">
        <v>1507</v>
      </c>
      <c r="C215" t="s">
        <v>1476</v>
      </c>
      <c r="D215">
        <v>12</v>
      </c>
      <c r="E215">
        <v>2</v>
      </c>
      <c r="F215" t="s">
        <v>1464</v>
      </c>
      <c r="G215">
        <v>86</v>
      </c>
      <c r="H215">
        <v>101</v>
      </c>
      <c r="I215">
        <v>86</v>
      </c>
      <c r="J215">
        <v>86</v>
      </c>
      <c r="K215">
        <v>90</v>
      </c>
      <c r="L215" t="s">
        <v>1441</v>
      </c>
    </row>
    <row r="216" spans="1:12" x14ac:dyDescent="0.3">
      <c r="A216" t="s">
        <v>232</v>
      </c>
      <c r="B216" t="s">
        <v>1508</v>
      </c>
      <c r="C216" t="s">
        <v>1476</v>
      </c>
      <c r="D216">
        <v>12</v>
      </c>
      <c r="E216">
        <v>2</v>
      </c>
      <c r="F216" t="s">
        <v>1464</v>
      </c>
      <c r="G216">
        <v>73</v>
      </c>
      <c r="H216">
        <v>101</v>
      </c>
      <c r="I216">
        <v>82</v>
      </c>
      <c r="J216">
        <v>80</v>
      </c>
      <c r="K216">
        <v>84</v>
      </c>
      <c r="L216" t="s">
        <v>1441</v>
      </c>
    </row>
    <row r="217" spans="1:12" x14ac:dyDescent="0.3">
      <c r="A217" t="s">
        <v>230</v>
      </c>
      <c r="B217" t="s">
        <v>1509</v>
      </c>
      <c r="C217" t="s">
        <v>1476</v>
      </c>
      <c r="D217">
        <v>12</v>
      </c>
      <c r="E217">
        <v>2</v>
      </c>
      <c r="F217" t="s">
        <v>1464</v>
      </c>
      <c r="G217">
        <v>77</v>
      </c>
      <c r="H217">
        <v>96</v>
      </c>
      <c r="I217">
        <v>86</v>
      </c>
      <c r="J217">
        <v>86</v>
      </c>
      <c r="K217">
        <v>86</v>
      </c>
      <c r="L217" t="s">
        <v>1441</v>
      </c>
    </row>
    <row r="218" spans="1:12" x14ac:dyDescent="0.3">
      <c r="A218" t="s">
        <v>272</v>
      </c>
      <c r="B218" t="s">
        <v>1510</v>
      </c>
      <c r="C218" t="s">
        <v>1476</v>
      </c>
      <c r="D218">
        <v>12</v>
      </c>
      <c r="E218">
        <v>3</v>
      </c>
      <c r="F218" t="s">
        <v>1460</v>
      </c>
      <c r="G218">
        <v>80</v>
      </c>
      <c r="H218">
        <v>124</v>
      </c>
      <c r="I218">
        <v>102</v>
      </c>
      <c r="J218">
        <v>105</v>
      </c>
      <c r="K218">
        <v>103</v>
      </c>
      <c r="L218" t="s">
        <v>1441</v>
      </c>
    </row>
    <row r="219" spans="1:12" x14ac:dyDescent="0.3">
      <c r="A219" t="s">
        <v>258</v>
      </c>
      <c r="B219" t="s">
        <v>1511</v>
      </c>
      <c r="C219" t="s">
        <v>1476</v>
      </c>
      <c r="D219">
        <v>12</v>
      </c>
      <c r="E219">
        <v>3</v>
      </c>
      <c r="F219" t="s">
        <v>1460</v>
      </c>
      <c r="G219">
        <v>65</v>
      </c>
      <c r="H219">
        <v>109</v>
      </c>
      <c r="I219">
        <v>100</v>
      </c>
      <c r="J219">
        <v>111</v>
      </c>
      <c r="K219">
        <v>96</v>
      </c>
      <c r="L219" t="s">
        <v>1441</v>
      </c>
    </row>
    <row r="220" spans="1:12" x14ac:dyDescent="0.3">
      <c r="A220" t="s">
        <v>264</v>
      </c>
      <c r="B220" t="s">
        <v>1512</v>
      </c>
      <c r="C220" t="s">
        <v>1476</v>
      </c>
      <c r="D220">
        <v>12</v>
      </c>
      <c r="E220">
        <v>3</v>
      </c>
      <c r="F220" t="s">
        <v>1461</v>
      </c>
      <c r="G220">
        <v>76</v>
      </c>
      <c r="H220">
        <v>86</v>
      </c>
      <c r="I220">
        <v>89</v>
      </c>
      <c r="J220">
        <v>92</v>
      </c>
      <c r="K220">
        <v>86</v>
      </c>
      <c r="L220" t="s">
        <v>1441</v>
      </c>
    </row>
    <row r="221" spans="1:12" x14ac:dyDescent="0.3">
      <c r="A221" t="s">
        <v>270</v>
      </c>
      <c r="B221" t="s">
        <v>1513</v>
      </c>
      <c r="C221" t="s">
        <v>1476</v>
      </c>
      <c r="D221">
        <v>12</v>
      </c>
      <c r="E221">
        <v>3</v>
      </c>
      <c r="F221" t="s">
        <v>1461</v>
      </c>
      <c r="G221">
        <v>74</v>
      </c>
      <c r="H221">
        <v>108</v>
      </c>
      <c r="I221">
        <v>93</v>
      </c>
      <c r="J221">
        <v>96</v>
      </c>
      <c r="K221">
        <v>93</v>
      </c>
      <c r="L221" t="s">
        <v>1441</v>
      </c>
    </row>
    <row r="222" spans="1:12" x14ac:dyDescent="0.3">
      <c r="A222" t="s">
        <v>260</v>
      </c>
      <c r="B222" t="s">
        <v>1514</v>
      </c>
      <c r="C222" t="s">
        <v>1476</v>
      </c>
      <c r="D222">
        <v>12</v>
      </c>
      <c r="E222">
        <v>3</v>
      </c>
      <c r="F222" t="s">
        <v>1461</v>
      </c>
      <c r="G222">
        <v>75</v>
      </c>
      <c r="H222">
        <v>103</v>
      </c>
      <c r="I222">
        <v>98</v>
      </c>
      <c r="J222">
        <v>94</v>
      </c>
      <c r="K222">
        <v>93</v>
      </c>
      <c r="L222" t="s">
        <v>1441</v>
      </c>
    </row>
    <row r="223" spans="1:12" x14ac:dyDescent="0.3">
      <c r="A223" t="s">
        <v>276</v>
      </c>
      <c r="B223" t="s">
        <v>1515</v>
      </c>
      <c r="C223" t="s">
        <v>1476</v>
      </c>
      <c r="D223">
        <v>12</v>
      </c>
      <c r="E223">
        <v>3</v>
      </c>
      <c r="F223" t="s">
        <v>1461</v>
      </c>
      <c r="G223">
        <v>65</v>
      </c>
      <c r="H223">
        <v>82</v>
      </c>
      <c r="I223">
        <v>69</v>
      </c>
      <c r="J223">
        <v>88</v>
      </c>
      <c r="K223">
        <v>76</v>
      </c>
      <c r="L223" t="s">
        <v>1441</v>
      </c>
    </row>
    <row r="224" spans="1:12" x14ac:dyDescent="0.3">
      <c r="A224" t="s">
        <v>266</v>
      </c>
      <c r="B224" t="s">
        <v>1516</v>
      </c>
      <c r="C224" t="s">
        <v>1476</v>
      </c>
      <c r="D224">
        <v>12</v>
      </c>
      <c r="E224">
        <v>3</v>
      </c>
      <c r="F224" t="s">
        <v>1463</v>
      </c>
      <c r="G224">
        <v>95</v>
      </c>
      <c r="H224">
        <v>103</v>
      </c>
      <c r="I224">
        <v>105</v>
      </c>
      <c r="J224">
        <v>116</v>
      </c>
      <c r="K224">
        <v>105</v>
      </c>
      <c r="L224" t="s">
        <v>1441</v>
      </c>
    </row>
    <row r="225" spans="1:12" x14ac:dyDescent="0.3">
      <c r="A225" t="s">
        <v>268</v>
      </c>
      <c r="B225" t="s">
        <v>1517</v>
      </c>
      <c r="C225" t="s">
        <v>1476</v>
      </c>
      <c r="D225">
        <v>12</v>
      </c>
      <c r="E225">
        <v>3</v>
      </c>
      <c r="F225" t="s">
        <v>1463</v>
      </c>
      <c r="G225">
        <v>65</v>
      </c>
      <c r="H225">
        <v>116</v>
      </c>
      <c r="I225">
        <v>117</v>
      </c>
      <c r="J225">
        <v>96</v>
      </c>
      <c r="K225">
        <v>99</v>
      </c>
      <c r="L225" t="s">
        <v>1441</v>
      </c>
    </row>
    <row r="226" spans="1:12" x14ac:dyDescent="0.3">
      <c r="A226" t="s">
        <v>256</v>
      </c>
      <c r="B226" t="s">
        <v>1518</v>
      </c>
      <c r="C226" t="s">
        <v>1476</v>
      </c>
      <c r="D226">
        <v>12</v>
      </c>
      <c r="E226">
        <v>3</v>
      </c>
      <c r="F226" t="s">
        <v>1463</v>
      </c>
      <c r="G226">
        <v>76</v>
      </c>
      <c r="H226">
        <v>99</v>
      </c>
      <c r="I226">
        <v>101</v>
      </c>
      <c r="J226">
        <v>100</v>
      </c>
      <c r="K226">
        <v>94</v>
      </c>
      <c r="L226" t="s">
        <v>1441</v>
      </c>
    </row>
    <row r="227" spans="1:12" x14ac:dyDescent="0.3">
      <c r="A227" t="s">
        <v>274</v>
      </c>
      <c r="B227" t="s">
        <v>1519</v>
      </c>
      <c r="C227" t="s">
        <v>1476</v>
      </c>
      <c r="D227">
        <v>12</v>
      </c>
      <c r="E227">
        <v>3</v>
      </c>
      <c r="F227" t="s">
        <v>1464</v>
      </c>
      <c r="G227">
        <v>89</v>
      </c>
      <c r="H227">
        <v>88</v>
      </c>
      <c r="I227">
        <v>80</v>
      </c>
      <c r="J227">
        <v>84</v>
      </c>
      <c r="K227">
        <v>85</v>
      </c>
      <c r="L227" t="s">
        <v>1441</v>
      </c>
    </row>
    <row r="228" spans="1:12" x14ac:dyDescent="0.3">
      <c r="A228" t="s">
        <v>262</v>
      </c>
      <c r="B228" t="s">
        <v>1078</v>
      </c>
      <c r="C228" t="s">
        <v>1476</v>
      </c>
      <c r="D228">
        <v>12</v>
      </c>
      <c r="E228">
        <v>3</v>
      </c>
      <c r="F228" t="s">
        <v>1464</v>
      </c>
      <c r="G228">
        <v>91</v>
      </c>
      <c r="H228">
        <v>109</v>
      </c>
      <c r="I228">
        <v>96</v>
      </c>
      <c r="J228">
        <v>102</v>
      </c>
      <c r="K228">
        <v>100</v>
      </c>
      <c r="L228" t="s">
        <v>1441</v>
      </c>
    </row>
    <row r="229" spans="1:12" x14ac:dyDescent="0.3">
      <c r="A229" t="s">
        <v>282</v>
      </c>
      <c r="B229" t="s">
        <v>1520</v>
      </c>
      <c r="C229" t="s">
        <v>1476</v>
      </c>
      <c r="D229">
        <v>12</v>
      </c>
      <c r="E229">
        <v>4</v>
      </c>
      <c r="F229" t="s">
        <v>1460</v>
      </c>
      <c r="G229">
        <v>80</v>
      </c>
      <c r="H229">
        <v>105</v>
      </c>
      <c r="I229">
        <v>113</v>
      </c>
      <c r="J229">
        <v>107</v>
      </c>
      <c r="K229">
        <v>101</v>
      </c>
      <c r="L229" t="s">
        <v>1441</v>
      </c>
    </row>
    <row r="230" spans="1:12" x14ac:dyDescent="0.3">
      <c r="A230" t="s">
        <v>288</v>
      </c>
      <c r="B230" t="s">
        <v>1521</v>
      </c>
      <c r="C230" t="s">
        <v>1476</v>
      </c>
      <c r="D230">
        <v>12</v>
      </c>
      <c r="E230">
        <v>4</v>
      </c>
      <c r="F230" t="s">
        <v>1461</v>
      </c>
      <c r="G230">
        <v>85</v>
      </c>
      <c r="H230">
        <v>116</v>
      </c>
      <c r="I230">
        <v>111</v>
      </c>
      <c r="J230">
        <v>98</v>
      </c>
      <c r="K230">
        <v>103</v>
      </c>
      <c r="L230" t="s">
        <v>1441</v>
      </c>
    </row>
    <row r="231" spans="1:12" x14ac:dyDescent="0.3">
      <c r="A231" t="s">
        <v>296</v>
      </c>
      <c r="B231" t="s">
        <v>1522</v>
      </c>
      <c r="C231" t="s">
        <v>1476</v>
      </c>
      <c r="D231">
        <v>12</v>
      </c>
      <c r="E231">
        <v>4</v>
      </c>
      <c r="F231" t="s">
        <v>1461</v>
      </c>
      <c r="G231">
        <v>89</v>
      </c>
      <c r="H231">
        <v>118</v>
      </c>
      <c r="I231">
        <v>98</v>
      </c>
      <c r="J231">
        <v>104</v>
      </c>
      <c r="K231">
        <v>102</v>
      </c>
      <c r="L231" t="s">
        <v>1441</v>
      </c>
    </row>
    <row r="232" spans="1:12" x14ac:dyDescent="0.3">
      <c r="A232" t="s">
        <v>278</v>
      </c>
      <c r="B232" t="s">
        <v>1523</v>
      </c>
      <c r="C232" t="s">
        <v>1476</v>
      </c>
      <c r="D232">
        <v>12</v>
      </c>
      <c r="E232">
        <v>4</v>
      </c>
      <c r="F232" t="s">
        <v>1461</v>
      </c>
      <c r="G232">
        <v>92</v>
      </c>
      <c r="H232">
        <v>126</v>
      </c>
      <c r="I232">
        <v>113</v>
      </c>
      <c r="J232">
        <v>109</v>
      </c>
      <c r="K232">
        <v>110</v>
      </c>
      <c r="L232" t="s">
        <v>1441</v>
      </c>
    </row>
    <row r="233" spans="1:12" x14ac:dyDescent="0.3">
      <c r="A233" t="s">
        <v>284</v>
      </c>
      <c r="B233" t="s">
        <v>1524</v>
      </c>
      <c r="C233" t="s">
        <v>1476</v>
      </c>
      <c r="D233">
        <v>12</v>
      </c>
      <c r="E233">
        <v>4</v>
      </c>
      <c r="F233" t="s">
        <v>1463</v>
      </c>
      <c r="G233">
        <v>79</v>
      </c>
      <c r="H233">
        <v>114</v>
      </c>
      <c r="I233">
        <v>93</v>
      </c>
      <c r="J233">
        <v>100</v>
      </c>
      <c r="K233">
        <v>97</v>
      </c>
      <c r="L233" t="s">
        <v>1441</v>
      </c>
    </row>
    <row r="234" spans="1:12" x14ac:dyDescent="0.3">
      <c r="A234" t="s">
        <v>286</v>
      </c>
      <c r="B234" t="s">
        <v>1525</v>
      </c>
      <c r="C234" t="s">
        <v>1476</v>
      </c>
      <c r="D234">
        <v>12</v>
      </c>
      <c r="E234">
        <v>4</v>
      </c>
      <c r="F234" t="s">
        <v>1463</v>
      </c>
      <c r="G234">
        <v>75</v>
      </c>
      <c r="H234">
        <v>105</v>
      </c>
      <c r="I234">
        <v>86</v>
      </c>
      <c r="J234">
        <v>100</v>
      </c>
      <c r="K234">
        <v>92</v>
      </c>
      <c r="L234" t="s">
        <v>1441</v>
      </c>
    </row>
    <row r="235" spans="1:12" x14ac:dyDescent="0.3">
      <c r="A235" t="s">
        <v>280</v>
      </c>
      <c r="B235" t="s">
        <v>1526</v>
      </c>
      <c r="C235" t="s">
        <v>1476</v>
      </c>
      <c r="D235">
        <v>12</v>
      </c>
      <c r="E235">
        <v>4</v>
      </c>
      <c r="F235" t="s">
        <v>1464</v>
      </c>
      <c r="G235">
        <v>87</v>
      </c>
      <c r="H235">
        <v>107</v>
      </c>
      <c r="I235">
        <v>115</v>
      </c>
      <c r="J235">
        <v>92</v>
      </c>
      <c r="K235">
        <v>100</v>
      </c>
      <c r="L235" t="s">
        <v>1441</v>
      </c>
    </row>
    <row r="236" spans="1:12" x14ac:dyDescent="0.3">
      <c r="A236" t="s">
        <v>294</v>
      </c>
      <c r="B236" t="s">
        <v>1527</v>
      </c>
      <c r="C236" t="s">
        <v>1476</v>
      </c>
      <c r="D236">
        <v>12</v>
      </c>
      <c r="E236">
        <v>4</v>
      </c>
      <c r="F236" t="s">
        <v>1464</v>
      </c>
      <c r="G236">
        <v>94</v>
      </c>
      <c r="H236">
        <v>130</v>
      </c>
      <c r="I236">
        <v>106</v>
      </c>
      <c r="J236">
        <v>98</v>
      </c>
      <c r="K236">
        <v>107</v>
      </c>
      <c r="L236" t="s">
        <v>1441</v>
      </c>
    </row>
    <row r="237" spans="1:12" x14ac:dyDescent="0.3">
      <c r="A237" t="s">
        <v>290</v>
      </c>
      <c r="B237" t="s">
        <v>1528</v>
      </c>
      <c r="C237" t="s">
        <v>1476</v>
      </c>
      <c r="D237">
        <v>12</v>
      </c>
      <c r="E237">
        <v>4</v>
      </c>
      <c r="F237" t="s">
        <v>1464</v>
      </c>
      <c r="G237">
        <v>94</v>
      </c>
      <c r="H237">
        <v>116</v>
      </c>
      <c r="I237">
        <v>100</v>
      </c>
      <c r="J237">
        <v>100</v>
      </c>
      <c r="K237">
        <v>103</v>
      </c>
      <c r="L237" t="s">
        <v>1441</v>
      </c>
    </row>
    <row r="238" spans="1:12" x14ac:dyDescent="0.3">
      <c r="A238" t="s">
        <v>292</v>
      </c>
      <c r="B238" t="s">
        <v>1529</v>
      </c>
      <c r="C238" t="s">
        <v>1476</v>
      </c>
      <c r="D238">
        <v>12</v>
      </c>
      <c r="E238">
        <v>4</v>
      </c>
      <c r="F238" t="s">
        <v>1464</v>
      </c>
      <c r="G238">
        <v>75</v>
      </c>
      <c r="H238">
        <v>86</v>
      </c>
      <c r="I238">
        <v>102</v>
      </c>
      <c r="J238">
        <v>73</v>
      </c>
      <c r="K238">
        <v>84</v>
      </c>
      <c r="L238" t="s">
        <v>1441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1"/>
  <sheetViews>
    <sheetView tabSelected="1" workbookViewId="0">
      <selection activeCell="B2" sqref="B2"/>
    </sheetView>
  </sheetViews>
  <sheetFormatPr defaultRowHeight="14.4" x14ac:dyDescent="0.3"/>
  <cols>
    <col min="1" max="1" width="18" customWidth="1"/>
    <col min="2" max="3" width="14" customWidth="1"/>
    <col min="4" max="4" width="16" customWidth="1"/>
    <col min="5" max="10" width="14" customWidth="1"/>
    <col min="11" max="11" width="18" customWidth="1"/>
    <col min="12" max="16" width="14" customWidth="1"/>
  </cols>
  <sheetData>
    <row r="1" spans="1:16" ht="21" customHeight="1" x14ac:dyDescent="0.4">
      <c r="A1" s="83" t="s">
        <v>1663</v>
      </c>
      <c r="B1" s="79"/>
      <c r="C1" s="79"/>
      <c r="D1" s="79"/>
      <c r="E1" s="79"/>
      <c r="F1" s="79"/>
      <c r="G1" s="79"/>
      <c r="H1" s="79"/>
      <c r="I1" s="79"/>
      <c r="J1" s="79"/>
      <c r="K1" s="79"/>
      <c r="L1" s="79"/>
      <c r="M1" s="79"/>
      <c r="N1" s="79"/>
      <c r="O1" s="79"/>
      <c r="P1" s="79"/>
    </row>
    <row r="2" spans="1:16" x14ac:dyDescent="0.3">
      <c r="A2" t="s">
        <v>1664</v>
      </c>
      <c r="B2" s="39" t="s">
        <v>419</v>
      </c>
      <c r="G2" s="78" t="s">
        <v>1665</v>
      </c>
      <c r="H2" s="79"/>
      <c r="I2" s="79"/>
      <c r="J2" s="79"/>
      <c r="K2" s="79"/>
    </row>
    <row r="3" spans="1:16" x14ac:dyDescent="0.3">
      <c r="G3" s="81" t="s">
        <v>1666</v>
      </c>
      <c r="H3" s="79"/>
      <c r="I3" s="79"/>
      <c r="J3" s="79"/>
      <c r="K3" s="79"/>
    </row>
    <row r="4" spans="1:16" x14ac:dyDescent="0.3">
      <c r="A4" s="78" t="s">
        <v>1267</v>
      </c>
      <c r="B4" s="79"/>
      <c r="C4" s="79"/>
      <c r="D4" s="78" t="s">
        <v>1667</v>
      </c>
      <c r="E4" s="79"/>
      <c r="F4" s="79"/>
      <c r="G4" s="78" t="s">
        <v>1668</v>
      </c>
      <c r="H4" s="79"/>
      <c r="I4" s="79"/>
      <c r="J4" s="79"/>
      <c r="K4" s="79"/>
    </row>
    <row r="5" spans="1:16" ht="21" customHeight="1" x14ac:dyDescent="0.4">
      <c r="A5" s="80">
        <f>COUNTIF(Student_Growth!$A$2:$A$232,$B$2)</f>
        <v>58</v>
      </c>
      <c r="B5" s="79"/>
      <c r="C5" s="79"/>
      <c r="D5" s="80">
        <f>ROUND(AVERAGEIF(Student_Growth!$A$2:$A$232,$B$2,Student_Growth!$P$2:$P$232),2)</f>
        <v>3.49</v>
      </c>
      <c r="E5" s="79"/>
      <c r="F5" s="79"/>
      <c r="G5" s="80">
        <f>ROUND(AVERAGEIF(Student_Growth!$A$2:$A$232,$B$2,Student_Growth!$X$2:$X$232),2)</f>
        <v>90.97</v>
      </c>
      <c r="H5" s="79"/>
      <c r="I5" s="79"/>
      <c r="J5" s="79"/>
      <c r="K5" s="79"/>
    </row>
    <row r="6" spans="1:16" x14ac:dyDescent="0.3">
      <c r="A6" s="78" t="s">
        <v>1669</v>
      </c>
      <c r="B6" s="79"/>
      <c r="C6" s="79"/>
      <c r="D6" s="78" t="s">
        <v>1670</v>
      </c>
      <c r="E6" s="79"/>
      <c r="F6" s="79"/>
      <c r="G6" s="81" t="s">
        <v>1671</v>
      </c>
      <c r="H6" s="79"/>
      <c r="I6" s="79"/>
      <c r="J6" s="79"/>
      <c r="K6" s="79"/>
    </row>
    <row r="7" spans="1:16" ht="21" customHeight="1" x14ac:dyDescent="0.4">
      <c r="A7" s="92">
        <f>ROUND(COUNTIFS(Student_Growth!$A$2:$A$232,$B$2,Student_Growth!$P$2:$P$232,"&gt;0")/COUNTIF(Student_Growth!$A$2:$A$232,$B$2),2)</f>
        <v>0.81</v>
      </c>
      <c r="B7" s="79"/>
      <c r="C7" s="79"/>
      <c r="D7" s="80">
        <f>ROUND(AVERAGEIF(Student_Growth!$A$2:$A$232,$B$2,Student_Growth!$S$2:$S$232),2)</f>
        <v>5.75</v>
      </c>
      <c r="E7" s="79"/>
      <c r="F7" s="79"/>
      <c r="G7" s="81" t="s">
        <v>1672</v>
      </c>
      <c r="H7" s="79"/>
      <c r="I7" s="79"/>
      <c r="J7" s="79"/>
      <c r="K7" s="79"/>
    </row>
    <row r="9" spans="1:16" x14ac:dyDescent="0.3">
      <c r="A9" s="82" t="s">
        <v>1673</v>
      </c>
      <c r="B9" s="79"/>
      <c r="C9" s="79"/>
      <c r="D9" s="79"/>
      <c r="E9" s="79"/>
      <c r="F9" s="79"/>
      <c r="G9" s="79"/>
      <c r="H9" s="82" t="s">
        <v>1674</v>
      </c>
      <c r="I9" s="79"/>
      <c r="J9" s="79"/>
    </row>
    <row r="10" spans="1:16" x14ac:dyDescent="0.3">
      <c r="A10" s="40" t="s">
        <v>1675</v>
      </c>
      <c r="B10" s="40" t="s">
        <v>1676</v>
      </c>
      <c r="C10" s="40" t="s">
        <v>1677</v>
      </c>
      <c r="D10" s="40" t="s">
        <v>1678</v>
      </c>
      <c r="E10" s="40" t="s">
        <v>1679</v>
      </c>
      <c r="F10" s="40" t="s">
        <v>1680</v>
      </c>
      <c r="G10" s="40" t="s">
        <v>1681</v>
      </c>
      <c r="H10" s="40" t="s">
        <v>39</v>
      </c>
      <c r="I10" s="40" t="s">
        <v>1682</v>
      </c>
      <c r="J10" s="40" t="s">
        <v>1683</v>
      </c>
      <c r="K10" s="41"/>
    </row>
    <row r="11" spans="1:16" x14ac:dyDescent="0.3">
      <c r="A11" s="42">
        <v>1</v>
      </c>
      <c r="B11" s="42">
        <f>ROUND(AVERAGEIFS(Long_Panel!$G$2:$G$925,Long_Panel!$A$2:$A$925,$B$2,Long_Panel!$E$2:$E$925,$A11),2)</f>
        <v>84.61</v>
      </c>
      <c r="C11" s="42">
        <f>ROUND(AVERAGEIFS(Long_Panel!$H$2:$H$925,Long_Panel!$A$2:$A$925,$B$2,Long_Panel!$E$2:$E$925,$A11),2)</f>
        <v>88.09</v>
      </c>
      <c r="D11" s="42">
        <f>ROUND(AVERAGEIFS(Long_Panel!$I$2:$I$925,Long_Panel!$A$2:$A$925,$B$2,Long_Panel!$E$2:$E$925,$A11),2)</f>
        <v>88.42</v>
      </c>
      <c r="E11" s="42">
        <f>ROUND(AVERAGEIFS(Long_Panel!$J$2:$J$925,Long_Panel!$A$2:$A$925,$B$2,Long_Panel!$E$2:$E$925,$A11),2)</f>
        <v>86.15</v>
      </c>
      <c r="F11" s="42">
        <f>ROUND(AVERAGEIFS(Long_Panel!$K$2:$K$925,Long_Panel!$A$2:$A$925,$B$2,Long_Panel!$E$2:$E$925,$A11),2)</f>
        <v>82.78</v>
      </c>
      <c r="G11" s="42">
        <f>ROUND(C11-0.463*B11,2)</f>
        <v>48.92</v>
      </c>
      <c r="H11" s="42" t="s">
        <v>60</v>
      </c>
      <c r="I11" s="42">
        <f>ROUND(AVERAGEIF(Student_Growth!$A$2:$A$232,H11,Student_Growth!$O$2:$O$232),2)</f>
        <v>93.17</v>
      </c>
      <c r="J11" s="42">
        <f>ROUND(AVERAGEIF(Student_Growth!$A$2:$A$232,H11,Student_Growth!$X$2:$X$232),2)</f>
        <v>93.29</v>
      </c>
      <c r="K11" s="42"/>
    </row>
    <row r="12" spans="1:16" x14ac:dyDescent="0.3">
      <c r="A12" s="42">
        <v>2</v>
      </c>
      <c r="B12" s="42">
        <f>ROUND(AVERAGEIFS(Long_Panel!$G$2:$G$925,Long_Panel!$A$2:$A$925,$B$2,Long_Panel!$E$2:$E$925,$A12),2)</f>
        <v>87.39</v>
      </c>
      <c r="C12" s="42">
        <f>ROUND(AVERAGEIFS(Long_Panel!$H$2:$H$925,Long_Panel!$A$2:$A$925,$B$2,Long_Panel!$E$2:$E$925,$A12),2)</f>
        <v>90.01</v>
      </c>
      <c r="D12" s="42">
        <f>ROUND(AVERAGEIFS(Long_Panel!$I$2:$I$925,Long_Panel!$A$2:$A$925,$B$2,Long_Panel!$E$2:$E$925,$A12),2)</f>
        <v>91.95</v>
      </c>
      <c r="E12" s="42">
        <f>ROUND(AVERAGEIFS(Long_Panel!$J$2:$J$925,Long_Panel!$A$2:$A$925,$B$2,Long_Panel!$E$2:$E$925,$A12),2)</f>
        <v>90.62</v>
      </c>
      <c r="F12" s="42">
        <f>ROUND(AVERAGEIFS(Long_Panel!$K$2:$K$925,Long_Panel!$A$2:$A$925,$B$2,Long_Panel!$E$2:$E$925,$A12),2)</f>
        <v>93.17</v>
      </c>
      <c r="G12" s="42">
        <f>ROUND(C12-0.463*B12,2)</f>
        <v>49.55</v>
      </c>
      <c r="H12" s="42" t="s">
        <v>185</v>
      </c>
      <c r="I12" s="42">
        <f>ROUND(AVERAGEIF(Student_Growth!$A$2:$A$232,H12,Student_Growth!$O$2:$O$232),2)</f>
        <v>92.04</v>
      </c>
      <c r="J12" s="42">
        <f>ROUND(AVERAGEIF(Student_Growth!$A$2:$A$232,H12,Student_Growth!$X$2:$X$232),2)</f>
        <v>95.85</v>
      </c>
      <c r="K12" s="42"/>
    </row>
    <row r="13" spans="1:16" x14ac:dyDescent="0.3">
      <c r="A13" s="42">
        <v>3</v>
      </c>
      <c r="B13" s="42">
        <f>ROUND(AVERAGEIFS(Long_Panel!$G$2:$G$925,Long_Panel!$A$2:$A$925,$B$2,Long_Panel!$E$2:$E$925,$A13),2)</f>
        <v>88.62</v>
      </c>
      <c r="C13" s="42">
        <f>ROUND(AVERAGEIFS(Long_Panel!$H$2:$H$925,Long_Panel!$A$2:$A$925,$B$2,Long_Panel!$E$2:$E$925,$A13),2)</f>
        <v>91.57</v>
      </c>
      <c r="D13" s="42">
        <f>ROUND(AVERAGEIFS(Long_Panel!$I$2:$I$925,Long_Panel!$A$2:$A$925,$B$2,Long_Panel!$E$2:$E$925,$A13),2)</f>
        <v>90.26</v>
      </c>
      <c r="E13" s="42">
        <f>ROUND(AVERAGEIFS(Long_Panel!$J$2:$J$925,Long_Panel!$A$2:$A$925,$B$2,Long_Panel!$E$2:$E$925,$A13),2)</f>
        <v>88.74</v>
      </c>
      <c r="F13" s="42">
        <f>ROUND(AVERAGEIFS(Long_Panel!$K$2:$K$925,Long_Panel!$A$2:$A$925,$B$2,Long_Panel!$E$2:$E$925,$A13),2)</f>
        <v>86.49</v>
      </c>
      <c r="G13" s="42">
        <f>ROUND(C13-0.463*B13,2)</f>
        <v>50.54</v>
      </c>
      <c r="H13" s="42" t="s">
        <v>298</v>
      </c>
      <c r="I13" s="42">
        <f>ROUND(AVERAGEIF(Student_Growth!$A$2:$A$232,H13,Student_Growth!$O$2:$O$232),2)</f>
        <v>89.69</v>
      </c>
      <c r="J13" s="42">
        <f>ROUND(AVERAGEIF(Student_Growth!$A$2:$A$232,H13,Student_Growth!$X$2:$X$232),2)</f>
        <v>89.77</v>
      </c>
      <c r="K13" s="42"/>
    </row>
    <row r="14" spans="1:16" x14ac:dyDescent="0.3">
      <c r="A14" s="42">
        <v>4</v>
      </c>
      <c r="B14" s="42">
        <f>ROUND(AVERAGEIFS(Long_Panel!$G$2:$G$925,Long_Panel!$A$2:$A$925,$B$2,Long_Panel!$E$2:$E$925,$A14),2)</f>
        <v>88.13</v>
      </c>
      <c r="C14" s="42">
        <f>ROUND(AVERAGEIFS(Long_Panel!$H$2:$H$925,Long_Panel!$A$2:$A$925,$B$2,Long_Panel!$E$2:$E$925,$A14),2)</f>
        <v>91.58</v>
      </c>
      <c r="D14" s="42">
        <f>ROUND(AVERAGEIFS(Long_Panel!$I$2:$I$925,Long_Panel!$A$2:$A$925,$B$2,Long_Panel!$E$2:$E$925,$A14),2)</f>
        <v>94.17</v>
      </c>
      <c r="E14" s="42">
        <f>ROUND(AVERAGEIFS(Long_Panel!$J$2:$J$925,Long_Panel!$A$2:$A$925,$B$2,Long_Panel!$E$2:$E$925,$A14),2)</f>
        <v>91.13</v>
      </c>
      <c r="F14" s="42">
        <f>ROUND(AVERAGEIFS(Long_Panel!$K$2:$K$925,Long_Panel!$A$2:$A$925,$B$2,Long_Panel!$E$2:$E$925,$A14),2)</f>
        <v>90.97</v>
      </c>
      <c r="G14" s="42">
        <f>ROUND(C14-0.463*B14,2)</f>
        <v>50.78</v>
      </c>
      <c r="H14" s="42" t="s">
        <v>419</v>
      </c>
      <c r="I14" s="42">
        <f>ROUND(AVERAGEIF(Student_Growth!$A$2:$A$232,H14,Student_Growth!$O$2:$O$232),2)</f>
        <v>91.58</v>
      </c>
      <c r="J14" s="42">
        <f>ROUND(AVERAGEIF(Student_Growth!$A$2:$A$232,H14,Student_Growth!$X$2:$X$232),2)</f>
        <v>90.97</v>
      </c>
      <c r="K14" s="42"/>
    </row>
    <row r="15" spans="1:16" x14ac:dyDescent="0.3">
      <c r="A15" s="42"/>
      <c r="B15" s="42"/>
      <c r="C15" s="42"/>
      <c r="D15" s="42"/>
      <c r="E15" s="42"/>
      <c r="F15" s="42"/>
      <c r="G15" s="42"/>
      <c r="H15" s="42"/>
      <c r="I15" s="42"/>
      <c r="J15" s="42"/>
      <c r="K15" s="42"/>
    </row>
    <row r="16" spans="1:16" x14ac:dyDescent="0.3">
      <c r="A16" s="75" t="s">
        <v>1684</v>
      </c>
      <c r="B16" s="76"/>
      <c r="C16" s="77"/>
      <c r="D16" s="42"/>
      <c r="E16" s="42"/>
      <c r="F16" s="42"/>
      <c r="G16" s="42"/>
      <c r="H16" s="84" t="e">
        <f ca="1">IF($B$2="","",_xludf.CONCAT("For ",$B$2,", the dashboard tracks internal performance from entry to exit, combining baseline, yearly progress, final outcomes, and improvement rates. The selected cohort currently shows ",A5," students, an average NSIS gain of ",E5,", and an average Math gain of ",H5,". This page is designed as a Cognia-ready evidence snapshot linking measurable growth to cohort-level outcomes."))</f>
        <v>#NAME?</v>
      </c>
      <c r="I16" s="85"/>
      <c r="J16" s="85"/>
      <c r="K16" s="86"/>
    </row>
    <row r="17" spans="1:11" x14ac:dyDescent="0.3">
      <c r="A17" s="40" t="s">
        <v>1301</v>
      </c>
      <c r="B17" s="40" t="s">
        <v>1368</v>
      </c>
      <c r="C17" s="40" t="s">
        <v>1370</v>
      </c>
      <c r="D17" s="41"/>
      <c r="E17" s="41"/>
      <c r="F17" s="41"/>
      <c r="G17" s="41"/>
      <c r="H17" s="87"/>
      <c r="I17" s="79"/>
      <c r="J17" s="79"/>
      <c r="K17" s="88"/>
    </row>
    <row r="18" spans="1:11" x14ac:dyDescent="0.3">
      <c r="A18" s="42" t="s">
        <v>785</v>
      </c>
      <c r="B18" s="42">
        <f>ROUND(AVERAGEIF(Student_Growth!$A$2:$A$232,$B$2,Student_Growth!$K$2:$K$232),2)</f>
        <v>84.61</v>
      </c>
      <c r="C18" s="42">
        <f>ROUND(AVERAGEIF(Student_Growth!$A$2:$A$232,$B$2,Student_Growth!$L$2:$L$232),2)</f>
        <v>88.13</v>
      </c>
      <c r="D18" s="42"/>
      <c r="E18" s="42"/>
      <c r="F18" s="42"/>
      <c r="G18" s="42"/>
      <c r="H18" s="87"/>
      <c r="I18" s="79"/>
      <c r="J18" s="79"/>
      <c r="K18" s="88"/>
    </row>
    <row r="19" spans="1:11" x14ac:dyDescent="0.3">
      <c r="A19" s="42" t="s">
        <v>786</v>
      </c>
      <c r="B19" s="42">
        <f>ROUND(AVERAGEIF(Student_Growth!$A$2:$A$232,$B$2,Student_Growth!$N$2:$N$232),2)</f>
        <v>88.09</v>
      </c>
      <c r="C19" s="42">
        <f>ROUND(AVERAGEIF(Student_Growth!$A$2:$A$232,$B$2,Student_Growth!$O$2:$O$232),2)</f>
        <v>91.58</v>
      </c>
      <c r="D19" s="42"/>
      <c r="E19" s="42"/>
      <c r="F19" s="42"/>
      <c r="G19" s="42"/>
      <c r="H19" s="87"/>
      <c r="I19" s="79"/>
      <c r="J19" s="79"/>
      <c r="K19" s="88"/>
    </row>
    <row r="20" spans="1:11" x14ac:dyDescent="0.3">
      <c r="A20" s="42" t="s">
        <v>787</v>
      </c>
      <c r="B20" s="42">
        <f>ROUND(AVERAGEIF(Student_Growth!$A$2:$A$232,$B$2,Student_Growth!$Q$2:$Q$232),2)</f>
        <v>88.42</v>
      </c>
      <c r="C20" s="42">
        <f>ROUND(AVERAGEIF(Student_Growth!$A$2:$A$232,$B$2,Student_Growth!$R$2:$R$232),2)</f>
        <v>94.17</v>
      </c>
      <c r="D20" s="42"/>
      <c r="E20" s="42"/>
      <c r="F20" s="42"/>
      <c r="G20" s="42"/>
      <c r="H20" s="87"/>
      <c r="I20" s="79"/>
      <c r="J20" s="79"/>
      <c r="K20" s="88"/>
    </row>
    <row r="21" spans="1:11" x14ac:dyDescent="0.3">
      <c r="A21" s="42" t="s">
        <v>788</v>
      </c>
      <c r="B21" s="42">
        <f>ROUND(AVERAGEIF(Student_Growth!$A$2:$A$232,$B$2,Student_Growth!$T$2:$T$232),2)</f>
        <v>86.15</v>
      </c>
      <c r="C21" s="42">
        <f>ROUND(AVERAGEIF(Student_Growth!$A$2:$A$232,$B$2,Student_Growth!$U$2:$U$232),2)</f>
        <v>91.13</v>
      </c>
      <c r="D21" s="42"/>
      <c r="E21" s="42"/>
      <c r="F21" s="42"/>
      <c r="G21" s="42"/>
      <c r="H21" s="89"/>
      <c r="I21" s="90"/>
      <c r="J21" s="90"/>
      <c r="K21" s="91"/>
    </row>
    <row r="22" spans="1:11" x14ac:dyDescent="0.3">
      <c r="A22" s="42" t="s">
        <v>789</v>
      </c>
      <c r="B22" s="42">
        <f>ROUND(AVERAGEIF(Student_Growth!$A$2:$A$232,$B$2,Student_Growth!$W$2:$W$232),2)</f>
        <v>82.78</v>
      </c>
      <c r="C22" s="42">
        <f>ROUND(AVERAGEIF(Student_Growth!$A$2:$A$232,$B$2,Student_Growth!$X$2:$X$232),2)</f>
        <v>90.97</v>
      </c>
      <c r="D22" s="42"/>
      <c r="E22" s="42"/>
      <c r="F22" s="42"/>
      <c r="G22" s="42"/>
      <c r="H22" s="42"/>
      <c r="I22" s="42"/>
      <c r="J22" s="42"/>
      <c r="K22" s="42"/>
    </row>
    <row r="23" spans="1:11" x14ac:dyDescent="0.3">
      <c r="A23" s="42" t="s">
        <v>1685</v>
      </c>
      <c r="B23" s="42">
        <f>ROUND(B19-0.463*B18,2)</f>
        <v>48.92</v>
      </c>
      <c r="C23" s="42">
        <f>ROUND(C19-0.463*C18,2)</f>
        <v>50.78</v>
      </c>
      <c r="D23" s="42"/>
      <c r="E23" s="42"/>
      <c r="F23" s="42"/>
      <c r="G23" s="42"/>
      <c r="H23" s="42"/>
      <c r="I23" s="42"/>
      <c r="J23" s="42"/>
      <c r="K23" s="42"/>
    </row>
    <row r="24" spans="1:11" x14ac:dyDescent="0.3">
      <c r="A24" s="42"/>
      <c r="B24" s="42"/>
      <c r="C24" s="42"/>
      <c r="D24" s="42"/>
      <c r="E24" s="42"/>
      <c r="F24" s="42"/>
      <c r="G24" s="42"/>
      <c r="H24" s="42"/>
      <c r="I24" s="42"/>
      <c r="J24" s="42"/>
      <c r="K24" s="42"/>
    </row>
    <row r="25" spans="1:11" x14ac:dyDescent="0.3">
      <c r="A25" s="75" t="s">
        <v>1686</v>
      </c>
      <c r="B25" s="76"/>
      <c r="C25" s="77"/>
      <c r="D25" s="42"/>
      <c r="E25" s="42"/>
      <c r="F25" s="42"/>
      <c r="G25" s="42"/>
      <c r="H25" s="42"/>
      <c r="I25" s="42"/>
      <c r="J25" s="42"/>
      <c r="K25" s="42"/>
    </row>
    <row r="26" spans="1:11" x14ac:dyDescent="0.3">
      <c r="A26" s="40" t="s">
        <v>1301</v>
      </c>
      <c r="B26" s="40" t="s">
        <v>1312</v>
      </c>
      <c r="C26" s="40" t="s">
        <v>1687</v>
      </c>
      <c r="D26" s="41"/>
      <c r="E26" s="41"/>
      <c r="F26" s="41"/>
      <c r="G26" s="41"/>
      <c r="H26" s="41"/>
      <c r="I26" s="41"/>
      <c r="J26" s="41"/>
      <c r="K26" s="41"/>
    </row>
    <row r="27" spans="1:11" x14ac:dyDescent="0.3">
      <c r="A27" s="42" t="s">
        <v>785</v>
      </c>
      <c r="B27" s="42">
        <f>ROUND(AVERAGEIF(Student_Growth!$A$2:$A$232,$B$2,Student_Growth!$M$2:$M$232),2)</f>
        <v>3.52</v>
      </c>
      <c r="C27" s="43">
        <f>ROUND(COUNTIFS(Student_Growth!$A$2:$A$232,$B$2,Student_Growth!$M$2:$M$232,"&gt;0")/COUNTIF(Student_Growth!$A$2:$A$232,$B$2),2)</f>
        <v>0.78</v>
      </c>
      <c r="D27" s="42"/>
      <c r="E27" s="42"/>
      <c r="F27" s="42"/>
      <c r="G27" s="42"/>
      <c r="H27" s="42"/>
      <c r="I27" s="42"/>
      <c r="J27" s="42"/>
      <c r="K27" s="42"/>
    </row>
    <row r="28" spans="1:11" x14ac:dyDescent="0.3">
      <c r="A28" s="42" t="s">
        <v>786</v>
      </c>
      <c r="B28" s="42">
        <f>ROUND(AVERAGEIF(Student_Growth!$A$2:$A$232,$B$2,Student_Growth!$P$2:$P$232),2)</f>
        <v>3.49</v>
      </c>
      <c r="C28" s="43">
        <f>ROUND(COUNTIFS(Student_Growth!$A$2:$A$232,$B$2,Student_Growth!$P$2:$P$232,"&gt;0")/COUNTIF(Student_Growth!$A$2:$A$232,$B$2),2)</f>
        <v>0.81</v>
      </c>
      <c r="D28" s="42"/>
      <c r="E28" s="42"/>
      <c r="F28" s="42"/>
      <c r="G28" s="42"/>
      <c r="H28" s="42"/>
      <c r="I28" s="42"/>
      <c r="J28" s="42"/>
      <c r="K28" s="42"/>
    </row>
    <row r="29" spans="1:11" x14ac:dyDescent="0.3">
      <c r="A29" s="42" t="s">
        <v>787</v>
      </c>
      <c r="B29" s="42">
        <f>ROUND(AVERAGEIF(Student_Growth!$A$2:$A$232,$B$2,Student_Growth!$S$2:$S$232),2)</f>
        <v>5.75</v>
      </c>
      <c r="C29" s="43">
        <f>ROUND(COUNTIFS(Student_Growth!$A$2:$A$232,$B$2,Student_Growth!$S$2:$S$232,"&gt;0")/COUNTIF(Student_Growth!$A$2:$A$232,$B$2),2)</f>
        <v>0.95</v>
      </c>
      <c r="D29" s="42"/>
      <c r="E29" s="42"/>
      <c r="F29" s="42"/>
      <c r="G29" s="42"/>
      <c r="H29" s="42"/>
      <c r="I29" s="42"/>
      <c r="J29" s="42"/>
      <c r="K29" s="42"/>
    </row>
    <row r="30" spans="1:11" x14ac:dyDescent="0.3">
      <c r="A30" s="42" t="s">
        <v>788</v>
      </c>
      <c r="B30" s="42">
        <f>ROUND(AVERAGEIF(Student_Growth!$A$2:$A$232,$B$2,Student_Growth!$V$2:$V$232),2)</f>
        <v>4.9800000000000004</v>
      </c>
      <c r="C30" s="43">
        <f>ROUND(COUNTIFS(Student_Growth!$A$2:$A$232,$B$2,Student_Growth!$V$2:$V$232,"&gt;0")/COUNTIF(Student_Growth!$A$2:$A$232,$B$2),2)</f>
        <v>0.86</v>
      </c>
      <c r="D30" s="42"/>
      <c r="E30" s="42"/>
      <c r="F30" s="42"/>
      <c r="G30" s="42"/>
      <c r="H30" s="42"/>
      <c r="I30" s="42"/>
      <c r="J30" s="42"/>
      <c r="K30" s="42"/>
    </row>
    <row r="31" spans="1:11" x14ac:dyDescent="0.3">
      <c r="A31" s="42" t="s">
        <v>789</v>
      </c>
      <c r="B31" s="42">
        <f>ROUND(AVERAGEIF(Student_Growth!$A$2:$A$232,$B$2,Student_Growth!$X$2:$X$232),2)</f>
        <v>90.97</v>
      </c>
      <c r="C31" s="43">
        <f>ROUND(COUNTIFS(Student_Growth!$A$2:$A$232,$B$2,Student_Growth!$X$2:$X$232,"&gt;0")/COUNTIF(Student_Growth!$A$2:$A$232,$B$2),2)</f>
        <v>1</v>
      </c>
      <c r="D31" s="42"/>
      <c r="E31" s="42"/>
      <c r="F31" s="42"/>
      <c r="G31" s="42"/>
      <c r="H31" s="42"/>
      <c r="I31" s="42"/>
      <c r="J31" s="42"/>
      <c r="K31" s="42"/>
    </row>
  </sheetData>
  <mergeCells count="20">
    <mergeCell ref="A1:P1"/>
    <mergeCell ref="H16:K21"/>
    <mergeCell ref="G5:K5"/>
    <mergeCell ref="G4:K4"/>
    <mergeCell ref="A6:C6"/>
    <mergeCell ref="H9:J9"/>
    <mergeCell ref="A7:C7"/>
    <mergeCell ref="D6:F6"/>
    <mergeCell ref="A16:C16"/>
    <mergeCell ref="A25:C25"/>
    <mergeCell ref="G2:K2"/>
    <mergeCell ref="D7:F7"/>
    <mergeCell ref="G7:K7"/>
    <mergeCell ref="A9:G9"/>
    <mergeCell ref="A5:C5"/>
    <mergeCell ref="D4:F4"/>
    <mergeCell ref="A4:C4"/>
    <mergeCell ref="G6:K6"/>
    <mergeCell ref="G3:K3"/>
    <mergeCell ref="D5:F5"/>
  </mergeCells>
  <dataValidations count="1">
    <dataValidation type="list" sqref="B2" xr:uid="{00000000-0002-0000-1700-000000000000}">
      <formula1>"Class of 2022,Class of 2023,Class of 2024,Class of 2025"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README</vt:lpstr>
      <vt:lpstr>Student_Master</vt:lpstr>
      <vt:lpstr>Baseline_Entry</vt:lpstr>
      <vt:lpstr>Admissions_2024_2025</vt:lpstr>
      <vt:lpstr>Long_Panel</vt:lpstr>
      <vt:lpstr>Student_Growth</vt:lpstr>
      <vt:lpstr>Cognitive_Profile</vt:lpstr>
      <vt:lpstr>Participation_By_Student</vt:lpstr>
      <vt:lpstr>University_Exit</vt:lpstr>
      <vt:lpstr>External_Schoolwide</vt:lpstr>
      <vt:lpstr>Cohort_Growth</vt:lpstr>
      <vt:lpstr>Cohort_Trajectories</vt:lpstr>
      <vt:lpstr>Subject_Growth</vt:lpstr>
      <vt:lpstr>Movement_Equity</vt:lpstr>
      <vt:lpstr>Teacher_Curriculum</vt:lpstr>
      <vt:lpstr>Engagement_Indicators</vt:lpstr>
      <vt:lpstr>Student_Profile</vt:lpstr>
      <vt:lpstr>Dashboard_Executive</vt:lpstr>
      <vt:lpstr>Sources</vt:lpstr>
      <vt:lpstr>Data_Quality_Checks</vt:lpstr>
      <vt:lpstr>CAT4_2022_2023</vt:lpstr>
      <vt:lpstr>CAT4_Current_Master</vt:lpstr>
      <vt:lpstr>CAT4_2021_2022</vt:lpstr>
      <vt:lpstr>Cognia_Evidence_Page</vt:lpstr>
      <vt:lpstr>QID_List</vt:lpstr>
      <vt:lpstr>Student_Name_List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احمد فارس</cp:lastModifiedBy>
  <dcterms:created xsi:type="dcterms:W3CDTF">2026-04-23T20:24:20Z</dcterms:created>
  <dcterms:modified xsi:type="dcterms:W3CDTF">2026-04-23T20:31:07Z</dcterms:modified>
</cp:coreProperties>
</file>